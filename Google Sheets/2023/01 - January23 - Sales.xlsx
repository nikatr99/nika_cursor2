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Detailed Report" sheetId="3" r:id="rId7"/>
    <sheet state="visible" name="Refunds" sheetId="4" r:id="rId8"/>
    <sheet state="visible" name="Returns" sheetId="5" r:id="rId9"/>
    <sheet state="visible" name="Chargebacks" sheetId="6" r:id="rId10"/>
    <sheet state="visible" name="Edited Orders" sheetId="7" r:id="rId11"/>
    <sheet state="visible" name="Formulas" sheetId="8" r:id="rId12"/>
    <sheet state="visible" name="pivot_do_not_delete_1" sheetId="9" r:id="rId13"/>
    <sheet state="visible" name="dtc_return_for_refund_do_not_de" sheetId="10" r:id="rId14"/>
    <sheet state="hidden" name="SupermetricsQueries" sheetId="11" r:id="rId15"/>
  </sheets>
  <definedNames>
    <definedName name="zsupermetrics_ru0GDtbZzDLHQOQtJJ6K08MvUDyyp7">Formulas!$G$5:$G$6</definedName>
    <definedName name="zsupermetrics_lx4cNai7gT6tH4j08ZRkI21Qlpjioi">Formulas!$G$5:$H$14</definedName>
    <definedName name="rdataslayer_d70e473bcafe40a3aa834ce157fb2ba3">Formulas!$H$9:$I$10</definedName>
    <definedName name="zsupermetrics_refreshAll">SupermetricsQueries!$H$5</definedName>
    <definedName name="zsupermetrics_8xojRjNDjo2jWHGDWjFEhflhyIq3Hq">Sales!$K$9:$K$10</definedName>
    <definedName name="zsupermetrics_n3GtLgiKpTmd2pYmQNMuq6TPD0qE0b">Formulas!$G$5:$G$6</definedName>
    <definedName name="rdataslayer_3753ddf3234e496aa261974a0222e193">Formulas!$M$3:$N$3</definedName>
    <definedName name="zsupermetrics_refreshAllSilent">SupermetricsQueries!$H$6</definedName>
    <definedName name="zsupermetrics_BioPyGBzcBsy60UCQmPcTuFReEmghI">Formulas!$G$3:$G$4</definedName>
    <definedName name="zsupermetrics_qWp7V908pNEYMtfv8QZvSTeDnBAHOU">Formulas!$G$6:$H$14</definedName>
    <definedName name="zsupermetrics_Mgms9p0QzysYvrIhnsKACeVBVxfIEO">Formulas!$F$3:$F$4</definedName>
    <definedName name="zsupermetrics_forceRefresh">SupermetricsQueries!$H$4</definedName>
    <definedName name="zsupermetrics_wbYMmT0YL9bAN0yhimW0ziPFnia9Dx">Formulas!$F$3:$F$4</definedName>
    <definedName name="zsupermetrics_iNpyVy90bWCI0yUaFQpxOtzWMa6sW4">Formulas!$F$3:$F$4</definedName>
    <definedName name="zsupermetrics_9i4W4hgd80uRpQLMeX0eRnESN8gjyv">Formulas!$H$14</definedName>
    <definedName name="rdataslayer_42b112e4e4be4305bb4c1be75e2dd549">Formulas!$G$3:$H$4</definedName>
    <definedName name="zsupermetrics_pxuhRTEmIU93xSgKclyxajD0fCZ6rF">#REF!</definedName>
    <definedName name="rdataslayer_4a0f150f4f2f4e4f85c890c75b7a1fa4">Formulas!$I$3:$J$4</definedName>
    <definedName name="rdataslayer_adf57e64065742daa5b4161161b1c3ca">Formulas!$G$5:$I$6</definedName>
    <definedName name="zsupermetrics_HgZqhorObHOtZHuyJjpmyYaEPoYntx">Formulas!$G$5:$G$6</definedName>
    <definedName name="zsupermetrics_NugLlrQxlKiqhxQae8EFpITBm1pLCj">Formulas!$G$7:$H$14</definedName>
    <definedName name="zsupermetrics_xwoIpANxRm908eDp5oKTwQpEI8gvD4">Formulas!$F$3</definedName>
    <definedName name="zsupermetrics_YsFuuYtr8vOdNXCCPiFJIO38NP4b2T">Formulas!$G$5:$H$14</definedName>
    <definedName name="zsupermetrics_DQl8lUbpTRu3fayaJJi7lVfOGKjNU4">Formulas!$F$4:$F$5</definedName>
    <definedName name="zsupermetrics_4VkB7ij7WO0JjKBEgvjB2GHjSy2Egm">Formulas!$G$5:$H$11</definedName>
  </definedNames>
  <calcPr/>
  <pivotCaches>
    <pivotCache cacheId="0" r:id="rId1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<sst xmlns="http://schemas.openxmlformats.org/spreadsheetml/2006/main" count="16710" uniqueCount="3556">
  <si>
    <t>Query UUID</t>
  </si>
  <si>
    <t>Date of refund</t>
  </si>
  <si>
    <t>JANUARY</t>
  </si>
  <si>
    <t>Sheet name</t>
  </si>
  <si>
    <t>Range address</t>
  </si>
  <si>
    <t>Created</t>
  </si>
  <si>
    <t>Updated</t>
  </si>
  <si>
    <t>Last status</t>
  </si>
  <si>
    <t>Last refresh ID</t>
  </si>
  <si>
    <t>Results contain sampled data</t>
  </si>
  <si>
    <t>Execution time (sec)</t>
  </si>
  <si>
    <t>Value</t>
  </si>
  <si>
    <t>Object type</t>
  </si>
  <si>
    <t>Linked chart ID</t>
  </si>
  <si>
    <t>Data source</t>
  </si>
  <si>
    <t>Date range type</t>
  </si>
  <si>
    <t>Start date</t>
  </si>
  <si>
    <t>End date</t>
  </si>
  <si>
    <t>Compare to</t>
  </si>
  <si>
    <t>Comparison value type</t>
  </si>
  <si>
    <t>Date of purchase</t>
  </si>
  <si>
    <t>Accounts/views</t>
  </si>
  <si>
    <t>Metrics</t>
  </si>
  <si>
    <t>Order ID</t>
  </si>
  <si>
    <t>Dimensions</t>
  </si>
  <si>
    <t>Pivot dimensions</t>
  </si>
  <si>
    <t>Name</t>
  </si>
  <si>
    <t>Filters</t>
  </si>
  <si>
    <t>Segment ID</t>
  </si>
  <si>
    <t>Email</t>
  </si>
  <si>
    <t>Segment dim</t>
  </si>
  <si>
    <t>Reason</t>
  </si>
  <si>
    <t>Sort</t>
  </si>
  <si>
    <t>Max rows</t>
  </si>
  <si>
    <t>Platform</t>
  </si>
  <si>
    <t>Max pivot categories</t>
  </si>
  <si>
    <t>Special settings</t>
  </si>
  <si>
    <t>Other parameters</t>
  </si>
  <si>
    <t>Refund through</t>
  </si>
  <si>
    <t>Result type</t>
  </si>
  <si>
    <t>Language/country</t>
  </si>
  <si>
    <t>Country</t>
  </si>
  <si>
    <t>Translate to</t>
  </si>
  <si>
    <t>Bird Buddy</t>
  </si>
  <si>
    <t>SQL</t>
  </si>
  <si>
    <t>Database name</t>
  </si>
  <si>
    <t>Range address (static)</t>
  </si>
  <si>
    <t>Bird Buddy with Solar Roof</t>
  </si>
  <si>
    <t>Report type</t>
  </si>
  <si>
    <t>Highlight with colour</t>
  </si>
  <si>
    <t>Solar Roof</t>
  </si>
  <si>
    <t>Refresh with user account</t>
  </si>
  <si>
    <t>Returned data</t>
  </si>
  <si>
    <t>Wall Mount</t>
  </si>
  <si>
    <t>Sort dimensions</t>
  </si>
  <si>
    <t>Fence Mount</t>
  </si>
  <si>
    <t>Created by user account</t>
  </si>
  <si>
    <t>42b112e4e4be4305bb4c1be75e2dd549</t>
  </si>
  <si>
    <t>Suet Ball Holder</t>
  </si>
  <si>
    <t>Water Fountain</t>
  </si>
  <si>
    <t>Premium Subscription</t>
  </si>
  <si>
    <t>Seeds Subscription</t>
  </si>
  <si>
    <t>12-month warranty</t>
  </si>
  <si>
    <t>24-month warranty</t>
  </si>
  <si>
    <t>Gift Card</t>
  </si>
  <si>
    <t>DAY</t>
  </si>
  <si>
    <t>SUN</t>
  </si>
  <si>
    <t>MON</t>
  </si>
  <si>
    <t>TUE</t>
  </si>
  <si>
    <t>WED</t>
  </si>
  <si>
    <t>THU</t>
  </si>
  <si>
    <t>FRI</t>
  </si>
  <si>
    <t>SAT</t>
  </si>
  <si>
    <t>There is no data for the specified input</t>
  </si>
  <si>
    <t>TABLE</t>
  </si>
  <si>
    <t>facebook</t>
  </si>
  <si>
    <t>yesterday</t>
  </si>
  <si>
    <t>[{"profile_id":"","name":"si_Bird buddy Inc_US &amp;amp; CA_BirdBuddy","id":"act_273249767551281","account_name":"","advertiser_id":""}]</t>
  </si>
  <si>
    <t>[{"id":"spend","name":"Total Cost"}]</t>
  </si>
  <si>
    <t>[{"id":"date","name":"Date"}]</t>
  </si>
  <si>
    <t>[]</t>
  </si>
  <si>
    <t>{}</t>
  </si>
  <si>
    <t>User_Kumalic_Benjamin</t>
  </si>
  <si>
    <t>benjamin@mybirdbuddy.com</t>
  </si>
  <si>
    <t>4a0f150f4f2f4e4f85c890c75b7a1fa4</t>
  </si>
  <si>
    <t>COMMENT</t>
  </si>
  <si>
    <t>[{"account_name":"","advertiser_id":"","id":"act_273249767551281","profile_id":"","name":"si_Bird buddy Inc_US &amp;amp; CA_BirdBuddy"}]</t>
  </si>
  <si>
    <t>Transactions</t>
  </si>
  <si>
    <t>adf57e64065742daa5b4161161b1c3ca</t>
  </si>
  <si>
    <t>#139028</t>
  </si>
  <si>
    <t>Christen Lewis</t>
  </si>
  <si>
    <t>christenlewis816@gmail.com</t>
  </si>
  <si>
    <t>other</t>
  </si>
  <si>
    <t>FB (US &amp; CA)</t>
  </si>
  <si>
    <t>Shopify</t>
  </si>
  <si>
    <t>USA</t>
  </si>
  <si>
    <t>[{"name":"si_Bird buddy Inc_US &amp;amp; CA_BirdBuddy","id":"act_273249767551281","profile_id":"","account_name":"","advertiser_id":""}]</t>
  </si>
  <si>
    <t>[{"id":"spend","name":"Total Cost"},{"id":"cpm","name":"CPM"}]</t>
  </si>
  <si>
    <t>d70e473bcafe40a3aa834ce157fb2ba3</t>
  </si>
  <si>
    <t>Cannot Afford it Anymore</t>
  </si>
  <si>
    <t>[{"advertiser_id":"","name":"si_Bird buddy Inc_US &amp;amp; CA_BirdBuddy","id":"act_273249767551281","account_name":"","profile_id":""}]</t>
  </si>
  <si>
    <t>Google</t>
  </si>
  <si>
    <t>3753ddf3234e496aa261974a0222e193</t>
  </si>
  <si>
    <t>TikTok</t>
  </si>
  <si>
    <t>[{"profile_id":"","account_name":"","advertiser_id":"","name":"si_Bird buddy Inc_US &amp;amp; CA_BirdBuddy","id":"act_273249767551281"}]</t>
  </si>
  <si>
    <t>{"exclude_header_row":true}</t>
  </si>
  <si>
    <t>Bing</t>
  </si>
  <si>
    <t>21480996BKS</t>
  </si>
  <si>
    <t>Dr. Hans-Friedrich Fuge</t>
  </si>
  <si>
    <t>facebook@fuge.net</t>
  </si>
  <si>
    <t>Delivery date</t>
  </si>
  <si>
    <t>Stripe</t>
  </si>
  <si>
    <t>Germany</t>
  </si>
  <si>
    <t>MNTN TV</t>
  </si>
  <si>
    <t>Other</t>
  </si>
  <si>
    <t>Affiliates</t>
  </si>
  <si>
    <t>#139185</t>
  </si>
  <si>
    <t>Edward K. Swain, Jr., DMD</t>
  </si>
  <si>
    <t>eksdmd@aol.com</t>
  </si>
  <si>
    <t>FB (Internal Paid)</t>
  </si>
  <si>
    <t>Delivery Date</t>
  </si>
  <si>
    <t>FB (EU &amp; UK)</t>
  </si>
  <si>
    <t>24282251IGG</t>
  </si>
  <si>
    <t>Elisabeth Cavanagh</t>
  </si>
  <si>
    <t>elisabeth.cavanagh@gmail.com</t>
  </si>
  <si>
    <t>Zelle</t>
  </si>
  <si>
    <t>All</t>
  </si>
  <si>
    <t>Moving</t>
  </si>
  <si>
    <t>21475768BKS</t>
  </si>
  <si>
    <t>Kelly Gaddie</t>
  </si>
  <si>
    <t>krgaddie@gmail.com</t>
  </si>
  <si>
    <t>Revenue</t>
  </si>
  <si>
    <t>#41690</t>
  </si>
  <si>
    <t>Nicole Kate Roduit</t>
  </si>
  <si>
    <t>nk@nicolekate.ch</t>
  </si>
  <si>
    <t>Wire</t>
  </si>
  <si>
    <t>Switzerland</t>
  </si>
  <si>
    <t>Refund and order another Bundle</t>
  </si>
  <si>
    <t>#139783</t>
  </si>
  <si>
    <t>Sean Dwyer</t>
  </si>
  <si>
    <t>dwyer_43@hotmail.com</t>
  </si>
  <si>
    <t>Unknown</t>
  </si>
  <si>
    <t>#130036</t>
  </si>
  <si>
    <t>Alisha Hurst</t>
  </si>
  <si>
    <t>lisha.hurst@gmail.com</t>
  </si>
  <si>
    <t>#139960</t>
  </si>
  <si>
    <t>Bonnie March</t>
  </si>
  <si>
    <t>bonn76@aol.com</t>
  </si>
  <si>
    <t>#138074</t>
  </si>
  <si>
    <t>James Barnett</t>
  </si>
  <si>
    <t>jamesharrisonbarnett@gmail.com</t>
  </si>
  <si>
    <t>Date of return</t>
  </si>
  <si>
    <t>Media Cost</t>
  </si>
  <si>
    <t>Refund %</t>
  </si>
  <si>
    <t>FB Spend (US &amp; CA)</t>
  </si>
  <si>
    <t>#135662</t>
  </si>
  <si>
    <t>James King</t>
  </si>
  <si>
    <t>jamesmuratking@gmail.com</t>
  </si>
  <si>
    <t>23186212IGG</t>
  </si>
  <si>
    <t>Florence Tsang</t>
  </si>
  <si>
    <t>florencetsang@gmail.com</t>
  </si>
  <si>
    <t>IGG</t>
  </si>
  <si>
    <t>US</t>
  </si>
  <si>
    <t>#1552KS</t>
  </si>
  <si>
    <t>Kathryn Witt</t>
  </si>
  <si>
    <t>Google Spend</t>
  </si>
  <si>
    <t xml:space="preserve"> </t>
  </si>
  <si>
    <t xml:space="preserve">21477634BKS </t>
  </si>
  <si>
    <t>Dan Guzzetta</t>
  </si>
  <si>
    <t>maria.guzzetta00@gmail.com</t>
  </si>
  <si>
    <t>KS</t>
  </si>
  <si>
    <t>#140415</t>
  </si>
  <si>
    <t xml:space="preserve">Kristine Brown </t>
  </si>
  <si>
    <t>brown.kristine@comcast.net</t>
  </si>
  <si>
    <t>All Orders</t>
  </si>
  <si>
    <t>TikTok Spend</t>
  </si>
  <si>
    <t>23409340IGG</t>
  </si>
  <si>
    <t>William H Hodgkin</t>
  </si>
  <si>
    <t>whodgkin@aol.com</t>
  </si>
  <si>
    <t>Wise</t>
  </si>
  <si>
    <t>Bing Spend</t>
  </si>
  <si>
    <t>Faulty item</t>
  </si>
  <si>
    <t>#135605</t>
  </si>
  <si>
    <t>Lisa Krych</t>
  </si>
  <si>
    <t>lisakrych@yahoo.com</t>
  </si>
  <si>
    <t>#67353</t>
  </si>
  <si>
    <t>Devi Meyers</t>
  </si>
  <si>
    <t>dclmeyers@gmail.com</t>
  </si>
  <si>
    <t>21475136BKS</t>
  </si>
  <si>
    <t>Lizzie Toyne</t>
  </si>
  <si>
    <t>lizzie-may@hotmail.co.uk</t>
  </si>
  <si>
    <t>UK</t>
  </si>
  <si>
    <t>#70970</t>
  </si>
  <si>
    <t>Patricia Lee</t>
  </si>
  <si>
    <t>patmonteiro60@gmail.com</t>
  </si>
  <si>
    <t>Fee 15% Purchase (Backerkit)</t>
  </si>
  <si>
    <t>Shopify Chargeback</t>
  </si>
  <si>
    <t>21495768BKS</t>
  </si>
  <si>
    <t>Google Management Fee</t>
  </si>
  <si>
    <t xml:space="preserve">Martin Terrier </t>
  </si>
  <si>
    <t xml:space="preserve">21489242BKS </t>
  </si>
  <si>
    <t>martin.terrier@gmail.com</t>
  </si>
  <si>
    <t xml:space="preserve">Gwendolyn Koch
</t>
  </si>
  <si>
    <t>ladyleafe@gmail.com</t>
  </si>
  <si>
    <t>BKS</t>
  </si>
  <si>
    <t>France</t>
  </si>
  <si>
    <t>Affiliates Agency Payment (Grovia)</t>
  </si>
  <si>
    <t>Affiliate Fee 20%</t>
  </si>
  <si>
    <t>#43213</t>
  </si>
  <si>
    <t>Danielle Hawle</t>
  </si>
  <si>
    <t>danielle.shanaberger@gmail.com</t>
  </si>
  <si>
    <t>21498422BKS</t>
  </si>
  <si>
    <t>Matthew Heywood</t>
  </si>
  <si>
    <t>matthew@matthewheywood.com</t>
  </si>
  <si>
    <t>FB Spend (Internal Paid)</t>
  </si>
  <si>
    <t>#10423KS</t>
  </si>
  <si>
    <t>Elizabeth Smith</t>
  </si>
  <si>
    <t>thorndike400@gmail.com</t>
  </si>
  <si>
    <t>#117507</t>
  </si>
  <si>
    <t>Morven Dearden</t>
  </si>
  <si>
    <t>m20rvv@gmail.com</t>
  </si>
  <si>
    <t>FB Spend (EU &amp; UK)</t>
  </si>
  <si>
    <t>Pinterest Spend</t>
  </si>
  <si>
    <t xml:space="preserve">22895189IGG </t>
  </si>
  <si>
    <t>Jason Odom</t>
  </si>
  <si>
    <t>jodom75@mac.com</t>
  </si>
  <si>
    <t>Platform Fee (6,90%)</t>
  </si>
  <si>
    <t>21496626BKS</t>
  </si>
  <si>
    <t>Tobias Ettlin</t>
  </si>
  <si>
    <t>tobiasettlin@me.com</t>
  </si>
  <si>
    <t>#119191</t>
  </si>
  <si>
    <t>Amy Lacy</t>
  </si>
  <si>
    <t>amybethlacy@gmail.com</t>
  </si>
  <si>
    <t>#108758</t>
  </si>
  <si>
    <t>Cost</t>
  </si>
  <si>
    <t>#140587</t>
  </si>
  <si>
    <t>Ingo Jahn</t>
  </si>
  <si>
    <t>ingo.jahn@gc-gruppe.de</t>
  </si>
  <si>
    <t>#114045</t>
  </si>
  <si>
    <t>Minah Malik</t>
  </si>
  <si>
    <t>minahmalikk@gmail.com</t>
  </si>
  <si>
    <t>Average COGS ($88.77)</t>
  </si>
  <si>
    <t>#120275</t>
  </si>
  <si>
    <t>Brandon DuBois</t>
  </si>
  <si>
    <t>dubois.brandon@gmail.com</t>
  </si>
  <si>
    <t>#133616</t>
  </si>
  <si>
    <t>Chelsea Zanichelli</t>
  </si>
  <si>
    <t>clzanichelli2005@gmail.com</t>
  </si>
  <si>
    <t>#19562</t>
  </si>
  <si>
    <t>Megan Sechrist</t>
  </si>
  <si>
    <t>sechrist.signups@gmail.com</t>
  </si>
  <si>
    <t>Average Inbound Shipping ($8.63)</t>
  </si>
  <si>
    <t>#135081</t>
  </si>
  <si>
    <t>Connie Weaver</t>
  </si>
  <si>
    <t>csweaver917@yahoo.com</t>
  </si>
  <si>
    <t>#110988</t>
  </si>
  <si>
    <t>#137472</t>
  </si>
  <si>
    <t>Dayna Hickman</t>
  </si>
  <si>
    <t>Evan Nichols</t>
  </si>
  <si>
    <t>daynam.hickman@gmail.com</t>
  </si>
  <si>
    <t>evan.j.nichols@gmail.com</t>
  </si>
  <si>
    <t>#139684</t>
  </si>
  <si>
    <t>Fergal Gallagher Jr</t>
  </si>
  <si>
    <t>fergalgallagher66@live.com</t>
  </si>
  <si>
    <t>Average Outbound Shipping ($11.59)</t>
  </si>
  <si>
    <t>#110816</t>
  </si>
  <si>
    <t>KIM BARRETT</t>
  </si>
  <si>
    <t>KIMBA77@GMAIL.COM</t>
  </si>
  <si>
    <t>#139689</t>
  </si>
  <si>
    <t>#2816KS</t>
  </si>
  <si>
    <t>Kelly Pedersen</t>
  </si>
  <si>
    <t>pedersen_kelly@hotmail.com</t>
  </si>
  <si>
    <t>21482852BKS</t>
  </si>
  <si>
    <t>Georg Knabl</t>
  </si>
  <si>
    <t>georg.knabl@aquinashub.com</t>
  </si>
  <si>
    <t>Austria</t>
  </si>
  <si>
    <t>Average Taxes ($10.89)</t>
  </si>
  <si>
    <t>#134600</t>
  </si>
  <si>
    <t>Jaclyn Courchaine</t>
  </si>
  <si>
    <t>#21245-A</t>
  </si>
  <si>
    <t>jcourchaine24@gmail.com</t>
  </si>
  <si>
    <t>Jonathan Ayala</t>
  </si>
  <si>
    <t>jonfocus@gmail.com</t>
  </si>
  <si>
    <t>#66451</t>
  </si>
  <si>
    <t>James Walton</t>
  </si>
  <si>
    <t>jamesmwalton@hotmail.co.uk</t>
  </si>
  <si>
    <t>#110226</t>
  </si>
  <si>
    <t>Sam Streitz</t>
  </si>
  <si>
    <t>samanthayancey1@gmail.com</t>
  </si>
  <si>
    <t>#141074</t>
  </si>
  <si>
    <t>Janet Huddleston</t>
  </si>
  <si>
    <t>twohuds@outlook.com</t>
  </si>
  <si>
    <t>China Tax (7.5%)</t>
  </si>
  <si>
    <t>#121441</t>
  </si>
  <si>
    <t>Laura McAllister</t>
  </si>
  <si>
    <t>laura.pickard84@gmail.com</t>
  </si>
  <si>
    <t>#140882</t>
  </si>
  <si>
    <t>Karen Ritter</t>
  </si>
  <si>
    <t>karen.ritter@gmail.com</t>
  </si>
  <si>
    <t>#112944</t>
  </si>
  <si>
    <t>Stefani Ramsoy</t>
  </si>
  <si>
    <t>gracemarie23@comcast.net</t>
  </si>
  <si>
    <t xml:space="preserve">#140818
</t>
  </si>
  <si>
    <t>Kate Dominguez</t>
  </si>
  <si>
    <t>kate.domi@gmail.com</t>
  </si>
  <si>
    <t>Duty (3.4%)</t>
  </si>
  <si>
    <t>#121535</t>
  </si>
  <si>
    <t>#120820</t>
  </si>
  <si>
    <t>Gene Markowski</t>
  </si>
  <si>
    <t>Kim Harrison</t>
  </si>
  <si>
    <t>kmmtoke@gmail.com</t>
  </si>
  <si>
    <t>kimbritchie@gmail.com</t>
  </si>
  <si>
    <t>#135957</t>
  </si>
  <si>
    <t>Margaret i Wergley</t>
  </si>
  <si>
    <t>mwergley@cox.net</t>
  </si>
  <si>
    <t>#68227</t>
  </si>
  <si>
    <t>Lawrence Kahsen</t>
  </si>
  <si>
    <t>chip@kahsen.com</t>
  </si>
  <si>
    <t>#115628</t>
  </si>
  <si>
    <t>Maria Schroeder</t>
  </si>
  <si>
    <t>marylou@gmx.net</t>
  </si>
  <si>
    <t>21483918BKS</t>
  </si>
  <si>
    <t>Rick Ermak</t>
  </si>
  <si>
    <t>Handling Fee ($1.50)</t>
  </si>
  <si>
    <t>rickermak@aol.com</t>
  </si>
  <si>
    <t>#141265</t>
  </si>
  <si>
    <t>Marie elene decarie</t>
  </si>
  <si>
    <t>medecarie@gmail.com</t>
  </si>
  <si>
    <t>Canada</t>
  </si>
  <si>
    <t>#128723</t>
  </si>
  <si>
    <t>Aaron Jones</t>
  </si>
  <si>
    <t>aaronjn@comcast.net</t>
  </si>
  <si>
    <t>#139455</t>
  </si>
  <si>
    <t>Rene Geisenjohann</t>
  </si>
  <si>
    <t>post@renegeisenjohann.de</t>
  </si>
  <si>
    <t>21484857BKS</t>
  </si>
  <si>
    <t>Patrick McGovern</t>
  </si>
  <si>
    <t>Serial Capture ($0.30)</t>
  </si>
  <si>
    <t>pmcgovern@gmail.com</t>
  </si>
  <si>
    <t>#133637</t>
  </si>
  <si>
    <t>Rudolf Nanne</t>
  </si>
  <si>
    <t>ruud.nanne@gmail.com</t>
  </si>
  <si>
    <t>#40548</t>
  </si>
  <si>
    <t>Melinda Hooton</t>
  </si>
  <si>
    <t>#139088</t>
  </si>
  <si>
    <t>mhooton2007@gmail.com</t>
  </si>
  <si>
    <t>Sarah Hamilton</t>
  </si>
  <si>
    <t>sarahrhamilton77@gmail.com</t>
  </si>
  <si>
    <t>Processing Fee (2,97%)</t>
  </si>
  <si>
    <t>#69896</t>
  </si>
  <si>
    <t>Lisa Cohen</t>
  </si>
  <si>
    <t>cohenfive@gmail.com</t>
  </si>
  <si>
    <t>#141009</t>
  </si>
  <si>
    <t>Shawn Donald</t>
  </si>
  <si>
    <t>shawn@monosyth.com</t>
  </si>
  <si>
    <t>#120982</t>
  </si>
  <si>
    <t>Christopher Leather</t>
  </si>
  <si>
    <t>cleather@uchicago.edu</t>
  </si>
  <si>
    <t>#138403</t>
  </si>
  <si>
    <t>Stacey Henion</t>
  </si>
  <si>
    <t>shenion1@aol.com</t>
  </si>
  <si>
    <t>Transaction Fee ($0.36)</t>
  </si>
  <si>
    <t>#43222</t>
  </si>
  <si>
    <t>John Stilp</t>
  </si>
  <si>
    <t>taylor.a.truex@gmail.com</t>
  </si>
  <si>
    <t>#139988</t>
  </si>
  <si>
    <t>Thomas Easterday</t>
  </si>
  <si>
    <t>tom@langolfco.com</t>
  </si>
  <si>
    <t>#71383</t>
  </si>
  <si>
    <t>Stacy Briggs</t>
  </si>
  <si>
    <t>sasenneff22@gmail.com</t>
  </si>
  <si>
    <t>21475923BKS</t>
  </si>
  <si>
    <t>Anthony Ginger</t>
  </si>
  <si>
    <t>tony.ginger@live.co.uk</t>
  </si>
  <si>
    <t>21485828BKS</t>
  </si>
  <si>
    <t>George Heuring</t>
  </si>
  <si>
    <t>heuringgeo@gmail.com</t>
  </si>
  <si>
    <t>check</t>
  </si>
  <si>
    <t>#133919</t>
  </si>
  <si>
    <t>Caroline Chojnacki</t>
  </si>
  <si>
    <t>carolchoj@gmail.com</t>
  </si>
  <si>
    <t>22391556IGG</t>
  </si>
  <si>
    <t>Susan Swigor</t>
  </si>
  <si>
    <t>susan.swigor@gmail.com</t>
  </si>
  <si>
    <t>Partial Profit</t>
  </si>
  <si>
    <t>#128/21475770BKS</t>
  </si>
  <si>
    <t>Darren Rees</t>
  </si>
  <si>
    <t>darren@djreesconsulting.com</t>
  </si>
  <si>
    <t>#4689KS</t>
  </si>
  <si>
    <t>Jade Wiederholt</t>
  </si>
  <si>
    <t>jadewiederholt@yahoo.com</t>
  </si>
  <si>
    <t>#112258</t>
  </si>
  <si>
    <t>David Smith</t>
  </si>
  <si>
    <t>dabasm@gmail.com</t>
  </si>
  <si>
    <t>#132594</t>
  </si>
  <si>
    <t>Meredith Diers</t>
  </si>
  <si>
    <t>meredith.diers@gmail.com</t>
  </si>
  <si>
    <t>#135600</t>
  </si>
  <si>
    <t>Hannah Roberts</t>
  </si>
  <si>
    <t>hannerrose@gmail.com</t>
  </si>
  <si>
    <t>#113430</t>
  </si>
  <si>
    <t>Zoha Khan</t>
  </si>
  <si>
    <t>zoha375@gmail.com</t>
  </si>
  <si>
    <t>Performance Facebook US &amp; CA</t>
  </si>
  <si>
    <t>#138163</t>
  </si>
  <si>
    <t>Katie Perry</t>
  </si>
  <si>
    <t>kbperry1231@yahoo.com</t>
  </si>
  <si>
    <t>PROFIT</t>
  </si>
  <si>
    <t xml:space="preserve">#123873
</t>
  </si>
  <si>
    <t>Randall Lotowycz</t>
  </si>
  <si>
    <t>randall.lotowycz@gmail.com</t>
  </si>
  <si>
    <t>#141327</t>
  </si>
  <si>
    <t>Martin Low</t>
  </si>
  <si>
    <t>loew.martin@gmail.com</t>
  </si>
  <si>
    <t>Czech</t>
  </si>
  <si>
    <t>#116384</t>
  </si>
  <si>
    <t>Victoria Thompson</t>
  </si>
  <si>
    <t>torriemthompson@me.com</t>
  </si>
  <si>
    <t>#141307</t>
  </si>
  <si>
    <t>Merideth Ryan</t>
  </si>
  <si>
    <t>meridethryan@me.com</t>
  </si>
  <si>
    <t>Unkown</t>
  </si>
  <si>
    <t xml:space="preserve">21482588BKS </t>
  </si>
  <si>
    <t>Tom Hume</t>
  </si>
  <si>
    <t>twhume@gmail.com</t>
  </si>
  <si>
    <t>#141539</t>
  </si>
  <si>
    <t>Natalie White</t>
  </si>
  <si>
    <t>nataliew@internationallabel.com</t>
  </si>
  <si>
    <t>ROAS</t>
  </si>
  <si>
    <t>18/12/2022</t>
  </si>
  <si>
    <t>#136653</t>
  </si>
  <si>
    <t>patricia jackson</t>
  </si>
  <si>
    <t xml:space="preserve">#112795
</t>
  </si>
  <si>
    <t>pat.metcalf@sbcglobal.net</t>
  </si>
  <si>
    <t>Bianca May</t>
  </si>
  <si>
    <t>daya0088@gmail.com</t>
  </si>
  <si>
    <t>Waiting for chargeback</t>
  </si>
  <si>
    <t>CPO</t>
  </si>
  <si>
    <t>#141064</t>
  </si>
  <si>
    <t>raymond alexander</t>
  </si>
  <si>
    <t>bossgoon@1791.com</t>
  </si>
  <si>
    <t xml:space="preserve">#20829
</t>
  </si>
  <si>
    <t>Andrew J McIlvaine</t>
  </si>
  <si>
    <t>ajmcilvaine@gmail.com</t>
  </si>
  <si>
    <t>MER</t>
  </si>
  <si>
    <t>#140991</t>
  </si>
  <si>
    <t>Brian Ferguson</t>
  </si>
  <si>
    <t>brianferg@gmail.com</t>
  </si>
  <si>
    <t xml:space="preserve">#109772
</t>
  </si>
  <si>
    <t>Sandra Bounds</t>
  </si>
  <si>
    <t>sandrabounds@gmail.com</t>
  </si>
  <si>
    <t>#111082</t>
  </si>
  <si>
    <t>Bruce Conover</t>
  </si>
  <si>
    <t>R00A005@MSN.COM</t>
  </si>
  <si>
    <t xml:space="preserve">#114735
</t>
  </si>
  <si>
    <t xml:space="preserve">Holly Nelson
</t>
  </si>
  <si>
    <t>hnelson5724@yahoo.com</t>
  </si>
  <si>
    <t>#141747</t>
  </si>
  <si>
    <t>David Bradley</t>
  </si>
  <si>
    <t>kb9koy@me.com</t>
  </si>
  <si>
    <t>#130683</t>
  </si>
  <si>
    <t>Sarah Feldman</t>
  </si>
  <si>
    <t>srfeldma@gmail.com</t>
  </si>
  <si>
    <t>#134194</t>
  </si>
  <si>
    <t>Emily Maxwell</t>
  </si>
  <si>
    <t>emilybmaxwell@gmail.com</t>
  </si>
  <si>
    <t>Performance Google</t>
  </si>
  <si>
    <t xml:space="preserve">21476439BKS </t>
  </si>
  <si>
    <t>Katherine Wood</t>
  </si>
  <si>
    <t>katherine.epsom@yahoo.com</t>
  </si>
  <si>
    <t>Cannot afford it anymore</t>
  </si>
  <si>
    <t>#126335</t>
  </si>
  <si>
    <t>Bryan Lazarus</t>
  </si>
  <si>
    <t>bryanlazarus@gmail.com</t>
  </si>
  <si>
    <t>#14204KS</t>
  </si>
  <si>
    <t>#112573</t>
  </si>
  <si>
    <t>Regina Haymes</t>
  </si>
  <si>
    <t>Lauren Delaney</t>
  </si>
  <si>
    <t>reginahaymes@me.com</t>
  </si>
  <si>
    <t>soren.hoeger.lerdal@gmail.com</t>
  </si>
  <si>
    <t>#128915</t>
  </si>
  <si>
    <t>Mark Kudron</t>
  </si>
  <si>
    <t>mkudron@yahoo.com</t>
  </si>
  <si>
    <t>#6877KS</t>
  </si>
  <si>
    <t>karen stender</t>
  </si>
  <si>
    <t>karen_stender@yahoo.com</t>
  </si>
  <si>
    <t>Check</t>
  </si>
  <si>
    <t>#108590</t>
  </si>
  <si>
    <t>Rebecca Chambless</t>
  </si>
  <si>
    <t>bemore_ak@hotmail.com</t>
  </si>
  <si>
    <t>22375766IGG</t>
  </si>
  <si>
    <t>Randie Jaffe</t>
  </si>
  <si>
    <t>randie.jaffe@gmail.com</t>
  </si>
  <si>
    <t>#141821</t>
  </si>
  <si>
    <t>Rich Ward</t>
  </si>
  <si>
    <t>Richdubya@aol.com</t>
  </si>
  <si>
    <t>21481943BKS</t>
  </si>
  <si>
    <t>Richard Forest</t>
  </si>
  <si>
    <t>crasher1339@aol.com</t>
  </si>
  <si>
    <t>#125697</t>
  </si>
  <si>
    <t>Shelley Miller</t>
  </si>
  <si>
    <t>shelleyanne226@gmail.com</t>
  </si>
  <si>
    <t>21493341BKS</t>
  </si>
  <si>
    <t>Zachary Arnold</t>
  </si>
  <si>
    <t>zarnold@bangorchristian.org</t>
  </si>
  <si>
    <t>#136621</t>
  </si>
  <si>
    <t>Alice Bradley</t>
  </si>
  <si>
    <t>Ashnmitch@comcast.net</t>
  </si>
  <si>
    <t>23944318IGG</t>
  </si>
  <si>
    <t>Wes farrell</t>
  </si>
  <si>
    <t>#121748</t>
  </si>
  <si>
    <t>Alice Roberts</t>
  </si>
  <si>
    <t>wesley.farrell@gmail.com</t>
  </si>
  <si>
    <t>alicebr726@gmail.com</t>
  </si>
  <si>
    <t>21476213BKS</t>
  </si>
  <si>
    <t>Ann Gray</t>
  </si>
  <si>
    <t>Performance TikTok</t>
  </si>
  <si>
    <t>billygray1@hotmail.co.uk</t>
  </si>
  <si>
    <t>#5323KS</t>
  </si>
  <si>
    <t>TBA</t>
  </si>
  <si>
    <t>Regina Kozek</t>
  </si>
  <si>
    <t>Uk</t>
  </si>
  <si>
    <t>ginakozek@gmail.com</t>
  </si>
  <si>
    <t>#137717</t>
  </si>
  <si>
    <t>Carrie Follett</t>
  </si>
  <si>
    <t>3cmarketingandmedia@gmail.com</t>
  </si>
  <si>
    <t>#68414</t>
  </si>
  <si>
    <t>Linda Anderson</t>
  </si>
  <si>
    <t>tauralcanderson@gmail.com</t>
  </si>
  <si>
    <t>Carrie Meagher</t>
  </si>
  <si>
    <t>carrie.a.meagher@gmail.com</t>
  </si>
  <si>
    <t>#131458</t>
  </si>
  <si>
    <t>Andrew Tisinger</t>
  </si>
  <si>
    <t>ajtisinger@gmail.com</t>
  </si>
  <si>
    <t>#136597</t>
  </si>
  <si>
    <t>Courtney King</t>
  </si>
  <si>
    <t>cobyrnek@gmail.com</t>
  </si>
  <si>
    <t>#68052</t>
  </si>
  <si>
    <t>David Perdue</t>
  </si>
  <si>
    <t>d@perduemail.com</t>
  </si>
  <si>
    <t>#142037</t>
  </si>
  <si>
    <t>Dean Jones</t>
  </si>
  <si>
    <t>edeanjones2@gmail.com</t>
  </si>
  <si>
    <t>#123308</t>
  </si>
  <si>
    <t>Kyle Higgins</t>
  </si>
  <si>
    <t>kyle.higgins@gmail.com</t>
  </si>
  <si>
    <t>#138925</t>
  </si>
  <si>
    <t>Deanna Davis</t>
  </si>
  <si>
    <t>braddeedavis@comcast.net</t>
  </si>
  <si>
    <t>#106838</t>
  </si>
  <si>
    <t>Martin Gagnon</t>
  </si>
  <si>
    <t>mgagnon@glrn.ca</t>
  </si>
  <si>
    <t>#136062</t>
  </si>
  <si>
    <t>Emily Manning</t>
  </si>
  <si>
    <t>emilyarowan@gmail.com</t>
  </si>
  <si>
    <t>#125709</t>
  </si>
  <si>
    <t>John Donoghue</t>
  </si>
  <si>
    <t>jdonoghu@cisco.com</t>
  </si>
  <si>
    <t>#135626</t>
  </si>
  <si>
    <t>Eunice P Qualls</t>
  </si>
  <si>
    <t>euniceq9902@gmail.com</t>
  </si>
  <si>
    <t>#42886</t>
  </si>
  <si>
    <t>Laurie Thielman</t>
  </si>
  <si>
    <t>thethielmans@gmail.com</t>
  </si>
  <si>
    <t>#134422</t>
  </si>
  <si>
    <t>Glenn Bluemer</t>
  </si>
  <si>
    <t>bluemerglenn@gmail.com</t>
  </si>
  <si>
    <t>#109754</t>
  </si>
  <si>
    <t>Doris Hoffmann</t>
  </si>
  <si>
    <t>dorishoffmann@sbcglobal.net</t>
  </si>
  <si>
    <t>Performance Bing</t>
  </si>
  <si>
    <t>21496689BKS</t>
  </si>
  <si>
    <t>Hande Tekin</t>
  </si>
  <si>
    <t>hande.tekin@ymail.com</t>
  </si>
  <si>
    <t>Australia</t>
  </si>
  <si>
    <t>#131569</t>
  </si>
  <si>
    <t>Lauren Mikol</t>
  </si>
  <si>
    <t>xgymnastswtyx@gmail.com</t>
  </si>
  <si>
    <t>#117907</t>
  </si>
  <si>
    <t>Holly MacLeod</t>
  </si>
  <si>
    <t>holly.macleod11@gmail.com</t>
  </si>
  <si>
    <t>#11780KS</t>
  </si>
  <si>
    <t>Rebecca Tedeschi</t>
  </si>
  <si>
    <t>rebteddie@comcast.net</t>
  </si>
  <si>
    <t>CAnada</t>
  </si>
  <si>
    <t>#130888</t>
  </si>
  <si>
    <t>Alina Korotaeva</t>
  </si>
  <si>
    <t>aokorotaeva@gmail.com</t>
  </si>
  <si>
    <t>#138494</t>
  </si>
  <si>
    <t>Janine Bocciardi</t>
  </si>
  <si>
    <t>jbocciardi@gmail.com</t>
  </si>
  <si>
    <t>#115766</t>
  </si>
  <si>
    <t xml:space="preserve">Kerrie Matesich </t>
  </si>
  <si>
    <t>kmwmatesich@yahoo.com</t>
  </si>
  <si>
    <t>Chargeback lost</t>
  </si>
  <si>
    <t>#6767KS</t>
  </si>
  <si>
    <t>Jessica Bradley</t>
  </si>
  <si>
    <t>jesstierno1@gmail.com</t>
  </si>
  <si>
    <t>#65273</t>
  </si>
  <si>
    <t>Alma Omeralovic</t>
  </si>
  <si>
    <t>alma.omeralovic@gmail.com</t>
  </si>
  <si>
    <t>#6795KS</t>
  </si>
  <si>
    <t>Christine Kerr</t>
  </si>
  <si>
    <t>21494834BKS</t>
  </si>
  <si>
    <t>ckerrnj@gmail.com</t>
  </si>
  <si>
    <t>Josh Marshall Bryant</t>
  </si>
  <si>
    <t>joshmarshallbryant@gmail.com</t>
  </si>
  <si>
    <t>#112813</t>
  </si>
  <si>
    <t>#9310KS</t>
  </si>
  <si>
    <t>Julia Fitzer</t>
  </si>
  <si>
    <t>Karen Quevatre</t>
  </si>
  <si>
    <t>karenquevatre@hotmail.com</t>
  </si>
  <si>
    <t>rcfitzer@gmail.com</t>
  </si>
  <si>
    <t>#141985</t>
  </si>
  <si>
    <t>Kimberly Martinez</t>
  </si>
  <si>
    <t>kimberlymartinez2001@gmail.com</t>
  </si>
  <si>
    <t>#134199</t>
  </si>
  <si>
    <t>Leslie Miller</t>
  </si>
  <si>
    <t>lesliemillerdancer@gmail.com</t>
  </si>
  <si>
    <t>#137110</t>
  </si>
  <si>
    <t>Melissa Miehling</t>
  </si>
  <si>
    <t>mmorin46@gmail.com</t>
  </si>
  <si>
    <t>#4230KS</t>
  </si>
  <si>
    <t>MIRIAM BOOK</t>
  </si>
  <si>
    <t>miriambook1@gmail.com</t>
  </si>
  <si>
    <t>#133626</t>
  </si>
  <si>
    <t>Abigail Baker</t>
  </si>
  <si>
    <t>abigailbaker18@gmail.com</t>
  </si>
  <si>
    <t>#7519KS</t>
  </si>
  <si>
    <t>James Pyfer</t>
  </si>
  <si>
    <t>jamespyfer@gmail.com</t>
  </si>
  <si>
    <t>#134310</t>
  </si>
  <si>
    <t>#128666</t>
  </si>
  <si>
    <t>Allison ONeill</t>
  </si>
  <si>
    <t>Kathryn Richards</t>
  </si>
  <si>
    <t>allioneill@gmail.com</t>
  </si>
  <si>
    <t>krichards234@gmail.com</t>
  </si>
  <si>
    <t>#112475</t>
  </si>
  <si>
    <t>Lori Wyatt</t>
  </si>
  <si>
    <t>jeralson@hotmail.com</t>
  </si>
  <si>
    <t>#118181</t>
  </si>
  <si>
    <t>Anna-Marie Burruss</t>
  </si>
  <si>
    <t>amvalya1997@gmail.com</t>
  </si>
  <si>
    <t>#43204</t>
  </si>
  <si>
    <t>Mary Roberts</t>
  </si>
  <si>
    <t>robertskt2@gmail.com</t>
  </si>
  <si>
    <t xml:space="preserve">21494223BKS </t>
  </si>
  <si>
    <t>Chris Bramley</t>
  </si>
  <si>
    <t>vickybramley@aol.com</t>
  </si>
  <si>
    <t>#14244KS</t>
  </si>
  <si>
    <t>Michael Oxton</t>
  </si>
  <si>
    <t>moxton@gmail.com</t>
  </si>
  <si>
    <t>187,86</t>
  </si>
  <si>
    <t>#16626</t>
  </si>
  <si>
    <t>Christofer Popoff</t>
  </si>
  <si>
    <t>pjcxfyp4jk@privaterelay.appleid.com</t>
  </si>
  <si>
    <t>Ks</t>
  </si>
  <si>
    <t>Sweden</t>
  </si>
  <si>
    <t>#115370</t>
  </si>
  <si>
    <t>Nicole Macdonald</t>
  </si>
  <si>
    <t>kissmygritz@yahoo.com</t>
  </si>
  <si>
    <t>#114105</t>
  </si>
  <si>
    <t>Cindy Pormilli</t>
  </si>
  <si>
    <t>cindym109@gmail.com</t>
  </si>
  <si>
    <t>Shopify chargeback</t>
  </si>
  <si>
    <t>#126917</t>
  </si>
  <si>
    <t>Pam Ratchford</t>
  </si>
  <si>
    <t>pamratch@hotmail.com</t>
  </si>
  <si>
    <t xml:space="preserve">21488553BKS </t>
  </si>
  <si>
    <t>David Stocks</t>
  </si>
  <si>
    <t>davestocks@me.com</t>
  </si>
  <si>
    <t>?</t>
  </si>
  <si>
    <t>#137618</t>
  </si>
  <si>
    <t>Dorota Szelagowicz</t>
  </si>
  <si>
    <t>dorota100@hotmail.com</t>
  </si>
  <si>
    <t>#117501</t>
  </si>
  <si>
    <t>Sara Kelly</t>
  </si>
  <si>
    <t>sara.moke@gmail.com</t>
  </si>
  <si>
    <t>Affiliates (Grovia)</t>
  </si>
  <si>
    <t>$301.00</t>
  </si>
  <si>
    <t>#109492</t>
  </si>
  <si>
    <t>Gabriel Urban</t>
  </si>
  <si>
    <t>gabriel.urban@ehl.ch</t>
  </si>
  <si>
    <t>#126938</t>
  </si>
  <si>
    <t>Trisha van Olhpen</t>
  </si>
  <si>
    <t>trisha.vanolphen@coxinc.com</t>
  </si>
  <si>
    <t>18/22/2020</t>
  </si>
  <si>
    <t>21477321BKS</t>
  </si>
  <si>
    <t>Glenn Browne</t>
  </si>
  <si>
    <t>glenn.browne@aucklandcouncil.govt.nz</t>
  </si>
  <si>
    <t>NZ</t>
  </si>
  <si>
    <t>#130421</t>
  </si>
  <si>
    <t>Katrina Warner</t>
  </si>
  <si>
    <t>swickkatrina@gmail.com</t>
  </si>
  <si>
    <t>Performance Internal Paid</t>
  </si>
  <si>
    <t>21489317BKS</t>
  </si>
  <si>
    <t>Helen Thomson</t>
  </si>
  <si>
    <t>helen_thomson@live.co.uk</t>
  </si>
  <si>
    <t>21498493BKS</t>
  </si>
  <si>
    <t>Larry Pauley</t>
  </si>
  <si>
    <t>jillpauley@hotmail.com</t>
  </si>
  <si>
    <t>21475940BKS</t>
  </si>
  <si>
    <t>Jacquie Campbell</t>
  </si>
  <si>
    <t>jacquiescampbell@me.com</t>
  </si>
  <si>
    <t>21482042BKS</t>
  </si>
  <si>
    <t>James Shaw</t>
  </si>
  <si>
    <t>james.shaw21@yahoo.co.uk</t>
  </si>
  <si>
    <t>wire</t>
  </si>
  <si>
    <t>#18516</t>
  </si>
  <si>
    <t>Carissa Foster</t>
  </si>
  <si>
    <t>fosterCL71@gmail.com</t>
  </si>
  <si>
    <t>Performance EU &amp; UK</t>
  </si>
  <si>
    <t>#134738</t>
  </si>
  <si>
    <t>Jeff Gatofano</t>
  </si>
  <si>
    <t>jgarofano12@gmail.com</t>
  </si>
  <si>
    <t>#121720</t>
  </si>
  <si>
    <t>Harrirt Harworth</t>
  </si>
  <si>
    <t>hharworth@gmail.com</t>
  </si>
  <si>
    <t>#137194</t>
  </si>
  <si>
    <t>Jessica Smithson</t>
  </si>
  <si>
    <t>jlsw@me.com</t>
  </si>
  <si>
    <t>#125623</t>
  </si>
  <si>
    <t>Laura Garofalo</t>
  </si>
  <si>
    <t>Karma411@aol.com</t>
  </si>
  <si>
    <t>#137437</t>
  </si>
  <si>
    <t>Performance Email</t>
  </si>
  <si>
    <t>Jim Tuck</t>
  </si>
  <si>
    <t>jimtuck@aol.com</t>
  </si>
  <si>
    <t>#6649KS</t>
  </si>
  <si>
    <t>Judith Dickinson</t>
  </si>
  <si>
    <t>buffalogirl@rocketmail.com</t>
  </si>
  <si>
    <t>#109153</t>
  </si>
  <si>
    <t>Joseph Schena</t>
  </si>
  <si>
    <t>jschena3@gmail.com</t>
  </si>
  <si>
    <t>#131940</t>
  </si>
  <si>
    <t>Greg Dunlap</t>
  </si>
  <si>
    <t>gregdunlap2@gmail.com</t>
  </si>
  <si>
    <t>#138649</t>
  </si>
  <si>
    <t>Keith Barber</t>
  </si>
  <si>
    <t>jkeithbarber@gmail.com</t>
  </si>
  <si>
    <t>21484433BKS</t>
  </si>
  <si>
    <t>Larry Larson</t>
  </si>
  <si>
    <t>llarson@aol.com</t>
  </si>
  <si>
    <t>#135446</t>
  </si>
  <si>
    <t>Kristi Wilder</t>
  </si>
  <si>
    <t>wilderkristi@gmail.com</t>
  </si>
  <si>
    <t>#11256KS</t>
  </si>
  <si>
    <t>Karen Codespoti</t>
  </si>
  <si>
    <t>kfcmech@gmail.com</t>
  </si>
  <si>
    <t>#140336</t>
  </si>
  <si>
    <t>Laura Weaver</t>
  </si>
  <si>
    <t>lawe100@gmail.com</t>
  </si>
  <si>
    <t>#1863KS</t>
  </si>
  <si>
    <t>shopify</t>
  </si>
  <si>
    <t>Michelle Laird</t>
  </si>
  <si>
    <t>michellealaird@yahoo.com</t>
  </si>
  <si>
    <t>#139995</t>
  </si>
  <si>
    <t>22767647IGG</t>
  </si>
  <si>
    <t>Peter Figueredo</t>
  </si>
  <si>
    <t>kitchensink@gmail.com</t>
  </si>
  <si>
    <t>#131058</t>
  </si>
  <si>
    <t>Amy Ziegler</t>
  </si>
  <si>
    <t>21488366BKS</t>
  </si>
  <si>
    <t>Liesbeth Janssens</t>
  </si>
  <si>
    <t>liesbeth@suikerdraakje.be</t>
  </si>
  <si>
    <t>Belgium</t>
  </si>
  <si>
    <t>#125982</t>
  </si>
  <si>
    <t>Raeann DiAngelis</t>
  </si>
  <si>
    <t>rgd97@msn.com</t>
  </si>
  <si>
    <t>Operations</t>
  </si>
  <si>
    <t>#141003</t>
  </si>
  <si>
    <t>Mark Torp Birkholt</t>
  </si>
  <si>
    <t>dj_torp@hotmail.com</t>
  </si>
  <si>
    <t>Denmark</t>
  </si>
  <si>
    <t>21478538BKS</t>
  </si>
  <si>
    <t>Charlene Stark</t>
  </si>
  <si>
    <t>jcstark1@gmail.com</t>
  </si>
  <si>
    <t>Revenue Shopify (Platform)</t>
  </si>
  <si>
    <t>26/12/2020</t>
  </si>
  <si>
    <t>21488553BKS</t>
  </si>
  <si>
    <t>Mr David Stocks</t>
  </si>
  <si>
    <t>??</t>
  </si>
  <si>
    <t>#20427</t>
  </si>
  <si>
    <t>Eleanor Carr</t>
  </si>
  <si>
    <t>ellie1@humboldt1.com</t>
  </si>
  <si>
    <t>21476197BKS</t>
  </si>
  <si>
    <t>Mrs Emma Brown</t>
  </si>
  <si>
    <t>imjamesbrown@gmail.com</t>
  </si>
  <si>
    <t>Revenue - All</t>
  </si>
  <si>
    <t>#41528</t>
  </si>
  <si>
    <t>Shel Mullen</t>
  </si>
  <si>
    <t>mnnice911@aol.com</t>
  </si>
  <si>
    <t>21476906BKS</t>
  </si>
  <si>
    <t>Natalie McSkimming</t>
  </si>
  <si>
    <t>nataliejaynemcskimming@gmail.com</t>
  </si>
  <si>
    <t>#41791</t>
  </si>
  <si>
    <t>Transactions Shopify (Platform)</t>
  </si>
  <si>
    <t>Lisa Wirth</t>
  </si>
  <si>
    <t>wirth.lisa.n@gmail.com</t>
  </si>
  <si>
    <t>#111945</t>
  </si>
  <si>
    <t>Nicki McNally</t>
  </si>
  <si>
    <t>lamcnally2@yahoo.com</t>
  </si>
  <si>
    <t>22184434IGG</t>
  </si>
  <si>
    <t>#118263</t>
  </si>
  <si>
    <t>Pia Kolb</t>
  </si>
  <si>
    <t>Joseph C Jenkins III</t>
  </si>
  <si>
    <t>kolb.pia@web.de</t>
  </si>
  <si>
    <t>jcjenkins3@att.net</t>
  </si>
  <si>
    <t>Transactions - All</t>
  </si>
  <si>
    <t>#139453</t>
  </si>
  <si>
    <t>SÃ¸ren Lyager Thingholm</t>
  </si>
  <si>
    <t>sorenthingholmjensen@gmail.com</t>
  </si>
  <si>
    <t>#123406</t>
  </si>
  <si>
    <t>Ellie Cutright</t>
  </si>
  <si>
    <t>ellie.cutright@gmail.com</t>
  </si>
  <si>
    <t>21476065BKS</t>
  </si>
  <si>
    <t>Sam Palmer</t>
  </si>
  <si>
    <t>samallenpalmer@gmail.com</t>
  </si>
  <si>
    <t>Shopify Platform</t>
  </si>
  <si>
    <t>#21034</t>
  </si>
  <si>
    <t>Dawne Hill</t>
  </si>
  <si>
    <t>dawne.dey@gmail.com</t>
  </si>
  <si>
    <t>Revenue Shopify (gross)</t>
  </si>
  <si>
    <t>#15444KS</t>
  </si>
  <si>
    <t>Sasha Watherston</t>
  </si>
  <si>
    <t>sashaw28@gmail.com</t>
  </si>
  <si>
    <t>Shipping Shopify</t>
  </si>
  <si>
    <t>#66847</t>
  </si>
  <si>
    <t>Denise Kraenzlein</t>
  </si>
  <si>
    <t>prettykitty55@hotmail.com</t>
  </si>
  <si>
    <t>#133943</t>
  </si>
  <si>
    <t>Scott Grotjan</t>
  </si>
  <si>
    <t>scottgrotjan@gmail.com</t>
  </si>
  <si>
    <t>Tax Shopify</t>
  </si>
  <si>
    <t>All Shopify</t>
  </si>
  <si>
    <t>#123589</t>
  </si>
  <si>
    <t>Matthew Allen</t>
  </si>
  <si>
    <t>plasticeng@mail.com</t>
  </si>
  <si>
    <t>30/12/2022</t>
  </si>
  <si>
    <t>#139412</t>
  </si>
  <si>
    <t>Seasia Catena</t>
  </si>
  <si>
    <t>seasiapup@yahoo.com</t>
  </si>
  <si>
    <t>#16271</t>
  </si>
  <si>
    <t>Leigh Ann Culpan</t>
  </si>
  <si>
    <t>leighannbigley@me.com</t>
  </si>
  <si>
    <t>#67881</t>
  </si>
  <si>
    <t>Sian Thomas</t>
  </si>
  <si>
    <t>siant31@gmail.com</t>
  </si>
  <si>
    <t>Revenue &amp; Transactions (Platform) - ALL</t>
  </si>
  <si>
    <t>#106384</t>
  </si>
  <si>
    <t>Uwe Koerner</t>
  </si>
  <si>
    <t>uwe+birdbuddy@brief.li</t>
  </si>
  <si>
    <t>#18517</t>
  </si>
  <si>
    <t>CATHY MERTZ</t>
  </si>
  <si>
    <t>cathymertz@comcast.net</t>
  </si>
  <si>
    <t>21479792BKS</t>
  </si>
  <si>
    <t>Veronica Howe</t>
  </si>
  <si>
    <t>vhowe@ymail.com</t>
  </si>
  <si>
    <t>#114050</t>
  </si>
  <si>
    <t>Taylor Peinhardt</t>
  </si>
  <si>
    <t>taylor.peinhardt@gmail.com</t>
  </si>
  <si>
    <t>Units Sold (Gross)</t>
  </si>
  <si>
    <t>#142492</t>
  </si>
  <si>
    <t>Allison Gunzenhaeuser</t>
  </si>
  <si>
    <t>abgunz418@gmail.com</t>
  </si>
  <si>
    <t>23857933IGG</t>
  </si>
  <si>
    <t>Kelly Lenihan</t>
  </si>
  <si>
    <t>kelly@kellylenihan.com</t>
  </si>
  <si>
    <t>#118766</t>
  </si>
  <si>
    <t>Ashley Giardiello</t>
  </si>
  <si>
    <t>ashleygiardiello@gmail.com</t>
  </si>
  <si>
    <t>All Bird Buddy</t>
  </si>
  <si>
    <t>#65280</t>
  </si>
  <si>
    <t>Christina Sendall</t>
  </si>
  <si>
    <t>christinasendall@gmail.com</t>
  </si>
  <si>
    <t>#139570</t>
  </si>
  <si>
    <t>Brittany Echtler</t>
  </si>
  <si>
    <t>millsbrittanylynn@gmail.com</t>
  </si>
  <si>
    <t>#140326</t>
  </si>
  <si>
    <t>Mary Wray</t>
  </si>
  <si>
    <t>mary.celso@aol.com</t>
  </si>
  <si>
    <t>#142173</t>
  </si>
  <si>
    <t>Frank Gaini</t>
  </si>
  <si>
    <t>frgaini@gmail.com</t>
  </si>
  <si>
    <t>#129398</t>
  </si>
  <si>
    <t>Alexa Hartley</t>
  </si>
  <si>
    <t>alexamalusky@gmail.com</t>
  </si>
  <si>
    <t>21479474BKS</t>
  </si>
  <si>
    <t>Hannah Scully</t>
  </si>
  <si>
    <t>hannahrscully@hotmail.com</t>
  </si>
  <si>
    <t xml:space="preserve">Delivery date </t>
  </si>
  <si>
    <t>Solar Roof Single</t>
  </si>
  <si>
    <t>#13488KS</t>
  </si>
  <si>
    <t>Pattilyn McLaughlin</t>
  </si>
  <si>
    <t>pattilynmcl@gmail.com</t>
  </si>
  <si>
    <t>#142395</t>
  </si>
  <si>
    <t>Jason Milligan</t>
  </si>
  <si>
    <t>jasonsmilligan@aol.com</t>
  </si>
  <si>
    <t>#124254</t>
  </si>
  <si>
    <t>David Johnson</t>
  </si>
  <si>
    <t>dsjohnsonmaine@gmail.com</t>
  </si>
  <si>
    <t>#121109</t>
  </si>
  <si>
    <t>John Anderson</t>
  </si>
  <si>
    <t>18navy@gmail.com</t>
  </si>
  <si>
    <t>#42806</t>
  </si>
  <si>
    <t>Jane Simmons-Moake</t>
  </si>
  <si>
    <t>jane@flashpaws.com</t>
  </si>
  <si>
    <t>#40797</t>
  </si>
  <si>
    <t>Katyann Beerbower</t>
  </si>
  <si>
    <t>katyann.grindle@gmail.com</t>
  </si>
  <si>
    <t>12-month Extended Warranty</t>
  </si>
  <si>
    <t>#115989</t>
  </si>
  <si>
    <t>Kate Favre</t>
  </si>
  <si>
    <t>k8favre@gmail.com</t>
  </si>
  <si>
    <t>24-month No Questions Asked Warranty</t>
  </si>
  <si>
    <t>21480468BKS</t>
  </si>
  <si>
    <t>Lucy deGraft-Johnson</t>
  </si>
  <si>
    <t>lucy.degraft-johnson@talk21.com</t>
  </si>
  <si>
    <t>#71557</t>
  </si>
  <si>
    <t>Michael Johnson</t>
  </si>
  <si>
    <t>micjohnson314@gmail.com</t>
  </si>
  <si>
    <t>#135492</t>
  </si>
  <si>
    <t>Mary Bentley</t>
  </si>
  <si>
    <t>marybentley5@gmail.com</t>
  </si>
  <si>
    <t>#133448</t>
  </si>
  <si>
    <t>Carolyn Toth</t>
  </si>
  <si>
    <t>carolyntoth1@gmail.com</t>
  </si>
  <si>
    <t>#136289</t>
  </si>
  <si>
    <t>Gift Cards</t>
  </si>
  <si>
    <t>Matthew Connors</t>
  </si>
  <si>
    <t>drmartycon@gmail.com</t>
  </si>
  <si>
    <t>#40485</t>
  </si>
  <si>
    <t>Oleg Calame</t>
  </si>
  <si>
    <t>olegcalame@me.com</t>
  </si>
  <si>
    <t>#119116</t>
  </si>
  <si>
    <t>Heide Conahan</t>
  </si>
  <si>
    <t>heidecc@yahoo.com</t>
  </si>
  <si>
    <t>First-time Customers</t>
  </si>
  <si>
    <t>#11464KS</t>
  </si>
  <si>
    <t>SHIEKHA.M ALMAKTOUM</t>
  </si>
  <si>
    <t>madiyasaeed@gmail.com</t>
  </si>
  <si>
    <t>UAE</t>
  </si>
  <si>
    <t>#119669</t>
  </si>
  <si>
    <t>Jennifer Kim</t>
  </si>
  <si>
    <t>jenkim610@icloud.com</t>
  </si>
  <si>
    <t>23/11/2020</t>
  </si>
  <si>
    <t>21480485BKS</t>
  </si>
  <si>
    <t>Tony Batten</t>
  </si>
  <si>
    <t>tony.batten@sky.com</t>
  </si>
  <si>
    <t>#112270</t>
  </si>
  <si>
    <t>Sarah Bradley</t>
  </si>
  <si>
    <t>sarah.bradley12345@gmail.com</t>
  </si>
  <si>
    <t>#66688</t>
  </si>
  <si>
    <t>Albert Lauritano</t>
  </si>
  <si>
    <t>CONTRADORPHINS@GMAIL.COM</t>
  </si>
  <si>
    <t>Chargeback</t>
  </si>
  <si>
    <t>$33.97</t>
  </si>
  <si>
    <t>#129662</t>
  </si>
  <si>
    <t>Teresa Shaad</t>
  </si>
  <si>
    <t>teresa.shaad@gmail.com</t>
  </si>
  <si>
    <t>#109556</t>
  </si>
  <si>
    <t>Lacey Pope</t>
  </si>
  <si>
    <t>meck85@gmail.com</t>
  </si>
  <si>
    <t>#138923</t>
  </si>
  <si>
    <t>Kris Provoost</t>
  </si>
  <si>
    <t>kris_provoost@hotmail.com</t>
  </si>
  <si>
    <t>#123085</t>
  </si>
  <si>
    <t>Amanda Copp</t>
  </si>
  <si>
    <t>mandyrcopp@gmail.com</t>
  </si>
  <si>
    <t>#68036</t>
  </si>
  <si>
    <t>Brian Meehan</t>
  </si>
  <si>
    <t>brianmeehan@me.com</t>
  </si>
  <si>
    <t>#130223</t>
  </si>
  <si>
    <t>Anthony Lonardi</t>
  </si>
  <si>
    <t>tonylonardi@gmail.com</t>
  </si>
  <si>
    <t>#137153</t>
  </si>
  <si>
    <t>Joan Davenport</t>
  </si>
  <si>
    <t>davenjo21@yahoo.com</t>
  </si>
  <si>
    <t>#106851</t>
  </si>
  <si>
    <t>Stacie galvin</t>
  </si>
  <si>
    <t>sgalvin@meditech.com</t>
  </si>
  <si>
    <t>Returning Customers</t>
  </si>
  <si>
    <t>#136324</t>
  </si>
  <si>
    <t>Bill Macpherson</t>
  </si>
  <si>
    <t>lisafmsc2020@gmail.com</t>
  </si>
  <si>
    <t>#130497</t>
  </si>
  <si>
    <t>Lindsey Cona</t>
  </si>
  <si>
    <t>lindsey.cona@yahoo.com</t>
  </si>
  <si>
    <t>#134812</t>
  </si>
  <si>
    <t>Alice Fleck</t>
  </si>
  <si>
    <t>cleefleck78@gmail.com</t>
  </si>
  <si>
    <t>#132840</t>
  </si>
  <si>
    <t>Nicholas Yanak</t>
  </si>
  <si>
    <t>ncyanak@yahoo.com</t>
  </si>
  <si>
    <t>#134046</t>
  </si>
  <si>
    <t>Deb Bray</t>
  </si>
  <si>
    <t>dbray411@aol.com</t>
  </si>
  <si>
    <t>#133855</t>
  </si>
  <si>
    <t>Leslie Lindemann</t>
  </si>
  <si>
    <t>leslie.lindemann@gmail.com</t>
  </si>
  <si>
    <t>#114526</t>
  </si>
  <si>
    <t>Brandie Waldschmidt</t>
  </si>
  <si>
    <t>#133801</t>
  </si>
  <si>
    <t>waldsmart@gmail.com</t>
  </si>
  <si>
    <t>alicia miller</t>
  </si>
  <si>
    <t>acarm4@gmail.com</t>
  </si>
  <si>
    <t>Chargeback pending</t>
  </si>
  <si>
    <t>#125563</t>
  </si>
  <si>
    <t>#133677</t>
  </si>
  <si>
    <t>Mary Veghte</t>
  </si>
  <si>
    <t>Jay Borland</t>
  </si>
  <si>
    <t>mary.veghte@gmail.com</t>
  </si>
  <si>
    <t>borland927@gmail.com</t>
  </si>
  <si>
    <t>#4052KS</t>
  </si>
  <si>
    <t>Stephen Murphy</t>
  </si>
  <si>
    <t>sdmurphy02@gmail.com</t>
  </si>
  <si>
    <t>#121062</t>
  </si>
  <si>
    <t>Steven Boothe</t>
  </si>
  <si>
    <t>wallnutfishy@yahoo.com</t>
  </si>
  <si>
    <t>Units Sold (Net)</t>
  </si>
  <si>
    <t>#1035</t>
  </si>
  <si>
    <t>Kelly Mueller</t>
  </si>
  <si>
    <t>kelly.mueller90@gmail.com</t>
  </si>
  <si>
    <t>#117453</t>
  </si>
  <si>
    <t>Jourdan Loffredo</t>
  </si>
  <si>
    <t>loffredo.jourdan@gmail.com</t>
  </si>
  <si>
    <t>#1819KS</t>
  </si>
  <si>
    <t>Christopher Parsons</t>
  </si>
  <si>
    <t>cparsons@belmontday.org</t>
  </si>
  <si>
    <t>#119562</t>
  </si>
  <si>
    <t>Robyn Oldham</t>
  </si>
  <si>
    <t>oldham.robyn@gmail.com</t>
  </si>
  <si>
    <t>#136355</t>
  </si>
  <si>
    <t>Joel Newman</t>
  </si>
  <si>
    <t>joel@electrasales.net</t>
  </si>
  <si>
    <t>#140396</t>
  </si>
  <si>
    <t>Tom Brennan</t>
  </si>
  <si>
    <t>#112235</t>
  </si>
  <si>
    <t>wstom53@yahoo.com</t>
  </si>
  <si>
    <t>Lisa Lewis</t>
  </si>
  <si>
    <t>lisaslewisphd@gmail.com</t>
  </si>
  <si>
    <t>24065752IGG</t>
  </si>
  <si>
    <t>Sascha Brendle</t>
  </si>
  <si>
    <t>saschabrendle@me.com</t>
  </si>
  <si>
    <t>#131449</t>
  </si>
  <si>
    <t>Jane McGill</t>
  </si>
  <si>
    <t>janebeall@gmail.com</t>
  </si>
  <si>
    <t>#110178</t>
  </si>
  <si>
    <t>Kelly Swan</t>
  </si>
  <si>
    <t>bartzkelly1@gmail.com</t>
  </si>
  <si>
    <t>#4200KS</t>
  </si>
  <si>
    <t>Thomas J Cease</t>
  </si>
  <si>
    <t>tjcease@gmail.com</t>
  </si>
  <si>
    <t>#139167</t>
  </si>
  <si>
    <t>Pam Kidder</t>
  </si>
  <si>
    <t>pamela.kidder@gmail.com</t>
  </si>
  <si>
    <t>#133065</t>
  </si>
  <si>
    <t>Lauren Vukina</t>
  </si>
  <si>
    <t>lauren.vukina@gmail.com</t>
  </si>
  <si>
    <t>#142202</t>
  </si>
  <si>
    <t>Vincent Paulson</t>
  </si>
  <si>
    <t>pougan@gmail.com</t>
  </si>
  <si>
    <t>#126798</t>
  </si>
  <si>
    <t>Cailin DeBiase</t>
  </si>
  <si>
    <t>cailindebiase@gmail.com</t>
  </si>
  <si>
    <t>#142236</t>
  </si>
  <si>
    <t>Brian Leach</t>
  </si>
  <si>
    <t>Bleach76@outlook.com</t>
  </si>
  <si>
    <t>#128754</t>
  </si>
  <si>
    <t>Stephanie Drummond</t>
  </si>
  <si>
    <t>stephvdrummond@gmail.com</t>
  </si>
  <si>
    <t>#142671</t>
  </si>
  <si>
    <t>Jason Ader</t>
  </si>
  <si>
    <t>jader@msjnet.edu</t>
  </si>
  <si>
    <t>#136953</t>
  </si>
  <si>
    <t>Nathan Kelley</t>
  </si>
  <si>
    <t>puckcakes27@yahoo.com</t>
  </si>
  <si>
    <t>#7138KS</t>
  </si>
  <si>
    <t>Kara Valle</t>
  </si>
  <si>
    <t>karacoop@gmail.com</t>
  </si>
  <si>
    <t>#139064</t>
  </si>
  <si>
    <t>Madison Hurd</t>
  </si>
  <si>
    <t>zimileih@gmail.com</t>
  </si>
  <si>
    <t>#115925</t>
  </si>
  <si>
    <t>Dalton Dunaway</t>
  </si>
  <si>
    <t>daltondunaway@gmail.com</t>
  </si>
  <si>
    <t>#142817</t>
  </si>
  <si>
    <t>Jamie Miller</t>
  </si>
  <si>
    <t>eyeballs42@aol.com</t>
  </si>
  <si>
    <t>#112493</t>
  </si>
  <si>
    <t>Bridget Murphy</t>
  </si>
  <si>
    <t>bridget@envisionp.com</t>
  </si>
  <si>
    <t>#139914</t>
  </si>
  <si>
    <t>Kate Ferguson</t>
  </si>
  <si>
    <t>katecam99@gmail.com</t>
  </si>
  <si>
    <t>#112254</t>
  </si>
  <si>
    <t>Hannah Renyi</t>
  </si>
  <si>
    <t>hannahrenyi@gmail.com</t>
  </si>
  <si>
    <t>#135481</t>
  </si>
  <si>
    <t>Catherine Keeter</t>
  </si>
  <si>
    <t>catherine.keeter@gmail.com</t>
  </si>
  <si>
    <t>#126193</t>
  </si>
  <si>
    <t>Karen Davakis</t>
  </si>
  <si>
    <t>kdavakis@aol.com</t>
  </si>
  <si>
    <t>#138188</t>
  </si>
  <si>
    <t>Hunter Pennington</t>
  </si>
  <si>
    <t>hunterpennington0@gmail.com</t>
  </si>
  <si>
    <t>#123846</t>
  </si>
  <si>
    <t>Agata Turowski</t>
  </si>
  <si>
    <t>agata.turowski@gmail.com</t>
  </si>
  <si>
    <t>23270449IGG</t>
  </si>
  <si>
    <t xml:space="preserve">John Hody-Versin </t>
  </si>
  <si>
    <t>johnhodyversin@yahoo.com</t>
  </si>
  <si>
    <t>#17027KS</t>
  </si>
  <si>
    <t>Sandra Cooper</t>
  </si>
  <si>
    <t>sandyjc@bellsouth.net</t>
  </si>
  <si>
    <t>#11301KS</t>
  </si>
  <si>
    <t>Lisa Cantor</t>
  </si>
  <si>
    <t>lisa830@gmail.com</t>
  </si>
  <si>
    <t>#121184</t>
  </si>
  <si>
    <t>Catherine Robertson</t>
  </si>
  <si>
    <t>Taiwan</t>
  </si>
  <si>
    <t>csr95070@gmail.com</t>
  </si>
  <si>
    <t>Units Sold by country (Gross)</t>
  </si>
  <si>
    <t>Bird Buddy - NA (United States + Canada)</t>
  </si>
  <si>
    <t>21491853BKS</t>
  </si>
  <si>
    <t>IRIS M ROTHMAn</t>
  </si>
  <si>
    <t>irisrothman29@gmail.com</t>
  </si>
  <si>
    <t>22895232IGG</t>
  </si>
  <si>
    <t>Stephen Wesley</t>
  </si>
  <si>
    <t>madfox.wesley@gmail.com</t>
  </si>
  <si>
    <t>Bird Buddy with Solar Roof- NA (United States + Canada)</t>
  </si>
  <si>
    <t>Bird Buddy - Europe (EU, UK, NOR, SWI)</t>
  </si>
  <si>
    <t>#68742</t>
  </si>
  <si>
    <t>Jennifer Corso</t>
  </si>
  <si>
    <t>jcorso1232@msn.com</t>
  </si>
  <si>
    <t>#133832</t>
  </si>
  <si>
    <t>Christine Harrop</t>
  </si>
  <si>
    <t>charrop@sasktel.net</t>
  </si>
  <si>
    <t>Bird Buddy with Solar Roof - Europe (EU, UK, NOR, SWI)</t>
  </si>
  <si>
    <t>Bird Buddy - ROW</t>
  </si>
  <si>
    <t>251,5</t>
  </si>
  <si>
    <t>#137042</t>
  </si>
  <si>
    <t>Eric Blamick</t>
  </si>
  <si>
    <t>eric.blamick@gmail.com</t>
  </si>
  <si>
    <t>#7608KS</t>
  </si>
  <si>
    <t>Kataja Marie</t>
  </si>
  <si>
    <t>rkrluv@gmail.com</t>
  </si>
  <si>
    <t>Bird Buddy with Solar Roof - ROW</t>
  </si>
  <si>
    <t>#142792</t>
  </si>
  <si>
    <t>Gérald Aubard</t>
  </si>
  <si>
    <t>gerald.aubard@gmail.com</t>
  </si>
  <si>
    <t>#118473</t>
  </si>
  <si>
    <t>Heidi Seaborg</t>
  </si>
  <si>
    <t>heidiseaborg@gmail.com</t>
  </si>
  <si>
    <t>#122691</t>
  </si>
  <si>
    <t>Doug English</t>
  </si>
  <si>
    <t>All Bird Buddy with Solar Roof</t>
  </si>
  <si>
    <t>dougenglish564@gmail.com</t>
  </si>
  <si>
    <t xml:space="preserve">Requested RMA for fullfiled order, canceled unfullfiled items </t>
  </si>
  <si>
    <t>#18214</t>
  </si>
  <si>
    <t>Gail Manning</t>
  </si>
  <si>
    <t>gmanning5478@gmail.com</t>
  </si>
  <si>
    <t>#125872</t>
  </si>
  <si>
    <t>Jennifer Patten</t>
  </si>
  <si>
    <t>jenniferpatten@bellsouth.net</t>
  </si>
  <si>
    <t>Wall Mount - NA</t>
  </si>
  <si>
    <t>#128350</t>
  </si>
  <si>
    <t>Seena Farzaneh</t>
  </si>
  <si>
    <t>seenafarzaneh@gmail.com</t>
  </si>
  <si>
    <t>#69905</t>
  </si>
  <si>
    <t>Ashley Yeargan</t>
  </si>
  <si>
    <t>ashley.marie.fowler@gmail.com</t>
  </si>
  <si>
    <t>Fence Mount - NA</t>
  </si>
  <si>
    <t>#66734</t>
  </si>
  <si>
    <t>Brad Zimmerman</t>
  </si>
  <si>
    <t>bradleezimmerman@gmail.com</t>
  </si>
  <si>
    <t>Suet Ball Holder - NA</t>
  </si>
  <si>
    <t>#138864</t>
  </si>
  <si>
    <t>Victoria Brooks</t>
  </si>
  <si>
    <t>Water Fountain - NA</t>
  </si>
  <si>
    <t>vickybrooksrealtor@gmail.com</t>
  </si>
  <si>
    <t>#41522</t>
  </si>
  <si>
    <t>Ashley Palmer</t>
  </si>
  <si>
    <t>Solar Roof Single - NA</t>
  </si>
  <si>
    <t>ashfox5@aol.com</t>
  </si>
  <si>
    <t>#133468</t>
  </si>
  <si>
    <t>Nicola Smith</t>
  </si>
  <si>
    <t>nicolatait@live.ca</t>
  </si>
  <si>
    <t>All NA</t>
  </si>
  <si>
    <t>#114217</t>
  </si>
  <si>
    <t>Vikki Jones</t>
  </si>
  <si>
    <t>vikkijones9@att.net</t>
  </si>
  <si>
    <t>#138095</t>
  </si>
  <si>
    <t>Wall Mount - Europe</t>
  </si>
  <si>
    <t>Fence Mount - Europe</t>
  </si>
  <si>
    <t>Jay Lucas</t>
  </si>
  <si>
    <t>jaylucas@comcast.net</t>
  </si>
  <si>
    <t>Suet Ball Holder - Europe</t>
  </si>
  <si>
    <t>Water Fountain - Europe</t>
  </si>
  <si>
    <t>#115834</t>
  </si>
  <si>
    <t>Kathryn Brokaw</t>
  </si>
  <si>
    <t>lucyb617@aol.com</t>
  </si>
  <si>
    <t>Solar Roof Single - Europe</t>
  </si>
  <si>
    <t>All Europe</t>
  </si>
  <si>
    <t>#135628</t>
  </si>
  <si>
    <t>Elaine Hall</t>
  </si>
  <si>
    <t>#121560</t>
  </si>
  <si>
    <t>elaine_99@verizon.net</t>
  </si>
  <si>
    <t>Amanda Hartman</t>
  </si>
  <si>
    <t>virgos13@gmail.com</t>
  </si>
  <si>
    <t>Wall Mount - ROW</t>
  </si>
  <si>
    <t>#135025</t>
  </si>
  <si>
    <t>John Howard</t>
  </si>
  <si>
    <t>jhoward81408@gmail.com</t>
  </si>
  <si>
    <t>#113178</t>
  </si>
  <si>
    <t>Pat Bell</t>
  </si>
  <si>
    <t>pbell1@cfl.rr.com</t>
  </si>
  <si>
    <t>Fence Mount - ROW</t>
  </si>
  <si>
    <t>#115128</t>
  </si>
  <si>
    <t>Lisa Lynam</t>
  </si>
  <si>
    <t>Suet Ball Holder - ROW</t>
  </si>
  <si>
    <t>llynam@comcast.net</t>
  </si>
  <si>
    <t>Water Fountain - ROW</t>
  </si>
  <si>
    <t>#7518</t>
  </si>
  <si>
    <t>Nancy Shanahan</t>
  </si>
  <si>
    <t>nshanahan42@gmail.com</t>
  </si>
  <si>
    <t>#142969</t>
  </si>
  <si>
    <t>Tom Lukes</t>
  </si>
  <si>
    <t>stevelukes@yahoo.com</t>
  </si>
  <si>
    <t>Solar Roof Single - ROW</t>
  </si>
  <si>
    <t>All ROW</t>
  </si>
  <si>
    <t>#111856</t>
  </si>
  <si>
    <t>Nick Gereaux</t>
  </si>
  <si>
    <t>nickgereaux@icloud.com</t>
  </si>
  <si>
    <t>#140955</t>
  </si>
  <si>
    <t>Ella Madlen</t>
  </si>
  <si>
    <t>ellabella3@rochester.rr.com</t>
  </si>
  <si>
    <t>Revenue by country (Gross)</t>
  </si>
  <si>
    <t>#7160</t>
  </si>
  <si>
    <t>Sarah Powers</t>
  </si>
  <si>
    <t>sarahallision37@gmail.com</t>
  </si>
  <si>
    <t>#16319KS</t>
  </si>
  <si>
    <t xml:space="preserve">
Adam Simon</t>
  </si>
  <si>
    <t>adamjsimon@gmail.com</t>
  </si>
  <si>
    <t>#9613</t>
  </si>
  <si>
    <t>Scott Davis</t>
  </si>
  <si>
    <t>scott.davis10000@gmail.com</t>
  </si>
  <si>
    <t>#142691</t>
  </si>
  <si>
    <t>Jonathan Craft</t>
  </si>
  <si>
    <t>Jonathan.craft95@gmail.com</t>
  </si>
  <si>
    <t>#131091</t>
  </si>
  <si>
    <t>Susie Murray</t>
  </si>
  <si>
    <t>slmurray657@gmail.com</t>
  </si>
  <si>
    <t>21479197BKS</t>
  </si>
  <si>
    <t>Miss L Hipwood</t>
  </si>
  <si>
    <t>juicy_lucy52@hotmail.com</t>
  </si>
  <si>
    <t>Kickstarter</t>
  </si>
  <si>
    <t>#125890</t>
  </si>
  <si>
    <t>Travis Tutor</t>
  </si>
  <si>
    <t>travis.tutor@me.com</t>
  </si>
  <si>
    <t>#140315</t>
  </si>
  <si>
    <t>Bill Buitenhuys</t>
  </si>
  <si>
    <t>billb777@gmail.com</t>
  </si>
  <si>
    <t>All Solar Roof</t>
  </si>
  <si>
    <t>#70421</t>
  </si>
  <si>
    <t>Norah Beers</t>
  </si>
  <si>
    <t>norahcomstock@gmail.com</t>
  </si>
  <si>
    <t>#17402</t>
  </si>
  <si>
    <t>#142039</t>
  </si>
  <si>
    <t>Patricia Reid</t>
  </si>
  <si>
    <t>Tim Miller</t>
  </si>
  <si>
    <t>reid.patty@gmail.com</t>
  </si>
  <si>
    <t>thmiller1218@gmail.com</t>
  </si>
  <si>
    <t>#65572</t>
  </si>
  <si>
    <t>John Schulze</t>
  </si>
  <si>
    <t>john.schulze@aya.yale.edu</t>
  </si>
  <si>
    <t>#132799</t>
  </si>
  <si>
    <t>Cheryl Petschke</t>
  </si>
  <si>
    <t>mythreeboysrba@gmail.com</t>
  </si>
  <si>
    <t>#42660</t>
  </si>
  <si>
    <t>Marissa Woodruff</t>
  </si>
  <si>
    <t>marissaleewoodruff@gmail.com</t>
  </si>
  <si>
    <t>#40140</t>
  </si>
  <si>
    <t>Patricia Anton</t>
  </si>
  <si>
    <t>antonyankeefan@hotmail.com</t>
  </si>
  <si>
    <t>#138733</t>
  </si>
  <si>
    <t>Keith Day</t>
  </si>
  <si>
    <t>keith_day@my.uri.edu</t>
  </si>
  <si>
    <t>#143340</t>
  </si>
  <si>
    <t>Joseph Snow</t>
  </si>
  <si>
    <t>joesnow@me.com</t>
  </si>
  <si>
    <t>#123660</t>
  </si>
  <si>
    <t>Neil Kirmayer</t>
  </si>
  <si>
    <t>neil.kirmayer@gmail.com</t>
  </si>
  <si>
    <t>#138953</t>
  </si>
  <si>
    <t>Louise Parker</t>
  </si>
  <si>
    <t>50longhorn@sbcglobal.net</t>
  </si>
  <si>
    <t>#42520</t>
  </si>
  <si>
    <t>Doug Smith</t>
  </si>
  <si>
    <t>dougsmith08@gmail.com</t>
  </si>
  <si>
    <t>#135517</t>
  </si>
  <si>
    <t>Dennis Fickel</t>
  </si>
  <si>
    <t>ficsfatboys@yahoo.com</t>
  </si>
  <si>
    <t>#138104</t>
  </si>
  <si>
    <t>Dan Cardamore</t>
  </si>
  <si>
    <t>dan@hld.ca</t>
  </si>
  <si>
    <t>#126941</t>
  </si>
  <si>
    <t>Kristin Hansen</t>
  </si>
  <si>
    <t>kkmurphy317@yahoo.com</t>
  </si>
  <si>
    <t>Shopify+Wire*</t>
  </si>
  <si>
    <t>#139038</t>
  </si>
  <si>
    <t>Leanne Cribbs</t>
  </si>
  <si>
    <t>lcribbs@luc.edu</t>
  </si>
  <si>
    <t>#114954</t>
  </si>
  <si>
    <t>Zoe Boren</t>
  </si>
  <si>
    <t>zoeeebrand@gmail.com</t>
  </si>
  <si>
    <t>#140149</t>
  </si>
  <si>
    <t>kate minshall</t>
  </si>
  <si>
    <t>kateminshall@yahoo.com</t>
  </si>
  <si>
    <t>#129381</t>
  </si>
  <si>
    <t>Melodie Provenzano</t>
  </si>
  <si>
    <t>melodiesue7@gmail.com</t>
  </si>
  <si>
    <t>#138826</t>
  </si>
  <si>
    <t>Philip Brown</t>
  </si>
  <si>
    <t>philbrown5000@gmail.com</t>
  </si>
  <si>
    <t>#114029</t>
  </si>
  <si>
    <t>Susan Cunningham</t>
  </si>
  <si>
    <t>cunningham.matt32@gmail.com</t>
  </si>
  <si>
    <t>#69236</t>
  </si>
  <si>
    <t>Scott Boggan</t>
  </si>
  <si>
    <t>sboggan@gmail.com</t>
  </si>
  <si>
    <t>#139273</t>
  </si>
  <si>
    <t>Erica Perdue</t>
  </si>
  <si>
    <t>perduee2@gmail.com</t>
  </si>
  <si>
    <t>#123849</t>
  </si>
  <si>
    <t>Kirsten Harris</t>
  </si>
  <si>
    <t>Premium Subscription - WW</t>
  </si>
  <si>
    <t>kharris44@hotmail.com</t>
  </si>
  <si>
    <t>#111230</t>
  </si>
  <si>
    <t>Lindsay Paradis</t>
  </si>
  <si>
    <t>toothfairy603@yahoo.com</t>
  </si>
  <si>
    <t>Seeds Subscription - WW</t>
  </si>
  <si>
    <t>#129769</t>
  </si>
  <si>
    <t>Julie Grams</t>
  </si>
  <si>
    <t>julie.grams@comcast.net</t>
  </si>
  <si>
    <t>#143259</t>
  </si>
  <si>
    <t>lisa garrett</t>
  </si>
  <si>
    <t>lgb223@aol.com</t>
  </si>
  <si>
    <t>#135208</t>
  </si>
  <si>
    <t>Jessica Doheny</t>
  </si>
  <si>
    <t>jguerrera@icesonline.org</t>
  </si>
  <si>
    <t>#128877</t>
  </si>
  <si>
    <t>Jack Leahy</t>
  </si>
  <si>
    <t>lizzy.leahy1@gmail.com</t>
  </si>
  <si>
    <t>#138633</t>
  </si>
  <si>
    <t>Brent Frieze</t>
  </si>
  <si>
    <t>bfrieze@hotmail.com</t>
  </si>
  <si>
    <t>#65938</t>
  </si>
  <si>
    <t>David Eng</t>
  </si>
  <si>
    <t>davideng+birdbuddy@gmail.com</t>
  </si>
  <si>
    <t>#139362</t>
  </si>
  <si>
    <t>Stacy Rominger</t>
  </si>
  <si>
    <t>rsroming@gmail.com</t>
  </si>
  <si>
    <t>21494735BKS</t>
  </si>
  <si>
    <t>Jane Tyacke</t>
  </si>
  <si>
    <t>jane@tyacke.com</t>
  </si>
  <si>
    <t>23685662IGG</t>
  </si>
  <si>
    <t>ALL</t>
  </si>
  <si>
    <t>John Parker</t>
  </si>
  <si>
    <t>jfparkermd@yahoo.com</t>
  </si>
  <si>
    <t>#19840</t>
  </si>
  <si>
    <t>Shannon Badcock</t>
  </si>
  <si>
    <t>summer_on_jupiter@hotmail.com</t>
  </si>
  <si>
    <t>Units Refunded by country (Gross)</t>
  </si>
  <si>
    <t>#123431</t>
  </si>
  <si>
    <t>Cassandra Zola</t>
  </si>
  <si>
    <t>cassandrazola@yahoo.com</t>
  </si>
  <si>
    <t>21481413BKS</t>
  </si>
  <si>
    <t>Stephan Keereweer</t>
  </si>
  <si>
    <t>s_keereweer@hotmail.com</t>
  </si>
  <si>
    <t>Netherlands</t>
  </si>
  <si>
    <t xml:space="preserve">#126912
</t>
  </si>
  <si>
    <t>Kristi Rankin</t>
  </si>
  <si>
    <t>kristirankin@sbcglobal.net</t>
  </si>
  <si>
    <t>#124308</t>
  </si>
  <si>
    <t>Donald McGowan</t>
  </si>
  <si>
    <t>donmc@wowway.com</t>
  </si>
  <si>
    <t>#136004</t>
  </si>
  <si>
    <t>Sara Souther</t>
  </si>
  <si>
    <t>sklsouther@gmail.com</t>
  </si>
  <si>
    <t xml:space="preserve">#68515
</t>
  </si>
  <si>
    <t>Haley Hoffmann</t>
  </si>
  <si>
    <t>haleych1@aol.com</t>
  </si>
  <si>
    <t>#125601</t>
  </si>
  <si>
    <t>Sarah Stewart</t>
  </si>
  <si>
    <t>sarah_stewart@saa.senate.gov</t>
  </si>
  <si>
    <t xml:space="preserve">#114964
</t>
  </si>
  <si>
    <t>Faith Gay</t>
  </si>
  <si>
    <t>cactusliquors@gmail.com</t>
  </si>
  <si>
    <t>#133843</t>
  </si>
  <si>
    <t>Chris Armstrong</t>
  </si>
  <si>
    <t>Kickflips7@aol.com</t>
  </si>
  <si>
    <t xml:space="preserve">#118434
</t>
  </si>
  <si>
    <t>Camille Eklof</t>
  </si>
  <si>
    <t>justusdrugstore@att.net</t>
  </si>
  <si>
    <t>#143664</t>
  </si>
  <si>
    <t>Scott Bachtell</t>
  </si>
  <si>
    <t>purchasing@wcps.k12.md.us</t>
  </si>
  <si>
    <t xml:space="preserve">#119772
</t>
  </si>
  <si>
    <t>Thomas Dahlin</t>
  </si>
  <si>
    <t>twdahlin@aol.com</t>
  </si>
  <si>
    <t>#143415</t>
  </si>
  <si>
    <t>Adrian Torres</t>
  </si>
  <si>
    <t>adrian.torres76@gmail.com</t>
  </si>
  <si>
    <t xml:space="preserve">
#142973</t>
  </si>
  <si>
    <t>James Rhoades</t>
  </si>
  <si>
    <t>james.rhoades@gmail.com</t>
  </si>
  <si>
    <t>#112773</t>
  </si>
  <si>
    <t>Stephen Wanta</t>
  </si>
  <si>
    <t>wanta@wanta-architect.com</t>
  </si>
  <si>
    <t>#119879</t>
  </si>
  <si>
    <t>Chris Haynes</t>
  </si>
  <si>
    <t>clhaynes1@gmail.com</t>
  </si>
  <si>
    <t xml:space="preserve">#123062
</t>
  </si>
  <si>
    <t>Stephanie Grimm</t>
  </si>
  <si>
    <t>stephaniegrimm18@gmail.com</t>
  </si>
  <si>
    <t>#143712</t>
  </si>
  <si>
    <t>Katie Deen</t>
  </si>
  <si>
    <t>kbdeen@comcast.net</t>
  </si>
  <si>
    <t>#18791</t>
  </si>
  <si>
    <t>Tiffany Shah</t>
  </si>
  <si>
    <t>ssysum@bresnan.net</t>
  </si>
  <si>
    <t>#140589</t>
  </si>
  <si>
    <t>Thomas Schröter</t>
  </si>
  <si>
    <t>tho.schroeter@t-online.de</t>
  </si>
  <si>
    <t>#141923</t>
  </si>
  <si>
    <t>#118719</t>
  </si>
  <si>
    <t>Cynthia Nicola</t>
  </si>
  <si>
    <t>talijanesmith@gmail.com</t>
  </si>
  <si>
    <t>#137408</t>
  </si>
  <si>
    <t>Richard Johnson</t>
  </si>
  <si>
    <t>richardejohnson@icloud.com</t>
  </si>
  <si>
    <t>21484438BKS</t>
  </si>
  <si>
    <t>Danielle Farrell</t>
  </si>
  <si>
    <t>tweeky115@yahoo.com</t>
  </si>
  <si>
    <t>#136342</t>
  </si>
  <si>
    <t>ERIN JOYCE</t>
  </si>
  <si>
    <t>ekjoyce13@yahoo.com</t>
  </si>
  <si>
    <t>Sopify</t>
  </si>
  <si>
    <t>#124251</t>
  </si>
  <si>
    <t>Teela Depena</t>
  </si>
  <si>
    <t>tdepena@gmail.com</t>
  </si>
  <si>
    <t>#128674</t>
  </si>
  <si>
    <t>Jason Drake</t>
  </si>
  <si>
    <t>Jasonrobertdrake@gmail.com</t>
  </si>
  <si>
    <t>#116145</t>
  </si>
  <si>
    <t>#124354</t>
  </si>
  <si>
    <t>chelsea craig</t>
  </si>
  <si>
    <t>chelsea@rhino-reviews.com</t>
  </si>
  <si>
    <t>Lucas Ramey</t>
  </si>
  <si>
    <t>lucasramey@gmail.com</t>
  </si>
  <si>
    <t>#112402</t>
  </si>
  <si>
    <t>Kathleen Rusteika</t>
  </si>
  <si>
    <t>krusteika@hotmail.com</t>
  </si>
  <si>
    <t>usa</t>
  </si>
  <si>
    <t>#128443</t>
  </si>
  <si>
    <t>Amanda Bellister</t>
  </si>
  <si>
    <t>amanda.bellister@gmail.com</t>
  </si>
  <si>
    <t>#9727KS</t>
  </si>
  <si>
    <t>Oliver Rosenthal</t>
  </si>
  <si>
    <t>oliverrosenthal@me.com</t>
  </si>
  <si>
    <t xml:space="preserve">There were issues during delivery, he received a 55% refund for a unit he ended up receiving. </t>
  </si>
  <si>
    <t xml:space="preserve">#116694
</t>
  </si>
  <si>
    <t>JILLIAN HORNIK</t>
  </si>
  <si>
    <t>jill1704@aol.com</t>
  </si>
  <si>
    <t>#128189</t>
  </si>
  <si>
    <t>Ching Ching Shaw</t>
  </si>
  <si>
    <t>ssh@alum.mit.edu</t>
  </si>
  <si>
    <t>#122014</t>
  </si>
  <si>
    <t>Ian Titley</t>
  </si>
  <si>
    <t>allisonreap@gmail.com</t>
  </si>
  <si>
    <t>#7289KS</t>
  </si>
  <si>
    <t>Martin Reyers</t>
  </si>
  <si>
    <t>martin.reyers@t-online.de</t>
  </si>
  <si>
    <t>#64982</t>
  </si>
  <si>
    <t>Sarah Nash</t>
  </si>
  <si>
    <t>andrewnash93@gmail.com</t>
  </si>
  <si>
    <t>#119898</t>
  </si>
  <si>
    <t>Anne Holtzman</t>
  </si>
  <si>
    <t>annielippert82@gmail.com</t>
  </si>
  <si>
    <t>#143291</t>
  </si>
  <si>
    <t>Sheryl Lazenby</t>
  </si>
  <si>
    <t>sevenuptobat@yahoo.com</t>
  </si>
  <si>
    <t>#124297</t>
  </si>
  <si>
    <t>Laura AbreuGrondin</t>
  </si>
  <si>
    <t>laugrondin@gmail.com</t>
  </si>
  <si>
    <t>Units Returned by country (Gross)</t>
  </si>
  <si>
    <t>#133614</t>
  </si>
  <si>
    <t>Debra Richards</t>
  </si>
  <si>
    <t>leighkrichards@gmail.com</t>
  </si>
  <si>
    <t>#112838</t>
  </si>
  <si>
    <t>Joanna Kelly</t>
  </si>
  <si>
    <t>mrs.joannakelly@gmail.com</t>
  </si>
  <si>
    <t>#140970</t>
  </si>
  <si>
    <t>David Strang</t>
  </si>
  <si>
    <t>DStrang@prg.com</t>
  </si>
  <si>
    <t>#113400</t>
  </si>
  <si>
    <t>Lisa Ide</t>
  </si>
  <si>
    <t>lide@umn.edu</t>
  </si>
  <si>
    <t>#42710</t>
  </si>
  <si>
    <t>Arek Sokol</t>
  </si>
  <si>
    <t>arek@arek.fish</t>
  </si>
  <si>
    <t>#143012</t>
  </si>
  <si>
    <t>Jerry Hause</t>
  </si>
  <si>
    <t>jer24680@gmail.com</t>
  </si>
  <si>
    <t>#2979KS</t>
  </si>
  <si>
    <t>Anitha Guruswami</t>
  </si>
  <si>
    <t>anithag94@gmail.com</t>
  </si>
  <si>
    <t>#142234</t>
  </si>
  <si>
    <t>Chris Riker</t>
  </si>
  <si>
    <t>chrisriker@outlook.com</t>
  </si>
  <si>
    <t>#110668</t>
  </si>
  <si>
    <t>Hillary Smith</t>
  </si>
  <si>
    <t>hillary.g.smith@gmail.com</t>
  </si>
  <si>
    <t>#142049</t>
  </si>
  <si>
    <t>Joe McDonald</t>
  </si>
  <si>
    <t>jmcdonald2@gmail.com</t>
  </si>
  <si>
    <t>#66395</t>
  </si>
  <si>
    <t>Miki Sutter</t>
  </si>
  <si>
    <t>s.miki830702@gmail.com</t>
  </si>
  <si>
    <t>#129121</t>
  </si>
  <si>
    <t>Meredith Fann</t>
  </si>
  <si>
    <t>merefann@gmail.com</t>
  </si>
  <si>
    <t>#140046</t>
  </si>
  <si>
    <t>Deena Leary</t>
  </si>
  <si>
    <t>dmleary@ymail.com</t>
  </si>
  <si>
    <t>#18975</t>
  </si>
  <si>
    <t>Brandon Harvey</t>
  </si>
  <si>
    <t>harveyfamily27@gmail.com</t>
  </si>
  <si>
    <t>#135658</t>
  </si>
  <si>
    <t>Holly Munger</t>
  </si>
  <si>
    <t>hmunger1@outlook.com</t>
  </si>
  <si>
    <t>#70628</t>
  </si>
  <si>
    <t>Chris Kilpatrick</t>
  </si>
  <si>
    <t>chris.kilpatrick9@gmail.com</t>
  </si>
  <si>
    <t>#128095</t>
  </si>
  <si>
    <t>Christopher Shaw</t>
  </si>
  <si>
    <t>m200pilot@hotmail.com</t>
  </si>
  <si>
    <t>#113099</t>
  </si>
  <si>
    <t>Lauren Marusich</t>
  </si>
  <si>
    <t>marusichlauren@gmail.com</t>
  </si>
  <si>
    <t xml:space="preserve">Other </t>
  </si>
  <si>
    <t>#128160</t>
  </si>
  <si>
    <t>Gretchen Simoneaux</t>
  </si>
  <si>
    <t>colinb@pixar.com</t>
  </si>
  <si>
    <t>#18258</t>
  </si>
  <si>
    <t>Rose Mickleson</t>
  </si>
  <si>
    <t>rosemickleson@live.com</t>
  </si>
  <si>
    <t>New Zealand</t>
  </si>
  <si>
    <t>1/18/2023</t>
  </si>
  <si>
    <t>$233.23</t>
  </si>
  <si>
    <t>12/16/2021</t>
  </si>
  <si>
    <t>#15751KS</t>
  </si>
  <si>
    <t>adam horton</t>
  </si>
  <si>
    <t>adam@adamhorton.com</t>
  </si>
  <si>
    <t>#69114</t>
  </si>
  <si>
    <t>Lilien Sugár</t>
  </si>
  <si>
    <t>sugar.lilien@gmail.com</t>
  </si>
  <si>
    <t>Hungary</t>
  </si>
  <si>
    <t>$331.31</t>
  </si>
  <si>
    <t>10/18/2022</t>
  </si>
  <si>
    <t>#110086</t>
  </si>
  <si>
    <t>David Blahnik</t>
  </si>
  <si>
    <t>blahnikdavid@gmail.com</t>
  </si>
  <si>
    <t>19/1/2023</t>
  </si>
  <si>
    <t>#143906</t>
  </si>
  <si>
    <t>Luke Henderson</t>
  </si>
  <si>
    <t>lah0014@gmail.com</t>
  </si>
  <si>
    <t>#40746</t>
  </si>
  <si>
    <t>Ken Spengel</t>
  </si>
  <si>
    <t>kspengel@sbcglobal.net</t>
  </si>
  <si>
    <t>#143059</t>
  </si>
  <si>
    <t>Karen Guiley</t>
  </si>
  <si>
    <t>kaguiley@yahoo.com</t>
  </si>
  <si>
    <t>#122722</t>
  </si>
  <si>
    <t>Brittany McFee</t>
  </si>
  <si>
    <t>brittanymcfee@gmail.com</t>
  </si>
  <si>
    <t>21475774BKS</t>
  </si>
  <si>
    <t>John Commons</t>
  </si>
  <si>
    <t>johncommons@gmail.com</t>
  </si>
  <si>
    <t>#127166</t>
  </si>
  <si>
    <t>Ella Miller</t>
  </si>
  <si>
    <t>ellamiller@me.com</t>
  </si>
  <si>
    <t>#137169</t>
  </si>
  <si>
    <t>Joseph Fung</t>
  </si>
  <si>
    <t>joe@josephfung.com</t>
  </si>
  <si>
    <t>#114568</t>
  </si>
  <si>
    <t>Chastity Rowell</t>
  </si>
  <si>
    <t>italydreamin@gmail.com</t>
  </si>
  <si>
    <t>#135535</t>
  </si>
  <si>
    <t>Elaine Costello</t>
  </si>
  <si>
    <t>laniec003@aol.com</t>
  </si>
  <si>
    <t>#114000</t>
  </si>
  <si>
    <t>Anne Ellefson</t>
  </si>
  <si>
    <t>anne.ellefson@gmail.com</t>
  </si>
  <si>
    <t>#115829</t>
  </si>
  <si>
    <t>Kristy Skowronski</t>
  </si>
  <si>
    <t>#140418</t>
  </si>
  <si>
    <t>kchoimogyoi@gmail.com</t>
  </si>
  <si>
    <t>Emily Nash</t>
  </si>
  <si>
    <t>nash.emily.k@gmail.com</t>
  </si>
  <si>
    <t>#42629</t>
  </si>
  <si>
    <t>Matthew Kruse</t>
  </si>
  <si>
    <t>mckruser@gmail.com</t>
  </si>
  <si>
    <t>#11731KS</t>
  </si>
  <si>
    <t>Francesco Serianni</t>
  </si>
  <si>
    <t>seriannif@gmail.com</t>
  </si>
  <si>
    <t>Italy</t>
  </si>
  <si>
    <t>#114967</t>
  </si>
  <si>
    <t>Amy Zinser</t>
  </si>
  <si>
    <t>amy.zinser@gmail.com</t>
  </si>
  <si>
    <t>#120908</t>
  </si>
  <si>
    <t>Alexander Berz</t>
  </si>
  <si>
    <t>alexanderjberz@gmail.com</t>
  </si>
  <si>
    <t>#70522</t>
  </si>
  <si>
    <t>Adam Johansen</t>
  </si>
  <si>
    <t>adamjohansen77@gmail.com</t>
  </si>
  <si>
    <t>21479691BKS</t>
  </si>
  <si>
    <t>Aaron Lang</t>
  </si>
  <si>
    <t>aaronlangde@gmail.com</t>
  </si>
  <si>
    <t xml:space="preserve">#109761
</t>
  </si>
  <si>
    <t>Lynn Moore</t>
  </si>
  <si>
    <t>ryper63@gmail.com</t>
  </si>
  <si>
    <t xml:space="preserve">#118337
</t>
  </si>
  <si>
    <t>Kenneth Stead</t>
  </si>
  <si>
    <t>kastead@gmail.com</t>
  </si>
  <si>
    <t>#109432</t>
  </si>
  <si>
    <t>Dominik Achatz</t>
  </si>
  <si>
    <t>dominik.achatz@me.com</t>
  </si>
  <si>
    <t xml:space="preserve">#130354
</t>
  </si>
  <si>
    <t>Sandy Reinhardt</t>
  </si>
  <si>
    <t>roxannereinhardt20@gmail.com</t>
  </si>
  <si>
    <t>#138610</t>
  </si>
  <si>
    <t>Robin Hartman</t>
  </si>
  <si>
    <t>robin.hartman1@gmail.com</t>
  </si>
  <si>
    <t xml:space="preserve">#128619
</t>
  </si>
  <si>
    <t xml:space="preserve">Ted Cavanaugh
</t>
  </si>
  <si>
    <t>tedrzz@gmail.com</t>
  </si>
  <si>
    <t>#139581</t>
  </si>
  <si>
    <t xml:space="preserve">#114634
</t>
  </si>
  <si>
    <t>Angela Berridge-Szalony</t>
  </si>
  <si>
    <t>angelaszalony@gmail.com</t>
  </si>
  <si>
    <t>#142682</t>
  </si>
  <si>
    <t>Jacqueline Venchi</t>
  </si>
  <si>
    <t>jvenchi@bellsouth.net</t>
  </si>
  <si>
    <t xml:space="preserve">#116082
</t>
  </si>
  <si>
    <t>Ellen Prochaska</t>
  </si>
  <si>
    <t>ellenprochaska@creighton.edu</t>
  </si>
  <si>
    <t>#142679</t>
  </si>
  <si>
    <t xml:space="preserve">#126002
</t>
  </si>
  <si>
    <t xml:space="preserve">Kila Stangeland
</t>
  </si>
  <si>
    <t>kilastangeland@gmail.com</t>
  </si>
  <si>
    <t>#134153</t>
  </si>
  <si>
    <t>Kevin Przewrocki</t>
  </si>
  <si>
    <t>kevin8pez@yahoo.com</t>
  </si>
  <si>
    <t>#122628</t>
  </si>
  <si>
    <t>Mary Caravello</t>
  </si>
  <si>
    <t>medevry@gmail.com</t>
  </si>
  <si>
    <t>#140010</t>
  </si>
  <si>
    <t>Dakota Brown</t>
  </si>
  <si>
    <t>brown.dakotachase@gmail.com</t>
  </si>
  <si>
    <t>Orders Returned NA</t>
  </si>
  <si>
    <t>#118587</t>
  </si>
  <si>
    <t>Emily Levan</t>
  </si>
  <si>
    <t>emily.levan21@gmail.com</t>
  </si>
  <si>
    <t>#139318</t>
  </si>
  <si>
    <t>Bryan Knight</t>
  </si>
  <si>
    <t>bryank8@verizon.net</t>
  </si>
  <si>
    <t>#19177</t>
  </si>
  <si>
    <t>Orders Returned EU</t>
  </si>
  <si>
    <t>Amber Weston</t>
  </si>
  <si>
    <t>amber@mywrealty.com</t>
  </si>
  <si>
    <t>Orders Returned ROW</t>
  </si>
  <si>
    <t>21481931BKS</t>
  </si>
  <si>
    <t>Matt Byham</t>
  </si>
  <si>
    <t>matt.byham@mac.com</t>
  </si>
  <si>
    <t>23817465IGG</t>
  </si>
  <si>
    <t>Corie Latta</t>
  </si>
  <si>
    <t>corie.latta@gmail.com</t>
  </si>
  <si>
    <t>#8027KS</t>
  </si>
  <si>
    <t>#116876</t>
  </si>
  <si>
    <t>David Fillman</t>
  </si>
  <si>
    <t>Lauren Colas</t>
  </si>
  <si>
    <t>dave@wilner-greene.com</t>
  </si>
  <si>
    <t>camasgarden@hotmail.com</t>
  </si>
  <si>
    <t>#143375</t>
  </si>
  <si>
    <t>Joseph Czach</t>
  </si>
  <si>
    <t>josephczach@aol.com</t>
  </si>
  <si>
    <t>Money Refunded by country (Gross)</t>
  </si>
  <si>
    <t>#131654</t>
  </si>
  <si>
    <t>Vikki Whitefoot</t>
  </si>
  <si>
    <t>vikkisue@gmail.com</t>
  </si>
  <si>
    <t>Hardware - NA</t>
  </si>
  <si>
    <t>#144206</t>
  </si>
  <si>
    <t>Chris Bradford</t>
  </si>
  <si>
    <t>chbradford@gmail.com</t>
  </si>
  <si>
    <t>#14661</t>
  </si>
  <si>
    <t>Thomas Manion</t>
  </si>
  <si>
    <t>tmanion425@gmail.com</t>
  </si>
  <si>
    <t>Shipping - NA</t>
  </si>
  <si>
    <t>#136579</t>
  </si>
  <si>
    <t>MARK GREMILLION</t>
  </si>
  <si>
    <t>MARKGREMILLION@GMAIL.COM</t>
  </si>
  <si>
    <t>Taxes - NA</t>
  </si>
  <si>
    <t>#125906</t>
  </si>
  <si>
    <t>Caitlin Rawlins</t>
  </si>
  <si>
    <t>caitlinrawlins@yahoo.com</t>
  </si>
  <si>
    <t>#142516</t>
  </si>
  <si>
    <t>Julie Daughtry</t>
  </si>
  <si>
    <t>daughtryjulie@gmail.com</t>
  </si>
  <si>
    <t>#127014</t>
  </si>
  <si>
    <t>Wayne L Vansant</t>
  </si>
  <si>
    <t>hardboots@aol.com</t>
  </si>
  <si>
    <t>Hardware - Europe</t>
  </si>
  <si>
    <t>#143682</t>
  </si>
  <si>
    <t>#115469</t>
  </si>
  <si>
    <t>Steven Marchessault</t>
  </si>
  <si>
    <t>Rene Gonzalez</t>
  </si>
  <si>
    <t>steven@marchessault.me</t>
  </si>
  <si>
    <t>rwalshgonzalez@gmail.com</t>
  </si>
  <si>
    <t>#115472</t>
  </si>
  <si>
    <t>#143311</t>
  </si>
  <si>
    <t>21485687BKS</t>
  </si>
  <si>
    <t>Lindsay Lad</t>
  </si>
  <si>
    <t>hannahgordon18@gmail.com</t>
  </si>
  <si>
    <t>#1173 (old webstore)</t>
  </si>
  <si>
    <t>Melissa Byrd</t>
  </si>
  <si>
    <t>melb0800@gmail.com</t>
  </si>
  <si>
    <t>#11560KS</t>
  </si>
  <si>
    <t>Sarah Snyder</t>
  </si>
  <si>
    <t>sslunariver@gmail.com</t>
  </si>
  <si>
    <t>#108044</t>
  </si>
  <si>
    <t>John Isaia</t>
  </si>
  <si>
    <t>jisaia@mac.com</t>
  </si>
  <si>
    <t>#40193</t>
  </si>
  <si>
    <t>Sherry McNamara</t>
  </si>
  <si>
    <t>sherrymcnamara@hotmail.com</t>
  </si>
  <si>
    <t>#132750</t>
  </si>
  <si>
    <t>Shipping - Europe</t>
  </si>
  <si>
    <t>21497104BKS</t>
  </si>
  <si>
    <t>Erica Berkowitz</t>
  </si>
  <si>
    <t>erica.berkowitz@gmail.com</t>
  </si>
  <si>
    <t>21487152BKS</t>
  </si>
  <si>
    <t>Martin Winter</t>
  </si>
  <si>
    <t>kickstarter@macwinnie.me</t>
  </si>
  <si>
    <t>#119929</t>
  </si>
  <si>
    <t>Renee Madden</t>
  </si>
  <si>
    <t>reneemadden2017@gmail.com</t>
  </si>
  <si>
    <t>#12575KS</t>
  </si>
  <si>
    <t>Gayle Dulcey</t>
  </si>
  <si>
    <t>movinginlight@yahoo.com</t>
  </si>
  <si>
    <t>23199029IGG</t>
  </si>
  <si>
    <t>Heather Lueth</t>
  </si>
  <si>
    <t>heatherlueth@gmail.com</t>
  </si>
  <si>
    <t>#14620KS</t>
  </si>
  <si>
    <t>Sydney Henderson</t>
  </si>
  <si>
    <t>sydney.c.henderson@gmail.com</t>
  </si>
  <si>
    <t>21481120BKS</t>
  </si>
  <si>
    <t>Jiří Šeda</t>
  </si>
  <si>
    <t>3.georgerr@seznam.cz</t>
  </si>
  <si>
    <t xml:space="preserve">VAT - Europe </t>
  </si>
  <si>
    <t>Czechia</t>
  </si>
  <si>
    <t>#118224</t>
  </si>
  <si>
    <t>#141445</t>
  </si>
  <si>
    <t>Barb Hinton</t>
  </si>
  <si>
    <t>Raina Nelson</t>
  </si>
  <si>
    <t>rainanelson07@gmail.com</t>
  </si>
  <si>
    <t>barbhinton@gmail.com</t>
  </si>
  <si>
    <t>#114609</t>
  </si>
  <si>
    <t>Rachael Park</t>
  </si>
  <si>
    <t>redhot21@msn.com</t>
  </si>
  <si>
    <t>#13407KS</t>
  </si>
  <si>
    <t>Oliver Lee</t>
  </si>
  <si>
    <t>olivah_j@live.co.uk</t>
  </si>
  <si>
    <t>#132257</t>
  </si>
  <si>
    <t>Robyn Monger</t>
  </si>
  <si>
    <t>mongerfam@aol.com</t>
  </si>
  <si>
    <t>Hardware - ROW</t>
  </si>
  <si>
    <t>21490279BKS</t>
  </si>
  <si>
    <t>Konstanze Fritsch</t>
  </si>
  <si>
    <t>k.fritsch@freenet.de</t>
  </si>
  <si>
    <t>Shipping - ROW</t>
  </si>
  <si>
    <t>#120612</t>
  </si>
  <si>
    <t>Sarah Naughton</t>
  </si>
  <si>
    <t>amondoro@verizon.net</t>
  </si>
  <si>
    <t>Taxes - ROW</t>
  </si>
  <si>
    <t>#127714</t>
  </si>
  <si>
    <t>Jake Pendleton</t>
  </si>
  <si>
    <t>j.t.pendleton.14@gmail.com</t>
  </si>
  <si>
    <t>#142183</t>
  </si>
  <si>
    <t>Money Returned by country (Gross)</t>
  </si>
  <si>
    <t>Chris Pearson</t>
  </si>
  <si>
    <t>ctpearson@gmail.com</t>
  </si>
  <si>
    <t>#107470</t>
  </si>
  <si>
    <t>Julie Bargainer</t>
  </si>
  <si>
    <t>jbargainer@gmail.com</t>
  </si>
  <si>
    <t>#144108</t>
  </si>
  <si>
    <t>Amy Schroeder</t>
  </si>
  <si>
    <t>eajschroeder@sbcglobal.net</t>
  </si>
  <si>
    <t>#128784</t>
  </si>
  <si>
    <t>Nicole Ellington</t>
  </si>
  <si>
    <t>nicoleellington@yahoo.com</t>
  </si>
  <si>
    <t>#41590</t>
  </si>
  <si>
    <t>23678792IGG</t>
  </si>
  <si>
    <t>Scott Field</t>
  </si>
  <si>
    <t>Blake Orsini</t>
  </si>
  <si>
    <t>blakedorsini@gmail.com</t>
  </si>
  <si>
    <t>scottygfield@gmail.com</t>
  </si>
  <si>
    <t>#21724</t>
  </si>
  <si>
    <t>Brooke Cobb</t>
  </si>
  <si>
    <t>laubercobb@gmail.com</t>
  </si>
  <si>
    <t>#1702KS</t>
  </si>
  <si>
    <t>Roger Poels</t>
  </si>
  <si>
    <t>roger@grapevine.com.au</t>
  </si>
  <si>
    <t>#125842</t>
  </si>
  <si>
    <t>Olivia Gahan</t>
  </si>
  <si>
    <t>omgahan@outlook.com</t>
  </si>
  <si>
    <t>#10565KS</t>
  </si>
  <si>
    <t>Janina Münster</t>
  </si>
  <si>
    <t>aninaj3001@googlemail.com</t>
  </si>
  <si>
    <t>#108600</t>
  </si>
  <si>
    <t>Michelle Hernandez</t>
  </si>
  <si>
    <t>momocabobo@gmail.com</t>
  </si>
  <si>
    <t>#70233</t>
  </si>
  <si>
    <t>kiersten braun</t>
  </si>
  <si>
    <t>jbraun53089@gmail.com</t>
  </si>
  <si>
    <t xml:space="preserve">#140911
</t>
  </si>
  <si>
    <t xml:space="preserve">Ian Brimble
</t>
  </si>
  <si>
    <t>eibrimble@hotmail.com</t>
  </si>
  <si>
    <t>#113414</t>
  </si>
  <si>
    <t>Aimee Pierson</t>
  </si>
  <si>
    <t>AimeeTPierson@yahoo.com</t>
  </si>
  <si>
    <t xml:space="preserve">#135050
</t>
  </si>
  <si>
    <t>Francis Bonnin</t>
  </si>
  <si>
    <t>francis.bonnin@gmail.com</t>
  </si>
  <si>
    <t>#115470</t>
  </si>
  <si>
    <t>Andy Reim</t>
  </si>
  <si>
    <t>freefall25@hotmail.com</t>
  </si>
  <si>
    <t>Replacement Units &amp; Claims by country</t>
  </si>
  <si>
    <t>#125541</t>
  </si>
  <si>
    <t>Robert Baars</t>
  </si>
  <si>
    <t>3588tuckersfarm@gmail.com</t>
  </si>
  <si>
    <t>Anne Egan</t>
  </si>
  <si>
    <t>agegan@comcast.net</t>
  </si>
  <si>
    <t>#138879</t>
  </si>
  <si>
    <t>Margaret Herring</t>
  </si>
  <si>
    <t>herring2356@gmail.com</t>
  </si>
  <si>
    <t>#114763</t>
  </si>
  <si>
    <t>Margaret D Pirouz</t>
  </si>
  <si>
    <t>megpirouz@gmail.com</t>
  </si>
  <si>
    <t>#144506</t>
  </si>
  <si>
    <t>Dean Vaughan</t>
  </si>
  <si>
    <t>dean@deanvaughan.org</t>
  </si>
  <si>
    <t>#131855</t>
  </si>
  <si>
    <t>Braxton Ray</t>
  </si>
  <si>
    <t>braxtonray87@gmail.com</t>
  </si>
  <si>
    <t>#143984</t>
  </si>
  <si>
    <t>Joseph DePaola</t>
  </si>
  <si>
    <t>naf358@gmail.com</t>
  </si>
  <si>
    <t>#110031</t>
  </si>
  <si>
    <t>Caryn Briggs</t>
  </si>
  <si>
    <t>bdclark12@gmail.com</t>
  </si>
  <si>
    <t xml:space="preserve">
#138874</t>
  </si>
  <si>
    <t>Malinda Goodrich</t>
  </si>
  <si>
    <t>billandm1@verizon.net</t>
  </si>
  <si>
    <t>#115687</t>
  </si>
  <si>
    <t>Don Jones</t>
  </si>
  <si>
    <t>krankyoptimist@yahoo.com</t>
  </si>
  <si>
    <t>#142709</t>
  </si>
  <si>
    <t>Debra Robinson</t>
  </si>
  <si>
    <t>#112791</t>
  </si>
  <si>
    <t>Lacipurple@aol.com</t>
  </si>
  <si>
    <t>Jessica Harley</t>
  </si>
  <si>
    <t>jessica_harley@yahoo.com</t>
  </si>
  <si>
    <t>#15005KS</t>
  </si>
  <si>
    <t>Krista Swenson</t>
  </si>
  <si>
    <t>klswenson33@gmail.com</t>
  </si>
  <si>
    <t>#133948</t>
  </si>
  <si>
    <t>Erika Solomonson</t>
  </si>
  <si>
    <t>esintc@yahoo.com</t>
  </si>
  <si>
    <t>#13636KS</t>
  </si>
  <si>
    <t>LARRY Riordan-FULCHER</t>
  </si>
  <si>
    <t>larrydfulcher@gmail.com</t>
  </si>
  <si>
    <t>23522849IGG</t>
  </si>
  <si>
    <t>#121950</t>
  </si>
  <si>
    <t>Mary Andres</t>
  </si>
  <si>
    <t>mfloflo@me.com</t>
  </si>
  <si>
    <t>#110103</t>
  </si>
  <si>
    <t>Debora Scherrer</t>
  </si>
  <si>
    <t>debischerrer@gmail.com</t>
  </si>
  <si>
    <t>21495094BKS</t>
  </si>
  <si>
    <t>Joe Riconosciuto</t>
  </si>
  <si>
    <t>casper9988@aol.com</t>
  </si>
  <si>
    <t>#144329</t>
  </si>
  <si>
    <t>Michael Lyngbøl</t>
  </si>
  <si>
    <t>michael@lyngbol.dk</t>
  </si>
  <si>
    <t>#117631</t>
  </si>
  <si>
    <t>Madonna Phillips</t>
  </si>
  <si>
    <t>tm.1895@hotmail.com</t>
  </si>
  <si>
    <t>#106803</t>
  </si>
  <si>
    <t>Margaret Loney</t>
  </si>
  <si>
    <t>margaret.loney@gmail.com</t>
  </si>
  <si>
    <t>#144121</t>
  </si>
  <si>
    <t>Jocelyn Woolsey</t>
  </si>
  <si>
    <t>jocelyn.woolsey@gmail.com</t>
  </si>
  <si>
    <t>#120118</t>
  </si>
  <si>
    <t>Heather Coldebella</t>
  </si>
  <si>
    <t>hfcoldebella@gmail.com</t>
  </si>
  <si>
    <t>#139004</t>
  </si>
  <si>
    <t>Laura Breckenridge</t>
  </si>
  <si>
    <t>cool_breck@yahoo.com</t>
  </si>
  <si>
    <t>#111099</t>
  </si>
  <si>
    <t>Marlo Brown</t>
  </si>
  <si>
    <t>malox_er@yahoo.com</t>
  </si>
  <si>
    <t>Units Sold by country (Net)</t>
  </si>
  <si>
    <t>#136754</t>
  </si>
  <si>
    <t>Katherine Herriott</t>
  </si>
  <si>
    <t>kisskks@gmail.com</t>
  </si>
  <si>
    <t>#7131KS</t>
  </si>
  <si>
    <t>Vanessa Navarro</t>
  </si>
  <si>
    <t>navarrov@live.com</t>
  </si>
  <si>
    <t>#126217</t>
  </si>
  <si>
    <t>Caroline Hornblower</t>
  </si>
  <si>
    <t>carolinehornblower@gmail.com</t>
  </si>
  <si>
    <t>#134168</t>
  </si>
  <si>
    <t>Erin Lykins</t>
  </si>
  <si>
    <t>lbsgrl@hotmail.com</t>
  </si>
  <si>
    <t>#114097</t>
  </si>
  <si>
    <t>Melanie Schmitz</t>
  </si>
  <si>
    <t>melanie@hometownchildrenscenter.com</t>
  </si>
  <si>
    <t>#70738</t>
  </si>
  <si>
    <t>Jaime McEnaney</t>
  </si>
  <si>
    <t>jaime21@gmail.com</t>
  </si>
  <si>
    <t xml:space="preserve">#141407
</t>
  </si>
  <si>
    <t xml:space="preserve">angelica kelly
</t>
  </si>
  <si>
    <t>amtkelly@aol.com</t>
  </si>
  <si>
    <t>#129937</t>
  </si>
  <si>
    <t>Jameson Smythe</t>
  </si>
  <si>
    <t>jamesonsmythe@gmail.com</t>
  </si>
  <si>
    <t>#10809KS</t>
  </si>
  <si>
    <t>Chia Cheryl</t>
  </si>
  <si>
    <t>mei.ann@hotmail.com</t>
  </si>
  <si>
    <t>Signapore</t>
  </si>
  <si>
    <t>#112384</t>
  </si>
  <si>
    <t>Michele Brown</t>
  </si>
  <si>
    <t>mlbrown0516@gmail.com</t>
  </si>
  <si>
    <t>#6560KS</t>
  </si>
  <si>
    <t>Ali Alshehhi</t>
  </si>
  <si>
    <t>vx1xv@hotmail.com</t>
  </si>
  <si>
    <t>#115910</t>
  </si>
  <si>
    <t>Janet Kyes</t>
  </si>
  <si>
    <t>jkyes@aol.com</t>
  </si>
  <si>
    <t>#142638</t>
  </si>
  <si>
    <t>Katie Britt</t>
  </si>
  <si>
    <t>katie.britt@hotmail.com</t>
  </si>
  <si>
    <t>#114366</t>
  </si>
  <si>
    <t>Catherine Simpson</t>
  </si>
  <si>
    <t>pagesimpson@yahoo.com</t>
  </si>
  <si>
    <t>#136013</t>
  </si>
  <si>
    <t>Robert Miller</t>
  </si>
  <si>
    <t>rwmiller20@hotmail.com</t>
  </si>
  <si>
    <t>24012573IGG</t>
  </si>
  <si>
    <t>marlo kovach</t>
  </si>
  <si>
    <t>photomarlo21@gmail.com</t>
  </si>
  <si>
    <t>#144999</t>
  </si>
  <si>
    <t>Tyson Bell</t>
  </si>
  <si>
    <t>tyson.bell@gmail.com</t>
  </si>
  <si>
    <t>#124375</t>
  </si>
  <si>
    <t>Jeffrey Borges</t>
  </si>
  <si>
    <t>jborges88@gmail.com</t>
  </si>
  <si>
    <t>#3255KS</t>
  </si>
  <si>
    <t>Cherie Ladouceur-Markham</t>
  </si>
  <si>
    <t>#135530</t>
  </si>
  <si>
    <t>cdladouceur@yahoo.ca</t>
  </si>
  <si>
    <t>Mathew Foley</t>
  </si>
  <si>
    <t>airfoley@gmail.com</t>
  </si>
  <si>
    <t>#119755</t>
  </si>
  <si>
    <t>Judy Smith</t>
  </si>
  <si>
    <t>jgmeshells9364@gmail.com</t>
  </si>
  <si>
    <t>#134739</t>
  </si>
  <si>
    <t>Jeff Nelson</t>
  </si>
  <si>
    <t>nelson_j_m@yahoo.com</t>
  </si>
  <si>
    <t>#118095</t>
  </si>
  <si>
    <t>Diana Balfour</t>
  </si>
  <si>
    <t>balfour.diana@gmail.com</t>
  </si>
  <si>
    <t>#3010KS</t>
  </si>
  <si>
    <t>Jennifer Dughman</t>
  </si>
  <si>
    <t>jabuyaghi@gmail.com</t>
  </si>
  <si>
    <t>#143224</t>
  </si>
  <si>
    <t>Joe Pisano</t>
  </si>
  <si>
    <t>jpisano388@gmail.com</t>
  </si>
  <si>
    <t>#118827</t>
  </si>
  <si>
    <t>Kate Mutchnik</t>
  </si>
  <si>
    <t>kmutchnik@gmail.com</t>
  </si>
  <si>
    <t>#127627</t>
  </si>
  <si>
    <t>Sydney Pickle</t>
  </si>
  <si>
    <t>spickle2001@gmail.com</t>
  </si>
  <si>
    <t>#119512</t>
  </si>
  <si>
    <t>Macy Fecto</t>
  </si>
  <si>
    <t>mfecto@accessintel.com</t>
  </si>
  <si>
    <t>#123100</t>
  </si>
  <si>
    <t>E A Clark</t>
  </si>
  <si>
    <t>pediat@att.net</t>
  </si>
  <si>
    <t>#21886</t>
  </si>
  <si>
    <t>ANDREW Dekany</t>
  </si>
  <si>
    <t>andrewdekany62@gmail.com</t>
  </si>
  <si>
    <t>#14888KS</t>
  </si>
  <si>
    <t>Heather Alexander</t>
  </si>
  <si>
    <t>halexd@gmail.com</t>
  </si>
  <si>
    <t>#137175</t>
  </si>
  <si>
    <t>Stacey Cossaboon</t>
  </si>
  <si>
    <t>sdp8809@yahoo.com</t>
  </si>
  <si>
    <t>#41815</t>
  </si>
  <si>
    <t>Jeniqua Duncan</t>
  </si>
  <si>
    <t>kajduncan@mac.com</t>
  </si>
  <si>
    <t>#137471</t>
  </si>
  <si>
    <t>Joe Goulet</t>
  </si>
  <si>
    <t>au1357@gmail.com</t>
  </si>
  <si>
    <t>#121267</t>
  </si>
  <si>
    <t>Jenna Imlay</t>
  </si>
  <si>
    <t>jennaimlay@icloud.com</t>
  </si>
  <si>
    <t>#128593</t>
  </si>
  <si>
    <t>Kathy Tighe</t>
  </si>
  <si>
    <t>ktighe@gmx.com</t>
  </si>
  <si>
    <t>#130168</t>
  </si>
  <si>
    <t>Randy Townsend</t>
  </si>
  <si>
    <t>coachtownsend@fusionbhf.com</t>
  </si>
  <si>
    <t>#66918</t>
  </si>
  <si>
    <t>Kelsey Bartz</t>
  </si>
  <si>
    <t>bartzk92@gmail.com</t>
  </si>
  <si>
    <t>#140065</t>
  </si>
  <si>
    <t>Melissa Kaplan</t>
  </si>
  <si>
    <t>rebelmel82@gmail.com</t>
  </si>
  <si>
    <t>#6436KS</t>
  </si>
  <si>
    <t>Leslie Ingold</t>
  </si>
  <si>
    <t>leslieingold@mac.com</t>
  </si>
  <si>
    <t>#140206</t>
  </si>
  <si>
    <t>#133451</t>
  </si>
  <si>
    <t>Lindsay Southwick</t>
  </si>
  <si>
    <t>Elisa Tachis</t>
  </si>
  <si>
    <t>lsouthwick6@gmail.com</t>
  </si>
  <si>
    <t>tachisemail@gmail.com</t>
  </si>
  <si>
    <t>#109706</t>
  </si>
  <si>
    <t>Liz Weiss</t>
  </si>
  <si>
    <t>lizweiss2@gmail.com</t>
  </si>
  <si>
    <t>#142795</t>
  </si>
  <si>
    <t>Brendan Smith</t>
  </si>
  <si>
    <t>cms1@bu.edu</t>
  </si>
  <si>
    <t>#133752</t>
  </si>
  <si>
    <t>Melissa Ellard</t>
  </si>
  <si>
    <t>Melis2070@gmail.com</t>
  </si>
  <si>
    <t xml:space="preserve">#141121
</t>
  </si>
  <si>
    <t>Glenn Collier</t>
  </si>
  <si>
    <t>glenn.c.collier@gmail.com</t>
  </si>
  <si>
    <t>#128310</t>
  </si>
  <si>
    <t>Nancy Lindsay</t>
  </si>
  <si>
    <t>lindsay_nancy@bellsouth.net</t>
  </si>
  <si>
    <t xml:space="preserve">#144474
</t>
  </si>
  <si>
    <t>Inger Killian</t>
  </si>
  <si>
    <t>ingerhugh@yahoo.com</t>
  </si>
  <si>
    <t>#127161</t>
  </si>
  <si>
    <t>Pam Zoller</t>
  </si>
  <si>
    <t>pzolleric@olatheschools.org</t>
  </si>
  <si>
    <t>#136800</t>
  </si>
  <si>
    <t>STAMO EVTIMOV</t>
  </si>
  <si>
    <t>s8478905367@gmail.com</t>
  </si>
  <si>
    <t>#17830</t>
  </si>
  <si>
    <t>Tabatha Amodio</t>
  </si>
  <si>
    <t>tabatha.amodio@gmail.com</t>
  </si>
  <si>
    <t xml:space="preserve">#140039
</t>
  </si>
  <si>
    <t>Karen Francis</t>
  </si>
  <si>
    <t>kfrancis48@hotmail.com</t>
  </si>
  <si>
    <t>#128812</t>
  </si>
  <si>
    <t>Lisa Butler</t>
  </si>
  <si>
    <t>fishergirl4@yahoo.com</t>
  </si>
  <si>
    <t>#143373</t>
  </si>
  <si>
    <t>Suzanne Jones</t>
  </si>
  <si>
    <t>twj3@aol.com</t>
  </si>
  <si>
    <t>#14985KS</t>
  </si>
  <si>
    <t>Joseph Glasse</t>
  </si>
  <si>
    <t>jbglasse@me.com</t>
  </si>
  <si>
    <t>#143357</t>
  </si>
  <si>
    <t>David Colson</t>
  </si>
  <si>
    <t>#114437</t>
  </si>
  <si>
    <t>waynecolson8@gmail.com</t>
  </si>
  <si>
    <t>Marina Gennaro Gilpatrick</t>
  </si>
  <si>
    <t>mgilpatrick@gmail.com</t>
  </si>
  <si>
    <t>#66576</t>
  </si>
  <si>
    <t>Jackie Jazo</t>
  </si>
  <si>
    <t>23114838IGG</t>
  </si>
  <si>
    <t>jaquelinjazo@outlook.com</t>
  </si>
  <si>
    <t>Emmette Anderson Clark</t>
  </si>
  <si>
    <t>#106510</t>
  </si>
  <si>
    <t>Zoe Dinerstein</t>
  </si>
  <si>
    <t>zoedinerstein@gmail.com</t>
  </si>
  <si>
    <t>#113425</t>
  </si>
  <si>
    <t>R Lee Doyle</t>
  </si>
  <si>
    <t>leedoylenyc@gmail.com</t>
  </si>
  <si>
    <t>#11129AMF</t>
  </si>
  <si>
    <t>Steve Henn</t>
  </si>
  <si>
    <t>shenn123@yahoo.com</t>
  </si>
  <si>
    <t>#125486</t>
  </si>
  <si>
    <t>Makenzie Stroup</t>
  </si>
  <si>
    <t>kkrome64@yahoo.com</t>
  </si>
  <si>
    <t>#108875</t>
  </si>
  <si>
    <t>Christopher Cataldo</t>
  </si>
  <si>
    <t>ctcataldo121@gmail.com</t>
  </si>
  <si>
    <t>Shopify (Paypal)</t>
  </si>
  <si>
    <t>#4228KS</t>
  </si>
  <si>
    <t>Evelyn Bachofner</t>
  </si>
  <si>
    <t>evelyn.bachofner@bluewin.ch</t>
  </si>
  <si>
    <t>#106959</t>
  </si>
  <si>
    <t>Susan Zgodzinski</t>
  </si>
  <si>
    <t>szgod@aol.com</t>
  </si>
  <si>
    <t>#137363</t>
  </si>
  <si>
    <t>Crystal Maire</t>
  </si>
  <si>
    <t>cryssue@yahoo.com</t>
  </si>
  <si>
    <t>#124670</t>
  </si>
  <si>
    <t>Aaron Rappaport</t>
  </si>
  <si>
    <t>natalie.i.rappaport@gmail.com</t>
  </si>
  <si>
    <t>#119304</t>
  </si>
  <si>
    <t>Rosemary Damato</t>
  </si>
  <si>
    <t>phantomsgirl@the-lair.us</t>
  </si>
  <si>
    <t>#134640</t>
  </si>
  <si>
    <t>Kim Hawks</t>
  </si>
  <si>
    <t>khawksnest53@gmail.com</t>
  </si>
  <si>
    <t>#115258</t>
  </si>
  <si>
    <t>Sam Beaman</t>
  </si>
  <si>
    <t>beaman.sam@gmail.com</t>
  </si>
  <si>
    <t>29,70</t>
  </si>
  <si>
    <t>21480132BKS</t>
  </si>
  <si>
    <t>Tom Payne</t>
  </si>
  <si>
    <t>mirandapayne@doctors.org.uk</t>
  </si>
  <si>
    <t>KS / wire</t>
  </si>
  <si>
    <t>#131706</t>
  </si>
  <si>
    <t>Melissa Hadley</t>
  </si>
  <si>
    <t>mlbenton48@gmail.com</t>
  </si>
  <si>
    <t>21479866BKS</t>
  </si>
  <si>
    <t>Amanda Burley</t>
  </si>
  <si>
    <t>burleyamanda7@gmail.com</t>
  </si>
  <si>
    <t>#116513</t>
  </si>
  <si>
    <t>Brooke Pennock</t>
  </si>
  <si>
    <t>brookepennock@ymail.com</t>
  </si>
  <si>
    <t>#136480</t>
  </si>
  <si>
    <t>Erica Webb</t>
  </si>
  <si>
    <t>ericansmith@gmail.com</t>
  </si>
  <si>
    <t>#121038</t>
  </si>
  <si>
    <t>Anne Heppner</t>
  </si>
  <si>
    <t>ahep94@yahoo.com</t>
  </si>
  <si>
    <t>#106583</t>
  </si>
  <si>
    <t>Laura Grace</t>
  </si>
  <si>
    <t>susanlgrace@gmail.com</t>
  </si>
  <si>
    <t>#141928</t>
  </si>
  <si>
    <t>Ernest Motteram</t>
  </si>
  <si>
    <t>esmotteram@palouse.com</t>
  </si>
  <si>
    <t>Media Spend</t>
  </si>
  <si>
    <t>#71536</t>
  </si>
  <si>
    <t>Lisa Steele</t>
  </si>
  <si>
    <t>fresheggsdaily@gmail.com</t>
  </si>
  <si>
    <t>#140372</t>
  </si>
  <si>
    <t>Cliff Tunnell</t>
  </si>
  <si>
    <t>tunnell@gmail.com</t>
  </si>
  <si>
    <t>#115342</t>
  </si>
  <si>
    <t>Todd Jirousek</t>
  </si>
  <si>
    <t>tjirousek@yahoo.com</t>
  </si>
  <si>
    <t>#141528</t>
  </si>
  <si>
    <t>Nicolas Scheffer</t>
  </si>
  <si>
    <t>nscheffer@me.com</t>
  </si>
  <si>
    <t>#135975</t>
  </si>
  <si>
    <t>Richard Nagler</t>
  </si>
  <si>
    <t>naglerr@mac.com</t>
  </si>
  <si>
    <t>#144078</t>
  </si>
  <si>
    <t>Hal Strausberg</t>
  </si>
  <si>
    <t>hstrausberg@verizon.net</t>
  </si>
  <si>
    <t>#129844</t>
  </si>
  <si>
    <t>Media Fees</t>
  </si>
  <si>
    <t>Buddy Jackson</t>
  </si>
  <si>
    <t>jacksonad1@yahoo.com</t>
  </si>
  <si>
    <t>#140699</t>
  </si>
  <si>
    <t>Maureen Cassidy</t>
  </si>
  <si>
    <t>mocass@me.com</t>
  </si>
  <si>
    <t>#67958</t>
  </si>
  <si>
    <t>Gillian Bailey</t>
  </si>
  <si>
    <t>gilbean@hotmail.com</t>
  </si>
  <si>
    <t>COGS Bird Buddy ($82.52)</t>
  </si>
  <si>
    <t>#16394KS</t>
  </si>
  <si>
    <t>#141273</t>
  </si>
  <si>
    <t>Pierre Bedard</t>
  </si>
  <si>
    <t>William DeHaven</t>
  </si>
  <si>
    <t>willdehaven@gmail.com</t>
  </si>
  <si>
    <t>pjbedard1@hotmail.com</t>
  </si>
  <si>
    <t>#21459</t>
  </si>
  <si>
    <t>Christopher Wheeler</t>
  </si>
  <si>
    <t>cewhee@gmail.com</t>
  </si>
  <si>
    <t>#137637</t>
  </si>
  <si>
    <t>cannabush42@yahoo.com</t>
  </si>
  <si>
    <t>#128128</t>
  </si>
  <si>
    <t>Lori Buehler</t>
  </si>
  <si>
    <t>ljbuehler@hotmail.com</t>
  </si>
  <si>
    <t>Bird Buddy China Tax (7.5%)</t>
  </si>
  <si>
    <t>#106665</t>
  </si>
  <si>
    <t>Kristin Heemeryck</t>
  </si>
  <si>
    <t>kmheemeryck@hotmail.com</t>
  </si>
  <si>
    <t>#118385</t>
  </si>
  <si>
    <t>Cindy Jarosz</t>
  </si>
  <si>
    <t>mcjarosz@outlook.com</t>
  </si>
  <si>
    <t>#140758</t>
  </si>
  <si>
    <t>Dean Angelos</t>
  </si>
  <si>
    <t>dna@alum.mit.edu</t>
  </si>
  <si>
    <t>#16876KS</t>
  </si>
  <si>
    <t>Diane Kelchner</t>
  </si>
  <si>
    <t>getex@ptd.net</t>
  </si>
  <si>
    <t>#125660</t>
  </si>
  <si>
    <t>Adam Balk</t>
  </si>
  <si>
    <t>adambalk@hotmail.com</t>
  </si>
  <si>
    <t>Shopify (chargeback)</t>
  </si>
  <si>
    <t>COGS Bird Buddy with Solar Roof ($88.59)</t>
  </si>
  <si>
    <t>#122315</t>
  </si>
  <si>
    <t>Ryan Halley</t>
  </si>
  <si>
    <t>rahalley95@gmail.com</t>
  </si>
  <si>
    <t>#133652</t>
  </si>
  <si>
    <t>kathryn dawsey</t>
  </si>
  <si>
    <t>kate.dawsey@gmail.com</t>
  </si>
  <si>
    <t>delivery date</t>
  </si>
  <si>
    <t>#132895</t>
  </si>
  <si>
    <t>Mary Torrence</t>
  </si>
  <si>
    <t>mct7@aol.com</t>
  </si>
  <si>
    <t>#140214</t>
  </si>
  <si>
    <t>Laura Vitale</t>
  </si>
  <si>
    <t>vitale.laura@hotmail.com</t>
  </si>
  <si>
    <t>#12206KS</t>
  </si>
  <si>
    <t>Eve Wilbanks</t>
  </si>
  <si>
    <t>e.wilbanks@att.net</t>
  </si>
  <si>
    <t>Bird Buddy with Solar Roof China Tax (7.5%)</t>
  </si>
  <si>
    <t>#2687SPL</t>
  </si>
  <si>
    <t>Jeff Starke</t>
  </si>
  <si>
    <t>ejstarke1@gmail.com</t>
  </si>
  <si>
    <t>#127643</t>
  </si>
  <si>
    <t>Vanessa Farentinos</t>
  </si>
  <si>
    <t>1038track@gmail.com</t>
  </si>
  <si>
    <t>#115147</t>
  </si>
  <si>
    <t>Jennifer Granik</t>
  </si>
  <si>
    <t>jsgranik@gmail.com</t>
  </si>
  <si>
    <t>#145264</t>
  </si>
  <si>
    <t>Jessica Fike</t>
  </si>
  <si>
    <t>fikejessica2018@gmail.com</t>
  </si>
  <si>
    <t>#125801</t>
  </si>
  <si>
    <t>Elyse Sarris</t>
  </si>
  <si>
    <t>eksarris@gmail.com</t>
  </si>
  <si>
    <t>#142216</t>
  </si>
  <si>
    <t>Julie Gough</t>
  </si>
  <si>
    <t>julie@apalelandscape.co.uk</t>
  </si>
  <si>
    <t>COGS Fence Mount ($6.37)</t>
  </si>
  <si>
    <t>#130540</t>
  </si>
  <si>
    <t>Erin Waddington</t>
  </si>
  <si>
    <t>erin@freeformed.com</t>
  </si>
  <si>
    <t>#138465</t>
  </si>
  <si>
    <t>Martin Rifkin</t>
  </si>
  <si>
    <t>martin@rochester.rr.com</t>
  </si>
  <si>
    <t>#12153</t>
  </si>
  <si>
    <t>Alan Hutchiinson</t>
  </si>
  <si>
    <t>ahutchinson412@yahoo.com</t>
  </si>
  <si>
    <t>21479142BKS</t>
  </si>
  <si>
    <t>Matthias Knauer</t>
  </si>
  <si>
    <t>matieu@gmail.com</t>
  </si>
  <si>
    <t>24282226IGG</t>
  </si>
  <si>
    <t>Sabine Pfeiffer</t>
  </si>
  <si>
    <t>sabine.pfeiffer@isf-muenchen.de</t>
  </si>
  <si>
    <t>Fence Mount China Tax (7.5%)</t>
  </si>
  <si>
    <t>DE</t>
  </si>
  <si>
    <t>#112893</t>
  </si>
  <si>
    <t>#17905</t>
  </si>
  <si>
    <t xml:space="preserve">John Allaway </t>
  </si>
  <si>
    <t>Carrie Corboy</t>
  </si>
  <si>
    <t>jga1964@icloud.com</t>
  </si>
  <si>
    <t>onecosail@gmail.com</t>
  </si>
  <si>
    <t>United Kingdom</t>
  </si>
  <si>
    <t>#126893</t>
  </si>
  <si>
    <t>Shannon Calhoon</t>
  </si>
  <si>
    <t>#129579</t>
  </si>
  <si>
    <t>shannon400hj@gmail.com</t>
  </si>
  <si>
    <t>Kayleen Higgins</t>
  </si>
  <si>
    <t>kayhigg12@aol.com</t>
  </si>
  <si>
    <t>Fence Mount Duty (3.4%)</t>
  </si>
  <si>
    <t>#145076</t>
  </si>
  <si>
    <t>Carrie Strange</t>
  </si>
  <si>
    <t>carrieystrange@gmail.com</t>
  </si>
  <si>
    <r>
      <rPr>
        <rFont val="Arial"/>
        <b val="0"/>
        <color rgb="FF202223"/>
        <sz val="10.0"/>
      </rPr>
      <t>#132290</t>
    </r>
  </si>
  <si>
    <t>Nancy Werner</t>
  </si>
  <si>
    <t>nancywerner67@gmail.com</t>
  </si>
  <si>
    <t>#141988</t>
  </si>
  <si>
    <t>Heidi Lyjak</t>
  </si>
  <si>
    <t>dhlyjak3@gmail.com</t>
  </si>
  <si>
    <t>#6431KS</t>
  </si>
  <si>
    <t>Ashley Brubaker</t>
  </si>
  <si>
    <t>eventer4life16@mac.com</t>
  </si>
  <si>
    <t>COGS Wall Mount ($4.73)</t>
  </si>
  <si>
    <t>#139056</t>
  </si>
  <si>
    <t>Manuel D Luna Jr</t>
  </si>
  <si>
    <t>mannyloona@gmail.com</t>
  </si>
  <si>
    <t>#128578</t>
  </si>
  <si>
    <t>Heather Heydet</t>
  </si>
  <si>
    <t>hheydet@gmail.com</t>
  </si>
  <si>
    <t>#140128</t>
  </si>
  <si>
    <t>Niek Eijsbouts</t>
  </si>
  <si>
    <t>niekeijsbouts@gmail.com</t>
  </si>
  <si>
    <t>#130566</t>
  </si>
  <si>
    <t>Adriana Psi</t>
  </si>
  <si>
    <t>apsiam16@aol.com</t>
  </si>
  <si>
    <t>Wall Mount China Tax (7.5%)</t>
  </si>
  <si>
    <t>#120125</t>
  </si>
  <si>
    <t>Tammy Snell</t>
  </si>
  <si>
    <t>#21905</t>
  </si>
  <si>
    <t>mrstammysnell@gmail.com</t>
  </si>
  <si>
    <t>Zahra Rahman</t>
  </si>
  <si>
    <t>zahrarahmandesign@gmail.com</t>
  </si>
  <si>
    <t>#120846</t>
  </si>
  <si>
    <t>Terri Ann Scott</t>
  </si>
  <si>
    <t>tascott40@gmail.com</t>
  </si>
  <si>
    <t>#124050</t>
  </si>
  <si>
    <t>Peggy Sheets</t>
  </si>
  <si>
    <t>peggy@sheetsbsl.com</t>
  </si>
  <si>
    <t>Wall Mount Duty (3.4%)</t>
  </si>
  <si>
    <t>#12301KS</t>
  </si>
  <si>
    <t>Annelies Da Costa Gomez</t>
  </si>
  <si>
    <t>anneliesdcg@bellsouth.net</t>
  </si>
  <si>
    <t>#116175</t>
  </si>
  <si>
    <t>Kira Bloechl</t>
  </si>
  <si>
    <t>kira.bloechl@gmail.com</t>
  </si>
  <si>
    <t>#142811</t>
  </si>
  <si>
    <t>Fred Gaines</t>
  </si>
  <si>
    <t>phred.gaines@gmail.com</t>
  </si>
  <si>
    <t>#134269</t>
  </si>
  <si>
    <t>Rachel Securro</t>
  </si>
  <si>
    <t>rachelsecurro71@gmail.com</t>
  </si>
  <si>
    <t>#121790</t>
  </si>
  <si>
    <t>COGS Suet Ball ($0.88)</t>
  </si>
  <si>
    <t>Ranjit Singh</t>
  </si>
  <si>
    <t>rp.singh@outlook.com</t>
  </si>
  <si>
    <t>#136044</t>
  </si>
  <si>
    <t>#130013</t>
  </si>
  <si>
    <t>Peggy Roberts</t>
  </si>
  <si>
    <t>Nick Ingallina</t>
  </si>
  <si>
    <t>pr7rose@aol.com</t>
  </si>
  <si>
    <t>NICHOLAS.INGALLINA@YAHOO.COM</t>
  </si>
  <si>
    <t>#127482</t>
  </si>
  <si>
    <t>Susan Lund</t>
  </si>
  <si>
    <t>slundtx@me.com</t>
  </si>
  <si>
    <t>#143374</t>
  </si>
  <si>
    <t>Nathan Willger</t>
  </si>
  <si>
    <t>nathan.willger1@gmail.com</t>
  </si>
  <si>
    <t>Suet Ball China Tax (7.5%)</t>
  </si>
  <si>
    <t>21496725BKS</t>
  </si>
  <si>
    <t>Phillip Reid</t>
  </si>
  <si>
    <t>phillip.reid.mi@gmail.com</t>
  </si>
  <si>
    <t>#141463</t>
  </si>
  <si>
    <t>Karen Wiringa</t>
  </si>
  <si>
    <t>kwiringa@gmail.com</t>
  </si>
  <si>
    <t>#16133KS</t>
  </si>
  <si>
    <t>Ron Pennington</t>
  </si>
  <si>
    <t>ctp856@gmail.com</t>
  </si>
  <si>
    <t>21489728BKS</t>
  </si>
  <si>
    <t>Gabrielle Fornace</t>
  </si>
  <si>
    <t>gfornace@gmail.com</t>
  </si>
  <si>
    <t>Suet Ball Duty (3.4%)</t>
  </si>
  <si>
    <t>#112317</t>
  </si>
  <si>
    <t>Ryan Jordan</t>
  </si>
  <si>
    <t>ryanwilliamjordan@gmail.com</t>
  </si>
  <si>
    <t>#127006</t>
  </si>
  <si>
    <t>Kathryn Levine</t>
  </si>
  <si>
    <t>kathrynglevine@gmail.com</t>
  </si>
  <si>
    <t>COGS Water Fountain ($5.00)</t>
  </si>
  <si>
    <t>#115223</t>
  </si>
  <si>
    <t>Calvin Carter</t>
  </si>
  <si>
    <t>calvin@calvinkcarter.com</t>
  </si>
  <si>
    <t>#115078</t>
  </si>
  <si>
    <t>Allii Fontaine</t>
  </si>
  <si>
    <t>afontaine15@elmira.edu</t>
  </si>
  <si>
    <t>#132739</t>
  </si>
  <si>
    <t>Amanda Kirkhart</t>
  </si>
  <si>
    <t>amanda.kirkhart@gmail.com</t>
  </si>
  <si>
    <t>Water Fountain China Tax (7.5%)</t>
  </si>
  <si>
    <t>#119194</t>
  </si>
  <si>
    <t>Brent Dober</t>
  </si>
  <si>
    <t>brentdober@gmail.com</t>
  </si>
  <si>
    <t>#124641</t>
  </si>
  <si>
    <t>Sandra Sacks</t>
  </si>
  <si>
    <t>btf53c@aol.com</t>
  </si>
  <si>
    <t>#122521</t>
  </si>
  <si>
    <t>Gustavo Burgos</t>
  </si>
  <si>
    <t>gusburgos92@gmail.com</t>
  </si>
  <si>
    <t>Water Fountain Duty (3.4%)</t>
  </si>
  <si>
    <t>#18605</t>
  </si>
  <si>
    <t>Lynn Stearns</t>
  </si>
  <si>
    <t>lynnandmichaelstearns@yahoo.com</t>
  </si>
  <si>
    <t>24282422IGG</t>
  </si>
  <si>
    <t>Holly Peck</t>
  </si>
  <si>
    <t>hpeck595@comcast.net</t>
  </si>
  <si>
    <t>COGS Solar Roof Single ($11.01)</t>
  </si>
  <si>
    <t>#120420</t>
  </si>
  <si>
    <t>Connor Boyle</t>
  </si>
  <si>
    <t>boyle.connor@gmail.com</t>
  </si>
  <si>
    <t>#133404</t>
  </si>
  <si>
    <t>Lana Long</t>
  </si>
  <si>
    <t>lanag7119@gmail.com</t>
  </si>
  <si>
    <t>#65086</t>
  </si>
  <si>
    <t>Connie Stadler</t>
  </si>
  <si>
    <t>henry.heldner@gmail.com</t>
  </si>
  <si>
    <t>Solar Roof Single China Tax (25%)</t>
  </si>
  <si>
    <t>#126800</t>
  </si>
  <si>
    <t>Gina Eichelbaum</t>
  </si>
  <si>
    <t>geichelbaum@icloud.com</t>
  </si>
  <si>
    <t>#114391</t>
  </si>
  <si>
    <t>Jeffrey Nelson</t>
  </si>
  <si>
    <t>jkjnelson@hotmail.com</t>
  </si>
  <si>
    <t>Solar Roof Single Duty (2.5%)</t>
  </si>
  <si>
    <t>#112795</t>
  </si>
  <si>
    <t>#120358</t>
  </si>
  <si>
    <t>Robert Wilson</t>
  </si>
  <si>
    <t>thisguy2007@gmail.com</t>
  </si>
  <si>
    <t>#114975</t>
  </si>
  <si>
    <t>Natalie Hofer</t>
  </si>
  <si>
    <t>nataliehofer@gmail.com</t>
  </si>
  <si>
    <t>Wire (shipping)</t>
  </si>
  <si>
    <t xml:space="preserve">#123194
</t>
  </si>
  <si>
    <t xml:space="preserve">Sarah Weber
</t>
  </si>
  <si>
    <t>sweb76@gmail.com</t>
  </si>
  <si>
    <t>#12939KS</t>
  </si>
  <si>
    <t>Shandra Stout</t>
  </si>
  <si>
    <t>shandrananette@gmail.com</t>
  </si>
  <si>
    <t xml:space="preserve">#17982
</t>
  </si>
  <si>
    <t>Nora Sherman</t>
  </si>
  <si>
    <t>Harbor Maintenance Fees (0.125%)</t>
  </si>
  <si>
    <t>nora@shermanhome.com</t>
  </si>
  <si>
    <t>#131183</t>
  </si>
  <si>
    <t>Marissa Shepherd</t>
  </si>
  <si>
    <t>dizzyducky14@gmail.com</t>
  </si>
  <si>
    <t>#109905</t>
  </si>
  <si>
    <t>Paige Hugg</t>
  </si>
  <si>
    <t>paigehugg@gmail.com</t>
  </si>
  <si>
    <t>#123780</t>
  </si>
  <si>
    <t>Sam Jackson</t>
  </si>
  <si>
    <t>sjackson921@gmail.com</t>
  </si>
  <si>
    <t>#65932</t>
  </si>
  <si>
    <t>Pam Storie</t>
  </si>
  <si>
    <t>pstorie62@outlook.com</t>
  </si>
  <si>
    <t xml:space="preserve">#123919
</t>
  </si>
  <si>
    <t xml:space="preserve">Matthew Nease
</t>
  </si>
  <si>
    <t>matthew.s.nease@gmail.com</t>
  </si>
  <si>
    <t>Merchandise Processing Fees (0.3464%)*</t>
  </si>
  <si>
    <t xml:space="preserve">#124830
</t>
  </si>
  <si>
    <t>Jon Ferguson</t>
  </si>
  <si>
    <t>jonferg@aol.com</t>
  </si>
  <si>
    <t>Inbound Shipping BB units</t>
  </si>
  <si>
    <t xml:space="preserve">#133484
</t>
  </si>
  <si>
    <t>Anna Farley</t>
  </si>
  <si>
    <t>anna@gafirestop.com</t>
  </si>
  <si>
    <t>#131141</t>
  </si>
  <si>
    <t xml:space="preserve">Debbie Gecgil
</t>
  </si>
  <si>
    <t>gecgild@att.net</t>
  </si>
  <si>
    <t xml:space="preserve">Shopify </t>
  </si>
  <si>
    <t xml:space="preserve">#113584
</t>
  </si>
  <si>
    <t>Austin Hedley</t>
  </si>
  <si>
    <t>austin.hedley33@gmail.com</t>
  </si>
  <si>
    <t xml:space="preserve">#70163
</t>
  </si>
  <si>
    <t>Robert Scarfo</t>
  </si>
  <si>
    <t>bscarfo@landandlife.com</t>
  </si>
  <si>
    <t xml:space="preserve">#2041KS
</t>
  </si>
  <si>
    <t>Loulie Scharf</t>
  </si>
  <si>
    <t>lmscharf@bellsouth.net</t>
  </si>
  <si>
    <t>#110102</t>
  </si>
  <si>
    <t>Dorothy Romisch</t>
  </si>
  <si>
    <t>huskerdorothy@gmail.com</t>
  </si>
  <si>
    <t>#20188</t>
  </si>
  <si>
    <t>Wade Danforth</t>
  </si>
  <si>
    <t>wadedanforth@icloud.com</t>
  </si>
  <si>
    <t xml:space="preserve">#39662
</t>
  </si>
  <si>
    <t>Tristan Petry</t>
  </si>
  <si>
    <t>emt1052@gmail.com</t>
  </si>
  <si>
    <t>Outbound Shipping BB units</t>
  </si>
  <si>
    <t xml:space="preserve">#123678
</t>
  </si>
  <si>
    <t>Jessica Jenney</t>
  </si>
  <si>
    <t>jjenneypt@gmail.com</t>
  </si>
  <si>
    <t>#131904</t>
  </si>
  <si>
    <t>Callie Williams</t>
  </si>
  <si>
    <t>caldds@hotmail.com</t>
  </si>
  <si>
    <t xml:space="preserve">#129249
</t>
  </si>
  <si>
    <t>Danielle Lawhorn</t>
  </si>
  <si>
    <t>daniellelawhorn@gmail.com</t>
  </si>
  <si>
    <t xml:space="preserve">#123811
</t>
  </si>
  <si>
    <t xml:space="preserve">Jake Bunch
</t>
  </si>
  <si>
    <t>jakeabunch@gmail.com</t>
  </si>
  <si>
    <t xml:space="preserve">#108782
</t>
  </si>
  <si>
    <t xml:space="preserve">Mark Nicoletti
</t>
  </si>
  <si>
    <t>markoohay@yahoo.com</t>
  </si>
  <si>
    <t xml:space="preserve">#111414
</t>
  </si>
  <si>
    <t xml:space="preserve">Timothy Dunn
</t>
  </si>
  <si>
    <t>trdunn29@gmail.com</t>
  </si>
  <si>
    <t>Inbound Shipping Add-ons</t>
  </si>
  <si>
    <t xml:space="preserve">#116525
</t>
  </si>
  <si>
    <t>William Engle</t>
  </si>
  <si>
    <t>wscottengle@gmail.com</t>
  </si>
  <si>
    <t>#19892</t>
  </si>
  <si>
    <t>Susan Urquhart</t>
  </si>
  <si>
    <t>sbu4507@gmail.com</t>
  </si>
  <si>
    <t xml:space="preserve">#108603
</t>
  </si>
  <si>
    <t>Carol Reese</t>
  </si>
  <si>
    <t>creese700@gmail.com</t>
  </si>
  <si>
    <t>#69899</t>
  </si>
  <si>
    <t xml:space="preserve">Holly Ross
</t>
  </si>
  <si>
    <t>holntof@gmail.com</t>
  </si>
  <si>
    <t xml:space="preserve">#117091
</t>
  </si>
  <si>
    <t xml:space="preserve">Molly Freidinger
</t>
  </si>
  <si>
    <t>mmfreidinger@gmail.com</t>
  </si>
  <si>
    <t>Outbound Shipping Add-ons</t>
  </si>
  <si>
    <t xml:space="preserve">#117345
</t>
  </si>
  <si>
    <t>Danielle Mooney</t>
  </si>
  <si>
    <t>danielle.n.mooney@gmail.com</t>
  </si>
  <si>
    <t xml:space="preserve">#120024
</t>
  </si>
  <si>
    <t>Austin Hacker</t>
  </si>
  <si>
    <t>ajhacker27@gmail.com</t>
  </si>
  <si>
    <t>(All sales) US VAT (Shopify)</t>
  </si>
  <si>
    <t>#17334KS</t>
  </si>
  <si>
    <t>Jeff Vogel</t>
  </si>
  <si>
    <t>vogelvetderm@gmail.com</t>
  </si>
  <si>
    <t>(All sales) Europe VAT (EU, UK, NOR, SWI) - 22%</t>
  </si>
  <si>
    <t xml:space="preserve">#132264
</t>
  </si>
  <si>
    <t>Anne Cook</t>
  </si>
  <si>
    <t>infojules@gmail.com</t>
  </si>
  <si>
    <t xml:space="preserve">#122498
</t>
  </si>
  <si>
    <t>Craig Handzlik</t>
  </si>
  <si>
    <t>Handzlikc@gmail.com</t>
  </si>
  <si>
    <t xml:space="preserve">#126774
</t>
  </si>
  <si>
    <t>Colleen LeComte</t>
  </si>
  <si>
    <t>colleen.lecomte@gmail.com</t>
  </si>
  <si>
    <t xml:space="preserve">#122997
</t>
  </si>
  <si>
    <t>Jennifer Richardson</t>
  </si>
  <si>
    <t>jlsrichardson@gmail.com</t>
  </si>
  <si>
    <t>(All sales) Rest of World VAT - 13%</t>
  </si>
  <si>
    <t xml:space="preserve">#128205
</t>
  </si>
  <si>
    <t>Robert Gates</t>
  </si>
  <si>
    <t>rgatesiii@gmail.com</t>
  </si>
  <si>
    <t>#113983</t>
  </si>
  <si>
    <t>Sharla Hartgraves</t>
  </si>
  <si>
    <t>shartgraves1@gmail.com</t>
  </si>
  <si>
    <t>#4803KS</t>
  </si>
  <si>
    <t>Mike Stratta</t>
  </si>
  <si>
    <t>thomasea904@gmail.com</t>
  </si>
  <si>
    <t>#129866</t>
  </si>
  <si>
    <t>Claire Chier</t>
  </si>
  <si>
    <t>clairechier@gmail.com</t>
  </si>
  <si>
    <t>Refunds</t>
  </si>
  <si>
    <t>#122086</t>
  </si>
  <si>
    <t>Kaethe Melia</t>
  </si>
  <si>
    <t>faith.service.1966@gmail.com</t>
  </si>
  <si>
    <t xml:space="preserve">Returns </t>
  </si>
  <si>
    <t>#131084</t>
  </si>
  <si>
    <t>Kayla Canning</t>
  </si>
  <si>
    <t>kaylacanning@yahoo.com</t>
  </si>
  <si>
    <t>Returns Shipping ($10)</t>
  </si>
  <si>
    <t>#39194</t>
  </si>
  <si>
    <t>Rocky Smith</t>
  </si>
  <si>
    <t>rocky.james.smith@gmail.com</t>
  </si>
  <si>
    <t>#132974</t>
  </si>
  <si>
    <t>John Young</t>
  </si>
  <si>
    <t>jcy110@aol.com</t>
  </si>
  <si>
    <t>#71144</t>
  </si>
  <si>
    <t>Michael Roth</t>
  </si>
  <si>
    <t>mikemakeswine@gmail.com</t>
  </si>
  <si>
    <t>Chargebacks</t>
  </si>
  <si>
    <t>#113897</t>
  </si>
  <si>
    <t>Emily Richards</t>
  </si>
  <si>
    <t>erichards@gmail.com</t>
  </si>
  <si>
    <t>3PL Handling Fee ($1.5)</t>
  </si>
  <si>
    <t>#110465</t>
  </si>
  <si>
    <t>Lauren Preston</t>
  </si>
  <si>
    <t>lpreston426@yahoo.com</t>
  </si>
  <si>
    <t>#110232</t>
  </si>
  <si>
    <t>Rita Ford</t>
  </si>
  <si>
    <t>rjwnf@pm.me</t>
  </si>
  <si>
    <t>3PL Serial Capture ($0.3)</t>
  </si>
  <si>
    <t>#119725</t>
  </si>
  <si>
    <t>Molly Richter</t>
  </si>
  <si>
    <t>mollybrichter@gmail.com</t>
  </si>
  <si>
    <t>#130042</t>
  </si>
  <si>
    <t>Julie Mahony</t>
  </si>
  <si>
    <t>mahonyj22@gmail.com</t>
  </si>
  <si>
    <t>#129469</t>
  </si>
  <si>
    <t>Patricia Lipscomb</t>
  </si>
  <si>
    <t>trish.lipscomb@gmail.com</t>
  </si>
  <si>
    <t>3PL Storage Cost ($0.31 per unit)</t>
  </si>
  <si>
    <t>20/11/2022</t>
  </si>
  <si>
    <t>#124685</t>
  </si>
  <si>
    <t>Amy Ben-Horin</t>
  </si>
  <si>
    <t>amy@wanderproject.org</t>
  </si>
  <si>
    <t xml:space="preserve">USA </t>
  </si>
  <si>
    <t>#66294</t>
  </si>
  <si>
    <t>Jamie Marois</t>
  </si>
  <si>
    <t>cathy64murray@yahoo.com</t>
  </si>
  <si>
    <t>#21930</t>
  </si>
  <si>
    <t>Chris Engel</t>
  </si>
  <si>
    <t>chrisengel007@gmail.com</t>
  </si>
  <si>
    <t>Replacements and Claims separate costs</t>
  </si>
  <si>
    <t>#71411</t>
  </si>
  <si>
    <t>Susan Hall</t>
  </si>
  <si>
    <t>susan.hall@jmhllc.org</t>
  </si>
  <si>
    <t>#126496</t>
  </si>
  <si>
    <t>Caitlin McWhorter</t>
  </si>
  <si>
    <t>caitmcwhorter@gmail.com</t>
  </si>
  <si>
    <t>#125001</t>
  </si>
  <si>
    <t>Noreen Lancaster-Weaver</t>
  </si>
  <si>
    <t>beananev@aol.com</t>
  </si>
  <si>
    <t>#114322</t>
  </si>
  <si>
    <t>Jodi Upton</t>
  </si>
  <si>
    <t>jodi.upton@gmail.com</t>
  </si>
  <si>
    <t>#130932</t>
  </si>
  <si>
    <t>Talia Calabrese</t>
  </si>
  <si>
    <t>talcal7@aol.com</t>
  </si>
  <si>
    <t>#21940</t>
  </si>
  <si>
    <t>Jack Cohen</t>
  </si>
  <si>
    <t>rjackcohen@gmail.com</t>
  </si>
  <si>
    <t>#120356</t>
  </si>
  <si>
    <t>Adrianne Marco</t>
  </si>
  <si>
    <t>adrikaspmarc@gmail.com</t>
  </si>
  <si>
    <t>#118898</t>
  </si>
  <si>
    <t>Alison Elliott</t>
  </si>
  <si>
    <t>alisonelliott194@gmail.com</t>
  </si>
  <si>
    <t>#115686</t>
  </si>
  <si>
    <t xml:space="preserve">Alison Skiles </t>
  </si>
  <si>
    <t>alisonripp@yahoo.com</t>
  </si>
  <si>
    <t>#128429</t>
  </si>
  <si>
    <t xml:space="preserve">Amy Mullen </t>
  </si>
  <si>
    <t>amullen92126@gmail.com</t>
  </si>
  <si>
    <t>#122560</t>
  </si>
  <si>
    <t>Amy O'Hara</t>
  </si>
  <si>
    <t>ohara.amye@gmail.com</t>
  </si>
  <si>
    <t>#16703KS</t>
  </si>
  <si>
    <t xml:space="preserve">April Frost </t>
  </si>
  <si>
    <t>aprilfrost18@gmail.com</t>
  </si>
  <si>
    <t>#130945</t>
  </si>
  <si>
    <t>Bari Demichele</t>
  </si>
  <si>
    <t>b_snieder@hotmail.com</t>
  </si>
  <si>
    <t>#12644KS</t>
  </si>
  <si>
    <t>Beth Damas</t>
  </si>
  <si>
    <t>bethann.dds@gmail.com</t>
  </si>
  <si>
    <t>#110866</t>
  </si>
  <si>
    <t xml:space="preserve">Bob Hook </t>
  </si>
  <si>
    <t>bhook123@hotmail.com</t>
  </si>
  <si>
    <t>#119266</t>
  </si>
  <si>
    <t>Brandon O’Connell</t>
  </si>
  <si>
    <t>brandon.oconnell3@gmail.com</t>
  </si>
  <si>
    <t>#121501</t>
  </si>
  <si>
    <t>Caleb Beaty</t>
  </si>
  <si>
    <t>mason.beaty@gmail.com</t>
  </si>
  <si>
    <t>#125629</t>
  </si>
  <si>
    <t>Caitlin Manning</t>
  </si>
  <si>
    <t>cmanning22@gmail.com</t>
  </si>
  <si>
    <t>#130305</t>
  </si>
  <si>
    <t xml:space="preserve">Emily Keen </t>
  </si>
  <si>
    <t>ekeen12@gmail.com</t>
  </si>
  <si>
    <t>#123325</t>
  </si>
  <si>
    <t>Iris Thierry</t>
  </si>
  <si>
    <t>charterboatescape@gmail.com</t>
  </si>
  <si>
    <t>#11280</t>
  </si>
  <si>
    <t>Leah Gordon</t>
  </si>
  <si>
    <t>leah.b.gordon@gmail.com</t>
  </si>
  <si>
    <t>#21626</t>
  </si>
  <si>
    <t xml:space="preserve">Bob Dryfoos </t>
  </si>
  <si>
    <t>tdryfoos@gmail.com</t>
  </si>
  <si>
    <t>21485192BKS</t>
  </si>
  <si>
    <t>Katie Barber</t>
  </si>
  <si>
    <t>lenabarber@icloud.com</t>
  </si>
  <si>
    <t>#114945</t>
  </si>
  <si>
    <t xml:space="preserve">Natalie Biggers </t>
  </si>
  <si>
    <t>natalie.biggers@ctt.com</t>
  </si>
  <si>
    <t>#123984</t>
  </si>
  <si>
    <t>Haleigh Biancalana</t>
  </si>
  <si>
    <t>haleigh_biancalana@aol.com</t>
  </si>
  <si>
    <t>#120423</t>
  </si>
  <si>
    <t>Amy Stonich</t>
  </si>
  <si>
    <t>lgnagirl@msn.com</t>
  </si>
  <si>
    <t>#125303</t>
  </si>
  <si>
    <t xml:space="preserve">Clint Bluestein </t>
  </si>
  <si>
    <t>cbluestein@gmail.com</t>
  </si>
  <si>
    <t>#124304</t>
  </si>
  <si>
    <t>Kasey Turcol</t>
  </si>
  <si>
    <t>kcturcol@gmail.com</t>
  </si>
  <si>
    <t>#2860KS</t>
  </si>
  <si>
    <t>Gwen Vela</t>
  </si>
  <si>
    <t>gwenmarlattvela@gmail.com</t>
  </si>
  <si>
    <t>#119433</t>
  </si>
  <si>
    <t xml:space="preserve">Jeff Gordon </t>
  </si>
  <si>
    <t>alisonggordon@gmail.com</t>
  </si>
  <si>
    <t>#118813</t>
  </si>
  <si>
    <t>Scott Koth</t>
  </si>
  <si>
    <t>scott.koth@hotmail.com</t>
  </si>
  <si>
    <t>#122924</t>
  </si>
  <si>
    <t>Sarah Wainio</t>
  </si>
  <si>
    <t>sarahw@mfasocdoc.com</t>
  </si>
  <si>
    <t>#40370</t>
  </si>
  <si>
    <t>Julie Dittman</t>
  </si>
  <si>
    <t>dittman.julie25@gmail.com</t>
  </si>
  <si>
    <t>#121121</t>
  </si>
  <si>
    <t xml:space="preserve">Mpr Robitaille </t>
  </si>
  <si>
    <t>mpmpr@hotmail.com</t>
  </si>
  <si>
    <t>#126065</t>
  </si>
  <si>
    <t>Megan Mccann</t>
  </si>
  <si>
    <t>meg2142@hotmail.com</t>
  </si>
  <si>
    <t>#15570</t>
  </si>
  <si>
    <t>Jenny Selby</t>
  </si>
  <si>
    <t>selbysh@gmail.com</t>
  </si>
  <si>
    <t>#111513</t>
  </si>
  <si>
    <t>Rebecca Morris</t>
  </si>
  <si>
    <t>thurstonpower@gmail.com</t>
  </si>
  <si>
    <t>#127142</t>
  </si>
  <si>
    <t>Laurie Hamner</t>
  </si>
  <si>
    <t>khamner1@bellsouth.net</t>
  </si>
  <si>
    <t>#118825</t>
  </si>
  <si>
    <t>Joan Miller</t>
  </si>
  <si>
    <t>joanbmiller@comcast.net</t>
  </si>
  <si>
    <t>21484350BKS</t>
  </si>
  <si>
    <t>Chris (cricket) Hynes</t>
  </si>
  <si>
    <t>cricket@mac.com</t>
  </si>
  <si>
    <t>#119574</t>
  </si>
  <si>
    <t>John Hardiman</t>
  </si>
  <si>
    <t>chardiman@att.net</t>
  </si>
  <si>
    <t>#13726KS</t>
  </si>
  <si>
    <t>Stephen Shaheen</t>
  </si>
  <si>
    <t>sps0608@gmail.com</t>
  </si>
  <si>
    <t>27/11/2022</t>
  </si>
  <si>
    <t xml:space="preserve">#130110 </t>
  </si>
  <si>
    <t>Lisa Gold</t>
  </si>
  <si>
    <t>lisagold@me.com</t>
  </si>
  <si>
    <t>21492067BKS</t>
  </si>
  <si>
    <t>Tami Rowe</t>
  </si>
  <si>
    <t>mylesandtami@icloud.com</t>
  </si>
  <si>
    <t>#18304-A</t>
  </si>
  <si>
    <t>William McCollum</t>
  </si>
  <si>
    <t>willmccollum@gmail.com</t>
  </si>
  <si>
    <t>#8194KS</t>
  </si>
  <si>
    <t>Melinda Lochen</t>
  </si>
  <si>
    <t>melindalochen@hotmail.com</t>
  </si>
  <si>
    <t>#42559</t>
  </si>
  <si>
    <t>Elizabeth London</t>
  </si>
  <si>
    <t>eblasst@gmail.com</t>
  </si>
  <si>
    <t>#107087</t>
  </si>
  <si>
    <t>Jessica Powers</t>
  </si>
  <si>
    <t>powers.jv@gmail.com</t>
  </si>
  <si>
    <t>21478763BKS</t>
  </si>
  <si>
    <t>judy herbert</t>
  </si>
  <si>
    <t>mark@5herberts.com</t>
  </si>
  <si>
    <t>#114403</t>
  </si>
  <si>
    <t>Thomas Horwath</t>
  </si>
  <si>
    <t>thorwath@gmail.com</t>
  </si>
  <si>
    <t>#115892</t>
  </si>
  <si>
    <t>Brent Robertson</t>
  </si>
  <si>
    <t>crashit72@yahoo.com</t>
  </si>
  <si>
    <t>#70821</t>
  </si>
  <si>
    <t>Micah Siegel</t>
  </si>
  <si>
    <t>micsig@gmail.com</t>
  </si>
  <si>
    <t>#121309</t>
  </si>
  <si>
    <t>Mair Demarco</t>
  </si>
  <si>
    <t>marianne.demarco@gmail.com</t>
  </si>
  <si>
    <t>#118203</t>
  </si>
  <si>
    <t>Missy Plumley</t>
  </si>
  <si>
    <t>missy.plumley@yahoo.com</t>
  </si>
  <si>
    <t>#120080</t>
  </si>
  <si>
    <t>Danielle McGeary</t>
  </si>
  <si>
    <t>Dani7485@gmail.com</t>
  </si>
  <si>
    <t>21/11/2021</t>
  </si>
  <si>
    <t>#14463KS</t>
  </si>
  <si>
    <t>Sandy Wu</t>
  </si>
  <si>
    <t>sandy_wu1@yahoo.com</t>
  </si>
  <si>
    <t>28/11/2021</t>
  </si>
  <si>
    <t>#132225</t>
  </si>
  <si>
    <t>Melisa Hux</t>
  </si>
  <si>
    <t>missyhux@gmail.com</t>
  </si>
  <si>
    <t>#19339</t>
  </si>
  <si>
    <t>Lynn Foster</t>
  </si>
  <si>
    <t>lfoster5211@gmail.com</t>
  </si>
  <si>
    <t>#13235KS</t>
  </si>
  <si>
    <t>John Wood</t>
  </si>
  <si>
    <t>jkwfhs@gmail.com</t>
  </si>
  <si>
    <t>#117287</t>
  </si>
  <si>
    <t>David Cohen</t>
  </si>
  <si>
    <t>david@cohen24.com</t>
  </si>
  <si>
    <t>#111930</t>
  </si>
  <si>
    <t>Whitney Luebbers</t>
  </si>
  <si>
    <t>whitney.kampwerth4@gmail.com</t>
  </si>
  <si>
    <t>#18259</t>
  </si>
  <si>
    <t>Kerry Conklin</t>
  </si>
  <si>
    <t>kerryconklin@gmail.com</t>
  </si>
  <si>
    <t>#119271</t>
  </si>
  <si>
    <t>Amy McNeilly</t>
  </si>
  <si>
    <t>mcneillyw@bellsouth.net</t>
  </si>
  <si>
    <t>#110060</t>
  </si>
  <si>
    <t>Jenna Ward</t>
  </si>
  <si>
    <t>philly1run@aol.com</t>
  </si>
  <si>
    <t>#17216KS</t>
  </si>
  <si>
    <t>Andrew Martin</t>
  </si>
  <si>
    <t>hello@andrewmart.in</t>
  </si>
  <si>
    <t>#108726</t>
  </si>
  <si>
    <t>Siobhan Sawyer</t>
  </si>
  <si>
    <t>boninnc@att.net</t>
  </si>
  <si>
    <t>#129991</t>
  </si>
  <si>
    <t>Christine Kameen</t>
  </si>
  <si>
    <t>mckameen@comcast.net</t>
  </si>
  <si>
    <t>#132724</t>
  </si>
  <si>
    <t>Cathi Maziarz</t>
  </si>
  <si>
    <t>Teapot64@aol.com</t>
  </si>
  <si>
    <t>#127069</t>
  </si>
  <si>
    <t>Mary Schabort</t>
  </si>
  <si>
    <t>maryschabort@gmail.com</t>
  </si>
  <si>
    <t>#112277</t>
  </si>
  <si>
    <t>Alan R Eagle Jr</t>
  </si>
  <si>
    <t>aeagle@gmail.com</t>
  </si>
  <si>
    <t>#123023</t>
  </si>
  <si>
    <t>Ginger Caporal</t>
  </si>
  <si>
    <t>toddcaporal@gmail.com</t>
  </si>
  <si>
    <t>#124716</t>
  </si>
  <si>
    <t>Daniel Neiman</t>
  </si>
  <si>
    <t>dneiman@gmail.com</t>
  </si>
  <si>
    <t>#20379</t>
  </si>
  <si>
    <t>Heather Kinsey</t>
  </si>
  <si>
    <t>heather.goldner@gmail.com</t>
  </si>
  <si>
    <t xml:space="preserve">#39204
</t>
  </si>
  <si>
    <t>Richard Williams</t>
  </si>
  <si>
    <t>richard@mywilliams.me</t>
  </si>
  <si>
    <t>#40325</t>
  </si>
  <si>
    <t>Emily Downard</t>
  </si>
  <si>
    <t>emilymaydownard@gmail.com</t>
  </si>
  <si>
    <t>#107027</t>
  </si>
  <si>
    <t>stephen baker</t>
  </si>
  <si>
    <t>matt212hew@gmail.com</t>
  </si>
  <si>
    <t xml:space="preserve">#106358
</t>
  </si>
  <si>
    <t>Sally Laegeler</t>
  </si>
  <si>
    <t>sallylaegeler@me.com</t>
  </si>
  <si>
    <t xml:space="preserve">#132475
</t>
  </si>
  <si>
    <t>Derek Major</t>
  </si>
  <si>
    <t>dvmajor@gmail.com</t>
  </si>
  <si>
    <t xml:space="preserve">#114973
</t>
  </si>
  <si>
    <t>Stephanie Bailes</t>
  </si>
  <si>
    <t>sbailes@akronchildrens.org</t>
  </si>
  <si>
    <t xml:space="preserve">#106246
</t>
  </si>
  <si>
    <t>Allison Berkowitz</t>
  </si>
  <si>
    <t>adberkowitz@mac.com</t>
  </si>
  <si>
    <t xml:space="preserve">#110882
</t>
  </si>
  <si>
    <t>Amelia Shelby</t>
  </si>
  <si>
    <t>archung7892@gmail.com</t>
  </si>
  <si>
    <t>#17219KS</t>
  </si>
  <si>
    <t>Christine Anderson</t>
  </si>
  <si>
    <t>cbodoin@yahoo.com</t>
  </si>
  <si>
    <t>#19410</t>
  </si>
  <si>
    <t>Christi Bamford</t>
  </si>
  <si>
    <t>cdbamford@gmail.com</t>
  </si>
  <si>
    <t>#130517</t>
  </si>
  <si>
    <t>Stephanie Gallo</t>
  </si>
  <si>
    <t>sriemer3289@gmail.com</t>
  </si>
  <si>
    <t>21477038BKS</t>
  </si>
  <si>
    <t>Nicholas E. Palumbo</t>
  </si>
  <si>
    <t>npalumbo@gmail.com</t>
  </si>
  <si>
    <t>#40533</t>
  </si>
  <si>
    <t>Owen Brown</t>
  </si>
  <si>
    <t>owen.mm.brown@gmail.com</t>
  </si>
  <si>
    <t>#120559</t>
  </si>
  <si>
    <t>Bensy Benny</t>
  </si>
  <si>
    <t>bensybenny@gmail.com</t>
  </si>
  <si>
    <t>#129152</t>
  </si>
  <si>
    <t>Zachary Albright</t>
  </si>
  <si>
    <t>ctalbrightii@yahoo.com</t>
  </si>
  <si>
    <t>#124805</t>
  </si>
  <si>
    <t>Valerie Roddy</t>
  </si>
  <si>
    <t>vroddy1717@gmail.com</t>
  </si>
  <si>
    <t>Total Cost</t>
  </si>
  <si>
    <t>#118746</t>
  </si>
  <si>
    <t>Tanya Scott</t>
  </si>
  <si>
    <t>tanya_scott@mac.com</t>
  </si>
  <si>
    <t>#133310</t>
  </si>
  <si>
    <t>Taft Ketchum</t>
  </si>
  <si>
    <t>taftketchum@gmail.com</t>
  </si>
  <si>
    <t>#114793</t>
  </si>
  <si>
    <t>Suzanne Hutchinson</t>
  </si>
  <si>
    <t>suzysplab@gmail.com</t>
  </si>
  <si>
    <t>#120144</t>
  </si>
  <si>
    <t>Susan Freitas</t>
  </si>
  <si>
    <t>susan82695@gmail.com</t>
  </si>
  <si>
    <t>Profit</t>
  </si>
  <si>
    <t>#69231</t>
  </si>
  <si>
    <t>Stephanie Stopka</t>
  </si>
  <si>
    <t>stopkastephanie@gmail.com</t>
  </si>
  <si>
    <t>Weekend Work</t>
  </si>
  <si>
    <t>Gaja</t>
  </si>
  <si>
    <t>#124887</t>
  </si>
  <si>
    <t>Shannon VanShufflin</t>
  </si>
  <si>
    <t>shanvan24@gmail.com</t>
  </si>
  <si>
    <t>Peter</t>
  </si>
  <si>
    <t>Beno</t>
  </si>
  <si>
    <t>Notes</t>
  </si>
  <si>
    <t>Mailing: Seed Gifting Test (1000)</t>
  </si>
  <si>
    <t xml:space="preserve">Referral Email </t>
  </si>
  <si>
    <t>CES</t>
  </si>
  <si>
    <t>Referral Email Follow-up</t>
  </si>
  <si>
    <t>#111791</t>
  </si>
  <si>
    <t>Chris Hill</t>
  </si>
  <si>
    <t>christopher@ehill.net</t>
  </si>
  <si>
    <t>Shopify Changes / Importing orders</t>
  </si>
  <si>
    <t>Daily MER</t>
  </si>
  <si>
    <t>#20130</t>
  </si>
  <si>
    <t>Sarah Pinkowski</t>
  </si>
  <si>
    <t>spinkows@gmail.com</t>
  </si>
  <si>
    <t>Total Revenue</t>
  </si>
  <si>
    <t>Daily NET ROAS</t>
  </si>
  <si>
    <t>Orders</t>
  </si>
  <si>
    <t xml:space="preserve">#16544KS
</t>
  </si>
  <si>
    <t>Christopher Wendt</t>
  </si>
  <si>
    <t>chriswendt@hotmail.com</t>
  </si>
  <si>
    <t>FB - US &amp; CA</t>
  </si>
  <si>
    <t>Daily ROAS</t>
  </si>
  <si>
    <t>Google - WW</t>
  </si>
  <si>
    <t xml:space="preserve">21498034BKS
</t>
  </si>
  <si>
    <t>Charisma Panchapakesan</t>
  </si>
  <si>
    <t>cpanchap@gmail.com</t>
  </si>
  <si>
    <t>Bing - WW</t>
  </si>
  <si>
    <t>TikTok - US &amp; CA</t>
  </si>
  <si>
    <t>#129221</t>
  </si>
  <si>
    <t>Catherine Sweeney</t>
  </si>
  <si>
    <t>drkatesweeney@icloud.com</t>
  </si>
  <si>
    <t>Affiliate Fees - US</t>
  </si>
  <si>
    <t>Total Spend</t>
  </si>
  <si>
    <t>#133531</t>
  </si>
  <si>
    <t>Cynthia Wassong</t>
  </si>
  <si>
    <t>cynthiaclift@gmail.com</t>
  </si>
  <si>
    <t xml:space="preserve">#124323
</t>
  </si>
  <si>
    <t>Curtis Bishop</t>
  </si>
  <si>
    <t>curtbishop2024@gmail.com</t>
  </si>
  <si>
    <t>CAC</t>
  </si>
  <si>
    <t xml:space="preserve">#16136KS
</t>
  </si>
  <si>
    <t>Cyndy Kluz</t>
  </si>
  <si>
    <t>kluzkc@gmail.com</t>
  </si>
  <si>
    <t>CR</t>
  </si>
  <si>
    <t xml:space="preserve">#119144
</t>
  </si>
  <si>
    <t>Debra Gosling</t>
  </si>
  <si>
    <t>dagosling@gmail.com</t>
  </si>
  <si>
    <t>AOV</t>
  </si>
  <si>
    <t xml:space="preserve">#119385
</t>
  </si>
  <si>
    <t>Erin Michalski</t>
  </si>
  <si>
    <t>erin.elizabeth@me.com</t>
  </si>
  <si>
    <t>fAOV</t>
  </si>
  <si>
    <t xml:space="preserve">#17615KS
</t>
  </si>
  <si>
    <t>Diane DeSalvo Cunningham</t>
  </si>
  <si>
    <t>smancu@comcast.net</t>
  </si>
  <si>
    <t>rAOV</t>
  </si>
  <si>
    <t>Customers</t>
  </si>
  <si>
    <t>Returning</t>
  </si>
  <si>
    <t>First-time</t>
  </si>
  <si>
    <t>#108198</t>
  </si>
  <si>
    <t>Chris Clavey</t>
  </si>
  <si>
    <t>cclavey@msn.com</t>
  </si>
  <si>
    <t xml:space="preserve">#131053
</t>
  </si>
  <si>
    <t>Jennifer Mcleod</t>
  </si>
  <si>
    <t>jpescara23@gmail.com</t>
  </si>
  <si>
    <t>Post-purchase Survey</t>
  </si>
  <si>
    <t>Facebook / Instagram</t>
  </si>
  <si>
    <t>Friends / Family</t>
  </si>
  <si>
    <t>#127208</t>
  </si>
  <si>
    <t>Christopher Hermes</t>
  </si>
  <si>
    <t>chrishermes4013@gmail.com</t>
  </si>
  <si>
    <t>Google, Yahoo, Bing</t>
  </si>
  <si>
    <t>Pinterest</t>
  </si>
  <si>
    <t>#127575</t>
  </si>
  <si>
    <t>Jennifer Sundt</t>
  </si>
  <si>
    <t>jaasundt@gmail.com</t>
  </si>
  <si>
    <t>TV / Radio</t>
  </si>
  <si>
    <t>Blog / Article</t>
  </si>
  <si>
    <t>#130304</t>
  </si>
  <si>
    <t>Jenny Berryhill</t>
  </si>
  <si>
    <t>tobycoffey45@gmail.com</t>
  </si>
  <si>
    <t>Goal</t>
  </si>
  <si>
    <t>% of Goal</t>
  </si>
  <si>
    <t>#12123KS</t>
  </si>
  <si>
    <t>Kapil Gandhi</t>
  </si>
  <si>
    <t>cupsandpills@gmail.com</t>
  </si>
  <si>
    <t>Spend</t>
  </si>
  <si>
    <t>CAC per Unit</t>
  </si>
  <si>
    <t xml:space="preserve">#110827
</t>
  </si>
  <si>
    <t>Units Sold</t>
  </si>
  <si>
    <t>#118274</t>
  </si>
  <si>
    <t>Karlyn Crowley</t>
  </si>
  <si>
    <t>karlyncrowley@gmail.com</t>
  </si>
  <si>
    <t>#118509</t>
  </si>
  <si>
    <t>Katherine Koleske</t>
  </si>
  <si>
    <t>kkoleske10@gmail.com</t>
  </si>
  <si>
    <t xml:space="preserve">#132776
</t>
  </si>
  <si>
    <t>Kyle Allegrini</t>
  </si>
  <si>
    <t>kyleallegrini@gmail.com</t>
  </si>
  <si>
    <t>#131472</t>
  </si>
  <si>
    <t>Mateo Frare</t>
  </si>
  <si>
    <t>mf040497@hotmail.com</t>
  </si>
  <si>
    <t xml:space="preserve">#1847KS
</t>
  </si>
  <si>
    <t>Joy Noakes</t>
  </si>
  <si>
    <t>thisjoyouslife@gmail.com</t>
  </si>
  <si>
    <t xml:space="preserve">#125017
</t>
  </si>
  <si>
    <t>Katherine Beggerly</t>
  </si>
  <si>
    <t>bettyneel99@gmail.com</t>
  </si>
  <si>
    <t>#112376</t>
  </si>
  <si>
    <t>Jane Morris</t>
  </si>
  <si>
    <t>morrishome2@bellsouth.net</t>
  </si>
  <si>
    <t>#121028</t>
  </si>
  <si>
    <t>Jennifer Rizzuto</t>
  </si>
  <si>
    <t>jenanderson1016@gmail.com</t>
  </si>
  <si>
    <t xml:space="preserve">#131350
</t>
  </si>
  <si>
    <t>Katie Ferreira</t>
  </si>
  <si>
    <t>katie.ferreira@windstream.net</t>
  </si>
  <si>
    <t>#115124</t>
  </si>
  <si>
    <t>Katherine Kersting</t>
  </si>
  <si>
    <t>schmelzlek@gmail.com</t>
  </si>
  <si>
    <t xml:space="preserve">#116935
</t>
  </si>
  <si>
    <t>Kelly Hancox</t>
  </si>
  <si>
    <t>kellyhancox@gmail.com</t>
  </si>
  <si>
    <t>#11344KS</t>
  </si>
  <si>
    <t>Lauren Miller</t>
  </si>
  <si>
    <t>laurenesmiller@gmail.com</t>
  </si>
  <si>
    <t>Date of chargeback</t>
  </si>
  <si>
    <t>Date of payout</t>
  </si>
  <si>
    <t>Chargeback value</t>
  </si>
  <si>
    <t>Comment</t>
  </si>
  <si>
    <t>Status</t>
  </si>
  <si>
    <t>#132198</t>
  </si>
  <si>
    <t>Leslie Roberts</t>
  </si>
  <si>
    <t>leslie.roberts1@gmail.com</t>
  </si>
  <si>
    <t>#134326</t>
  </si>
  <si>
    <t>Karen Nolan</t>
  </si>
  <si>
    <t>rooon55@aol.com</t>
  </si>
  <si>
    <t>product not received</t>
  </si>
  <si>
    <t>Accepted</t>
  </si>
  <si>
    <t>#128943</t>
  </si>
  <si>
    <t>Rebecca Mueller</t>
  </si>
  <si>
    <t>beca.mueller@gmail.com</t>
  </si>
  <si>
    <t>#134571</t>
  </si>
  <si>
    <t>William Ferrell</t>
  </si>
  <si>
    <t>WFERRELL@GMAIL.COM</t>
  </si>
  <si>
    <t>#138366</t>
  </si>
  <si>
    <t>Lou Carrier</t>
  </si>
  <si>
    <t>lou@dhghotels.com</t>
  </si>
  <si>
    <t xml:space="preserve">#41005
</t>
  </si>
  <si>
    <t>Madalene Hoffman</t>
  </si>
  <si>
    <t>madalenenina@gmail.com</t>
  </si>
  <si>
    <t>#136876</t>
  </si>
  <si>
    <t>Rebecca Kleist</t>
  </si>
  <si>
    <t>abcdlkleist@gmail.com</t>
  </si>
  <si>
    <t>#136116</t>
  </si>
  <si>
    <t>Wes Byers</t>
  </si>
  <si>
    <t>byersjw1@gmail.com</t>
  </si>
  <si>
    <t>#130613</t>
  </si>
  <si>
    <t>#131529</t>
  </si>
  <si>
    <t>Lori Stanton</t>
  </si>
  <si>
    <t>Megan Meadows</t>
  </si>
  <si>
    <t>loristanton@me.com</t>
  </si>
  <si>
    <t>megfree@gmail.com</t>
  </si>
  <si>
    <t>product unacceptable</t>
  </si>
  <si>
    <t>#128792</t>
  </si>
  <si>
    <t>Adam Schanz</t>
  </si>
  <si>
    <t>adamschanz06@gmail.com</t>
  </si>
  <si>
    <t>#125579</t>
  </si>
  <si>
    <t>Date</t>
  </si>
  <si>
    <t>#127007</t>
  </si>
  <si>
    <t>Megan Shilling</t>
  </si>
  <si>
    <t>megan.shilling@gmail.com</t>
  </si>
  <si>
    <t>Old Value</t>
  </si>
  <si>
    <t>New Value</t>
  </si>
  <si>
    <t>Difference</t>
  </si>
  <si>
    <t>Change</t>
  </si>
  <si>
    <t>#126864</t>
  </si>
  <si>
    <t>Parker Parker</t>
  </si>
  <si>
    <t>parkerism@gmail.com</t>
  </si>
  <si>
    <t>credit not processed</t>
  </si>
  <si>
    <t xml:space="preserve">#126432
</t>
  </si>
  <si>
    <t>#137352</t>
  </si>
  <si>
    <t>Melanie Chmielewski</t>
  </si>
  <si>
    <t>melanie423@icloud.com</t>
  </si>
  <si>
    <t>David Jackson</t>
  </si>
  <si>
    <t>jacksonds88@gmail.com</t>
  </si>
  <si>
    <t>#125725</t>
  </si>
  <si>
    <t>Ryan Konetsky</t>
  </si>
  <si>
    <t>Added water fountain.</t>
  </si>
  <si>
    <t>ryan@ethenllc.com</t>
  </si>
  <si>
    <t xml:space="preserve"> #140792</t>
  </si>
  <si>
    <t>Allison Thompson</t>
  </si>
  <si>
    <t>athompson3276@gmail.com</t>
  </si>
  <si>
    <t>Change from blue to yellow solar roof</t>
  </si>
  <si>
    <t>#125503</t>
  </si>
  <si>
    <t>Troy LeBlanc</t>
  </si>
  <si>
    <t>tjleblanc01@yahoo.com</t>
  </si>
  <si>
    <t>#139069</t>
  </si>
  <si>
    <t>Ramón Lith</t>
  </si>
  <si>
    <t>rlithmoragues@gmail.com</t>
  </si>
  <si>
    <t>Refunded Wall Mount</t>
  </si>
  <si>
    <t xml:space="preserve">21493600BKS
</t>
  </si>
  <si>
    <t>Nathan Dhamers</t>
  </si>
  <si>
    <t>nate@glenbard.org</t>
  </si>
  <si>
    <t>#137778</t>
  </si>
  <si>
    <t>Rachel Matthews</t>
  </si>
  <si>
    <t>rmatthews@net-result.com</t>
  </si>
  <si>
    <t>#124198</t>
  </si>
  <si>
    <t>Changed blue for yellow BB</t>
  </si>
  <si>
    <t>Taylor Fox</t>
  </si>
  <si>
    <t>TaylorNFox92@gmail.com</t>
  </si>
  <si>
    <t>general</t>
  </si>
  <si>
    <t>Inquiry won</t>
  </si>
  <si>
    <t>#137896</t>
  </si>
  <si>
    <t>Marnee Muskal</t>
  </si>
  <si>
    <t>marnee.muskal@gmail.com</t>
  </si>
  <si>
    <t>Changed blue for yellow (BB&amp;solar roof)</t>
  </si>
  <si>
    <t>#141075</t>
  </si>
  <si>
    <t>David Godi</t>
  </si>
  <si>
    <t>godi4812@yahoo.com</t>
  </si>
  <si>
    <t>#123874</t>
  </si>
  <si>
    <t>Maddy Tippie</t>
  </si>
  <si>
    <t>mtippie95@gmail.com</t>
  </si>
  <si>
    <t>fraudulent</t>
  </si>
  <si>
    <t>#113757</t>
  </si>
  <si>
    <t>Michael Siegel</t>
  </si>
  <si>
    <t>michaelasiegel@gmail.com</t>
  </si>
  <si>
    <t>Removed suet ball holder</t>
  </si>
  <si>
    <t>#122961</t>
  </si>
  <si>
    <t>Paul Davis</t>
  </si>
  <si>
    <t>pauledavis1980@gmail.com</t>
  </si>
  <si>
    <t>Removed suet ball holder, solar roof and wall mount</t>
  </si>
  <si>
    <t>#122811</t>
  </si>
  <si>
    <t>Kathleen Papia</t>
  </si>
  <si>
    <t>covino.katie@gmail.com</t>
  </si>
  <si>
    <t>#124827</t>
  </si>
  <si>
    <t>Hollie Swofford</t>
  </si>
  <si>
    <t>hollieswofford@me.com</t>
  </si>
  <si>
    <t>#68343</t>
  </si>
  <si>
    <t>Sara Riesberg</t>
  </si>
  <si>
    <t>sarariesberg@rocketmail.com</t>
  </si>
  <si>
    <t>#125625</t>
  </si>
  <si>
    <t>#122548</t>
  </si>
  <si>
    <t>Marisa Moore</t>
  </si>
  <si>
    <t>marisaraemoore@gmail.com</t>
  </si>
  <si>
    <t>Reese Goodman</t>
  </si>
  <si>
    <t>goodman.jim705@gmail.com</t>
  </si>
  <si>
    <t>#121924</t>
  </si>
  <si>
    <t>Jennifer L Sturgeon</t>
  </si>
  <si>
    <t>jensturgeon2004@yahoo.com</t>
  </si>
  <si>
    <t>Refunded Solar Roof</t>
  </si>
  <si>
    <t xml:space="preserve">#122101
</t>
  </si>
  <si>
    <t>Hannah Krichbaum</t>
  </si>
  <si>
    <t>krich014@umn.edu</t>
  </si>
  <si>
    <t>#121881</t>
  </si>
  <si>
    <t>Mary Fike</t>
  </si>
  <si>
    <t>Marymichael9351@gmail.com</t>
  </si>
  <si>
    <t>#111852</t>
  </si>
  <si>
    <t>Michal Owens</t>
  </si>
  <si>
    <t>michal.owens@gmail.com</t>
  </si>
  <si>
    <t>Refunded Solar roof, removed suet ball holder</t>
  </si>
  <si>
    <t>#127201</t>
  </si>
  <si>
    <t>Carianne DePasqua</t>
  </si>
  <si>
    <t>#120189</t>
  </si>
  <si>
    <t>carianneavis@gmail.com</t>
  </si>
  <si>
    <t>Meg Sandu</t>
  </si>
  <si>
    <t>megsandu@gmail.com</t>
  </si>
  <si>
    <t>Refunded for Wall Mount, removed Suet Sall Holder</t>
  </si>
  <si>
    <t>#128111</t>
  </si>
  <si>
    <t>Christoph Peters</t>
  </si>
  <si>
    <t>christoph.peters@kth-trailer.de</t>
  </si>
  <si>
    <t>Refunded for Wall Mount and Water Fountain, removed Suet Ball Holder</t>
  </si>
  <si>
    <t>#16349</t>
  </si>
  <si>
    <t>#120165</t>
  </si>
  <si>
    <t>Stuart Rabinowitz</t>
  </si>
  <si>
    <t>lloyd sitkoff</t>
  </si>
  <si>
    <t>mrskitz@aol.com</t>
  </si>
  <si>
    <t>trytone@frontier.com</t>
  </si>
  <si>
    <t>#122917</t>
  </si>
  <si>
    <t>Alane Schettler</t>
  </si>
  <si>
    <t>alanes@microsoft.com</t>
  </si>
  <si>
    <t>Removed Suet Ball Holder</t>
  </si>
  <si>
    <t>#119265</t>
  </si>
  <si>
    <t>Katherine Patterson</t>
  </si>
  <si>
    <t>katie.patterson3160@gmail.com</t>
  </si>
  <si>
    <t>#113844</t>
  </si>
  <si>
    <t>Elizabeth Gonyea</t>
  </si>
  <si>
    <t>elizabeth.gonyea10@gmail.com</t>
  </si>
  <si>
    <t>Removed SBH and refunded SR</t>
  </si>
  <si>
    <t>#118485</t>
  </si>
  <si>
    <t>#12165KS</t>
  </si>
  <si>
    <t>Casey Durden</t>
  </si>
  <si>
    <t>Lyn Gill</t>
  </si>
  <si>
    <t>#130434</t>
  </si>
  <si>
    <t>Jennifer Hanks</t>
  </si>
  <si>
    <t>caseydurden@gmail.com</t>
  </si>
  <si>
    <t>lyn.gill1@gmail.com</t>
  </si>
  <si>
    <t>jenniferhanks18@gmail.com</t>
  </si>
  <si>
    <t>Removed and refunded Water Fountain</t>
  </si>
  <si>
    <t>#117899</t>
  </si>
  <si>
    <t>#142654</t>
  </si>
  <si>
    <t>Emily Jacobsen</t>
  </si>
  <si>
    <t>David prystay</t>
  </si>
  <si>
    <t>emilyann324@yahoo.com</t>
  </si>
  <si>
    <t>david@rpbhotels.com</t>
  </si>
  <si>
    <t>Removed and refunded solar roof</t>
  </si>
  <si>
    <t>#130148</t>
  </si>
  <si>
    <t>Mieke ten Have</t>
  </si>
  <si>
    <t>mieke.ten.have@gmail.com</t>
  </si>
  <si>
    <t>#116110</t>
  </si>
  <si>
    <t>Nikoll Dreher</t>
  </si>
  <si>
    <t>#141742</t>
  </si>
  <si>
    <t>urh@mybirdbuddy.com</t>
  </si>
  <si>
    <t>peter schwab</t>
  </si>
  <si>
    <t>peteschwab@gmail.com</t>
  </si>
  <si>
    <t>Removed bird buddy and suet ball, added gift card and solar roof</t>
  </si>
  <si>
    <t>#114527</t>
  </si>
  <si>
    <t>Aaron Price</t>
  </si>
  <si>
    <t>akprice95@msn.com</t>
  </si>
  <si>
    <t>#115884</t>
  </si>
  <si>
    <t>Pyol Thompson</t>
  </si>
  <si>
    <t>pyolstarr@gmail.com</t>
  </si>
  <si>
    <t>duplicate</t>
  </si>
  <si>
    <t>Todd Caporal</t>
  </si>
  <si>
    <t>#129041</t>
  </si>
  <si>
    <t>refunded solar roof</t>
  </si>
  <si>
    <t>Nicole Harmon</t>
  </si>
  <si>
    <t>nicolemarieharmon@gmail.com</t>
  </si>
  <si>
    <t>#115553</t>
  </si>
  <si>
    <t>#116593</t>
  </si>
  <si>
    <t>Jessica Pope</t>
  </si>
  <si>
    <t>Kurt Kreyling</t>
  </si>
  <si>
    <t>jpope7487@gmail.com</t>
  </si>
  <si>
    <t>kurtkreyling@gmail.com</t>
  </si>
  <si>
    <t>#114221</t>
  </si>
  <si>
    <t>Kathleen Oldford</t>
  </si>
  <si>
    <t>ko@bigdogmarketing.com</t>
  </si>
  <si>
    <t>Removed Wall Mount</t>
  </si>
  <si>
    <t>23814213IGG</t>
  </si>
  <si>
    <t>Michelle Guidry</t>
  </si>
  <si>
    <t>mimihandguidry@gmail.com</t>
  </si>
  <si>
    <t>#142791</t>
  </si>
  <si>
    <t>Grant Hurlbert</t>
  </si>
  <si>
    <t>ghurlb@gmail.com</t>
  </si>
  <si>
    <t>#112633</t>
  </si>
  <si>
    <t>Removed Solar roof</t>
  </si>
  <si>
    <t>Leigh Hensley</t>
  </si>
  <si>
    <t>leighhensley@gmail.com</t>
  </si>
  <si>
    <t>redit not processed</t>
  </si>
  <si>
    <t>Removed Wall Mount and Suet Ball Holder</t>
  </si>
  <si>
    <t>#111040</t>
  </si>
  <si>
    <t>#116500</t>
  </si>
  <si>
    <t>Isabel Vaillancourt</t>
  </si>
  <si>
    <t>Josh Schroyer</t>
  </si>
  <si>
    <t>izabel.vaillancourt@gmail.com</t>
  </si>
  <si>
    <t>s.schroyer@comcast.net</t>
  </si>
  <si>
    <t>Refunded for fence mount in a BKS order</t>
  </si>
  <si>
    <t>#123405</t>
  </si>
  <si>
    <t>Shorey Russell</t>
  </si>
  <si>
    <t>shorey.russell@gmail.com</t>
  </si>
  <si>
    <t>#109817</t>
  </si>
  <si>
    <t>Mike Dias</t>
  </si>
  <si>
    <t>Removed and refunded Suet Ball Holder and Wall Mount</t>
  </si>
  <si>
    <t>mtdias226@gmail.com</t>
  </si>
  <si>
    <t>#112758</t>
  </si>
  <si>
    <t>Regina Donohue</t>
  </si>
  <si>
    <t>regina.donohue@gmail.com</t>
  </si>
  <si>
    <t>#8004KS</t>
  </si>
  <si>
    <t>Robyn Lebeau</t>
  </si>
  <si>
    <t>halliesue52@hotmail.com</t>
  </si>
  <si>
    <t>#109593</t>
  </si>
  <si>
    <t>Iver Holter-Andersen</t>
  </si>
  <si>
    <t>#129985</t>
  </si>
  <si>
    <t>iver.ha@online.no</t>
  </si>
  <si>
    <t>Amy Miknis</t>
  </si>
  <si>
    <t>amymiknis@gmail.com</t>
  </si>
  <si>
    <t>refunded shipping</t>
  </si>
  <si>
    <t>#143151</t>
  </si>
  <si>
    <t>#17202KS</t>
  </si>
  <si>
    <t>Amanda House</t>
  </si>
  <si>
    <t>ahouse@utexas.edu</t>
  </si>
  <si>
    <t>Caroline Bober</t>
  </si>
  <si>
    <t>chirt14@mac.com</t>
  </si>
  <si>
    <t>Removed 1 yellow BB</t>
  </si>
  <si>
    <t>#132365</t>
  </si>
  <si>
    <t>Margaret McCown</t>
  </si>
  <si>
    <t>margaret.mccown@gmail.com</t>
  </si>
  <si>
    <t>#21719</t>
  </si>
  <si>
    <t>#106109</t>
  </si>
  <si>
    <t>Shyronn Smardon</t>
  </si>
  <si>
    <t>Amber Kiggens-Leifheit</t>
  </si>
  <si>
    <t>shyronn@icloud.com</t>
  </si>
  <si>
    <t>tleifheit@charter.net</t>
  </si>
  <si>
    <t>Changed blue for yellow (water fountain)</t>
  </si>
  <si>
    <t>#142075</t>
  </si>
  <si>
    <t>Sam Page</t>
  </si>
  <si>
    <t>svpsamo@gmail.com</t>
  </si>
  <si>
    <t>Changed blue to yellow</t>
  </si>
  <si>
    <t>#115772</t>
  </si>
  <si>
    <t>Kent Mixon</t>
  </si>
  <si>
    <t>kentmixon2@gmail.com</t>
  </si>
  <si>
    <t>#42736</t>
  </si>
  <si>
    <t>ryan mcdougall</t>
  </si>
  <si>
    <t>dig4602@gmail.com</t>
  </si>
  <si>
    <t>#12439</t>
  </si>
  <si>
    <t>Refunded FM</t>
  </si>
  <si>
    <t>Louise Farrel</t>
  </si>
  <si>
    <t>louise296@aol.com</t>
  </si>
  <si>
    <t xml:space="preserve">
#142669</t>
  </si>
  <si>
    <t>Judith Benz</t>
  </si>
  <si>
    <t>judith.benz@gmail.com</t>
  </si>
  <si>
    <t>Added solar roof with 50%discount</t>
  </si>
  <si>
    <t>#143427</t>
  </si>
  <si>
    <t>Youri KIVITS</t>
  </si>
  <si>
    <t>youri_kivits@hotmail.nl</t>
  </si>
  <si>
    <t>Removed and refunded Solar Roof</t>
  </si>
  <si>
    <t>#117506</t>
  </si>
  <si>
    <t xml:space="preserve">#39370
</t>
  </si>
  <si>
    <t>Niki Noblin</t>
  </si>
  <si>
    <t>Kai Hartmann</t>
  </si>
  <si>
    <t>kai@familiehartmann.org</t>
  </si>
  <si>
    <t>nikinoblin@gmail.com</t>
  </si>
  <si>
    <t>Removed and refunded Wall Mount</t>
  </si>
  <si>
    <t>#117720</t>
  </si>
  <si>
    <t>Lauren Kos</t>
  </si>
  <si>
    <t>laurenkos@outlook.com</t>
  </si>
  <si>
    <t>Removed Suet ball Holder</t>
  </si>
  <si>
    <t>#108131</t>
  </si>
  <si>
    <t>John Copley</t>
  </si>
  <si>
    <t>jacopley1996@gmail.com</t>
  </si>
  <si>
    <t>#116694</t>
  </si>
  <si>
    <t>Removed SBH and Water Fountain</t>
  </si>
  <si>
    <t>Removed Solar Roof and SBH</t>
  </si>
  <si>
    <t>Removed SBH and Wall Mount</t>
  </si>
  <si>
    <t>#6367KS</t>
  </si>
  <si>
    <t>Reinhard Hochrieser</t>
  </si>
  <si>
    <t>reinhard.hochrieser@rhweb.at</t>
  </si>
  <si>
    <t>removed and refunded Wall Mount</t>
  </si>
  <si>
    <t>Removed and refunded Solar Roof and Wall Mount</t>
  </si>
  <si>
    <t xml:space="preserve">#121362
</t>
  </si>
  <si>
    <t xml:space="preserve">TAYLOR SAVAGE
</t>
  </si>
  <si>
    <t>tsavage@exploreusa.com</t>
  </si>
  <si>
    <t>Removed and refunded Wall Mount, Water fountain, Suet Ball Holder</t>
  </si>
  <si>
    <t>21482713BKS</t>
  </si>
  <si>
    <t>Erika Schreiber</t>
  </si>
  <si>
    <t>krsplan@mindspring.com</t>
  </si>
  <si>
    <t>#123577</t>
  </si>
  <si>
    <t>kuentzelalaska@gmail.com</t>
  </si>
  <si>
    <t>Refunded for compensation.</t>
  </si>
  <si>
    <t>#141983</t>
  </si>
  <si>
    <t>Janina Storm</t>
  </si>
  <si>
    <t>stormi1@gmx.net</t>
  </si>
  <si>
    <t>Removed and refunded 1 Wall Mount.</t>
  </si>
  <si>
    <t>21478155BKS</t>
  </si>
  <si>
    <t>Anne Davidson</t>
  </si>
  <si>
    <t>stickycopy@gmail.com</t>
  </si>
  <si>
    <t>Removed and refunded Fence Mount</t>
  </si>
  <si>
    <t>Removed and refunded Fence Mounts</t>
  </si>
  <si>
    <t>#69127</t>
  </si>
  <si>
    <t>Audrey Clayton</t>
  </si>
  <si>
    <t>audrey.m.clayton@gmail.com</t>
  </si>
  <si>
    <t>#144198</t>
  </si>
  <si>
    <t>Michele White</t>
  </si>
  <si>
    <t>mwhite@pvm.org</t>
  </si>
  <si>
    <t>changed the solar roof color from blue to yellow</t>
  </si>
  <si>
    <t>#144394</t>
  </si>
  <si>
    <t>Liz Zipoff</t>
  </si>
  <si>
    <t>lizzipoff@gmail.com</t>
  </si>
  <si>
    <t>#137580</t>
  </si>
  <si>
    <t>Norbert Hausherr</t>
  </si>
  <si>
    <t>norbert@hausherr.at</t>
  </si>
  <si>
    <t>22184378IGG</t>
  </si>
  <si>
    <t xml:space="preserve">Kathy Feldman </t>
  </si>
  <si>
    <t>kathyfeldman@yahoo.com</t>
  </si>
  <si>
    <t>#129696</t>
  </si>
  <si>
    <t>Nicole Hawkins</t>
  </si>
  <si>
    <t>alanicole@swbell.net</t>
  </si>
  <si>
    <t>Removed and refunded Suet ball Holder and Wall Mount</t>
  </si>
  <si>
    <t>#144490</t>
  </si>
  <si>
    <t>Barbara Spencer</t>
  </si>
  <si>
    <t>bspencer6@gmail.com</t>
  </si>
  <si>
    <t>#139404</t>
  </si>
  <si>
    <t>Suann Shoemaker</t>
  </si>
  <si>
    <t>sshoemail@aol.com</t>
  </si>
  <si>
    <t>#144854</t>
  </si>
  <si>
    <t>#2103KS</t>
  </si>
  <si>
    <t>Elaine Bready</t>
  </si>
  <si>
    <t>ElaineRBready@protonmail.com</t>
  </si>
  <si>
    <t>Gina Vitagliano</t>
  </si>
  <si>
    <t>g.vitagliano@hotmail.com</t>
  </si>
  <si>
    <t xml:space="preserve">#144420
</t>
  </si>
  <si>
    <t xml:space="preserve">Jennifer Porter
</t>
  </si>
  <si>
    <t>sabrawolf@gmail.com</t>
  </si>
  <si>
    <t>Removed and refunded 1 Bird Buddy with solar roof</t>
  </si>
  <si>
    <t xml:space="preserve">#142640
</t>
  </si>
  <si>
    <t>Kate Sandhaus</t>
  </si>
  <si>
    <t>katesandhaus@gmail.com</t>
  </si>
  <si>
    <t>Removed and refunded 1 Suet Ball Holder</t>
  </si>
  <si>
    <t>#138608</t>
  </si>
  <si>
    <t>Ward Vijfeijken</t>
  </si>
  <si>
    <t>ward@vijfeijken.be</t>
  </si>
  <si>
    <t>Added a free suet ball holder</t>
  </si>
  <si>
    <t>#3303KS</t>
  </si>
  <si>
    <t>Mark Berardo</t>
  </si>
  <si>
    <t>berardomark@gmail.com</t>
  </si>
  <si>
    <t>#145574</t>
  </si>
  <si>
    <t>Dolly Chugh</t>
  </si>
  <si>
    <t>dchugh@stern.nyu.edu</t>
  </si>
  <si>
    <t>21480018BKS</t>
  </si>
  <si>
    <t>Carolyn Schmidt</t>
  </si>
  <si>
    <t>schmidtcm@rogers.com</t>
  </si>
  <si>
    <t xml:space="preserve">#20942
</t>
  </si>
  <si>
    <t>Robert C Hollins</t>
  </si>
  <si>
    <t>yankeesrking@gmail.com</t>
  </si>
  <si>
    <t>Jason Horn</t>
  </si>
  <si>
    <t>jason@solutionssolarandroofing.com</t>
  </si>
  <si>
    <t>#12218KS</t>
  </si>
  <si>
    <t>Kathryn Pearson</t>
  </si>
  <si>
    <t>pearson45@comcast.net</t>
  </si>
  <si>
    <t xml:space="preserve">#112982
</t>
  </si>
  <si>
    <t>Josh Moffitt</t>
  </si>
  <si>
    <t>joshmoffitt@icloud.com</t>
  </si>
  <si>
    <t>#8859KS</t>
  </si>
  <si>
    <t>Amy Muller</t>
  </si>
  <si>
    <t>amymuller38@gmail.com</t>
  </si>
  <si>
    <t xml:space="preserve">#112505
</t>
  </si>
  <si>
    <t>Michelle Asselin</t>
  </si>
  <si>
    <t>michelle_asselin@yahoo.com</t>
  </si>
  <si>
    <t>#68963</t>
  </si>
  <si>
    <t>Misha Belstar</t>
  </si>
  <si>
    <t>info@mishabelstar.com</t>
  </si>
  <si>
    <t xml:space="preserve">#126145
</t>
  </si>
  <si>
    <t>Tom King</t>
  </si>
  <si>
    <t>kingth2015@gmail.com</t>
  </si>
  <si>
    <t>#64958</t>
  </si>
  <si>
    <t>Jamie Rohrer</t>
  </si>
  <si>
    <t>jamierohrer@gmail.com</t>
  </si>
  <si>
    <t>Advertising</t>
  </si>
  <si>
    <t>Business Metrics</t>
  </si>
  <si>
    <t>FB - US and CA</t>
  </si>
  <si>
    <t>COGS</t>
  </si>
  <si>
    <t>Source</t>
  </si>
  <si>
    <t>3PL Costs</t>
  </si>
  <si>
    <t>EUR</t>
  </si>
  <si>
    <t>USD</t>
  </si>
  <si>
    <t>Handling Fee</t>
  </si>
  <si>
    <t>Don't</t>
  </si>
  <si>
    <t>Serial Capture</t>
  </si>
  <si>
    <t>Storage</t>
  </si>
  <si>
    <t>3-in-1 Nutrition Set</t>
  </si>
  <si>
    <t>Bird Buddy Shipping</t>
  </si>
  <si>
    <t>Add-ons Shipping</t>
  </si>
  <si>
    <t>Inbound (NA)</t>
  </si>
  <si>
    <t>Inbound (Europe)</t>
  </si>
  <si>
    <t>Inbound (ROW)</t>
  </si>
  <si>
    <t>Outbound (NA)</t>
  </si>
  <si>
    <t>Outbound (Europe)</t>
  </si>
  <si>
    <t>Outbound (ROW)</t>
  </si>
  <si>
    <t>Marketing Averages (per unit)</t>
  </si>
  <si>
    <t>VAT Averages</t>
  </si>
  <si>
    <t>Europe</t>
  </si>
  <si>
    <t>Inbound Shipping</t>
  </si>
  <si>
    <t>ROW</t>
  </si>
  <si>
    <t>Outbound Shipping</t>
  </si>
  <si>
    <t>NA</t>
  </si>
  <si>
    <t>Taxes and VAT</t>
  </si>
  <si>
    <t>Attachment Rates</t>
  </si>
  <si>
    <t>3PL - Handling Fee</t>
  </si>
  <si>
    <t>3PL - Serial Capture</t>
  </si>
  <si>
    <t>3PL - Storage Cost</t>
  </si>
  <si>
    <t>Fees</t>
  </si>
  <si>
    <t>30 Day Returns</t>
  </si>
  <si>
    <t>Processing Fee</t>
  </si>
  <si>
    <t>US Shipping</t>
  </si>
  <si>
    <t>Duty</t>
  </si>
  <si>
    <t>ROW Shipping</t>
  </si>
  <si>
    <t>China Tax</t>
  </si>
  <si>
    <t>Money Return %</t>
  </si>
  <si>
    <t>HMF</t>
  </si>
  <si>
    <t>EU Shipping</t>
  </si>
  <si>
    <t>MPF</t>
  </si>
  <si>
    <t>Solar Roof China Tax</t>
  </si>
  <si>
    <t>Solar Roof Duty</t>
  </si>
  <si>
    <t>SUM of Value</t>
  </si>
  <si>
    <t>SUM of Bird Buddy</t>
  </si>
  <si>
    <t>SUM of Bird Buddy with Solar Roof</t>
  </si>
  <si>
    <t>HARDWARE QTY</t>
  </si>
  <si>
    <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</si>
  <si>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</si>
  <si>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</si>
  <si>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</si>
  <si>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</si>
  <si>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</si>
  <si>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</si>
  <si>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</si>
  <si>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</si>
  <si>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</si>
  <si>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</si>
  <si>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</si>
  <si>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</si>
  <si>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</si>
  <si>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</si>
  <si>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</si>
  <si>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</si>
  <si>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</si>
  <si>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</si>
  <si>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</si>
  <si>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</si>
  <si>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</si>
  <si>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</si>
  <si>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</si>
  <si>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</si>
  <si>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</si>
  <si>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</si>
  <si>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</si>
  <si>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</si>
  <si>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</si>
  <si>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</si>
  <si>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</si>
  <si>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</si>
  <si>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</si>
  <si>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</si>
  <si>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</si>
  <si>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</si>
  <si>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</si>
  <si>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</si>
  <si>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</si>
  <si>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</si>
  <si>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</si>
  <si>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</si>
  <si>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</si>
  <si>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</si>
  <si>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</si>
  <si>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</si>
  <si>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</si>
  <si>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</si>
  <si>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</si>
  <si>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</si>
  <si>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</si>
  <si>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</si>
  <si>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Created successfully</t>
  </si>
  <si>
    <t>SHP</t>
  </si>
  <si>
    <t>thismonth</t>
  </si>
  <si>
    <t>["gid://shopify/Shop/55807180983`Bird Buddy"]</t>
  </si>
  <si>
    <t>["gross_sales","returns","shipping","tax","total_sales","sm_order_count"]</t>
  </si>
  <si>
    <t>["date"]</t>
  </si>
  <si>
    <t>["METRICS_IN_ROWS","MULTILEVEL_COL_HEADERS"]</t>
  </si>
  <si>
    <t>Shopify 1'!A1:AB7</t>
  </si>
  <si>
    <t>gid://shopify/Shop/55807180983</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</si>
</sst>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M/d/yyyy"/>
    <numFmt numFmtId="167" formatCode="yyyy-mm-dd h:mm:ss"/>
    <numFmt numFmtId="168" formatCode="_-[$$-409]* #,##0.00_ ;_-[$$-409]* \-#,##0.00\ ;_-[$$-409]* &quot;-&quot;??_ ;_-@_ "/>
    <numFmt numFmtId="169" formatCode="_-&quot;€&quot;* #,##0.00_-;\-&quot;€&quot;* #,##0.00_-;_-&quot;€&quot;* &quot;-&quot;??_-;_-@"/>
    <numFmt numFmtId="170" formatCode="&quot;$&quot;#,##0"/>
    <numFmt numFmtId="171" formatCode="_-[$€-2]\ * #,##0.00_-;\-[$€-2]\ * #,##0.00_-;_-[$€-2]\ * &quot;-&quot;??_-;_-@"/>
    <numFmt numFmtId="172" formatCode="#,##0&quot;$&quot;"/>
    <numFmt numFmtId="173" formatCode="_(&quot;$&quot;* #,##0.00_);_(&quot;$&quot;* \(#,##0.00\);_(&quot;$&quot;* &quot;-&quot;??_);_(@_)"/>
    <numFmt numFmtId="174" formatCode="mmmm yyyy"/>
    <numFmt numFmtId="175" formatCode="_([$€-2]\ * #,##0.00_);_([$€-2]\ * \(#,##0.00\);_([$€-2]\ * &quot;-&quot;??_);_(@_)"/>
    <numFmt numFmtId="176" formatCode="mmm yyyy"/>
    <numFmt numFmtId="177" formatCode="d&quot;/&quot;m&quot;/&quot;yyyy"/>
    <numFmt numFmtId="178" formatCode="mm/dd/yyyy"/>
    <numFmt numFmtId="179" formatCode="m/d"/>
    <numFmt numFmtId="180" formatCode="yyyy-mm-dd"/>
    <numFmt numFmtId="181" formatCode="0.000%"/>
    <numFmt numFmtId="182" formatCode="0.0000%"/>
  </numFmts>
  <fonts count="58">
    <font>
      <sz val="10.0"/>
      <color rgb="FF000000"/>
      <name val="Arial"/>
      <scheme val="minor"/>
    </font>
    <font>
      <color theme="1"/>
      <name val="Arial"/>
      <scheme val="minor"/>
    </font>
    <font>
      <b/>
      <sz val="10.0"/>
      <color theme="1"/>
      <name val="Nunito"/>
    </font>
    <font>
      <sz val="12.0"/>
      <color rgb="FFFFFFFF"/>
      <name val="Arial"/>
    </font>
    <font>
      <sz val="12.0"/>
      <color theme="1"/>
      <name val="Arial"/>
    </font>
    <font>
      <sz val="10.0"/>
      <color theme="1"/>
      <name val="Nunito"/>
    </font>
    <font>
      <sz val="10.0"/>
      <color rgb="FFFFFFFF"/>
      <name val="Nunito"/>
    </font>
    <font>
      <i/>
      <sz val="12.0"/>
      <color theme="1"/>
      <name val="Arial"/>
    </font>
    <font>
      <sz val="10.0"/>
      <color rgb="FF000000"/>
      <name val="Nunito"/>
    </font>
    <font>
      <color theme="1"/>
      <name val="Arial"/>
    </font>
    <font>
      <b/>
      <sz val="12.0"/>
      <color theme="1"/>
      <name val="Arial"/>
    </font>
    <font>
      <b/>
      <i/>
      <sz val="12.0"/>
      <color theme="1"/>
      <name val="Arial"/>
    </font>
    <font>
      <color theme="1"/>
      <name val="Nunito"/>
    </font>
    <font>
      <color rgb="FFFFFFFF"/>
      <name val="Nunito"/>
    </font>
    <font>
      <sz val="11.0"/>
      <color rgb="FF2F3941"/>
      <name val="System-ui"/>
    </font>
    <font>
      <sz val="11.0"/>
      <color rgb="FF202223"/>
      <name val="-apple-system"/>
    </font>
    <font>
      <sz val="12.0"/>
      <color rgb="FFA5A5A5"/>
      <name val="Arial"/>
    </font>
    <font>
      <sz val="12.0"/>
      <color rgb="FF000000"/>
      <name val="Arial"/>
    </font>
    <font>
      <sz val="11.0"/>
      <color rgb="FF333333"/>
      <name val="&quot;Open Sans&quot;"/>
    </font>
    <font>
      <sz val="11.0"/>
      <color rgb="FF202223"/>
      <name val="Arial"/>
    </font>
    <font>
      <sz val="10.0"/>
      <color rgb="FF202223"/>
      <name val="-apple-system"/>
    </font>
    <font>
      <sz val="11.0"/>
      <color rgb="FF1D1C1D"/>
      <name val="Slack-Lato"/>
    </font>
    <font>
      <b/>
      <sz val="10.0"/>
      <color rgb="FF000000"/>
      <name val="Nunito"/>
    </font>
    <font>
      <sz val="12.0"/>
      <color rgb="FF999999"/>
      <name val="Arial"/>
    </font>
    <font>
      <sz val="11.0"/>
      <color rgb="FF000000"/>
      <name val="System-ui"/>
    </font>
    <font>
      <sz val="11.0"/>
      <color rgb="FF000000"/>
      <name val="Arial"/>
    </font>
    <font>
      <i/>
      <color theme="1"/>
      <name val="Arial"/>
    </font>
    <font>
      <sz val="10.0"/>
      <color rgb="FF202223"/>
      <name val="Arial"/>
    </font>
    <font>
      <sz val="12.0"/>
      <color rgb="FF202223"/>
      <name val="Arial"/>
    </font>
    <font>
      <sz val="10.0"/>
      <color rgb="FF000000"/>
      <name val="-apple-system"/>
    </font>
    <font>
      <sz val="12.0"/>
      <color theme="1"/>
      <name val="Arial"/>
      <scheme val="minor"/>
    </font>
    <font>
      <sz val="11.0"/>
      <color rgb="FF202223"/>
      <name val="Nunito"/>
    </font>
    <font>
      <sz val="11.0"/>
      <color rgb="FF0F3554"/>
      <name val="Nunito"/>
    </font>
    <font>
      <sz val="10.0"/>
      <color rgb="FF434343"/>
      <name val="Nunito"/>
    </font>
    <font>
      <sz val="12.0"/>
      <color rgb="FF192E43"/>
      <name val="Inherit"/>
    </font>
    <font>
      <u/>
      <sz val="10.0"/>
      <color theme="1"/>
      <name val="Nunito"/>
    </font>
    <font>
      <color rgb="FF202223"/>
      <name val="Arial"/>
    </font>
    <font>
      <b/>
      <sz val="10.0"/>
      <color rgb="FF202223"/>
      <name val="-apple-system"/>
    </font>
    <font>
      <sz val="12.0"/>
      <color rgb="FFFFFF00"/>
      <name val="Arial"/>
    </font>
    <font>
      <color rgb="FF000000"/>
      <name val="Nunito"/>
    </font>
    <font>
      <sz val="12.0"/>
      <color rgb="FFAEABAB"/>
      <name val="Arial"/>
    </font>
    <font>
      <sz val="12.0"/>
      <color rgb="FF006100"/>
      <name val="Arial"/>
    </font>
    <font>
      <sz val="10.0"/>
      <color theme="1"/>
      <name val="Arial"/>
      <scheme val="minor"/>
    </font>
    <font>
      <color rgb="FFD9D9D9"/>
      <name val="Arial"/>
      <scheme val="minor"/>
    </font>
    <font>
      <sz val="8.0"/>
      <color rgb="FF333333"/>
      <name val="Latoregular"/>
    </font>
    <font>
      <b/>
      <color theme="1"/>
      <name val="Nunito"/>
    </font>
    <font>
      <color rgb="FFFFFFFF"/>
      <name val="Arial"/>
      <scheme val="minor"/>
    </font>
    <font>
      <color rgb="FF000000"/>
      <name val="Arial"/>
      <scheme val="minor"/>
    </font>
    <font>
      <color theme="0"/>
      <name val="Arial"/>
      <scheme val="minor"/>
    </font>
    <font>
      <u/>
      <color rgb="FF0000FF"/>
    </font>
    <font>
      <sz val="10.0"/>
      <color rgb="FF1C1E21"/>
      <name val="Arial"/>
      <scheme val="minor"/>
    </font>
    <font>
      <u/>
      <color rgb="FF0000FF"/>
    </font>
    <font>
      <b/>
      <color rgb="FF0000FF"/>
      <name val="Arial"/>
    </font>
    <font>
      <color rgb="FF0000FF"/>
      <name val="Arial"/>
    </font>
    <font>
      <color rgb="FF0000FF"/>
      <name val="Arial"/>
      <scheme val="minor"/>
    </font>
    <font>
      <b/>
      <sz val="20.0"/>
      <color theme="1"/>
      <name val="Arial"/>
      <scheme val="minor"/>
    </font>
    <font>
      <color rgb="FFEEEEEE"/>
      <name val="Arial"/>
      <scheme val="minor"/>
    </font>
    <font>
      <b/>
      <color theme="1"/>
      <name val="Arial"/>
      <scheme val="minor"/>
    </font>
  </fonts>
  <fills count="84">
    <fill>
      <patternFill patternType="none"/>
    </fill>
    <fill>
      <patternFill patternType="lightGray"/>
    </fill>
    <fill>
      <patternFill patternType="solid">
        <fgColor rgb="FFD9D9D9"/>
        <bgColor rgb="FFD9D9D9"/>
      </patternFill>
    </fill>
    <fill>
      <patternFill patternType="solid">
        <fgColor rgb="FF1F3864"/>
        <bgColor rgb="FF1F3864"/>
      </patternFill>
    </fill>
    <fill>
      <patternFill patternType="solid">
        <fgColor rgb="FFD5A6BD"/>
        <bgColor rgb="FFD5A6BD"/>
      </patternFill>
    </fill>
    <fill>
      <patternFill patternType="solid">
        <fgColor rgb="FF2F5496"/>
        <bgColor rgb="FF2F5496"/>
      </patternFill>
    </fill>
    <fill>
      <patternFill patternType="solid">
        <fgColor rgb="FF4A86E8"/>
        <bgColor rgb="FF4A86E8"/>
      </patternFill>
    </fill>
    <fill>
      <patternFill patternType="solid">
        <fgColor rgb="FFA4C2F4"/>
        <bgColor rgb="FFA4C2F4"/>
      </patternFill>
    </fill>
    <fill>
      <patternFill patternType="solid">
        <fgColor rgb="FF8EAADB"/>
        <bgColor rgb="FF8EAADB"/>
      </patternFill>
    </fill>
    <fill>
      <patternFill patternType="solid">
        <fgColor rgb="FFFFFFFF"/>
        <bgColor rgb="FFFFFFFF"/>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A8D08D"/>
        <bgColor rgb="FFA8D08D"/>
      </patternFill>
    </fill>
    <fill>
      <patternFill patternType="solid">
        <fgColor rgb="FFFF7E79"/>
        <bgColor rgb="FFFF7E79"/>
      </patternFill>
    </fill>
    <fill>
      <patternFill patternType="solid">
        <fgColor theme="0"/>
        <bgColor theme="0"/>
      </patternFill>
    </fill>
    <fill>
      <patternFill patternType="solid">
        <fgColor rgb="FFF6F6F7"/>
        <bgColor rgb="FFF6F6F7"/>
      </patternFill>
    </fill>
    <fill>
      <patternFill patternType="solid">
        <fgColor rgb="FFBFBFBF"/>
        <bgColor rgb="FFBFBFBF"/>
      </patternFill>
    </fill>
    <fill>
      <patternFill patternType="solid">
        <fgColor rgb="FF9CC2E5"/>
        <bgColor rgb="FF9CC2E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548135"/>
        <bgColor rgb="FF548135"/>
      </patternFill>
    </fill>
    <fill>
      <patternFill patternType="solid">
        <fgColor rgb="FF7F6000"/>
        <bgColor rgb="FF7F6000"/>
      </patternFill>
    </fill>
    <fill>
      <patternFill patternType="solid">
        <fgColor rgb="FFFFD965"/>
        <bgColor rgb="FFFFD965"/>
      </patternFill>
    </fill>
    <fill>
      <patternFill patternType="solid">
        <fgColor rgb="FFFCE5CD"/>
        <bgColor rgb="FFFCE5CD"/>
      </patternFill>
    </fill>
    <fill>
      <patternFill patternType="solid">
        <fgColor rgb="FF3F3F3F"/>
        <bgColor rgb="FF3F3F3F"/>
      </patternFill>
    </fill>
    <fill>
      <patternFill patternType="solid">
        <fgColor rgb="FFAEABAB"/>
        <bgColor rgb="FFAEABAB"/>
      </patternFill>
    </fill>
    <fill>
      <patternFill patternType="solid">
        <fgColor rgb="FFFFF2CC"/>
        <bgColor rgb="FFFFF2CC"/>
      </patternFill>
    </fill>
    <fill>
      <patternFill patternType="solid">
        <fgColor rgb="FFC111AC"/>
        <bgColor rgb="FFC111AC"/>
      </patternFill>
    </fill>
    <fill>
      <patternFill patternType="solid">
        <fgColor rgb="FFF0BAE8"/>
        <bgColor rgb="FFF0BAE8"/>
      </patternFill>
    </fill>
    <fill>
      <patternFill patternType="solid">
        <fgColor rgb="FF999999"/>
        <bgColor rgb="FF999999"/>
      </patternFill>
    </fill>
    <fill>
      <patternFill patternType="solid">
        <fgColor rgb="FFFEF2CB"/>
        <bgColor rgb="FFFEF2CB"/>
      </patternFill>
    </fill>
    <fill>
      <patternFill patternType="solid">
        <fgColor rgb="FFBE2626"/>
        <bgColor rgb="FFBE2626"/>
      </patternFill>
    </fill>
    <fill>
      <patternFill patternType="solid">
        <fgColor rgb="FF833C0B"/>
        <bgColor rgb="FF833C0B"/>
      </patternFill>
    </fill>
    <fill>
      <patternFill patternType="solid">
        <fgColor rgb="FFE7E6E6"/>
        <bgColor rgb="FFE7E6E6"/>
      </patternFill>
    </fill>
    <fill>
      <patternFill patternType="solid">
        <fgColor rgb="FFF8F8F8"/>
        <bgColor rgb="FFF8F8F8"/>
      </patternFill>
    </fill>
    <fill>
      <patternFill patternType="solid">
        <fgColor rgb="FFFFE599"/>
        <bgColor rgb="FFFFE599"/>
      </patternFill>
    </fill>
    <fill>
      <patternFill patternType="solid">
        <fgColor rgb="FFFFE598"/>
        <bgColor rgb="FFFFE598"/>
      </patternFill>
    </fill>
    <fill>
      <patternFill patternType="solid">
        <fgColor rgb="FFC9DAF8"/>
        <bgColor rgb="FFC9DAF8"/>
      </patternFill>
    </fill>
    <fill>
      <patternFill patternType="solid">
        <fgColor rgb="FF6D9EEB"/>
        <bgColor rgb="FF6D9EEB"/>
      </patternFill>
    </fill>
    <fill>
      <patternFill patternType="solid">
        <fgColor rgb="FFF4CCCC"/>
        <bgColor rgb="FFF4CCCC"/>
      </patternFill>
    </fill>
    <fill>
      <patternFill patternType="solid">
        <fgColor rgb="FFEA9999"/>
        <bgColor rgb="FFEA9999"/>
      </patternFill>
    </fill>
    <fill>
      <patternFill patternType="solid">
        <fgColor rgb="FFFFD966"/>
        <bgColor rgb="FFFFD966"/>
      </patternFill>
    </fill>
    <fill>
      <patternFill patternType="solid">
        <fgColor theme="6"/>
        <bgColor theme="6"/>
      </patternFill>
    </fill>
    <fill>
      <patternFill patternType="solid">
        <fgColor rgb="FFCCCCCC"/>
        <bgColor rgb="FFCCCCCC"/>
      </patternFill>
    </fill>
    <fill>
      <patternFill patternType="solid">
        <fgColor rgb="FFD9EAD3"/>
        <bgColor rgb="FFD9EAD3"/>
      </patternFill>
    </fill>
    <fill>
      <patternFill patternType="solid">
        <fgColor rgb="FF93C47D"/>
        <bgColor rgb="FF93C47D"/>
      </patternFill>
    </fill>
    <fill>
      <patternFill patternType="solid">
        <fgColor rgb="FFFFFF00"/>
        <bgColor rgb="FFFFFF00"/>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2F2F2"/>
        <bgColor rgb="FFF2F2F2"/>
      </patternFill>
    </fill>
    <fill>
      <patternFill patternType="solid">
        <fgColor rgb="FF000000"/>
        <bgColor rgb="FF000000"/>
      </patternFill>
    </fill>
    <fill>
      <patternFill patternType="solid">
        <fgColor rgb="FFEFEFEF"/>
        <bgColor rgb="FFEFEFEF"/>
      </patternFill>
    </fill>
    <fill>
      <patternFill patternType="solid">
        <fgColor rgb="FFF3F3F3"/>
        <bgColor rgb="FFF3F3F3"/>
      </patternFill>
    </fill>
    <fill>
      <patternFill patternType="solid">
        <fgColor rgb="FFC6EFCE"/>
        <bgColor rgb="FFC6EFCE"/>
      </patternFill>
    </fill>
    <fill>
      <patternFill patternType="solid">
        <fgColor rgb="FFDADADA"/>
        <bgColor rgb="FFDADADA"/>
      </patternFill>
    </fill>
    <fill>
      <patternFill patternType="solid">
        <fgColor rgb="FFB6D7A8"/>
        <bgColor rgb="FFB6D7A8"/>
      </patternFill>
    </fill>
    <fill>
      <patternFill patternType="solid">
        <fgColor rgb="FF57BB8A"/>
        <bgColor rgb="FF57BB8A"/>
      </patternFill>
    </fill>
    <fill>
      <patternFill patternType="solid">
        <fgColor rgb="FFBFE5D2"/>
        <bgColor rgb="FFBFE5D2"/>
      </patternFill>
    </fill>
    <fill>
      <patternFill patternType="solid">
        <fgColor rgb="FFB2E0CA"/>
        <bgColor rgb="FFB2E0CA"/>
      </patternFill>
    </fill>
    <fill>
      <patternFill patternType="solid">
        <fgColor rgb="FF61BF91"/>
        <bgColor rgb="FF61BF91"/>
      </patternFill>
    </fill>
    <fill>
      <patternFill patternType="solid">
        <fgColor rgb="FFF7FCF9"/>
        <bgColor rgb="FFF7FCF9"/>
      </patternFill>
    </fill>
    <fill>
      <patternFill patternType="solid">
        <fgColor rgb="FFFBFEFC"/>
        <bgColor rgb="FFFBFEFC"/>
      </patternFill>
    </fill>
    <fill>
      <patternFill patternType="solid">
        <fgColor rgb="FFFBFEFD"/>
        <bgColor rgb="FFFBFEFD"/>
      </patternFill>
    </fill>
    <fill>
      <patternFill patternType="solid">
        <fgColor rgb="FF666666"/>
        <bgColor rgb="FF666666"/>
      </patternFill>
    </fill>
  </fills>
  <borders count="10">
    <border/>
    <border>
      <left style="thin">
        <color rgb="FF000000"/>
      </left>
      <right style="thin">
        <color rgb="FF000000"/>
      </right>
      <top style="thin">
        <color rgb="FF000000"/>
      </top>
      <bottom style="thin">
        <color rgb="FF000000"/>
      </bottom>
    </border>
    <border>
      <right style="thin">
        <color rgb="FF000000"/>
      </right>
    </border>
    <border>
      <left style="thin">
        <color rgb="FF000000"/>
      </left>
    </border>
    <border>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742">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left" readingOrder="0" vertical="bottom"/>
    </xf>
    <xf borderId="2" fillId="3" fontId="3" numFmtId="0" xfId="0" applyAlignment="1" applyBorder="1" applyFill="1" applyFont="1">
      <alignment readingOrder="0" vertical="bottom"/>
    </xf>
    <xf borderId="1" fillId="2" fontId="2" numFmtId="165" xfId="0" applyAlignment="1" applyBorder="1" applyFont="1" applyNumberFormat="1">
      <alignment horizontal="left" vertical="bottom"/>
    </xf>
    <xf borderId="0" fillId="3" fontId="3" numFmtId="166" xfId="0" applyAlignment="1" applyFont="1" applyNumberFormat="1">
      <alignment horizontal="center" readingOrder="0" vertical="bottom"/>
    </xf>
    <xf borderId="1" fillId="2" fontId="2" numFmtId="0" xfId="0" applyAlignment="1" applyBorder="1" applyFont="1">
      <alignment horizontal="left" vertical="bottom"/>
    </xf>
    <xf borderId="1" fillId="2" fontId="2" numFmtId="0" xfId="0" applyAlignment="1" applyBorder="1" applyFont="1">
      <alignment horizontal="left" shrinkToFit="0" vertical="bottom" wrapText="1"/>
    </xf>
    <xf borderId="1" fillId="2" fontId="2" numFmtId="0" xfId="0" applyAlignment="1" applyBorder="1" applyFont="1">
      <alignment horizontal="left" readingOrder="0" shrinkToFit="0" vertical="bottom" wrapText="1"/>
    </xf>
    <xf borderId="1" fillId="4" fontId="2" numFmtId="0" xfId="0" applyAlignment="1" applyBorder="1" applyFill="1" applyFont="1">
      <alignment horizontal="left" readingOrder="0" shrinkToFit="0" vertical="bottom" wrapText="1"/>
    </xf>
    <xf borderId="3" fillId="0" fontId="4" numFmtId="0" xfId="0" applyAlignment="1" applyBorder="1" applyFont="1">
      <alignment vertical="bottom"/>
    </xf>
    <xf borderId="1" fillId="0" fontId="5" numFmtId="0" xfId="0" applyBorder="1" applyFont="1"/>
    <xf borderId="2" fillId="5" fontId="3" numFmtId="0" xfId="0" applyAlignment="1" applyBorder="1" applyFill="1" applyFont="1">
      <alignment readingOrder="0" vertical="bottom"/>
    </xf>
    <xf borderId="0" fillId="5" fontId="3" numFmtId="0" xfId="0" applyAlignment="1" applyFont="1">
      <alignment horizontal="center" vertical="bottom"/>
    </xf>
    <xf borderId="1" fillId="6" fontId="6" numFmtId="0" xfId="0" applyAlignment="1" applyBorder="1" applyFill="1" applyFont="1">
      <alignment shrinkToFit="0" vertical="bottom" wrapText="1"/>
    </xf>
    <xf borderId="0" fillId="0" fontId="1" numFmtId="167" xfId="0" applyAlignment="1" applyFont="1" applyNumberFormat="1">
      <alignment readingOrder="0"/>
    </xf>
    <xf borderId="1" fillId="7" fontId="5" numFmtId="0" xfId="0" applyAlignment="1" applyBorder="1" applyFill="1" applyFont="1">
      <alignment shrinkToFit="0" vertical="bottom" wrapText="1"/>
    </xf>
    <xf borderId="0" fillId="0" fontId="1" numFmtId="0" xfId="0" applyAlignment="1" applyFont="1">
      <alignment readingOrder="0"/>
    </xf>
    <xf borderId="0" fillId="5" fontId="3" numFmtId="0" xfId="0" applyAlignment="1" applyFont="1">
      <alignment horizontal="center" readingOrder="0" vertical="bottom"/>
    </xf>
    <xf borderId="2" fillId="8" fontId="3" numFmtId="0" xfId="0" applyAlignment="1" applyBorder="1" applyFill="1" applyFont="1">
      <alignment readingOrder="0" vertical="bottom"/>
    </xf>
    <xf borderId="0" fillId="0" fontId="4" numFmtId="0" xfId="0" applyAlignment="1" applyFont="1">
      <alignment vertical="bottom"/>
    </xf>
    <xf borderId="0" fillId="0" fontId="4" numFmtId="0" xfId="0" applyAlignment="1" applyFont="1">
      <alignment readingOrder="0" vertical="bottom"/>
    </xf>
    <xf borderId="1" fillId="9" fontId="5" numFmtId="164" xfId="0" applyAlignment="1" applyBorder="1" applyFill="1" applyFont="1" applyNumberFormat="1">
      <alignment horizontal="left" readingOrder="0" shrinkToFit="0" wrapText="1"/>
    </xf>
    <xf borderId="2" fillId="10" fontId="4" numFmtId="0" xfId="0" applyAlignment="1" applyBorder="1" applyFill="1" applyFont="1">
      <alignment readingOrder="0" vertical="bottom"/>
    </xf>
    <xf borderId="1" fillId="9" fontId="5" numFmtId="165" xfId="0" applyAlignment="1" applyBorder="1" applyFont="1" applyNumberFormat="1">
      <alignment horizontal="left" readingOrder="0" shrinkToFit="0" wrapText="1"/>
    </xf>
    <xf borderId="1" fillId="9" fontId="5" numFmtId="0" xfId="0" applyAlignment="1" applyBorder="1" applyFont="1">
      <alignment horizontal="left" readingOrder="0" shrinkToFit="0" wrapText="1"/>
    </xf>
    <xf borderId="2" fillId="0" fontId="4" numFmtId="0" xfId="0" applyAlignment="1" applyBorder="1" applyFont="1">
      <alignment vertical="bottom"/>
    </xf>
    <xf borderId="3" fillId="11" fontId="4" numFmtId="0" xfId="0" applyAlignment="1" applyBorder="1" applyFill="1" applyFont="1">
      <alignment horizontal="right" vertical="bottom"/>
    </xf>
    <xf borderId="0" fillId="11" fontId="4" numFmtId="0" xfId="0" applyAlignment="1" applyFont="1">
      <alignment horizontal="right" vertical="bottom"/>
    </xf>
    <xf borderId="0" fillId="11" fontId="4" numFmtId="0" xfId="0" applyAlignment="1" applyFont="1">
      <alignment horizontal="right" readingOrder="0" vertical="bottom"/>
    </xf>
    <xf borderId="0" fillId="11" fontId="4" numFmtId="0" xfId="0" applyAlignment="1" applyFont="1">
      <alignment readingOrder="0" vertical="bottom"/>
    </xf>
    <xf borderId="1" fillId="9" fontId="5" numFmtId="0" xfId="0" applyAlignment="1" applyBorder="1" applyFont="1">
      <alignment horizontal="left" shrinkToFit="0" vertical="bottom" wrapText="1"/>
    </xf>
    <xf borderId="3" fillId="0" fontId="7" numFmtId="0" xfId="0" applyAlignment="1" applyBorder="1" applyFont="1">
      <alignment horizontal="right" vertical="bottom"/>
    </xf>
    <xf borderId="1" fillId="9" fontId="5" numFmtId="0" xfId="0" applyAlignment="1" applyBorder="1" applyFont="1">
      <alignment horizontal="right" readingOrder="0" shrinkToFit="0" vertical="bottom" wrapText="1"/>
    </xf>
    <xf borderId="2" fillId="0" fontId="4" numFmtId="0" xfId="0" applyAlignment="1" applyBorder="1" applyFont="1">
      <alignment readingOrder="0" vertical="bottom"/>
    </xf>
    <xf borderId="1" fillId="9" fontId="5" numFmtId="10" xfId="0" applyAlignment="1" applyBorder="1" applyFont="1" applyNumberFormat="1">
      <alignment horizontal="right"/>
    </xf>
    <xf borderId="1" fillId="9" fontId="5" numFmtId="0" xfId="0" applyAlignment="1" applyBorder="1" applyFont="1">
      <alignment horizontal="left"/>
    </xf>
    <xf borderId="1" fillId="9" fontId="5" numFmtId="165" xfId="0" applyAlignment="1" applyBorder="1" applyFont="1" applyNumberFormat="1">
      <alignment readingOrder="0"/>
    </xf>
    <xf borderId="0" fillId="12" fontId="4" numFmtId="1" xfId="0" applyAlignment="1" applyFill="1" applyFont="1" applyNumberFormat="1">
      <alignment readingOrder="0" vertical="bottom"/>
    </xf>
    <xf borderId="0" fillId="2" fontId="4" numFmtId="1" xfId="0" applyAlignment="1" applyFont="1" applyNumberFormat="1">
      <alignment readingOrder="0" vertical="bottom"/>
    </xf>
    <xf borderId="1" fillId="9" fontId="8" numFmtId="0" xfId="0" applyAlignment="1" applyBorder="1" applyFont="1">
      <alignment horizontal="left" readingOrder="0" shrinkToFit="0" wrapText="0"/>
    </xf>
    <xf borderId="3" fillId="0" fontId="7" numFmtId="1" xfId="0" applyAlignment="1" applyBorder="1" applyFont="1" applyNumberFormat="1">
      <alignment horizontal="right" vertical="bottom"/>
    </xf>
    <xf borderId="3" fillId="12" fontId="9" numFmtId="1" xfId="0" applyAlignment="1" applyBorder="1" applyFont="1" applyNumberFormat="1">
      <alignment vertical="bottom"/>
    </xf>
    <xf borderId="0" fillId="12" fontId="9" numFmtId="1" xfId="0" applyAlignment="1" applyFont="1" applyNumberFormat="1">
      <alignment vertical="bottom"/>
    </xf>
    <xf borderId="0" fillId="12" fontId="4" numFmtId="1" xfId="0" applyAlignment="1" applyFont="1" applyNumberFormat="1">
      <alignment vertical="bottom"/>
    </xf>
    <xf borderId="4" fillId="0" fontId="4" numFmtId="0" xfId="0" applyAlignment="1" applyBorder="1" applyFont="1">
      <alignment readingOrder="0" vertical="bottom"/>
    </xf>
    <xf borderId="5" fillId="11" fontId="4" numFmtId="0" xfId="0" applyAlignment="1" applyBorder="1" applyFont="1">
      <alignment horizontal="right" vertical="bottom"/>
    </xf>
    <xf borderId="4" fillId="11" fontId="4" numFmtId="0" xfId="0" applyAlignment="1" applyBorder="1" applyFont="1">
      <alignment horizontal="right" vertical="bottom"/>
    </xf>
    <xf borderId="4" fillId="11" fontId="4" numFmtId="0" xfId="0" applyAlignment="1" applyBorder="1" applyFont="1">
      <alignment horizontal="right" readingOrder="0" vertical="bottom"/>
    </xf>
    <xf borderId="4" fillId="11" fontId="4" numFmtId="3" xfId="0" applyAlignment="1" applyBorder="1" applyFont="1" applyNumberFormat="1">
      <alignment horizontal="right" readingOrder="0" vertical="bottom"/>
    </xf>
    <xf borderId="2" fillId="0" fontId="10" numFmtId="0" xfId="0" applyAlignment="1" applyBorder="1" applyFont="1">
      <alignment readingOrder="0" vertical="bottom"/>
    </xf>
    <xf borderId="0" fillId="0" fontId="10" numFmtId="1" xfId="0" applyAlignment="1" applyFont="1" applyNumberFormat="1">
      <alignment horizontal="right" vertical="bottom"/>
    </xf>
    <xf borderId="3" fillId="0" fontId="11" numFmtId="1" xfId="0" applyAlignment="1" applyBorder="1" applyFont="1" applyNumberFormat="1">
      <alignment horizontal="right" vertical="bottom"/>
    </xf>
    <xf borderId="2" fillId="13" fontId="4" numFmtId="0" xfId="0" applyAlignment="1" applyBorder="1" applyFill="1" applyFont="1">
      <alignment readingOrder="0" vertical="bottom"/>
    </xf>
    <xf borderId="1" fillId="9" fontId="5" numFmtId="0" xfId="0" applyAlignment="1" applyBorder="1" applyFont="1">
      <alignment horizontal="right" shrinkToFit="0" vertical="bottom" wrapText="1"/>
    </xf>
    <xf borderId="1" fillId="9" fontId="5" numFmtId="0" xfId="0" applyAlignment="1" applyBorder="1" applyFont="1">
      <alignment horizontal="right"/>
    </xf>
    <xf borderId="3" fillId="11" fontId="4" numFmtId="165" xfId="0" applyAlignment="1" applyBorder="1" applyFont="1" applyNumberFormat="1">
      <alignment horizontal="right" vertical="bottom"/>
    </xf>
    <xf borderId="0" fillId="11" fontId="4" numFmtId="165" xfId="0" applyAlignment="1" applyFont="1" applyNumberFormat="1">
      <alignment horizontal="right" vertical="bottom"/>
    </xf>
    <xf borderId="0" fillId="11" fontId="4" numFmtId="165" xfId="0" applyAlignment="1" applyFont="1" applyNumberFormat="1">
      <alignment horizontal="right" readingOrder="0" vertical="bottom"/>
    </xf>
    <xf borderId="0" fillId="11" fontId="4" numFmtId="165" xfId="0" applyAlignment="1" applyFont="1" applyNumberFormat="1">
      <alignment readingOrder="0" vertical="bottom"/>
    </xf>
    <xf borderId="3" fillId="0" fontId="7" numFmtId="168" xfId="0" applyAlignment="1" applyBorder="1" applyFont="1" applyNumberFormat="1">
      <alignment horizontal="right" vertical="bottom"/>
    </xf>
    <xf borderId="3" fillId="12" fontId="9" numFmtId="165" xfId="0" applyAlignment="1" applyBorder="1" applyFont="1" applyNumberFormat="1">
      <alignment vertical="bottom"/>
    </xf>
    <xf borderId="0" fillId="12" fontId="9" numFmtId="165" xfId="0" applyAlignment="1" applyFont="1" applyNumberFormat="1">
      <alignment vertical="bottom"/>
    </xf>
    <xf borderId="0" fillId="2" fontId="4" numFmtId="165" xfId="0" applyAlignment="1" applyFont="1" applyNumberFormat="1">
      <alignment readingOrder="0" vertical="bottom"/>
    </xf>
    <xf borderId="1" fillId="9" fontId="5" numFmtId="0" xfId="0" applyAlignment="1" applyBorder="1" applyFont="1">
      <alignment horizontal="left" vertical="bottom"/>
    </xf>
    <xf borderId="0" fillId="12" fontId="4" numFmtId="165" xfId="0" applyAlignment="1" applyFont="1" applyNumberFormat="1">
      <alignment readingOrder="0" vertical="bottom"/>
    </xf>
    <xf borderId="0" fillId="12" fontId="4" numFmtId="165" xfId="0" applyAlignment="1" applyFont="1" applyNumberFormat="1">
      <alignment vertical="bottom"/>
    </xf>
    <xf borderId="1" fillId="9" fontId="5" numFmtId="0" xfId="0" applyAlignment="1" applyBorder="1" applyFont="1">
      <alignment horizontal="right" readingOrder="0" shrinkToFit="0" wrapText="1"/>
    </xf>
    <xf borderId="1" fillId="9" fontId="5" numFmtId="164" xfId="0" applyAlignment="1" applyBorder="1" applyFont="1" applyNumberFormat="1">
      <alignment horizontal="right" readingOrder="0" shrinkToFit="0" wrapText="1"/>
    </xf>
    <xf borderId="1" fillId="9" fontId="5" numFmtId="0" xfId="0" applyAlignment="1" applyBorder="1" applyFont="1">
      <alignment vertical="bottom"/>
    </xf>
    <xf borderId="6" fillId="0" fontId="4" numFmtId="0" xfId="0" applyAlignment="1" applyBorder="1" applyFont="1">
      <alignment readingOrder="0" vertical="bottom"/>
    </xf>
    <xf borderId="5" fillId="2" fontId="4" numFmtId="165" xfId="0" applyAlignment="1" applyBorder="1" applyFont="1" applyNumberFormat="1">
      <alignment horizontal="right" vertical="bottom"/>
    </xf>
    <xf borderId="4" fillId="2" fontId="4" numFmtId="165" xfId="0" applyAlignment="1" applyBorder="1" applyFont="1" applyNumberFormat="1">
      <alignment horizontal="right" vertical="bottom"/>
    </xf>
    <xf borderId="4" fillId="11" fontId="4" numFmtId="165" xfId="0" applyAlignment="1" applyBorder="1" applyFont="1" applyNumberFormat="1">
      <alignment horizontal="right" readingOrder="0" vertical="bottom"/>
    </xf>
    <xf borderId="4" fillId="11" fontId="4" numFmtId="165" xfId="0" applyAlignment="1" applyBorder="1" applyFont="1" applyNumberFormat="1">
      <alignment horizontal="right" readingOrder="0" vertical="bottom"/>
    </xf>
    <xf borderId="4" fillId="11" fontId="4" numFmtId="4" xfId="0" applyAlignment="1" applyBorder="1" applyFont="1" applyNumberFormat="1">
      <alignment horizontal="right" readingOrder="0" vertical="bottom"/>
    </xf>
    <xf borderId="0" fillId="0" fontId="10" numFmtId="168" xfId="0" applyAlignment="1" applyFont="1" applyNumberFormat="1">
      <alignment horizontal="right" vertical="bottom"/>
    </xf>
    <xf borderId="3" fillId="0" fontId="11" numFmtId="168" xfId="0" applyAlignment="1" applyBorder="1" applyFont="1" applyNumberFormat="1">
      <alignment horizontal="right" vertical="bottom"/>
    </xf>
    <xf borderId="3" fillId="0" fontId="4" numFmtId="169" xfId="0" applyAlignment="1" applyBorder="1" applyFont="1" applyNumberFormat="1">
      <alignment vertical="bottom"/>
    </xf>
    <xf borderId="2" fillId="14" fontId="4" numFmtId="0" xfId="0" applyAlignment="1" applyBorder="1" applyFill="1" applyFont="1">
      <alignment readingOrder="0" vertical="bottom"/>
    </xf>
    <xf borderId="1" fillId="9" fontId="5" numFmtId="10" xfId="0" applyAlignment="1" applyBorder="1" applyFont="1" applyNumberFormat="1">
      <alignment horizontal="left" vertical="bottom"/>
    </xf>
    <xf borderId="0" fillId="11" fontId="4" numFmtId="168" xfId="0" applyAlignment="1" applyFont="1" applyNumberFormat="1">
      <alignment horizontal="right" readingOrder="0" vertical="bottom"/>
    </xf>
    <xf borderId="1" fillId="0" fontId="12" numFmtId="0" xfId="0" applyBorder="1" applyFont="1"/>
    <xf borderId="1" fillId="6" fontId="13" numFmtId="0" xfId="0" applyAlignment="1" applyBorder="1" applyFont="1">
      <alignment shrinkToFit="0" vertical="bottom" wrapText="1"/>
    </xf>
    <xf borderId="1" fillId="7" fontId="12" numFmtId="0" xfId="0" applyAlignment="1" applyBorder="1" applyFont="1">
      <alignment shrinkToFit="0" vertical="bottom" wrapText="1"/>
    </xf>
    <xf borderId="1" fillId="0" fontId="5" numFmtId="164" xfId="0" applyAlignment="1" applyBorder="1" applyFont="1" applyNumberFormat="1">
      <alignment horizontal="left" readingOrder="0" shrinkToFit="0" wrapText="1"/>
    </xf>
    <xf borderId="1" fillId="0" fontId="5" numFmtId="165" xfId="0" applyAlignment="1" applyBorder="1" applyFont="1" applyNumberFormat="1">
      <alignment horizontal="left" readingOrder="0" shrinkToFit="0" wrapText="1"/>
    </xf>
    <xf borderId="1" fillId="9" fontId="14" numFmtId="0" xfId="0" applyAlignment="1" applyBorder="1" applyFont="1">
      <alignment readingOrder="0"/>
    </xf>
    <xf borderId="1" fillId="0" fontId="8" numFmtId="0" xfId="0" applyAlignment="1" applyBorder="1" applyFont="1">
      <alignment horizontal="left" readingOrder="0" shrinkToFit="0" wrapText="0"/>
    </xf>
    <xf borderId="1" fillId="0" fontId="5" numFmtId="0" xfId="0" applyAlignment="1" applyBorder="1" applyFont="1">
      <alignment horizontal="left" readingOrder="0" shrinkToFit="0" wrapText="1"/>
    </xf>
    <xf borderId="1" fillId="15" fontId="5" numFmtId="0" xfId="0" applyAlignment="1" applyBorder="1" applyFill="1" applyFont="1">
      <alignment horizontal="left" readingOrder="0" shrinkToFit="0" vertical="bottom" wrapText="1"/>
    </xf>
    <xf borderId="1" fillId="0" fontId="5" numFmtId="0" xfId="0" applyAlignment="1" applyBorder="1" applyFont="1">
      <alignment horizontal="left" shrinkToFit="0" vertical="bottom" wrapText="1"/>
    </xf>
    <xf borderId="1" fillId="0" fontId="5" numFmtId="0" xfId="0" applyAlignment="1" applyBorder="1" applyFont="1">
      <alignment horizontal="right" readingOrder="0" shrinkToFit="0" vertical="bottom" wrapText="1"/>
    </xf>
    <xf borderId="1" fillId="0" fontId="5" numFmtId="10" xfId="0" applyAlignment="1" applyBorder="1" applyFont="1" applyNumberFormat="1">
      <alignment horizontal="right"/>
    </xf>
    <xf borderId="1" fillId="0" fontId="5" numFmtId="0" xfId="0" applyAlignment="1" applyBorder="1" applyFont="1">
      <alignment horizontal="left"/>
    </xf>
    <xf borderId="1" fillId="9" fontId="5" numFmtId="0" xfId="0" applyAlignment="1" applyBorder="1" applyFont="1">
      <alignment horizontal="left" readingOrder="0"/>
    </xf>
    <xf borderId="1" fillId="0" fontId="12" numFmtId="164" xfId="0" applyAlignment="1" applyBorder="1" applyFont="1" applyNumberFormat="1">
      <alignment horizontal="left" shrinkToFit="0" vertical="bottom" wrapText="1"/>
    </xf>
    <xf borderId="1" fillId="9" fontId="5" numFmtId="3" xfId="0" applyAlignment="1" applyBorder="1" applyFont="1" applyNumberFormat="1">
      <alignment horizontal="left" vertical="bottom"/>
    </xf>
    <xf borderId="7" fillId="0" fontId="12" numFmtId="0" xfId="0" applyAlignment="1" applyBorder="1" applyFont="1">
      <alignment shrinkToFit="0" vertical="bottom" wrapText="1"/>
    </xf>
    <xf borderId="0" fillId="9" fontId="5" numFmtId="0" xfId="0" applyAlignment="1" applyFont="1">
      <alignment horizontal="left" vertical="bottom"/>
    </xf>
    <xf borderId="7" fillId="9" fontId="12" numFmtId="0" xfId="0" applyAlignment="1" applyBorder="1" applyFont="1">
      <alignment shrinkToFit="0" vertical="bottom" wrapText="1"/>
    </xf>
    <xf borderId="7" fillId="0" fontId="12" numFmtId="164" xfId="0" applyAlignment="1" applyBorder="1" applyFont="1" applyNumberFormat="1">
      <alignment shrinkToFit="0" vertical="bottom" wrapText="1"/>
    </xf>
    <xf borderId="1" fillId="9" fontId="15" numFmtId="165" xfId="0" applyAlignment="1" applyBorder="1" applyFont="1" applyNumberFormat="1">
      <alignment readingOrder="0"/>
    </xf>
    <xf borderId="7" fillId="0" fontId="9" numFmtId="0" xfId="0" applyAlignment="1" applyBorder="1" applyFont="1">
      <alignment vertical="bottom"/>
    </xf>
    <xf borderId="7" fillId="0" fontId="9" numFmtId="0" xfId="0" applyAlignment="1" applyBorder="1" applyFont="1">
      <alignment readingOrder="0" vertical="bottom"/>
    </xf>
    <xf borderId="7" fillId="0" fontId="9" numFmtId="10" xfId="0" applyAlignment="1" applyBorder="1" applyFont="1" applyNumberFormat="1">
      <alignment vertical="bottom"/>
    </xf>
    <xf borderId="7" fillId="0" fontId="9" numFmtId="0" xfId="0" applyAlignment="1" applyBorder="1" applyFont="1">
      <alignment vertical="bottom"/>
    </xf>
    <xf borderId="1" fillId="9" fontId="15" numFmtId="0" xfId="0" applyAlignment="1" applyBorder="1" applyFont="1">
      <alignment readingOrder="0"/>
    </xf>
    <xf borderId="8" fillId="0" fontId="12" numFmtId="164" xfId="0" applyAlignment="1" applyBorder="1" applyFont="1" applyNumberFormat="1">
      <alignment horizontal="left" shrinkToFit="0" vertical="bottom" wrapText="1"/>
    </xf>
    <xf borderId="6" fillId="0" fontId="15" numFmtId="0" xfId="0" applyAlignment="1" applyBorder="1" applyFont="1">
      <alignment vertical="bottom"/>
    </xf>
    <xf borderId="6" fillId="0" fontId="12" numFmtId="0" xfId="0" applyAlignment="1" applyBorder="1" applyFont="1">
      <alignment shrinkToFit="0" vertical="bottom" wrapText="1"/>
    </xf>
    <xf borderId="6" fillId="9" fontId="12" numFmtId="0" xfId="0" applyAlignment="1" applyBorder="1" applyFont="1">
      <alignment shrinkToFit="0" vertical="bottom" wrapText="1"/>
    </xf>
    <xf borderId="6" fillId="0" fontId="12" numFmtId="164" xfId="0" applyAlignment="1" applyBorder="1" applyFont="1" applyNumberFormat="1">
      <alignment shrinkToFit="0" vertical="bottom" wrapText="1"/>
    </xf>
    <xf borderId="6" fillId="0" fontId="12" numFmtId="0" xfId="0" applyAlignment="1" applyBorder="1" applyFont="1">
      <alignment readingOrder="0" shrinkToFit="0" vertical="bottom" wrapText="1"/>
    </xf>
    <xf borderId="6" fillId="0" fontId="9" numFmtId="0" xfId="0" applyAlignment="1" applyBorder="1" applyFont="1">
      <alignment vertical="bottom"/>
    </xf>
    <xf borderId="6" fillId="0" fontId="9" numFmtId="0" xfId="0" applyAlignment="1" applyBorder="1" applyFont="1">
      <alignment vertical="bottom"/>
    </xf>
    <xf borderId="6" fillId="0" fontId="9" numFmtId="10" xfId="0" applyAlignment="1" applyBorder="1" applyFont="1" applyNumberFormat="1">
      <alignment vertical="bottom"/>
    </xf>
    <xf borderId="0" fillId="12" fontId="16" numFmtId="168" xfId="0" applyAlignment="1" applyFont="1" applyNumberFormat="1">
      <alignment vertical="bottom"/>
    </xf>
    <xf borderId="6" fillId="9" fontId="15" numFmtId="0" xfId="0" applyAlignment="1" applyBorder="1" applyFont="1">
      <alignment vertical="bottom"/>
    </xf>
    <xf borderId="8" fillId="9" fontId="12" numFmtId="164" xfId="0" applyAlignment="1" applyBorder="1" applyFont="1" applyNumberFormat="1">
      <alignment horizontal="left" readingOrder="0" shrinkToFit="0" vertical="bottom" wrapText="1"/>
    </xf>
    <xf borderId="7" fillId="9" fontId="12" numFmtId="164" xfId="0" applyAlignment="1" applyBorder="1" applyFont="1" applyNumberFormat="1">
      <alignment horizontal="left" readingOrder="0" shrinkToFit="0" vertical="bottom" wrapText="1"/>
    </xf>
    <xf borderId="0" fillId="12" fontId="4" numFmtId="168" xfId="0" applyAlignment="1" applyFont="1" applyNumberFormat="1">
      <alignment vertical="bottom"/>
    </xf>
    <xf borderId="6" fillId="9" fontId="12" numFmtId="0" xfId="0" applyAlignment="1" applyBorder="1" applyFont="1">
      <alignment readingOrder="0" shrinkToFit="0" vertical="bottom" wrapText="1"/>
    </xf>
    <xf borderId="6" fillId="9" fontId="12" numFmtId="164" xfId="0" applyAlignment="1" applyBorder="1" applyFont="1" applyNumberFormat="1">
      <alignment shrinkToFit="0" vertical="bottom" wrapText="1"/>
    </xf>
    <xf borderId="0" fillId="9" fontId="17" numFmtId="0" xfId="0" applyAlignment="1" applyFont="1">
      <alignment horizontal="left" readingOrder="0"/>
    </xf>
    <xf borderId="3" fillId="12" fontId="4" numFmtId="168" xfId="0" applyAlignment="1" applyBorder="1" applyFont="1" applyNumberFormat="1">
      <alignment vertical="bottom"/>
    </xf>
    <xf borderId="6" fillId="9" fontId="9" numFmtId="0" xfId="0" applyAlignment="1" applyBorder="1" applyFont="1">
      <alignment vertical="bottom"/>
    </xf>
    <xf borderId="6" fillId="9" fontId="9" numFmtId="0" xfId="0" applyAlignment="1" applyBorder="1" applyFont="1">
      <alignment vertical="bottom"/>
    </xf>
    <xf borderId="6" fillId="9" fontId="9" numFmtId="10" xfId="0" applyAlignment="1" applyBorder="1" applyFont="1" applyNumberFormat="1">
      <alignment vertical="bottom"/>
    </xf>
    <xf borderId="0" fillId="2" fontId="4" numFmtId="168" xfId="0" applyAlignment="1" applyFont="1" applyNumberFormat="1">
      <alignment vertical="bottom"/>
    </xf>
    <xf borderId="0" fillId="9" fontId="15" numFmtId="0" xfId="0" applyAlignment="1" applyFont="1">
      <alignment readingOrder="0"/>
    </xf>
    <xf borderId="0" fillId="9" fontId="5" numFmtId="0" xfId="0" applyAlignment="1" applyFont="1">
      <alignment horizontal="left" readingOrder="0" shrinkToFit="0" wrapText="1"/>
    </xf>
    <xf borderId="6" fillId="0" fontId="4" numFmtId="0" xfId="0" applyAlignment="1" applyBorder="1" applyFont="1">
      <alignment vertical="bottom"/>
    </xf>
    <xf borderId="4" fillId="12" fontId="4" numFmtId="168" xfId="0" applyAlignment="1" applyBorder="1" applyFont="1" applyNumberFormat="1">
      <alignment vertical="bottom"/>
    </xf>
    <xf borderId="0" fillId="9" fontId="18" numFmtId="0" xfId="0" applyAlignment="1" applyFont="1">
      <alignment readingOrder="0"/>
    </xf>
    <xf borderId="5" fillId="0" fontId="7" numFmtId="168" xfId="0" applyAlignment="1" applyBorder="1" applyFont="1" applyNumberFormat="1">
      <alignment horizontal="right" vertical="bottom"/>
    </xf>
    <xf borderId="0" fillId="9" fontId="5" numFmtId="165" xfId="0" applyAlignment="1" applyFont="1" applyNumberFormat="1">
      <alignment horizontal="left" readingOrder="0" shrinkToFit="0" wrapText="1"/>
    </xf>
    <xf borderId="1" fillId="0" fontId="5" numFmtId="0" xfId="0" applyAlignment="1" applyBorder="1" applyFont="1">
      <alignment horizontal="right" readingOrder="0" shrinkToFit="0" wrapText="1"/>
    </xf>
    <xf borderId="1" fillId="0" fontId="5" numFmtId="164" xfId="0" applyAlignment="1" applyBorder="1" applyFont="1" applyNumberFormat="1">
      <alignment horizontal="right" readingOrder="0" shrinkToFit="0" wrapText="1"/>
    </xf>
    <xf borderId="1" fillId="0" fontId="5" numFmtId="0" xfId="0" applyAlignment="1" applyBorder="1" applyFont="1">
      <alignment vertical="bottom"/>
    </xf>
    <xf borderId="0" fillId="0" fontId="4" numFmtId="168" xfId="0" applyAlignment="1" applyFont="1" applyNumberFormat="1">
      <alignment horizontal="right" vertical="bottom"/>
    </xf>
    <xf borderId="0" fillId="0" fontId="5" numFmtId="165" xfId="0" applyAlignment="1" applyFont="1" applyNumberFormat="1">
      <alignment horizontal="left" readingOrder="0" shrinkToFit="0" wrapText="1"/>
    </xf>
    <xf borderId="0" fillId="0" fontId="5" numFmtId="0" xfId="0" applyAlignment="1" applyFont="1">
      <alignment horizontal="left" readingOrder="0" shrinkToFit="0" wrapText="1"/>
    </xf>
    <xf borderId="8" fillId="0" fontId="8" numFmtId="164" xfId="0" applyAlignment="1" applyBorder="1" applyFont="1" applyNumberFormat="1">
      <alignment horizontal="left" readingOrder="0" shrinkToFit="0" vertical="bottom" wrapText="1"/>
    </xf>
    <xf borderId="1" fillId="0" fontId="8" numFmtId="165" xfId="0" applyAlignment="1" applyBorder="1" applyFont="1" applyNumberFormat="1">
      <alignment horizontal="left" readingOrder="0" shrinkToFit="0" wrapText="1"/>
    </xf>
    <xf borderId="7" fillId="0" fontId="8" numFmtId="164" xfId="0" applyAlignment="1" applyBorder="1" applyFont="1" applyNumberFormat="1">
      <alignment horizontal="left" readingOrder="0" shrinkToFit="0" vertical="bottom" wrapText="1"/>
    </xf>
    <xf borderId="1" fillId="0" fontId="8" numFmtId="0" xfId="0" applyAlignment="1" applyBorder="1" applyFont="1">
      <alignment horizontal="left" readingOrder="0" shrinkToFit="0" wrapText="1"/>
    </xf>
    <xf borderId="6" fillId="0" fontId="8" numFmtId="0" xfId="0" applyAlignment="1" applyBorder="1" applyFont="1">
      <alignment horizontal="left" shrinkToFit="0" vertical="bottom" wrapText="1"/>
    </xf>
    <xf borderId="0" fillId="9" fontId="15" numFmtId="165" xfId="0" applyAlignment="1" applyFont="1" applyNumberFormat="1">
      <alignment readingOrder="0"/>
    </xf>
    <xf borderId="3" fillId="0" fontId="4" numFmtId="168" xfId="0" applyAlignment="1" applyBorder="1" applyFont="1" applyNumberFormat="1">
      <alignment horizontal="right" vertical="bottom"/>
    </xf>
    <xf borderId="1" fillId="9" fontId="19" numFmtId="165" xfId="0" applyAlignment="1" applyBorder="1" applyFont="1" applyNumberFormat="1">
      <alignment readingOrder="0"/>
    </xf>
    <xf borderId="7" fillId="0" fontId="8" numFmtId="0" xfId="0" applyAlignment="1" applyBorder="1" applyFont="1">
      <alignment horizontal="left" readingOrder="0" shrinkToFit="0" vertical="bottom" wrapText="1"/>
    </xf>
    <xf borderId="1" fillId="0" fontId="8" numFmtId="164" xfId="0" applyAlignment="1" applyBorder="1" applyFont="1" applyNumberFormat="1">
      <alignment horizontal="left" readingOrder="0" shrinkToFit="0" wrapText="1"/>
    </xf>
    <xf borderId="1" fillId="0" fontId="5" numFmtId="0" xfId="0" applyAlignment="1" applyBorder="1" applyFont="1">
      <alignment horizontal="left" shrinkToFit="0" wrapText="1"/>
    </xf>
    <xf borderId="1" fillId="0" fontId="1" numFmtId="165" xfId="0" applyAlignment="1" applyBorder="1" applyFont="1" applyNumberFormat="1">
      <alignment readingOrder="0"/>
    </xf>
    <xf borderId="1" fillId="16" fontId="15" numFmtId="0" xfId="0" applyAlignment="1" applyBorder="1" applyFill="1" applyFont="1">
      <alignment readingOrder="0"/>
    </xf>
    <xf borderId="1" fillId="0" fontId="8" numFmtId="164" xfId="0" applyAlignment="1" applyBorder="1" applyFont="1" applyNumberFormat="1">
      <alignment horizontal="left" shrinkToFit="0" vertical="bottom" wrapText="1"/>
    </xf>
    <xf borderId="7" fillId="0" fontId="8" numFmtId="0" xfId="0" applyAlignment="1" applyBorder="1" applyFont="1">
      <alignment horizontal="left" vertical="bottom"/>
    </xf>
    <xf borderId="7" fillId="0" fontId="8" numFmtId="0" xfId="0" applyAlignment="1" applyBorder="1" applyFont="1">
      <alignment horizontal="left" shrinkToFit="0" vertical="bottom" wrapText="1"/>
    </xf>
    <xf borderId="1" fillId="0" fontId="8" numFmtId="165" xfId="0" applyAlignment="1" applyBorder="1" applyFont="1" applyNumberFormat="1">
      <alignment horizontal="left" readingOrder="0" shrinkToFit="0" vertical="bottom" wrapText="1"/>
    </xf>
    <xf borderId="1" fillId="9" fontId="15" numFmtId="0" xfId="0" applyAlignment="1" applyBorder="1" applyFont="1">
      <alignment readingOrder="0"/>
    </xf>
    <xf borderId="4" fillId="0" fontId="4" numFmtId="168" xfId="0" applyAlignment="1" applyBorder="1" applyFont="1" applyNumberFormat="1">
      <alignment horizontal="right" vertical="bottom"/>
    </xf>
    <xf borderId="1" fillId="0" fontId="12" numFmtId="164" xfId="0" applyAlignment="1" applyBorder="1" applyFont="1" applyNumberFormat="1">
      <alignment horizontal="left" readingOrder="0" shrinkToFit="0" vertical="bottom" wrapText="1"/>
    </xf>
    <xf borderId="0" fillId="0" fontId="8" numFmtId="0" xfId="0" applyAlignment="1" applyFont="1">
      <alignment horizontal="left" readingOrder="0"/>
    </xf>
    <xf borderId="1" fillId="16" fontId="20" numFmtId="0" xfId="0" applyAlignment="1" applyBorder="1" applyFont="1">
      <alignment readingOrder="0" shrinkToFit="0" wrapText="1"/>
    </xf>
    <xf borderId="0" fillId="0" fontId="4" numFmtId="168" xfId="0" applyAlignment="1" applyFont="1" applyNumberFormat="1">
      <alignment vertical="bottom"/>
    </xf>
    <xf borderId="0" fillId="0" fontId="8" numFmtId="165" xfId="0" applyAlignment="1" applyFont="1" applyNumberFormat="1">
      <alignment horizontal="left" readingOrder="0"/>
    </xf>
    <xf borderId="3" fillId="0" fontId="4" numFmtId="168" xfId="0" applyAlignment="1" applyBorder="1" applyFont="1" applyNumberFormat="1">
      <alignment vertical="bottom"/>
    </xf>
    <xf borderId="2" fillId="0" fontId="4" numFmtId="168" xfId="0" applyAlignment="1" applyBorder="1" applyFont="1" applyNumberFormat="1">
      <alignment horizontal="right" vertical="bottom"/>
    </xf>
    <xf borderId="0" fillId="0" fontId="9" numFmtId="0" xfId="0" applyFont="1"/>
    <xf borderId="2" fillId="17" fontId="4" numFmtId="0" xfId="0" applyAlignment="1" applyBorder="1" applyFill="1" applyFont="1">
      <alignment vertical="bottom"/>
    </xf>
    <xf borderId="0" fillId="17" fontId="4" numFmtId="0" xfId="0" applyAlignment="1" applyFont="1">
      <alignment vertical="bottom"/>
    </xf>
    <xf borderId="3" fillId="17" fontId="4" numFmtId="0" xfId="0" applyAlignment="1" applyBorder="1" applyFont="1">
      <alignment vertical="bottom"/>
    </xf>
    <xf borderId="0" fillId="0" fontId="3" numFmtId="0" xfId="0" applyAlignment="1" applyFont="1">
      <alignment horizontal="right" vertical="bottom"/>
    </xf>
    <xf borderId="0" fillId="0" fontId="3" numFmtId="2" xfId="0" applyAlignment="1" applyFont="1" applyNumberFormat="1">
      <alignment horizontal="right" vertical="bottom"/>
    </xf>
    <xf borderId="3" fillId="0" fontId="7" numFmtId="168" xfId="0" applyAlignment="1" applyBorder="1" applyFont="1" applyNumberFormat="1">
      <alignment horizontal="center" vertical="bottom"/>
    </xf>
    <xf borderId="2" fillId="18" fontId="4" numFmtId="0" xfId="0" applyAlignment="1" applyBorder="1" applyFill="1" applyFont="1">
      <alignment readingOrder="0" vertical="bottom"/>
    </xf>
    <xf borderId="1" fillId="0" fontId="1" numFmtId="0" xfId="0" applyAlignment="1" applyBorder="1" applyFont="1">
      <alignment readingOrder="0"/>
    </xf>
    <xf borderId="0" fillId="19" fontId="4" numFmtId="2" xfId="0" applyAlignment="1" applyFill="1" applyFont="1" applyNumberFormat="1">
      <alignment horizontal="right" vertical="bottom"/>
    </xf>
    <xf borderId="0" fillId="20" fontId="4" numFmtId="168" xfId="0" applyAlignment="1" applyFill="1" applyFont="1" applyNumberFormat="1">
      <alignment horizontal="right" vertical="bottom"/>
    </xf>
    <xf borderId="2" fillId="18" fontId="4" numFmtId="0" xfId="0" applyAlignment="1" applyBorder="1" applyFont="1">
      <alignment vertical="bottom"/>
    </xf>
    <xf borderId="0" fillId="21" fontId="3" numFmtId="2" xfId="0" applyAlignment="1" applyFill="1" applyFont="1" applyNumberFormat="1">
      <alignment horizontal="right" vertical="bottom"/>
    </xf>
    <xf borderId="1" fillId="0" fontId="8" numFmtId="165" xfId="0" applyAlignment="1" applyBorder="1" applyFont="1" applyNumberFormat="1">
      <alignment horizontal="left" shrinkToFit="0" vertical="bottom" wrapText="1"/>
    </xf>
    <xf borderId="2" fillId="22" fontId="4" numFmtId="0" xfId="0" applyAlignment="1" applyBorder="1" applyFill="1" applyFont="1">
      <alignment readingOrder="0" vertical="bottom"/>
    </xf>
    <xf borderId="1" fillId="0" fontId="8" numFmtId="164" xfId="0" applyAlignment="1" applyBorder="1" applyFont="1" applyNumberFormat="1">
      <alignment horizontal="left" readingOrder="0" shrinkToFit="0" vertical="bottom" wrapText="1"/>
    </xf>
    <xf borderId="1" fillId="0" fontId="8" numFmtId="0" xfId="0" applyAlignment="1" applyBorder="1" applyFont="1">
      <alignment horizontal="left" readingOrder="0" shrinkToFit="0" vertical="bottom" wrapText="1"/>
    </xf>
    <xf borderId="2" fillId="23" fontId="4" numFmtId="0" xfId="0" applyAlignment="1" applyBorder="1" applyFill="1" applyFont="1">
      <alignment readingOrder="0" vertical="bottom"/>
    </xf>
    <xf borderId="1" fillId="0" fontId="8" numFmtId="165" xfId="0" applyAlignment="1" applyBorder="1" applyFont="1" applyNumberFormat="1">
      <alignment horizontal="left" readingOrder="0"/>
    </xf>
    <xf borderId="1" fillId="0" fontId="8" numFmtId="164" xfId="0" applyAlignment="1" applyBorder="1" applyFont="1" applyNumberFormat="1">
      <alignment horizontal="left" readingOrder="0"/>
    </xf>
    <xf borderId="1" fillId="0" fontId="8" numFmtId="0" xfId="0" applyAlignment="1" applyBorder="1" applyFont="1">
      <alignment horizontal="left" readingOrder="0"/>
    </xf>
    <xf borderId="0" fillId="9" fontId="21" numFmtId="165" xfId="0" applyAlignment="1" applyFont="1" applyNumberFormat="1">
      <alignment horizontal="left" readingOrder="0"/>
    </xf>
    <xf borderId="1" fillId="9" fontId="15" numFmtId="165" xfId="0" applyAlignment="1" applyBorder="1" applyFont="1" applyNumberFormat="1">
      <alignment horizontal="right" readingOrder="0"/>
    </xf>
    <xf borderId="2" fillId="23" fontId="4" numFmtId="0" xfId="0" applyAlignment="1" applyBorder="1" applyFont="1">
      <alignment vertical="bottom"/>
    </xf>
    <xf borderId="2" fillId="24" fontId="3" numFmtId="0" xfId="0" applyAlignment="1" applyBorder="1" applyFill="1" applyFont="1">
      <alignment vertical="bottom"/>
    </xf>
    <xf borderId="0" fillId="16" fontId="15" numFmtId="0" xfId="0" applyAlignment="1" applyFont="1">
      <alignment readingOrder="0"/>
    </xf>
    <xf borderId="1" fillId="9" fontId="19" numFmtId="0" xfId="0" applyAlignment="1" applyBorder="1" applyFont="1">
      <alignment readingOrder="0"/>
    </xf>
    <xf borderId="1" fillId="0" fontId="22" numFmtId="0" xfId="0" applyAlignment="1" applyBorder="1" applyFont="1">
      <alignment horizontal="left" readingOrder="0" shrinkToFit="0" wrapText="1"/>
    </xf>
    <xf borderId="1" fillId="16" fontId="15" numFmtId="0" xfId="0" applyAlignment="1" applyBorder="1" applyFont="1">
      <alignment readingOrder="0"/>
    </xf>
    <xf borderId="7" fillId="0" fontId="8" numFmtId="165" xfId="0" applyAlignment="1" applyBorder="1" applyFont="1" applyNumberFormat="1">
      <alignment horizontal="left" shrinkToFit="0" vertical="bottom" wrapText="1"/>
    </xf>
    <xf borderId="7" fillId="0" fontId="8" numFmtId="164" xfId="0" applyAlignment="1" applyBorder="1" applyFont="1" applyNumberFormat="1">
      <alignment horizontal="left" shrinkToFit="0" vertical="bottom" wrapText="1"/>
    </xf>
    <xf borderId="7" fillId="0" fontId="12" numFmtId="0" xfId="0" applyAlignment="1" applyBorder="1" applyFont="1">
      <alignment readingOrder="0" shrinkToFit="0" vertical="bottom" wrapText="1"/>
    </xf>
    <xf borderId="7" fillId="0" fontId="9" numFmtId="164" xfId="0" applyAlignment="1" applyBorder="1" applyFont="1" applyNumberFormat="1">
      <alignment vertical="bottom"/>
    </xf>
    <xf borderId="2" fillId="13" fontId="4" numFmtId="0" xfId="0" applyAlignment="1" applyBorder="1" applyFont="1">
      <alignment vertical="bottom"/>
    </xf>
    <xf borderId="1" fillId="9" fontId="8" numFmtId="164" xfId="0" applyAlignment="1" applyBorder="1" applyFont="1" applyNumberFormat="1">
      <alignment horizontal="left" readingOrder="0" shrinkToFit="0" wrapText="1"/>
    </xf>
    <xf borderId="1" fillId="9" fontId="8" numFmtId="165" xfId="0" applyAlignment="1" applyBorder="1" applyFont="1" applyNumberFormat="1">
      <alignment horizontal="left" readingOrder="0" shrinkToFit="0" vertical="bottom" wrapText="1"/>
    </xf>
    <xf borderId="7" fillId="9" fontId="8" numFmtId="164" xfId="0" applyAlignment="1" applyBorder="1" applyFont="1" applyNumberFormat="1">
      <alignment horizontal="left" readingOrder="0" shrinkToFit="0" vertical="bottom" wrapText="1"/>
    </xf>
    <xf borderId="7" fillId="9" fontId="8" numFmtId="0" xfId="0" applyAlignment="1" applyBorder="1" applyFont="1">
      <alignment horizontal="left" readingOrder="0" shrinkToFit="0" vertical="bottom" wrapText="1"/>
    </xf>
    <xf borderId="1" fillId="9" fontId="8" numFmtId="0" xfId="0" applyAlignment="1" applyBorder="1" applyFont="1">
      <alignment horizontal="left" readingOrder="0" shrinkToFit="0" wrapText="1"/>
    </xf>
    <xf borderId="1" fillId="9" fontId="8" numFmtId="165" xfId="0" applyAlignment="1" applyBorder="1" applyFont="1" applyNumberFormat="1">
      <alignment horizontal="left" readingOrder="0" shrinkToFit="0" wrapText="1"/>
    </xf>
    <xf borderId="1" fillId="9" fontId="8" numFmtId="164" xfId="0" applyAlignment="1" applyBorder="1" applyFont="1" applyNumberFormat="1">
      <alignment horizontal="left" shrinkToFit="0" vertical="bottom" wrapText="1"/>
    </xf>
    <xf borderId="7" fillId="9" fontId="8" numFmtId="165" xfId="0" applyAlignment="1" applyBorder="1" applyFont="1" applyNumberFormat="1">
      <alignment horizontal="left" shrinkToFit="0" vertical="bottom" wrapText="1"/>
    </xf>
    <xf borderId="7" fillId="9" fontId="8" numFmtId="164" xfId="0" applyAlignment="1" applyBorder="1" applyFont="1" applyNumberFormat="1">
      <alignment horizontal="left" shrinkToFit="0" vertical="bottom" wrapText="1"/>
    </xf>
    <xf borderId="7" fillId="9" fontId="8" numFmtId="0" xfId="0" applyAlignment="1" applyBorder="1" applyFont="1">
      <alignment horizontal="left" shrinkToFit="0" vertical="bottom" wrapText="1"/>
    </xf>
    <xf borderId="7" fillId="9" fontId="8" numFmtId="0" xfId="0" applyAlignment="1" applyBorder="1" applyFont="1">
      <alignment horizontal="left" vertical="bottom"/>
    </xf>
    <xf borderId="0" fillId="9" fontId="8" numFmtId="165" xfId="0" applyAlignment="1" applyFont="1" applyNumberFormat="1">
      <alignment horizontal="left" readingOrder="0"/>
    </xf>
    <xf borderId="0" fillId="9" fontId="8" numFmtId="0" xfId="0" applyAlignment="1" applyFont="1">
      <alignment horizontal="left" readingOrder="0"/>
    </xf>
    <xf borderId="2" fillId="25" fontId="3" numFmtId="0" xfId="0" applyAlignment="1" applyBorder="1" applyFill="1" applyFont="1">
      <alignment readingOrder="0" vertical="bottom"/>
    </xf>
    <xf borderId="0" fillId="0" fontId="4" numFmtId="2" xfId="0" applyAlignment="1" applyFont="1" applyNumberFormat="1">
      <alignment vertical="bottom"/>
    </xf>
    <xf borderId="2" fillId="26" fontId="4" numFmtId="0" xfId="0" applyAlignment="1" applyBorder="1" applyFill="1" applyFont="1">
      <alignment readingOrder="0" vertical="bottom"/>
    </xf>
    <xf borderId="1" fillId="9" fontId="8" numFmtId="0" xfId="0" applyAlignment="1" applyBorder="1" applyFont="1">
      <alignment horizontal="left" readingOrder="0"/>
    </xf>
    <xf borderId="1" fillId="27" fontId="8" numFmtId="164" xfId="0" applyAlignment="1" applyBorder="1" applyFill="1" applyFont="1" applyNumberFormat="1">
      <alignment horizontal="left" readingOrder="0" shrinkToFit="0" wrapText="1"/>
    </xf>
    <xf borderId="1" fillId="27" fontId="8" numFmtId="165" xfId="0" applyAlignment="1" applyBorder="1" applyFont="1" applyNumberFormat="1">
      <alignment horizontal="left" readingOrder="0" shrinkToFit="0" wrapText="1"/>
    </xf>
    <xf borderId="1" fillId="27" fontId="8" numFmtId="0" xfId="0" applyAlignment="1" applyBorder="1" applyFont="1">
      <alignment horizontal="left" readingOrder="0" shrinkToFit="0" wrapText="1"/>
    </xf>
    <xf borderId="1" fillId="27" fontId="5" numFmtId="0" xfId="0" applyAlignment="1" applyBorder="1" applyFont="1">
      <alignment horizontal="left" readingOrder="0" shrinkToFit="0" wrapText="1"/>
    </xf>
    <xf borderId="1" fillId="27" fontId="5" numFmtId="164" xfId="0" applyAlignment="1" applyBorder="1" applyFont="1" applyNumberFormat="1">
      <alignment horizontal="left" readingOrder="0" shrinkToFit="0" wrapText="1"/>
    </xf>
    <xf borderId="2" fillId="26" fontId="4" numFmtId="0" xfId="0" applyAlignment="1" applyBorder="1" applyFont="1">
      <alignment vertical="bottom"/>
    </xf>
    <xf borderId="1" fillId="27" fontId="8" numFmtId="0" xfId="0" applyAlignment="1" applyBorder="1" applyFont="1">
      <alignment horizontal="left" readingOrder="0"/>
    </xf>
    <xf borderId="0" fillId="9" fontId="19" numFmtId="0" xfId="0" applyAlignment="1" applyFont="1">
      <alignment readingOrder="0"/>
    </xf>
    <xf borderId="1" fillId="0" fontId="20" numFmtId="0" xfId="0" applyAlignment="1" applyBorder="1" applyFont="1">
      <alignment readingOrder="0" shrinkToFit="0" vertical="bottom" wrapText="1"/>
    </xf>
    <xf borderId="2" fillId="28" fontId="3" numFmtId="0" xfId="0" applyAlignment="1" applyBorder="1" applyFill="1" applyFont="1">
      <alignment readingOrder="0" vertical="bottom"/>
    </xf>
    <xf borderId="2" fillId="29" fontId="4" numFmtId="0" xfId="0" applyAlignment="1" applyBorder="1" applyFill="1" applyFont="1">
      <alignment readingOrder="0" vertical="bottom"/>
    </xf>
    <xf borderId="1" fillId="30" fontId="5" numFmtId="164" xfId="0" applyAlignment="1" applyBorder="1" applyFill="1" applyFont="1" applyNumberFormat="1">
      <alignment horizontal="left" readingOrder="0" shrinkToFit="0" wrapText="1"/>
    </xf>
    <xf borderId="1" fillId="30" fontId="5" numFmtId="165" xfId="0" applyAlignment="1" applyBorder="1" applyFont="1" applyNumberFormat="1">
      <alignment horizontal="left" readingOrder="0" shrinkToFit="0" wrapText="1"/>
    </xf>
    <xf borderId="1" fillId="30" fontId="5" numFmtId="0" xfId="0" applyAlignment="1" applyBorder="1" applyFont="1">
      <alignment horizontal="left" readingOrder="0" shrinkToFit="0" wrapText="1"/>
    </xf>
    <xf borderId="1" fillId="30" fontId="5" numFmtId="0" xfId="0" applyAlignment="1" applyBorder="1" applyFont="1">
      <alignment horizontal="right" readingOrder="0" shrinkToFit="0" wrapText="1"/>
    </xf>
    <xf borderId="1" fillId="30" fontId="5" numFmtId="164" xfId="0" applyAlignment="1" applyBorder="1" applyFont="1" applyNumberFormat="1">
      <alignment horizontal="right" readingOrder="0" shrinkToFit="0" wrapText="1"/>
    </xf>
    <xf borderId="1" fillId="30" fontId="5" numFmtId="0" xfId="0" applyAlignment="1" applyBorder="1" applyFont="1">
      <alignment vertical="bottom"/>
    </xf>
    <xf borderId="1" fillId="27" fontId="5" numFmtId="165" xfId="0" applyAlignment="1" applyBorder="1" applyFont="1" applyNumberFormat="1">
      <alignment horizontal="left" readingOrder="0" shrinkToFit="0" wrapText="1"/>
    </xf>
    <xf borderId="2" fillId="29" fontId="4" numFmtId="0" xfId="0" applyAlignment="1" applyBorder="1" applyFont="1">
      <alignment vertical="bottom"/>
    </xf>
    <xf borderId="2" fillId="31" fontId="3" numFmtId="0" xfId="0" applyAlignment="1" applyBorder="1" applyFill="1" applyFont="1">
      <alignment readingOrder="0" vertical="bottom"/>
    </xf>
    <xf borderId="2" fillId="32" fontId="4" numFmtId="0" xfId="0" applyAlignment="1" applyBorder="1" applyFill="1" applyFont="1">
      <alignment readingOrder="0" vertical="bottom"/>
    </xf>
    <xf borderId="0" fillId="33" fontId="23" numFmtId="168" xfId="0" applyAlignment="1" applyFill="1" applyFont="1" applyNumberFormat="1">
      <alignment horizontal="right" vertical="bottom"/>
    </xf>
    <xf borderId="1" fillId="0" fontId="1" numFmtId="49" xfId="0" applyAlignment="1" applyBorder="1" applyFont="1" applyNumberFormat="1">
      <alignment readingOrder="0"/>
    </xf>
    <xf borderId="2" fillId="32" fontId="4" numFmtId="0" xfId="0" applyAlignment="1" applyBorder="1" applyFont="1">
      <alignment vertical="bottom"/>
    </xf>
    <xf borderId="1" fillId="27" fontId="12" numFmtId="0" xfId="0" applyAlignment="1" applyBorder="1" applyFont="1">
      <alignment horizontal="left" readingOrder="0"/>
    </xf>
    <xf borderId="2" fillId="34" fontId="4" numFmtId="0" xfId="0" applyAlignment="1" applyBorder="1" applyFill="1" applyFont="1">
      <alignment readingOrder="0" vertical="bottom"/>
    </xf>
    <xf borderId="0" fillId="33" fontId="23" numFmtId="2" xfId="0" applyAlignment="1" applyFont="1" applyNumberFormat="1">
      <alignment horizontal="center" vertical="bottom"/>
    </xf>
    <xf borderId="1" fillId="30" fontId="15" numFmtId="165" xfId="0" applyAlignment="1" applyBorder="1" applyFont="1" applyNumberFormat="1">
      <alignment readingOrder="0"/>
    </xf>
    <xf borderId="0" fillId="33" fontId="23" numFmtId="168" xfId="0" applyAlignment="1" applyFont="1" applyNumberFormat="1">
      <alignment horizontal="center" vertical="bottom"/>
    </xf>
    <xf borderId="2" fillId="34" fontId="4" numFmtId="0" xfId="0" applyAlignment="1" applyBorder="1" applyFont="1">
      <alignment vertical="bottom"/>
    </xf>
    <xf borderId="0" fillId="0" fontId="4" numFmtId="169" xfId="0" applyAlignment="1" applyFont="1" applyNumberFormat="1">
      <alignment vertical="bottom"/>
    </xf>
    <xf borderId="1" fillId="27" fontId="5" numFmtId="170" xfId="0" applyAlignment="1" applyBorder="1" applyFont="1" applyNumberFormat="1">
      <alignment horizontal="left" readingOrder="0" shrinkToFit="0" wrapText="1"/>
    </xf>
    <xf borderId="0" fillId="27" fontId="15" numFmtId="0" xfId="0" applyAlignment="1" applyFont="1">
      <alignment readingOrder="0"/>
    </xf>
    <xf borderId="2" fillId="35" fontId="3" numFmtId="0" xfId="0" applyAlignment="1" applyBorder="1" applyFill="1" applyFont="1">
      <alignment vertical="bottom"/>
    </xf>
    <xf borderId="1" fillId="27" fontId="5" numFmtId="0" xfId="0" applyAlignment="1" applyBorder="1" applyFont="1">
      <alignment horizontal="left" shrinkToFit="0" wrapText="1"/>
    </xf>
    <xf borderId="2" fillId="0" fontId="4" numFmtId="2" xfId="0" applyAlignment="1" applyBorder="1" applyFont="1" applyNumberFormat="1">
      <alignment vertical="bottom"/>
    </xf>
    <xf borderId="2" fillId="36" fontId="3" numFmtId="0" xfId="0" applyAlignment="1" applyBorder="1" applyFill="1" applyFont="1">
      <alignment readingOrder="0" vertical="bottom"/>
    </xf>
    <xf borderId="1" fillId="9" fontId="24" numFmtId="164" xfId="0" applyAlignment="1" applyBorder="1" applyFont="1" applyNumberFormat="1">
      <alignment readingOrder="0"/>
    </xf>
    <xf borderId="0" fillId="27" fontId="1" numFmtId="165" xfId="0" applyAlignment="1" applyFont="1" applyNumberFormat="1">
      <alignment readingOrder="0"/>
    </xf>
    <xf borderId="0" fillId="27" fontId="15" numFmtId="170" xfId="0" applyAlignment="1" applyFont="1" applyNumberFormat="1">
      <alignment readingOrder="0"/>
    </xf>
    <xf borderId="7" fillId="27" fontId="12" numFmtId="165" xfId="0" applyAlignment="1" applyBorder="1" applyFont="1" applyNumberFormat="1">
      <alignment shrinkToFit="0" vertical="bottom" wrapText="1"/>
    </xf>
    <xf borderId="7" fillId="27" fontId="12" numFmtId="164" xfId="0" applyAlignment="1" applyBorder="1" applyFont="1" applyNumberFormat="1">
      <alignment shrinkToFit="0" vertical="bottom" wrapText="1"/>
    </xf>
    <xf borderId="2" fillId="22" fontId="4" numFmtId="0" xfId="0" applyAlignment="1" applyBorder="1" applyFont="1">
      <alignment vertical="bottom"/>
    </xf>
    <xf borderId="7" fillId="27" fontId="12" numFmtId="0" xfId="0" applyAlignment="1" applyBorder="1" applyFont="1">
      <alignment shrinkToFit="0" vertical="bottom" wrapText="1"/>
    </xf>
    <xf borderId="7" fillId="27" fontId="12" numFmtId="0" xfId="0" applyAlignment="1" applyBorder="1" applyFont="1">
      <alignment readingOrder="0" shrinkToFit="0" vertical="bottom" wrapText="1"/>
    </xf>
    <xf borderId="6" fillId="27" fontId="15" numFmtId="165" xfId="0" applyAlignment="1" applyBorder="1" applyFont="1" applyNumberFormat="1">
      <alignment horizontal="right" vertical="bottom"/>
    </xf>
    <xf borderId="6" fillId="27" fontId="12" numFmtId="164" xfId="0" applyAlignment="1" applyBorder="1" applyFont="1" applyNumberFormat="1">
      <alignment shrinkToFit="0" vertical="bottom" wrapText="1"/>
    </xf>
    <xf borderId="6" fillId="27" fontId="12" numFmtId="0" xfId="0" applyAlignment="1" applyBorder="1" applyFont="1">
      <alignment shrinkToFit="0" vertical="bottom" wrapText="1"/>
    </xf>
    <xf borderId="6" fillId="27" fontId="15" numFmtId="164" xfId="0" applyAlignment="1" applyBorder="1" applyFont="1" applyNumberFormat="1">
      <alignment vertical="bottom"/>
    </xf>
    <xf borderId="6" fillId="27" fontId="12" numFmtId="0" xfId="0" applyAlignment="1" applyBorder="1" applyFont="1">
      <alignment readingOrder="0" shrinkToFit="0" vertical="bottom" wrapText="1"/>
    </xf>
    <xf borderId="0" fillId="27" fontId="15" numFmtId="165" xfId="0" applyAlignment="1" applyFont="1" applyNumberFormat="1">
      <alignment readingOrder="0"/>
    </xf>
    <xf borderId="1" fillId="9" fontId="25" numFmtId="164" xfId="0" applyAlignment="1" applyBorder="1" applyFont="1" applyNumberFormat="1">
      <alignment readingOrder="0"/>
    </xf>
    <xf borderId="2" fillId="17" fontId="4" numFmtId="0" xfId="0" applyAlignment="1" applyBorder="1" applyFont="1">
      <alignment readingOrder="0" vertical="bottom"/>
    </xf>
    <xf borderId="0" fillId="0" fontId="4" numFmtId="171" xfId="0" applyAlignment="1" applyFont="1" applyNumberFormat="1">
      <alignment vertical="bottom"/>
    </xf>
    <xf borderId="2" fillId="28" fontId="3" numFmtId="0" xfId="0" applyAlignment="1" applyBorder="1" applyFont="1">
      <alignment vertical="bottom"/>
    </xf>
    <xf borderId="0" fillId="27" fontId="1" numFmtId="0" xfId="0" applyAlignment="1" applyFont="1">
      <alignment readingOrder="0"/>
    </xf>
    <xf borderId="2" fillId="11" fontId="4" numFmtId="0" xfId="0" applyAlignment="1" applyBorder="1" applyFont="1">
      <alignment vertical="bottom"/>
    </xf>
    <xf borderId="1" fillId="30" fontId="1" numFmtId="165" xfId="0" applyAlignment="1" applyBorder="1" applyFont="1" applyNumberFormat="1">
      <alignment readingOrder="0"/>
    </xf>
    <xf borderId="0" fillId="37" fontId="4" numFmtId="168" xfId="0" applyAlignment="1" applyFill="1" applyFont="1" applyNumberFormat="1">
      <alignment horizontal="right" shrinkToFit="0" vertical="bottom" wrapText="1"/>
    </xf>
    <xf borderId="0" fillId="9" fontId="15" numFmtId="165" xfId="0" applyAlignment="1" applyFont="1" applyNumberFormat="1">
      <alignment horizontal="left" readingOrder="0"/>
    </xf>
    <xf borderId="1" fillId="9" fontId="25" numFmtId="164" xfId="0" applyAlignment="1" applyBorder="1" applyFont="1" applyNumberFormat="1">
      <alignment horizontal="left" readingOrder="0"/>
    </xf>
    <xf borderId="1" fillId="9" fontId="20" numFmtId="0" xfId="0" applyAlignment="1" applyBorder="1" applyFont="1">
      <alignment readingOrder="0" shrinkToFit="0" wrapText="1"/>
    </xf>
    <xf borderId="3" fillId="0" fontId="26" numFmtId="0" xfId="0" applyBorder="1" applyFont="1"/>
    <xf borderId="1" fillId="9" fontId="15" numFmtId="165" xfId="0" applyAlignment="1" applyBorder="1" applyFont="1" applyNumberFormat="1">
      <alignment horizontal="left" readingOrder="0"/>
    </xf>
    <xf borderId="2" fillId="37" fontId="4" numFmtId="0" xfId="0" applyAlignment="1" applyBorder="1" applyFont="1">
      <alignment vertical="bottom"/>
    </xf>
    <xf borderId="0" fillId="0" fontId="4" numFmtId="3" xfId="0" applyAlignment="1" applyFont="1" applyNumberFormat="1">
      <alignment horizontal="right" readingOrder="0" vertical="bottom"/>
    </xf>
    <xf borderId="0" fillId="0" fontId="5" numFmtId="164" xfId="0" applyAlignment="1" applyFont="1" applyNumberFormat="1">
      <alignment horizontal="left" readingOrder="0" shrinkToFit="0" wrapText="1"/>
    </xf>
    <xf borderId="0" fillId="0" fontId="4" numFmtId="0" xfId="0" applyAlignment="1" applyFont="1">
      <alignment horizontal="right" vertical="bottom"/>
    </xf>
    <xf borderId="0" fillId="0" fontId="27" numFmtId="0" xfId="0" applyAlignment="1" applyFont="1">
      <alignment readingOrder="0" shrinkToFit="0" vertical="bottom" wrapText="1"/>
    </xf>
    <xf borderId="0" fillId="0" fontId="4" numFmtId="0" xfId="0" applyAlignment="1" applyFont="1">
      <alignment horizontal="right" readingOrder="0" vertical="bottom"/>
    </xf>
    <xf borderId="3" fillId="0" fontId="11" numFmtId="3" xfId="0" applyAlignment="1" applyBorder="1" applyFont="1" applyNumberFormat="1">
      <alignment horizontal="right" vertical="bottom"/>
    </xf>
    <xf borderId="0" fillId="37" fontId="4" numFmtId="3" xfId="0" applyAlignment="1" applyFont="1" applyNumberFormat="1">
      <alignment horizontal="right" vertical="bottom"/>
    </xf>
    <xf borderId="0" fillId="37" fontId="4" numFmtId="0" xfId="0" applyAlignment="1" applyFont="1">
      <alignment horizontal="right" vertical="bottom"/>
    </xf>
    <xf borderId="1" fillId="0" fontId="12" numFmtId="165" xfId="0" applyAlignment="1" applyBorder="1" applyFont="1" applyNumberFormat="1">
      <alignment horizontal="left" readingOrder="0"/>
    </xf>
    <xf borderId="0" fillId="38" fontId="21" numFmtId="165" xfId="0" applyAlignment="1" applyFill="1" applyFont="1" applyNumberFormat="1">
      <alignment horizontal="left" readingOrder="0"/>
    </xf>
    <xf borderId="2" fillId="30" fontId="4" numFmtId="0" xfId="0" applyAlignment="1" applyBorder="1" applyFont="1">
      <alignment vertical="bottom"/>
    </xf>
    <xf borderId="3" fillId="0" fontId="4" numFmtId="165" xfId="0" applyAlignment="1" applyBorder="1" applyFont="1" applyNumberFormat="1">
      <alignment horizontal="right" vertical="bottom"/>
    </xf>
    <xf borderId="0" fillId="0" fontId="4" numFmtId="165" xfId="0" applyAlignment="1" applyFont="1" applyNumberFormat="1">
      <alignment horizontal="right" vertical="bottom"/>
    </xf>
    <xf borderId="0" fillId="0" fontId="4" numFmtId="165" xfId="0" applyAlignment="1" applyFont="1" applyNumberFormat="1">
      <alignment horizontal="right" readingOrder="0" vertical="bottom"/>
    </xf>
    <xf borderId="0" fillId="0" fontId="4" numFmtId="165" xfId="0" applyAlignment="1" applyFont="1" applyNumberFormat="1">
      <alignment horizontal="right" readingOrder="0" vertical="bottom"/>
    </xf>
    <xf borderId="0" fillId="0" fontId="4" numFmtId="165" xfId="0" applyAlignment="1" applyFont="1" applyNumberFormat="1">
      <alignment horizontal="right" readingOrder="0" vertical="bottom"/>
    </xf>
    <xf borderId="0" fillId="9" fontId="28" numFmtId="165" xfId="0" applyAlignment="1" applyFont="1" applyNumberFormat="1">
      <alignment horizontal="right" readingOrder="0" shrinkToFit="0" wrapText="0"/>
    </xf>
    <xf borderId="2" fillId="30" fontId="4" numFmtId="0" xfId="0" applyAlignment="1" applyBorder="1" applyFont="1">
      <alignment readingOrder="0" vertical="bottom"/>
    </xf>
    <xf borderId="2" fillId="39" fontId="4" numFmtId="0" xfId="0" applyAlignment="1" applyBorder="1" applyFill="1" applyFont="1">
      <alignment readingOrder="0" vertical="bottom"/>
    </xf>
    <xf borderId="0" fillId="39" fontId="4" numFmtId="165" xfId="0" applyAlignment="1" applyFont="1" applyNumberFormat="1">
      <alignment horizontal="right" vertical="bottom"/>
    </xf>
    <xf borderId="1" fillId="9" fontId="25" numFmtId="0" xfId="0" applyAlignment="1" applyBorder="1" applyFont="1">
      <alignment readingOrder="0"/>
    </xf>
    <xf borderId="2" fillId="39" fontId="4" numFmtId="0" xfId="0" applyAlignment="1" applyBorder="1" applyFont="1">
      <alignment vertical="bottom"/>
    </xf>
    <xf borderId="3" fillId="39" fontId="4" numFmtId="168" xfId="0" applyAlignment="1" applyBorder="1" applyFont="1" applyNumberFormat="1">
      <alignment horizontal="right" vertical="bottom"/>
    </xf>
    <xf borderId="0" fillId="39" fontId="4" numFmtId="168" xfId="0" applyAlignment="1" applyFont="1" applyNumberFormat="1">
      <alignment horizontal="right" vertical="bottom"/>
    </xf>
    <xf borderId="0" fillId="39" fontId="4" numFmtId="168" xfId="0" applyAlignment="1" applyFont="1" applyNumberFormat="1">
      <alignment horizontal="right" readingOrder="0" vertical="bottom"/>
    </xf>
    <xf borderId="3" fillId="40" fontId="4" numFmtId="0" xfId="0" applyAlignment="1" applyBorder="1" applyFill="1" applyFont="1">
      <alignment horizontal="right" vertical="bottom"/>
    </xf>
    <xf borderId="0" fillId="40" fontId="4" numFmtId="0" xfId="0" applyAlignment="1" applyFont="1">
      <alignment horizontal="right" vertical="bottom"/>
    </xf>
    <xf borderId="0" fillId="40" fontId="4" numFmtId="0" xfId="0" applyAlignment="1" applyFont="1">
      <alignment horizontal="right" readingOrder="0" vertical="bottom"/>
    </xf>
    <xf borderId="0" fillId="40" fontId="4" numFmtId="3" xfId="0" applyAlignment="1" applyFont="1" applyNumberFormat="1">
      <alignment horizontal="right" readingOrder="0" vertical="bottom"/>
    </xf>
    <xf borderId="0" fillId="0" fontId="4" numFmtId="1" xfId="0" applyAlignment="1" applyFont="1" applyNumberFormat="1">
      <alignment horizontal="right" readingOrder="0" vertical="bottom"/>
    </xf>
    <xf borderId="3" fillId="0" fontId="4" numFmtId="0" xfId="0" applyAlignment="1" applyBorder="1" applyFont="1">
      <alignment horizontal="right" vertical="bottom"/>
    </xf>
    <xf borderId="0" fillId="0" fontId="4" numFmtId="1" xfId="0" applyAlignment="1" applyFont="1" applyNumberFormat="1">
      <alignment horizontal="right" vertical="bottom"/>
    </xf>
    <xf borderId="0" fillId="9" fontId="28" numFmtId="3" xfId="0" applyAlignment="1" applyFont="1" applyNumberFormat="1">
      <alignment horizontal="right" readingOrder="0" shrinkToFit="0" wrapText="0"/>
    </xf>
    <xf borderId="3" fillId="0" fontId="4" numFmtId="1" xfId="0" applyAlignment="1" applyBorder="1" applyFont="1" applyNumberFormat="1">
      <alignment horizontal="right" vertical="bottom"/>
    </xf>
    <xf borderId="0" fillId="0" fontId="28" numFmtId="0" xfId="0" applyAlignment="1" applyFont="1">
      <alignment horizontal="right" readingOrder="0" shrinkToFit="0" wrapText="0"/>
    </xf>
    <xf borderId="2" fillId="40" fontId="4" numFmtId="0" xfId="0" applyAlignment="1" applyBorder="1" applyFont="1">
      <alignment readingOrder="0" vertical="bottom"/>
    </xf>
    <xf borderId="0" fillId="40" fontId="4" numFmtId="1" xfId="0" applyAlignment="1" applyFont="1" applyNumberFormat="1">
      <alignment horizontal="right" vertical="bottom"/>
    </xf>
    <xf borderId="0" fillId="0" fontId="4" numFmtId="1" xfId="0" applyAlignment="1" applyFont="1" applyNumberFormat="1">
      <alignment vertical="bottom"/>
    </xf>
    <xf borderId="3" fillId="0" fontId="4" numFmtId="0" xfId="0" applyAlignment="1" applyBorder="1" applyFont="1">
      <alignment readingOrder="0" vertical="bottom"/>
    </xf>
    <xf borderId="0" fillId="9" fontId="28" numFmtId="0" xfId="0" applyAlignment="1" applyFont="1">
      <alignment horizontal="right" readingOrder="0" shrinkToFit="0" wrapText="0"/>
    </xf>
    <xf borderId="0" fillId="0" fontId="4" numFmtId="3" xfId="0" applyAlignment="1" applyFont="1" applyNumberFormat="1">
      <alignment readingOrder="0" vertical="bottom"/>
    </xf>
    <xf borderId="0" fillId="9" fontId="28" numFmtId="1" xfId="0" applyAlignment="1" applyFont="1" applyNumberFormat="1">
      <alignment horizontal="right" readingOrder="0" shrinkToFit="0" wrapText="0"/>
    </xf>
    <xf borderId="1" fillId="30" fontId="1" numFmtId="0" xfId="0" applyBorder="1" applyFont="1"/>
    <xf borderId="2" fillId="0" fontId="1" numFmtId="0" xfId="0" applyBorder="1" applyFont="1"/>
    <xf borderId="0" fillId="11" fontId="4" numFmtId="2" xfId="0" applyAlignment="1" applyFont="1" applyNumberFormat="1">
      <alignment vertical="bottom"/>
    </xf>
    <xf borderId="0" fillId="11" fontId="4" numFmtId="1" xfId="0" applyAlignment="1" applyFont="1" applyNumberFormat="1">
      <alignment horizontal="right" readingOrder="0" vertical="bottom"/>
    </xf>
    <xf borderId="0" fillId="40" fontId="4" numFmtId="1" xfId="0" applyAlignment="1" applyFont="1" applyNumberFormat="1">
      <alignment readingOrder="0" vertical="bottom"/>
    </xf>
    <xf borderId="0" fillId="9" fontId="15" numFmtId="1" xfId="0" applyAlignment="1" applyFont="1" applyNumberFormat="1">
      <alignment horizontal="right" readingOrder="0" shrinkToFit="0" wrapText="0"/>
    </xf>
    <xf borderId="0" fillId="0" fontId="1" numFmtId="165" xfId="0" applyAlignment="1" applyFont="1" applyNumberFormat="1">
      <alignment readingOrder="0"/>
    </xf>
    <xf borderId="0" fillId="0" fontId="5" numFmtId="0" xfId="0" applyAlignment="1" applyFont="1">
      <alignment vertical="bottom"/>
    </xf>
    <xf borderId="0" fillId="0" fontId="9" numFmtId="0" xfId="0" applyAlignment="1" applyFont="1">
      <alignment vertical="bottom"/>
    </xf>
    <xf borderId="2" fillId="0" fontId="9" numFmtId="0" xfId="0" applyAlignment="1" applyBorder="1" applyFont="1">
      <alignment vertical="bottom"/>
    </xf>
    <xf borderId="2" fillId="0" fontId="4" numFmtId="1" xfId="0" applyAlignment="1" applyBorder="1" applyFont="1" applyNumberFormat="1">
      <alignment horizontal="right" readingOrder="0" vertical="bottom"/>
    </xf>
    <xf borderId="0" fillId="9" fontId="19" numFmtId="1" xfId="0" applyAlignment="1" applyFont="1" applyNumberFormat="1">
      <alignment horizontal="right" readingOrder="0" vertical="bottom"/>
    </xf>
    <xf borderId="1" fillId="0" fontId="5" numFmtId="170" xfId="0" applyAlignment="1" applyBorder="1" applyFont="1" applyNumberFormat="1">
      <alignment horizontal="left" readingOrder="0" shrinkToFit="0" wrapText="1"/>
    </xf>
    <xf borderId="2" fillId="40" fontId="4" numFmtId="0" xfId="0" applyAlignment="1" applyBorder="1" applyFont="1">
      <alignment vertical="bottom"/>
    </xf>
    <xf borderId="0" fillId="9" fontId="25" numFmtId="164" xfId="0" applyAlignment="1" applyFont="1" applyNumberFormat="1">
      <alignment horizontal="left" readingOrder="0"/>
    </xf>
    <xf borderId="1" fillId="9" fontId="29" numFmtId="0" xfId="0" applyAlignment="1" applyBorder="1" applyFont="1">
      <alignment readingOrder="0" shrinkToFit="0" wrapText="1"/>
    </xf>
    <xf borderId="2" fillId="40" fontId="4" numFmtId="1" xfId="0" applyAlignment="1" applyBorder="1" applyFont="1" applyNumberFormat="1">
      <alignment horizontal="right" vertical="bottom"/>
    </xf>
    <xf borderId="0" fillId="0" fontId="11" numFmtId="3" xfId="0" applyAlignment="1" applyFont="1" applyNumberFormat="1">
      <alignment horizontal="right" vertical="bottom"/>
    </xf>
    <xf borderId="0" fillId="9" fontId="15" numFmtId="49" xfId="0" applyAlignment="1" applyFont="1" applyNumberFormat="1">
      <alignment readingOrder="0"/>
    </xf>
    <xf borderId="1" fillId="9" fontId="29" numFmtId="0" xfId="0" applyAlignment="1" applyBorder="1" applyFont="1">
      <alignment readingOrder="0" shrinkToFit="0" vertical="bottom" wrapText="1"/>
    </xf>
    <xf borderId="0" fillId="0" fontId="30" numFmtId="0" xfId="0" applyAlignment="1" applyFont="1">
      <alignment readingOrder="0"/>
    </xf>
    <xf borderId="0" fillId="0" fontId="1" numFmtId="172" xfId="0" applyAlignment="1" applyFont="1" applyNumberFormat="1">
      <alignment readingOrder="0"/>
    </xf>
    <xf borderId="0" fillId="0" fontId="20" numFmtId="0" xfId="0" applyAlignment="1" applyFont="1">
      <alignment readingOrder="0" shrinkToFit="0" vertical="bottom" wrapText="1"/>
    </xf>
    <xf borderId="1" fillId="0" fontId="31" numFmtId="165" xfId="0" applyAlignment="1" applyBorder="1" applyFont="1" applyNumberFormat="1">
      <alignment horizontal="left" readingOrder="0"/>
    </xf>
    <xf borderId="0" fillId="9" fontId="15" numFmtId="165" xfId="0" applyAlignment="1" applyFont="1" applyNumberFormat="1">
      <alignment readingOrder="0"/>
    </xf>
    <xf borderId="0" fillId="0" fontId="30" numFmtId="1" xfId="0" applyFont="1" applyNumberFormat="1"/>
    <xf borderId="0" fillId="0" fontId="30" numFmtId="3" xfId="0" applyFont="1" applyNumberFormat="1"/>
    <xf borderId="0" fillId="16" fontId="19" numFmtId="0" xfId="0" applyAlignment="1" applyFont="1">
      <alignment readingOrder="0" shrinkToFit="0" vertical="bottom" wrapText="1"/>
    </xf>
    <xf borderId="1" fillId="0" fontId="32" numFmtId="0" xfId="0" applyAlignment="1" applyBorder="1" applyFont="1">
      <alignment horizontal="left" readingOrder="0" shrinkToFit="0" wrapText="0"/>
    </xf>
    <xf borderId="0" fillId="16" fontId="15" numFmtId="0" xfId="0" applyAlignment="1" applyFont="1">
      <alignment readingOrder="0"/>
    </xf>
    <xf borderId="0" fillId="9" fontId="15" numFmtId="0" xfId="0" applyAlignment="1" applyFont="1">
      <alignment readingOrder="0"/>
    </xf>
    <xf borderId="3" fillId="0" fontId="1" numFmtId="0" xfId="0" applyBorder="1" applyFont="1"/>
    <xf borderId="0" fillId="11" fontId="4" numFmtId="1" xfId="0" applyAlignment="1" applyFont="1" applyNumberFormat="1">
      <alignment horizontal="right" vertical="bottom"/>
    </xf>
    <xf borderId="0" fillId="9" fontId="15" numFmtId="0" xfId="0" applyAlignment="1" applyFont="1">
      <alignment horizontal="right" readingOrder="0" shrinkToFit="0" wrapText="0"/>
    </xf>
    <xf borderId="0" fillId="9" fontId="1" numFmtId="165" xfId="0" applyAlignment="1" applyFont="1" applyNumberFormat="1">
      <alignment readingOrder="0"/>
    </xf>
    <xf borderId="1" fillId="9" fontId="33" numFmtId="164" xfId="0" applyAlignment="1" applyBorder="1" applyFont="1" applyNumberFormat="1">
      <alignment horizontal="left" readingOrder="0" shrinkToFit="0" wrapText="1"/>
    </xf>
    <xf borderId="1" fillId="9" fontId="33" numFmtId="165" xfId="0" applyAlignment="1" applyBorder="1" applyFont="1" applyNumberFormat="1">
      <alignment horizontal="left" readingOrder="0" shrinkToFit="0" wrapText="1"/>
    </xf>
    <xf borderId="1" fillId="9" fontId="33" numFmtId="0" xfId="0" applyAlignment="1" applyBorder="1" applyFont="1">
      <alignment horizontal="left" readingOrder="0" shrinkToFit="0" wrapText="1"/>
    </xf>
    <xf borderId="1" fillId="9" fontId="33" numFmtId="0" xfId="0" applyAlignment="1" applyBorder="1" applyFont="1">
      <alignment horizontal="right" readingOrder="0" shrinkToFit="0" wrapText="1"/>
    </xf>
    <xf borderId="1" fillId="9" fontId="33" numFmtId="164" xfId="0" applyAlignment="1" applyBorder="1" applyFont="1" applyNumberFormat="1">
      <alignment horizontal="right" readingOrder="0" shrinkToFit="0" wrapText="1"/>
    </xf>
    <xf borderId="2" fillId="41" fontId="4" numFmtId="0" xfId="0" applyAlignment="1" applyBorder="1" applyFill="1" applyFont="1">
      <alignment readingOrder="0" vertical="bottom"/>
    </xf>
    <xf borderId="1" fillId="9" fontId="33" numFmtId="0" xfId="0" applyAlignment="1" applyBorder="1" applyFont="1">
      <alignment vertical="bottom"/>
    </xf>
    <xf borderId="0" fillId="0" fontId="4" numFmtId="1" xfId="0" applyAlignment="1" applyFont="1" applyNumberFormat="1">
      <alignment readingOrder="0" vertical="bottom"/>
    </xf>
    <xf borderId="1" fillId="0" fontId="12" numFmtId="0" xfId="0" applyAlignment="1" applyBorder="1" applyFont="1">
      <alignment horizontal="left" readingOrder="0"/>
    </xf>
    <xf borderId="3" fillId="9" fontId="4" numFmtId="1" xfId="0" applyAlignment="1" applyBorder="1" applyFont="1" applyNumberFormat="1">
      <alignment horizontal="right" vertical="bottom"/>
    </xf>
    <xf borderId="0" fillId="9" fontId="4" numFmtId="1" xfId="0" applyAlignment="1" applyFont="1" applyNumberFormat="1">
      <alignment horizontal="right" vertical="bottom"/>
    </xf>
    <xf borderId="3" fillId="11" fontId="9" numFmtId="1" xfId="0" applyAlignment="1" applyBorder="1" applyFont="1" applyNumberFormat="1">
      <alignment vertical="bottom"/>
    </xf>
    <xf borderId="0" fillId="11" fontId="9" numFmtId="1" xfId="0" applyAlignment="1" applyFont="1" applyNumberFormat="1">
      <alignment vertical="bottom"/>
    </xf>
    <xf borderId="3" fillId="11" fontId="9" numFmtId="2" xfId="0" applyAlignment="1" applyBorder="1" applyFont="1" applyNumberFormat="1">
      <alignment vertical="bottom"/>
    </xf>
    <xf borderId="0" fillId="11" fontId="9" numFmtId="2" xfId="0" applyAlignment="1" applyFont="1" applyNumberFormat="1">
      <alignment vertical="bottom"/>
    </xf>
    <xf borderId="0" fillId="11" fontId="4" numFmtId="2" xfId="0" applyAlignment="1" applyFont="1" applyNumberFormat="1">
      <alignment readingOrder="0" vertical="bottom"/>
    </xf>
    <xf borderId="2" fillId="42" fontId="4" numFmtId="0" xfId="0" applyAlignment="1" applyBorder="1" applyFill="1" applyFont="1">
      <alignment readingOrder="0" vertical="bottom"/>
    </xf>
    <xf borderId="0" fillId="42" fontId="4" numFmtId="1" xfId="0" applyAlignment="1" applyFont="1" applyNumberFormat="1">
      <alignment horizontal="right" vertical="bottom"/>
    </xf>
    <xf borderId="0" fillId="9" fontId="1" numFmtId="0" xfId="0" applyAlignment="1" applyFont="1">
      <alignment readingOrder="0"/>
    </xf>
    <xf borderId="1" fillId="43" fontId="5" numFmtId="164" xfId="0" applyAlignment="1" applyBorder="1" applyFill="1" applyFont="1" applyNumberFormat="1">
      <alignment horizontal="left" readingOrder="0" shrinkToFit="0" wrapText="1"/>
    </xf>
    <xf borderId="1" fillId="43" fontId="5" numFmtId="165" xfId="0" applyAlignment="1" applyBorder="1" applyFont="1" applyNumberFormat="1">
      <alignment horizontal="left" readingOrder="0" shrinkToFit="0" wrapText="1"/>
    </xf>
    <xf borderId="1" fillId="43" fontId="5" numFmtId="0" xfId="0" applyAlignment="1" applyBorder="1" applyFont="1">
      <alignment horizontal="left" readingOrder="0" shrinkToFit="0" wrapText="1"/>
    </xf>
    <xf borderId="1" fillId="43" fontId="5" numFmtId="0" xfId="0" applyAlignment="1" applyBorder="1" applyFont="1">
      <alignment horizontal="right" readingOrder="0" shrinkToFit="0" wrapText="1"/>
    </xf>
    <xf borderId="1" fillId="43" fontId="5" numFmtId="164" xfId="0" applyAlignment="1" applyBorder="1" applyFont="1" applyNumberFormat="1">
      <alignment horizontal="right" readingOrder="0" shrinkToFit="0" wrapText="1"/>
    </xf>
    <xf borderId="1" fillId="43" fontId="5" numFmtId="0" xfId="0" applyAlignment="1" applyBorder="1" applyFont="1">
      <alignment readingOrder="0" vertical="bottom"/>
    </xf>
    <xf borderId="0" fillId="42" fontId="4" numFmtId="1" xfId="0" applyAlignment="1" applyFont="1" applyNumberFormat="1">
      <alignment horizontal="left" readingOrder="0" vertical="bottom"/>
    </xf>
    <xf borderId="1" fillId="43" fontId="5" numFmtId="0" xfId="0" applyAlignment="1" applyBorder="1" applyFont="1">
      <alignment vertical="bottom"/>
    </xf>
    <xf borderId="0" fillId="30" fontId="15" numFmtId="0" xfId="0" applyAlignment="1" applyFont="1">
      <alignment readingOrder="0"/>
    </xf>
    <xf borderId="3" fillId="0" fontId="4" numFmtId="165" xfId="0" applyAlignment="1" applyBorder="1" applyFont="1" applyNumberFormat="1">
      <alignment horizontal="right" vertical="bottom"/>
    </xf>
    <xf borderId="0" fillId="0" fontId="4" numFmtId="165" xfId="0" applyAlignment="1" applyFont="1" applyNumberFormat="1">
      <alignment horizontal="right" vertical="bottom"/>
    </xf>
    <xf borderId="0" fillId="0" fontId="4" numFmtId="165" xfId="0" applyAlignment="1" applyFont="1" applyNumberFormat="1">
      <alignment readingOrder="0" vertical="bottom"/>
    </xf>
    <xf borderId="0" fillId="9" fontId="19" numFmtId="165" xfId="0" applyAlignment="1" applyFont="1" applyNumberFormat="1">
      <alignment readingOrder="0"/>
    </xf>
    <xf borderId="3" fillId="0" fontId="11" numFmtId="165" xfId="0" applyAlignment="1" applyBorder="1" applyFont="1" applyNumberFormat="1">
      <alignment horizontal="right" vertical="bottom"/>
    </xf>
    <xf borderId="0" fillId="16" fontId="19" numFmtId="0" xfId="0" applyAlignment="1" applyFont="1">
      <alignment readingOrder="0"/>
    </xf>
    <xf borderId="3" fillId="9" fontId="4" numFmtId="165" xfId="0" applyAlignment="1" applyBorder="1" applyFont="1" applyNumberFormat="1">
      <alignment horizontal="right" vertical="bottom"/>
    </xf>
    <xf borderId="0" fillId="9" fontId="4" numFmtId="165" xfId="0" applyAlignment="1" applyFont="1" applyNumberFormat="1">
      <alignment horizontal="right" vertical="bottom"/>
    </xf>
    <xf borderId="0" fillId="11" fontId="4" numFmtId="165" xfId="0" applyAlignment="1" applyFont="1" applyNumberFormat="1">
      <alignment vertical="bottom"/>
    </xf>
    <xf borderId="0" fillId="42" fontId="4" numFmtId="165" xfId="0" applyAlignment="1" applyFont="1" applyNumberFormat="1">
      <alignment horizontal="right" vertical="bottom"/>
    </xf>
    <xf borderId="1" fillId="34" fontId="5" numFmtId="164" xfId="0" applyAlignment="1" applyBorder="1" applyFont="1" applyNumberFormat="1">
      <alignment horizontal="left" readingOrder="0" shrinkToFit="0" wrapText="1"/>
    </xf>
    <xf borderId="1" fillId="34" fontId="5" numFmtId="165" xfId="0" applyAlignment="1" applyBorder="1" applyFont="1" applyNumberFormat="1">
      <alignment horizontal="left" readingOrder="0" shrinkToFit="0" wrapText="1"/>
    </xf>
    <xf borderId="1" fillId="34" fontId="5" numFmtId="0" xfId="0" applyAlignment="1" applyBorder="1" applyFont="1">
      <alignment horizontal="left" readingOrder="0" shrinkToFit="0" wrapText="1"/>
    </xf>
    <xf borderId="1" fillId="34" fontId="5" numFmtId="0" xfId="0" applyAlignment="1" applyBorder="1" applyFont="1">
      <alignment horizontal="right" readingOrder="0" shrinkToFit="0" wrapText="1"/>
    </xf>
    <xf borderId="1" fillId="34" fontId="5" numFmtId="164" xfId="0" applyAlignment="1" applyBorder="1" applyFont="1" applyNumberFormat="1">
      <alignment horizontal="right" readingOrder="0" shrinkToFit="0" wrapText="1"/>
    </xf>
    <xf borderId="1" fillId="34" fontId="5" numFmtId="0" xfId="0" applyAlignment="1" applyBorder="1" applyFont="1">
      <alignment vertical="bottom"/>
    </xf>
    <xf borderId="0" fillId="0" fontId="4" numFmtId="165" xfId="0" applyAlignment="1" applyFont="1" applyNumberFormat="1">
      <alignment vertical="bottom"/>
    </xf>
    <xf borderId="0" fillId="0" fontId="30" numFmtId="165" xfId="0" applyAlignment="1" applyFont="1" applyNumberFormat="1">
      <alignment readingOrder="0"/>
    </xf>
    <xf borderId="3" fillId="11" fontId="9" numFmtId="165" xfId="0" applyAlignment="1" applyBorder="1" applyFont="1" applyNumberFormat="1">
      <alignment vertical="bottom"/>
    </xf>
    <xf borderId="0" fillId="11" fontId="9" numFmtId="165" xfId="0" applyAlignment="1" applyFont="1" applyNumberFormat="1">
      <alignment vertical="bottom"/>
    </xf>
    <xf borderId="0" fillId="9" fontId="4" numFmtId="165" xfId="0" applyAlignment="1" applyFont="1" applyNumberFormat="1">
      <alignment readingOrder="0" vertical="bottom"/>
    </xf>
    <xf borderId="0" fillId="0" fontId="34" numFmtId="165" xfId="0" applyAlignment="1" applyFont="1" applyNumberFormat="1">
      <alignment horizontal="right" readingOrder="0"/>
    </xf>
    <xf borderId="2" fillId="42" fontId="4" numFmtId="165" xfId="0" applyAlignment="1" applyBorder="1" applyFont="1" applyNumberFormat="1">
      <alignment horizontal="left" vertical="bottom"/>
    </xf>
    <xf borderId="1" fillId="0" fontId="8" numFmtId="0" xfId="0" applyAlignment="1" applyBorder="1" applyFont="1">
      <alignment horizontal="left" readingOrder="0" shrinkToFit="0" wrapText="0"/>
    </xf>
    <xf borderId="0" fillId="0" fontId="1" numFmtId="0" xfId="0" applyAlignment="1" applyFont="1">
      <alignment horizontal="right"/>
    </xf>
    <xf borderId="2" fillId="43" fontId="4" numFmtId="0" xfId="0" applyAlignment="1" applyBorder="1" applyFont="1">
      <alignment readingOrder="0" vertical="bottom"/>
    </xf>
    <xf borderId="0" fillId="11" fontId="4" numFmtId="1" xfId="0" applyAlignment="1" applyFont="1" applyNumberFormat="1">
      <alignment vertical="bottom"/>
    </xf>
    <xf borderId="0" fillId="9" fontId="4" numFmtId="1" xfId="0" applyAlignment="1" applyFont="1" applyNumberFormat="1">
      <alignment readingOrder="0" vertical="bottom"/>
    </xf>
    <xf borderId="0" fillId="11" fontId="4" numFmtId="1" xfId="0" applyAlignment="1" applyFont="1" applyNumberFormat="1">
      <alignment readingOrder="0" vertical="bottom"/>
    </xf>
    <xf borderId="2" fillId="44" fontId="4" numFmtId="0" xfId="0" applyAlignment="1" applyBorder="1" applyFill="1" applyFont="1">
      <alignment readingOrder="0" vertical="bottom"/>
    </xf>
    <xf borderId="0" fillId="44" fontId="4" numFmtId="1" xfId="0" applyAlignment="1" applyFont="1" applyNumberFormat="1">
      <alignment horizontal="right" vertical="bottom"/>
    </xf>
    <xf borderId="1" fillId="0" fontId="5" numFmtId="0" xfId="0" applyAlignment="1" applyBorder="1" applyFont="1">
      <alignment horizontal="left" readingOrder="0" shrinkToFit="0" vertical="bottom" wrapText="1"/>
    </xf>
    <xf borderId="2" fillId="44" fontId="4" numFmtId="1" xfId="0" applyAlignment="1" applyBorder="1" applyFont="1" applyNumberFormat="1">
      <alignment horizontal="left" vertical="bottom"/>
    </xf>
    <xf borderId="1" fillId="0" fontId="5" numFmtId="0" xfId="0" applyAlignment="1" applyBorder="1" applyFont="1">
      <alignment readingOrder="0" vertical="bottom"/>
    </xf>
    <xf borderId="3" fillId="44" fontId="4" numFmtId="1" xfId="0" applyAlignment="1" applyBorder="1" applyFont="1" applyNumberFormat="1">
      <alignment horizontal="right" vertical="bottom"/>
    </xf>
    <xf borderId="1" fillId="45" fontId="5" numFmtId="164" xfId="0" applyAlignment="1" applyBorder="1" applyFill="1" applyFont="1" applyNumberFormat="1">
      <alignment horizontal="left" readingOrder="0" shrinkToFit="0" wrapText="1"/>
    </xf>
    <xf borderId="1" fillId="45" fontId="5" numFmtId="165" xfId="0" applyAlignment="1" applyBorder="1" applyFont="1" applyNumberFormat="1">
      <alignment horizontal="left" readingOrder="0" shrinkToFit="0" wrapText="1"/>
    </xf>
    <xf borderId="1" fillId="45" fontId="5" numFmtId="0" xfId="0" applyAlignment="1" applyBorder="1" applyFont="1">
      <alignment horizontal="left" readingOrder="0" shrinkToFit="0" wrapText="1"/>
    </xf>
    <xf borderId="1" fillId="45" fontId="5" numFmtId="0" xfId="0" applyAlignment="1" applyBorder="1" applyFont="1">
      <alignment horizontal="right" readingOrder="0" shrinkToFit="0" wrapText="1"/>
    </xf>
    <xf borderId="1" fillId="45" fontId="5" numFmtId="164" xfId="0" applyAlignment="1" applyBorder="1" applyFont="1" applyNumberFormat="1">
      <alignment horizontal="right" readingOrder="0" shrinkToFit="0" wrapText="1"/>
    </xf>
    <xf borderId="1" fillId="45" fontId="5" numFmtId="0" xfId="0" applyAlignment="1" applyBorder="1" applyFont="1">
      <alignment vertical="bottom"/>
    </xf>
    <xf borderId="1" fillId="0" fontId="12" numFmtId="49" xfId="0" applyAlignment="1" applyBorder="1" applyFont="1" applyNumberFormat="1">
      <alignment shrinkToFit="0" vertical="bottom" wrapText="1"/>
    </xf>
    <xf borderId="7" fillId="0" fontId="12" numFmtId="49" xfId="0" applyAlignment="1" applyBorder="1" applyFont="1" applyNumberFormat="1">
      <alignment shrinkToFit="0" vertical="bottom" wrapText="1"/>
    </xf>
    <xf borderId="8" fillId="0" fontId="12" numFmtId="49" xfId="0" applyAlignment="1" applyBorder="1" applyFont="1" applyNumberFormat="1">
      <alignment shrinkToFit="0" vertical="bottom" wrapText="1"/>
    </xf>
    <xf borderId="6" fillId="0" fontId="12" numFmtId="49" xfId="0" applyAlignment="1" applyBorder="1" applyFont="1" applyNumberFormat="1">
      <alignment shrinkToFit="0" vertical="bottom" wrapText="1"/>
    </xf>
    <xf borderId="6" fillId="0" fontId="9" numFmtId="164" xfId="0" applyAlignment="1" applyBorder="1" applyFont="1" applyNumberFormat="1">
      <alignment vertical="bottom"/>
    </xf>
    <xf borderId="0" fillId="44" fontId="4" numFmtId="1" xfId="0" applyAlignment="1" applyFont="1" applyNumberFormat="1">
      <alignment horizontal="right" readingOrder="0" vertical="bottom"/>
    </xf>
    <xf borderId="1" fillId="46" fontId="5" numFmtId="164" xfId="0" applyAlignment="1" applyBorder="1" applyFill="1" applyFont="1" applyNumberFormat="1">
      <alignment horizontal="left" readingOrder="0" shrinkToFit="0" wrapText="1"/>
    </xf>
    <xf borderId="1" fillId="46" fontId="5" numFmtId="165" xfId="0" applyAlignment="1" applyBorder="1" applyFont="1" applyNumberFormat="1">
      <alignment horizontal="left" readingOrder="0" shrinkToFit="0" wrapText="1"/>
    </xf>
    <xf borderId="1" fillId="46" fontId="5" numFmtId="0" xfId="0" applyAlignment="1" applyBorder="1" applyFont="1">
      <alignment horizontal="left" readingOrder="0" shrinkToFit="0" wrapText="1"/>
    </xf>
    <xf borderId="1" fillId="46" fontId="5" numFmtId="0" xfId="0" applyAlignment="1" applyBorder="1" applyFont="1">
      <alignment horizontal="right" readingOrder="0" shrinkToFit="0" wrapText="1"/>
    </xf>
    <xf borderId="1" fillId="46" fontId="5" numFmtId="164" xfId="0" applyAlignment="1" applyBorder="1" applyFont="1" applyNumberFormat="1">
      <alignment horizontal="right" readingOrder="0" shrinkToFit="0" wrapText="1"/>
    </xf>
    <xf borderId="1" fillId="46" fontId="5" numFmtId="0" xfId="0" applyAlignment="1" applyBorder="1" applyFont="1">
      <alignment vertical="bottom"/>
    </xf>
    <xf borderId="1" fillId="0" fontId="35" numFmtId="0" xfId="0" applyAlignment="1" applyBorder="1" applyFont="1">
      <alignment horizontal="left" readingOrder="0" shrinkToFit="0" wrapText="1"/>
    </xf>
    <xf borderId="0" fillId="0" fontId="19" numFmtId="0" xfId="0" applyAlignment="1" applyFont="1">
      <alignment readingOrder="0" shrinkToFit="0" vertical="bottom" wrapText="1"/>
    </xf>
    <xf borderId="2" fillId="44" fontId="4" numFmtId="1" xfId="0" applyAlignment="1" applyBorder="1" applyFont="1" applyNumberFormat="1">
      <alignment horizontal="left" readingOrder="0" vertical="bottom"/>
    </xf>
    <xf borderId="0" fillId="44" fontId="4" numFmtId="165" xfId="0" applyAlignment="1" applyFont="1" applyNumberFormat="1">
      <alignment horizontal="right" vertical="bottom"/>
    </xf>
    <xf borderId="1" fillId="0" fontId="12" numFmtId="164" xfId="0" applyAlignment="1" applyBorder="1" applyFont="1" applyNumberFormat="1">
      <alignment shrinkToFit="0" vertical="bottom" wrapText="1"/>
    </xf>
    <xf borderId="7" fillId="0" fontId="9" numFmtId="165" xfId="0" applyAlignment="1" applyBorder="1" applyFont="1" applyNumberFormat="1">
      <alignment readingOrder="0" vertical="bottom"/>
    </xf>
    <xf borderId="7" fillId="0" fontId="9" numFmtId="164" xfId="0" applyAlignment="1" applyBorder="1" applyFont="1" applyNumberFormat="1">
      <alignment readingOrder="0" vertical="bottom"/>
    </xf>
    <xf borderId="8" fillId="0" fontId="12" numFmtId="164" xfId="0" applyAlignment="1" applyBorder="1" applyFont="1" applyNumberFormat="1">
      <alignment shrinkToFit="0" vertical="bottom" wrapText="1"/>
    </xf>
    <xf borderId="6" fillId="0" fontId="9" numFmtId="165" xfId="0" applyAlignment="1" applyBorder="1" applyFont="1" applyNumberFormat="1">
      <alignment readingOrder="0" vertical="bottom"/>
    </xf>
    <xf borderId="0" fillId="9" fontId="14" numFmtId="0" xfId="0" applyAlignment="1" applyFont="1">
      <alignment horizontal="left" readingOrder="0" shrinkToFit="0" wrapText="0"/>
    </xf>
    <xf borderId="7" fillId="0" fontId="12" numFmtId="165" xfId="0" applyAlignment="1" applyBorder="1" applyFont="1" applyNumberFormat="1">
      <alignment shrinkToFit="0" vertical="bottom" wrapText="1"/>
    </xf>
    <xf borderId="0" fillId="0" fontId="30" numFmtId="165" xfId="0" applyAlignment="1" applyFont="1" applyNumberFormat="1">
      <alignment horizontal="right" readingOrder="0"/>
    </xf>
    <xf borderId="0" fillId="47" fontId="1" numFmtId="0" xfId="0" applyFill="1" applyFont="1"/>
    <xf borderId="0" fillId="44" fontId="4" numFmtId="165" xfId="0" applyAlignment="1" applyFont="1" applyNumberFormat="1">
      <alignment horizontal="right" readingOrder="0" vertical="bottom"/>
    </xf>
    <xf borderId="1" fillId="39" fontId="5" numFmtId="164" xfId="0" applyAlignment="1" applyBorder="1" applyFont="1" applyNumberFormat="1">
      <alignment horizontal="left" readingOrder="0" shrinkToFit="0" wrapText="1"/>
    </xf>
    <xf borderId="1" fillId="39" fontId="5" numFmtId="165" xfId="0" applyAlignment="1" applyBorder="1" applyFont="1" applyNumberFormat="1">
      <alignment horizontal="left" readingOrder="0" shrinkToFit="0" wrapText="1"/>
    </xf>
    <xf borderId="1" fillId="39" fontId="5" numFmtId="0" xfId="0" applyAlignment="1" applyBorder="1" applyFont="1">
      <alignment horizontal="left" readingOrder="0" shrinkToFit="0" wrapText="1"/>
    </xf>
    <xf borderId="1" fillId="39" fontId="5" numFmtId="0" xfId="0" applyAlignment="1" applyBorder="1" applyFont="1">
      <alignment horizontal="right" readingOrder="0" shrinkToFit="0" wrapText="1"/>
    </xf>
    <xf borderId="1" fillId="39" fontId="5" numFmtId="164" xfId="0" applyAlignment="1" applyBorder="1" applyFont="1" applyNumberFormat="1">
      <alignment horizontal="right" readingOrder="0" shrinkToFit="0" wrapText="1"/>
    </xf>
    <xf borderId="1" fillId="39" fontId="5" numFmtId="0" xfId="0" applyAlignment="1" applyBorder="1" applyFont="1">
      <alignment vertical="bottom"/>
    </xf>
    <xf borderId="0" fillId="47" fontId="1" numFmtId="0" xfId="0" applyAlignment="1" applyFont="1">
      <alignment horizontal="right"/>
    </xf>
    <xf borderId="2" fillId="43" fontId="4" numFmtId="0" xfId="0" applyAlignment="1" applyBorder="1" applyFont="1">
      <alignment vertical="bottom"/>
    </xf>
    <xf borderId="1" fillId="0" fontId="5" numFmtId="0" xfId="0" applyAlignment="1" applyBorder="1" applyFont="1">
      <alignment horizontal="left" vertical="bottom"/>
    </xf>
    <xf borderId="2" fillId="44" fontId="4" numFmtId="0" xfId="0" applyAlignment="1" applyBorder="1" applyFont="1">
      <alignment vertical="bottom"/>
    </xf>
    <xf borderId="0" fillId="0" fontId="1" numFmtId="0" xfId="0" applyFont="1"/>
    <xf borderId="2" fillId="44" fontId="4" numFmtId="1" xfId="0" applyAlignment="1" applyBorder="1" applyFont="1" applyNumberFormat="1">
      <alignment vertical="bottom"/>
    </xf>
    <xf borderId="1" fillId="0" fontId="12" numFmtId="0" xfId="0" applyAlignment="1" applyBorder="1" applyFont="1">
      <alignment vertical="bottom"/>
    </xf>
    <xf borderId="2" fillId="48" fontId="4" numFmtId="0" xfId="0" applyAlignment="1" applyBorder="1" applyFill="1" applyFont="1">
      <alignment readingOrder="0" vertical="bottom"/>
    </xf>
    <xf borderId="2" fillId="49" fontId="4" numFmtId="0" xfId="0" applyAlignment="1" applyBorder="1" applyFill="1" applyFont="1">
      <alignment readingOrder="0" vertical="bottom"/>
    </xf>
    <xf borderId="0" fillId="49" fontId="4" numFmtId="1" xfId="0" applyAlignment="1" applyFont="1" applyNumberFormat="1">
      <alignment horizontal="right" vertical="bottom"/>
    </xf>
    <xf borderId="2" fillId="49" fontId="4" numFmtId="1" xfId="0" applyAlignment="1" applyBorder="1" applyFont="1" applyNumberFormat="1">
      <alignment horizontal="left" vertical="bottom"/>
    </xf>
    <xf borderId="3" fillId="49" fontId="4" numFmtId="1" xfId="0" applyAlignment="1" applyBorder="1" applyFont="1" applyNumberFormat="1">
      <alignment horizontal="right" vertical="bottom"/>
    </xf>
    <xf borderId="1" fillId="50" fontId="5" numFmtId="0" xfId="0" applyAlignment="1" applyBorder="1" applyFill="1" applyFont="1">
      <alignment horizontal="left" readingOrder="0" shrinkToFit="0" wrapText="1"/>
    </xf>
    <xf borderId="0" fillId="0" fontId="1" numFmtId="165" xfId="0" applyAlignment="1" applyFont="1" applyNumberFormat="1">
      <alignment horizontal="left" readingOrder="0"/>
    </xf>
    <xf borderId="0" fillId="0" fontId="15" numFmtId="0" xfId="0" applyAlignment="1" applyFont="1">
      <alignment readingOrder="0" shrinkToFit="0" vertical="bottom" wrapText="1"/>
    </xf>
    <xf borderId="0" fillId="51" fontId="4" numFmtId="168" xfId="0" applyAlignment="1" applyFill="1" applyFont="1" applyNumberFormat="1">
      <alignment horizontal="right" vertical="bottom"/>
    </xf>
    <xf borderId="0" fillId="52" fontId="4" numFmtId="168" xfId="0" applyAlignment="1" applyFill="1" applyFont="1" applyNumberFormat="1">
      <alignment horizontal="right" vertical="bottom"/>
    </xf>
    <xf borderId="0" fillId="53" fontId="4" numFmtId="168" xfId="0" applyAlignment="1" applyFill="1" applyFont="1" applyNumberFormat="1">
      <alignment horizontal="right" vertical="bottom"/>
    </xf>
    <xf borderId="0" fillId="54" fontId="4" numFmtId="168" xfId="0" applyAlignment="1" applyFill="1" applyFont="1" applyNumberFormat="1">
      <alignment horizontal="right" vertical="bottom"/>
    </xf>
    <xf borderId="0" fillId="55" fontId="4" numFmtId="168" xfId="0" applyAlignment="1" applyFill="1" applyFont="1" applyNumberFormat="1">
      <alignment horizontal="right" vertical="bottom"/>
    </xf>
    <xf borderId="0" fillId="56" fontId="4" numFmtId="168" xfId="0" applyAlignment="1" applyFill="1" applyFont="1" applyNumberFormat="1">
      <alignment horizontal="right" vertical="bottom"/>
    </xf>
    <xf borderId="0" fillId="57" fontId="4" numFmtId="168" xfId="0" applyAlignment="1" applyFill="1" applyFont="1" applyNumberFormat="1">
      <alignment horizontal="right" vertical="bottom"/>
    </xf>
    <xf borderId="0" fillId="58" fontId="4" numFmtId="168" xfId="0" applyAlignment="1" applyFill="1" applyFont="1" applyNumberFormat="1">
      <alignment horizontal="right" vertical="bottom"/>
    </xf>
    <xf borderId="0" fillId="59" fontId="4" numFmtId="168" xfId="0" applyAlignment="1" applyFill="1" applyFont="1" applyNumberFormat="1">
      <alignment horizontal="right" vertical="bottom"/>
    </xf>
    <xf borderId="0" fillId="60" fontId="4" numFmtId="168" xfId="0" applyAlignment="1" applyFill="1" applyFont="1" applyNumberFormat="1">
      <alignment horizontal="right" vertical="bottom"/>
    </xf>
    <xf borderId="0" fillId="61" fontId="4" numFmtId="168" xfId="0" applyAlignment="1" applyFill="1" applyFont="1" applyNumberFormat="1">
      <alignment horizontal="right" vertical="bottom"/>
    </xf>
    <xf borderId="0" fillId="62" fontId="4" numFmtId="168" xfId="0" applyAlignment="1" applyFill="1" applyFont="1" applyNumberFormat="1">
      <alignment horizontal="right" vertical="bottom"/>
    </xf>
    <xf borderId="0" fillId="63" fontId="4" numFmtId="168" xfId="0" applyAlignment="1" applyFill="1" applyFont="1" applyNumberFormat="1">
      <alignment horizontal="right" vertical="bottom"/>
    </xf>
    <xf borderId="0" fillId="64" fontId="4" numFmtId="168" xfId="0" applyAlignment="1" applyFill="1" applyFont="1" applyNumberFormat="1">
      <alignment horizontal="right" vertical="bottom"/>
    </xf>
    <xf borderId="0" fillId="65" fontId="4" numFmtId="168" xfId="0" applyAlignment="1" applyFill="1" applyFont="1" applyNumberFormat="1">
      <alignment horizontal="right" vertical="bottom"/>
    </xf>
    <xf borderId="0" fillId="66" fontId="4" numFmtId="168" xfId="0" applyAlignment="1" applyFill="1" applyFont="1" applyNumberFormat="1">
      <alignment horizontal="right" vertical="bottom"/>
    </xf>
    <xf borderId="0" fillId="67" fontId="4" numFmtId="168" xfId="0" applyAlignment="1" applyFill="1" applyFont="1" applyNumberFormat="1">
      <alignment horizontal="right" vertical="bottom"/>
    </xf>
    <xf borderId="0" fillId="68" fontId="4" numFmtId="168" xfId="0" applyAlignment="1" applyFill="1" applyFont="1" applyNumberFormat="1">
      <alignment horizontal="right" vertical="bottom"/>
    </xf>
    <xf borderId="0" fillId="0" fontId="36" numFmtId="0" xfId="0" applyAlignment="1" applyFont="1">
      <alignment readingOrder="0"/>
    </xf>
    <xf borderId="0" fillId="16" fontId="15" numFmtId="0" xfId="0" applyAlignment="1" applyFont="1">
      <alignment readingOrder="0" shrinkToFit="0" vertical="bottom" wrapText="1"/>
    </xf>
    <xf borderId="0" fillId="9" fontId="37" numFmtId="0" xfId="0" applyAlignment="1" applyFont="1">
      <alignment readingOrder="0" shrinkToFit="0" wrapText="1"/>
    </xf>
    <xf borderId="0" fillId="0" fontId="4" numFmtId="173" xfId="0" applyAlignment="1" applyFont="1" applyNumberFormat="1">
      <alignment vertical="bottom"/>
    </xf>
    <xf borderId="1" fillId="0" fontId="12" numFmtId="165" xfId="0" applyAlignment="1" applyBorder="1" applyFont="1" applyNumberFormat="1">
      <alignment horizontal="left" shrinkToFit="0" vertical="bottom" wrapText="1"/>
    </xf>
    <xf borderId="7" fillId="0" fontId="12" numFmtId="164" xfId="0" applyAlignment="1" applyBorder="1" applyFont="1" applyNumberFormat="1">
      <alignment horizontal="left" shrinkToFit="0" vertical="bottom" wrapText="1"/>
    </xf>
    <xf borderId="1" fillId="0" fontId="5" numFmtId="165" xfId="0" applyAlignment="1" applyBorder="1" applyFont="1" applyNumberFormat="1">
      <alignment horizontal="left" shrinkToFit="0" wrapText="1"/>
    </xf>
    <xf borderId="0" fillId="0" fontId="4" numFmtId="168" xfId="0" applyAlignment="1" applyFont="1" applyNumberFormat="1">
      <alignment horizontal="right" readingOrder="0" vertical="bottom"/>
    </xf>
    <xf borderId="0" fillId="69" fontId="4" numFmtId="173" xfId="0" applyAlignment="1" applyFill="1" applyFont="1" applyNumberFormat="1">
      <alignment vertical="bottom"/>
    </xf>
    <xf borderId="0" fillId="0" fontId="4" numFmtId="168" xfId="0" applyAlignment="1" applyFont="1" applyNumberFormat="1">
      <alignment readingOrder="0" vertical="bottom"/>
    </xf>
    <xf borderId="0" fillId="0" fontId="4" numFmtId="173" xfId="0" applyAlignment="1" applyFont="1" applyNumberFormat="1">
      <alignment readingOrder="0" vertical="bottom"/>
    </xf>
    <xf borderId="1" fillId="30" fontId="12" numFmtId="0" xfId="0" applyAlignment="1" applyBorder="1" applyFont="1">
      <alignment vertical="bottom"/>
    </xf>
    <xf borderId="0" fillId="48" fontId="4" numFmtId="165" xfId="0" applyAlignment="1" applyFont="1" applyNumberFormat="1">
      <alignment vertical="bottom"/>
    </xf>
    <xf borderId="2" fillId="70" fontId="38" numFmtId="0" xfId="0" applyAlignment="1" applyBorder="1" applyFill="1" applyFont="1">
      <alignment readingOrder="0" vertical="bottom"/>
    </xf>
    <xf borderId="2" fillId="0" fontId="10" numFmtId="0" xfId="0" applyAlignment="1" applyBorder="1" applyFont="1">
      <alignment vertical="bottom"/>
    </xf>
    <xf borderId="0" fillId="0" fontId="10" numFmtId="165" xfId="0" applyAlignment="1" applyFont="1" applyNumberFormat="1">
      <alignment vertical="bottom"/>
    </xf>
    <xf borderId="1" fillId="40" fontId="8" numFmtId="164" xfId="0" applyAlignment="1" applyBorder="1" applyFont="1" applyNumberFormat="1">
      <alignment horizontal="left" readingOrder="0" shrinkToFit="0" wrapText="1"/>
    </xf>
    <xf borderId="1" fillId="40" fontId="8" numFmtId="165" xfId="0" applyAlignment="1" applyBorder="1" applyFont="1" applyNumberFormat="1">
      <alignment horizontal="left" readingOrder="0" shrinkToFit="0" wrapText="1"/>
    </xf>
    <xf borderId="1" fillId="40" fontId="8" numFmtId="0" xfId="0" applyAlignment="1" applyBorder="1" applyFont="1">
      <alignment horizontal="left" readingOrder="0" shrinkToFit="0" wrapText="1"/>
    </xf>
    <xf borderId="1" fillId="40" fontId="8" numFmtId="164" xfId="0" applyAlignment="1" applyBorder="1" applyFont="1" applyNumberFormat="1">
      <alignment horizontal="right" readingOrder="0" shrinkToFit="0" wrapText="1"/>
    </xf>
    <xf borderId="1" fillId="40" fontId="39" numFmtId="0" xfId="0" applyAlignment="1" applyBorder="1" applyFont="1">
      <alignment vertical="bottom"/>
    </xf>
    <xf borderId="0" fillId="0" fontId="5" numFmtId="165" xfId="0" applyAlignment="1" applyFont="1" applyNumberFormat="1">
      <alignment horizontal="left" readingOrder="0"/>
    </xf>
    <xf borderId="1" fillId="0" fontId="12" numFmtId="170" xfId="0" applyAlignment="1" applyBorder="1" applyFont="1" applyNumberFormat="1">
      <alignment horizontal="left" readingOrder="0"/>
    </xf>
    <xf borderId="2" fillId="0" fontId="40" numFmtId="0" xfId="0" applyAlignment="1" applyBorder="1" applyFont="1">
      <alignment readingOrder="0" vertical="bottom"/>
    </xf>
    <xf borderId="0" fillId="0" fontId="40" numFmtId="168" xfId="0" applyAlignment="1" applyFont="1" applyNumberFormat="1">
      <alignment horizontal="right" vertical="bottom"/>
    </xf>
    <xf borderId="0" fillId="2" fontId="9" numFmtId="174" xfId="0" applyAlignment="1" applyFont="1" applyNumberFormat="1">
      <alignment horizontal="left" readingOrder="0" vertical="bottom"/>
    </xf>
    <xf borderId="0" fillId="2" fontId="9" numFmtId="166" xfId="0" applyAlignment="1" applyFont="1" applyNumberFormat="1">
      <alignment horizontal="left" readingOrder="0" vertical="bottom"/>
    </xf>
    <xf borderId="0" fillId="71" fontId="9" numFmtId="0" xfId="0" applyAlignment="1" applyFill="1" applyFont="1">
      <alignment vertical="bottom"/>
    </xf>
    <xf borderId="0" fillId="71" fontId="9" numFmtId="0" xfId="0" applyAlignment="1" applyFont="1">
      <alignment readingOrder="0" vertical="bottom"/>
    </xf>
    <xf borderId="0" fillId="15" fontId="1" numFmtId="0" xfId="0" applyAlignment="1" applyFont="1">
      <alignment readingOrder="0"/>
    </xf>
    <xf borderId="0" fillId="9" fontId="9" numFmtId="0" xfId="0" applyAlignment="1" applyFont="1">
      <alignment vertical="bottom"/>
    </xf>
    <xf borderId="0" fillId="15" fontId="1" numFmtId="0" xfId="0" applyFont="1"/>
    <xf borderId="0" fillId="9" fontId="9" numFmtId="0" xfId="0" applyAlignment="1" applyFont="1">
      <alignment readingOrder="0" vertical="bottom"/>
    </xf>
    <xf borderId="0" fillId="72" fontId="1" numFmtId="0" xfId="0" applyAlignment="1" applyFill="1" applyFont="1">
      <alignment readingOrder="0" shrinkToFit="0" wrapText="1"/>
    </xf>
    <xf borderId="0" fillId="71" fontId="9" numFmtId="0" xfId="0" applyAlignment="1" applyFont="1">
      <alignment readingOrder="0" shrinkToFit="0" vertical="bottom" wrapText="1"/>
    </xf>
    <xf borderId="0" fillId="71" fontId="1" numFmtId="0" xfId="0" applyAlignment="1" applyFont="1">
      <alignment readingOrder="0" shrinkToFit="0" wrapText="1"/>
    </xf>
    <xf borderId="2" fillId="73" fontId="41" numFmtId="168" xfId="0" applyAlignment="1" applyBorder="1" applyFill="1" applyFont="1" applyNumberFormat="1">
      <alignment horizontal="right" vertical="bottom"/>
    </xf>
    <xf borderId="0" fillId="71" fontId="9" numFmtId="0" xfId="0" applyAlignment="1" applyFont="1">
      <alignment horizontal="center" readingOrder="0" shrinkToFit="0" vertical="bottom" wrapText="1"/>
    </xf>
    <xf borderId="3" fillId="0" fontId="9" numFmtId="0" xfId="0" applyBorder="1" applyFont="1"/>
    <xf borderId="0" fillId="72" fontId="1" numFmtId="0" xfId="0" applyAlignment="1" applyFont="1">
      <alignment readingOrder="0"/>
    </xf>
    <xf borderId="0" fillId="9" fontId="36" numFmtId="165" xfId="0" applyAlignment="1" applyFont="1" applyNumberFormat="1">
      <alignment horizontal="right" vertical="bottom"/>
    </xf>
    <xf borderId="2" fillId="74" fontId="4" numFmtId="0" xfId="0" applyAlignment="1" applyBorder="1" applyFill="1" applyFont="1">
      <alignment vertical="bottom"/>
    </xf>
    <xf borderId="0" fillId="0" fontId="9" numFmtId="165" xfId="0" applyAlignment="1" applyFont="1" applyNumberFormat="1">
      <alignment horizontal="right" vertical="bottom"/>
    </xf>
    <xf borderId="0" fillId="0" fontId="1" numFmtId="165" xfId="0" applyAlignment="1" applyFont="1" applyNumberFormat="1">
      <alignment readingOrder="0"/>
    </xf>
    <xf borderId="0" fillId="0" fontId="10" numFmtId="2" xfId="0" applyAlignment="1" applyFont="1" applyNumberFormat="1">
      <alignment horizontal="right" vertical="bottom"/>
    </xf>
    <xf borderId="0" fillId="75" fontId="1" numFmtId="0" xfId="0" applyAlignment="1" applyFill="1" applyFont="1">
      <alignment readingOrder="0"/>
    </xf>
    <xf borderId="0" fillId="75" fontId="1" numFmtId="165" xfId="0" applyFont="1" applyNumberFormat="1"/>
    <xf borderId="2" fillId="0" fontId="4" numFmtId="168" xfId="0" applyAlignment="1" applyBorder="1" applyFont="1" applyNumberFormat="1">
      <alignment readingOrder="0" vertical="bottom"/>
    </xf>
    <xf borderId="0" fillId="0" fontId="4" numFmtId="2" xfId="0" applyAlignment="1" applyFont="1" applyNumberFormat="1">
      <alignment horizontal="right" vertical="bottom"/>
    </xf>
    <xf borderId="1" fillId="34" fontId="12" numFmtId="0" xfId="0" applyAlignment="1" applyBorder="1" applyFont="1">
      <alignment vertical="bottom"/>
    </xf>
    <xf borderId="0" fillId="76" fontId="9" numFmtId="3" xfId="0" applyAlignment="1" applyFill="1" applyFont="1" applyNumberFormat="1">
      <alignment horizontal="right" readingOrder="0" vertical="bottom"/>
    </xf>
    <xf borderId="0" fillId="9" fontId="9" numFmtId="0" xfId="0" applyAlignment="1" applyFont="1">
      <alignment horizontal="right" readingOrder="0" vertical="bottom"/>
    </xf>
    <xf borderId="0" fillId="71" fontId="1" numFmtId="165" xfId="0" applyAlignment="1" applyFont="1" applyNumberFormat="1">
      <alignment readingOrder="0"/>
    </xf>
    <xf borderId="0" fillId="9" fontId="1" numFmtId="165" xfId="0" applyAlignment="1" applyFont="1" applyNumberFormat="1">
      <alignment readingOrder="0"/>
    </xf>
    <xf borderId="0" fillId="0" fontId="1" numFmtId="164" xfId="0" applyAlignment="1" applyFont="1" applyNumberFormat="1">
      <alignment readingOrder="0"/>
    </xf>
    <xf borderId="3" fillId="0" fontId="9" numFmtId="168" xfId="0" applyAlignment="1" applyBorder="1" applyFont="1" applyNumberFormat="1">
      <alignment horizontal="right" vertical="bottom"/>
    </xf>
    <xf borderId="0" fillId="0" fontId="9" numFmtId="168" xfId="0" applyAlignment="1" applyFont="1" applyNumberFormat="1">
      <alignment horizontal="right" vertical="bottom"/>
    </xf>
    <xf borderId="0" fillId="43" fontId="1" numFmtId="0" xfId="0" applyAlignment="1" applyFont="1">
      <alignment readingOrder="0"/>
    </xf>
    <xf borderId="0" fillId="43" fontId="1" numFmtId="165" xfId="0" applyFont="1" applyNumberFormat="1"/>
    <xf borderId="0" fillId="0" fontId="9" numFmtId="0" xfId="0" applyAlignment="1" applyFont="1">
      <alignment readingOrder="0" vertical="bottom"/>
    </xf>
    <xf borderId="0" fillId="0" fontId="4" numFmtId="175" xfId="0" applyAlignment="1" applyFont="1" applyNumberFormat="1">
      <alignment vertical="bottom"/>
    </xf>
    <xf borderId="0" fillId="0" fontId="4" numFmtId="175" xfId="0" applyAlignment="1" applyFont="1" applyNumberFormat="1">
      <alignment readingOrder="0" vertical="bottom"/>
    </xf>
    <xf borderId="0" fillId="0" fontId="1" numFmtId="2" xfId="0" applyFont="1" applyNumberFormat="1"/>
    <xf borderId="3" fillId="0" fontId="4" numFmtId="175" xfId="0" applyAlignment="1" applyBorder="1" applyFont="1" applyNumberFormat="1">
      <alignment vertical="bottom"/>
    </xf>
    <xf borderId="2" fillId="74" fontId="4" numFmtId="0" xfId="0" applyAlignment="1" applyBorder="1" applyFont="1">
      <alignment readingOrder="0" vertical="bottom"/>
    </xf>
    <xf borderId="0" fillId="0" fontId="1" numFmtId="165" xfId="0" applyFont="1" applyNumberFormat="1"/>
    <xf borderId="0" fillId="76" fontId="9" numFmtId="10" xfId="0" applyAlignment="1" applyFont="1" applyNumberFormat="1">
      <alignment horizontal="right" readingOrder="0" vertical="bottom"/>
    </xf>
    <xf borderId="0" fillId="9" fontId="9" numFmtId="10" xfId="0" applyAlignment="1" applyFont="1" applyNumberFormat="1">
      <alignment horizontal="right" readingOrder="0" vertical="bottom"/>
    </xf>
    <xf borderId="0" fillId="0" fontId="1" numFmtId="10" xfId="0" applyAlignment="1" applyFont="1" applyNumberFormat="1">
      <alignment readingOrder="0"/>
    </xf>
    <xf borderId="2" fillId="0" fontId="4" numFmtId="2" xfId="0" applyAlignment="1" applyBorder="1" applyFont="1" applyNumberFormat="1">
      <alignment horizontal="right" vertical="bottom"/>
    </xf>
    <xf borderId="0" fillId="0" fontId="1" numFmtId="10" xfId="0" applyFont="1" applyNumberFormat="1"/>
    <xf borderId="0" fillId="77" fontId="9" numFmtId="10" xfId="0" applyAlignment="1" applyFill="1" applyFont="1" applyNumberFormat="1">
      <alignment horizontal="right" vertical="bottom"/>
    </xf>
    <xf borderId="0" fillId="78" fontId="9" numFmtId="10" xfId="0" applyAlignment="1" applyFill="1" applyFont="1" applyNumberFormat="1">
      <alignment horizontal="right" vertical="bottom"/>
    </xf>
    <xf borderId="0" fillId="0" fontId="42" numFmtId="10" xfId="0" applyAlignment="1" applyFont="1" applyNumberFormat="1">
      <alignment horizontal="right" readingOrder="0"/>
    </xf>
    <xf borderId="0" fillId="76" fontId="9" numFmtId="10" xfId="0" applyAlignment="1" applyFont="1" applyNumberFormat="1">
      <alignment horizontal="right" vertical="bottom"/>
    </xf>
    <xf borderId="0" fillId="79" fontId="9" numFmtId="10" xfId="0" applyAlignment="1" applyFill="1" applyFont="1" applyNumberFormat="1">
      <alignment horizontal="right" vertical="bottom"/>
    </xf>
    <xf borderId="0" fillId="0" fontId="42" numFmtId="10" xfId="0" applyAlignment="1" applyFont="1" applyNumberFormat="1">
      <alignment readingOrder="0"/>
    </xf>
    <xf borderId="0" fillId="80" fontId="9" numFmtId="10" xfId="0" applyAlignment="1" applyFill="1" applyFont="1" applyNumberFormat="1">
      <alignment horizontal="right" vertical="bottom"/>
    </xf>
    <xf borderId="0" fillId="81" fontId="9" numFmtId="10" xfId="0" applyAlignment="1" applyFill="1" applyFont="1" applyNumberFormat="1">
      <alignment horizontal="right" vertical="bottom"/>
    </xf>
    <xf borderId="0" fillId="9" fontId="9" numFmtId="10" xfId="0" applyAlignment="1" applyFont="1" applyNumberFormat="1">
      <alignment horizontal="right" vertical="bottom"/>
    </xf>
    <xf borderId="0" fillId="82" fontId="9" numFmtId="10" xfId="0" applyAlignment="1" applyFill="1" applyFont="1" applyNumberFormat="1">
      <alignment horizontal="right" vertical="bottom"/>
    </xf>
    <xf borderId="0" fillId="2" fontId="1" numFmtId="176" xfId="0" applyAlignment="1" applyFont="1" applyNumberFormat="1">
      <alignment readingOrder="0"/>
    </xf>
    <xf borderId="0" fillId="2" fontId="1" numFmtId="0" xfId="0" applyAlignment="1" applyFont="1">
      <alignment horizontal="right" readingOrder="0"/>
    </xf>
    <xf borderId="0" fillId="0" fontId="43" numFmtId="170" xfId="0" applyAlignment="1" applyFont="1" applyNumberFormat="1">
      <alignment readingOrder="0"/>
    </xf>
    <xf borderId="0" fillId="0" fontId="43" numFmtId="10" xfId="0" applyFont="1" applyNumberFormat="1"/>
    <xf borderId="0" fillId="0" fontId="43" numFmtId="2" xfId="0" applyAlignment="1" applyFont="1" applyNumberFormat="1">
      <alignment readingOrder="0"/>
    </xf>
    <xf borderId="0" fillId="0" fontId="43" numFmtId="165" xfId="0" applyAlignment="1" applyFont="1" applyNumberFormat="1">
      <alignment readingOrder="0"/>
    </xf>
    <xf borderId="0" fillId="0" fontId="43" numFmtId="10" xfId="0" applyAlignment="1" applyFont="1" applyNumberFormat="1">
      <alignment readingOrder="0"/>
    </xf>
    <xf borderId="0" fillId="0" fontId="1" numFmtId="3" xfId="0" applyFont="1" applyNumberFormat="1"/>
    <xf borderId="0" fillId="0" fontId="43" numFmtId="0" xfId="0" applyAlignment="1" applyFont="1">
      <alignment readingOrder="0"/>
    </xf>
    <xf borderId="0" fillId="0" fontId="44" numFmtId="165" xfId="0" applyAlignment="1" applyFont="1" applyNumberFormat="1">
      <alignment horizontal="left" readingOrder="0"/>
    </xf>
    <xf borderId="1" fillId="2" fontId="45" numFmtId="0" xfId="0" applyAlignment="1" applyBorder="1" applyFont="1">
      <alignment vertical="bottom"/>
    </xf>
    <xf borderId="7" fillId="2" fontId="45" numFmtId="0" xfId="0" applyAlignment="1" applyBorder="1" applyFont="1">
      <alignment vertical="bottom"/>
    </xf>
    <xf borderId="7" fillId="2" fontId="45" numFmtId="165" xfId="0" applyAlignment="1" applyBorder="1" applyFont="1" applyNumberFormat="1">
      <alignment vertical="bottom"/>
    </xf>
    <xf borderId="7" fillId="2" fontId="45" numFmtId="0" xfId="0" applyAlignment="1" applyBorder="1" applyFont="1">
      <alignment shrinkToFit="0" vertical="bottom" wrapText="0"/>
    </xf>
    <xf borderId="7" fillId="4" fontId="45" numFmtId="0" xfId="0" applyAlignment="1" applyBorder="1" applyFont="1">
      <alignment shrinkToFit="0" vertical="bottom" wrapText="1"/>
    </xf>
    <xf borderId="4" fillId="4" fontId="45" numFmtId="0" xfId="0" applyAlignment="1" applyBorder="1" applyFont="1">
      <alignment shrinkToFit="0" vertical="bottom" wrapText="1"/>
    </xf>
    <xf borderId="8" fillId="0" fontId="5" numFmtId="164" xfId="0" applyAlignment="1" applyBorder="1" applyFont="1" applyNumberFormat="1">
      <alignment readingOrder="0" vertical="bottom"/>
    </xf>
    <xf borderId="6" fillId="0" fontId="5" numFmtId="164" xfId="0" applyAlignment="1" applyBorder="1" applyFont="1" applyNumberFormat="1">
      <alignment readingOrder="0" vertical="bottom"/>
    </xf>
    <xf borderId="6" fillId="0" fontId="5" numFmtId="165" xfId="0" applyAlignment="1" applyBorder="1" applyFont="1" applyNumberFormat="1">
      <alignment readingOrder="0" vertical="bottom"/>
    </xf>
    <xf borderId="6" fillId="9" fontId="5" numFmtId="0" xfId="0" applyAlignment="1" applyBorder="1" applyFont="1">
      <alignment readingOrder="0" vertical="bottom"/>
    </xf>
    <xf borderId="6" fillId="0" fontId="5" numFmtId="0" xfId="0" applyAlignment="1" applyBorder="1" applyFont="1">
      <alignment readingOrder="0" vertical="bottom"/>
    </xf>
    <xf borderId="6" fillId="0" fontId="5" numFmtId="0" xfId="0" applyAlignment="1" applyBorder="1" applyFont="1">
      <alignment readingOrder="0" shrinkToFit="0" vertical="bottom" wrapText="0"/>
    </xf>
    <xf borderId="1" fillId="0" fontId="12" numFmtId="0" xfId="0" applyAlignment="1" applyBorder="1" applyFont="1">
      <alignment readingOrder="0" shrinkToFit="0" wrapText="0"/>
    </xf>
    <xf borderId="6" fillId="0" fontId="5" numFmtId="164" xfId="0" applyAlignment="1" applyBorder="1" applyFont="1" applyNumberFormat="1">
      <alignment vertical="bottom"/>
    </xf>
    <xf borderId="0" fillId="0" fontId="5" numFmtId="0" xfId="0" applyFont="1"/>
    <xf borderId="1" fillId="0" fontId="12" numFmtId="0" xfId="0" applyAlignment="1" applyBorder="1" applyFont="1">
      <alignment readingOrder="0" shrinkToFit="0" wrapText="1"/>
    </xf>
    <xf borderId="6" fillId="0" fontId="5" numFmtId="0" xfId="0" applyAlignment="1" applyBorder="1" applyFont="1">
      <alignment vertical="bottom"/>
    </xf>
    <xf borderId="1" fillId="0" fontId="5" numFmtId="0" xfId="0" applyAlignment="1" applyBorder="1" applyFont="1">
      <alignment readingOrder="0"/>
    </xf>
    <xf borderId="7" fillId="0" fontId="5" numFmtId="0" xfId="0" applyAlignment="1" applyBorder="1" applyFont="1">
      <alignment vertical="bottom"/>
    </xf>
    <xf borderId="1" fillId="0" fontId="12" numFmtId="165" xfId="0" applyAlignment="1" applyBorder="1" applyFont="1" applyNumberFormat="1">
      <alignment readingOrder="0"/>
    </xf>
    <xf borderId="1" fillId="0" fontId="12" numFmtId="0" xfId="0" applyAlignment="1" applyBorder="1" applyFont="1">
      <alignment readingOrder="0"/>
    </xf>
    <xf borderId="7" fillId="0" fontId="12" numFmtId="0" xfId="0" applyAlignment="1" applyBorder="1" applyFont="1">
      <alignment vertical="bottom"/>
    </xf>
    <xf borderId="1" fillId="2" fontId="45" numFmtId="166" xfId="0" applyAlignment="1" applyBorder="1" applyFont="1" applyNumberFormat="1">
      <alignment vertical="bottom"/>
    </xf>
    <xf borderId="1" fillId="2" fontId="45" numFmtId="0" xfId="0" applyAlignment="1" applyBorder="1" applyFont="1">
      <alignment readingOrder="0" vertical="bottom"/>
    </xf>
    <xf borderId="1" fillId="2" fontId="45" numFmtId="0" xfId="0" applyAlignment="1" applyBorder="1" applyFont="1">
      <alignment horizontal="right" vertical="bottom"/>
    </xf>
    <xf borderId="1" fillId="2" fontId="45" numFmtId="0" xfId="0" applyAlignment="1" applyBorder="1" applyFont="1">
      <alignment horizontal="left" vertical="bottom"/>
    </xf>
    <xf borderId="1" fillId="2" fontId="45" numFmtId="170" xfId="0" applyAlignment="1" applyBorder="1" applyFont="1" applyNumberFormat="1">
      <alignment readingOrder="0" vertical="bottom"/>
    </xf>
    <xf borderId="1" fillId="2" fontId="45" numFmtId="170" xfId="0" applyAlignment="1" applyBorder="1" applyFont="1" applyNumberFormat="1">
      <alignment horizontal="left" readingOrder="0" shrinkToFit="0" vertical="bottom" wrapText="1"/>
    </xf>
    <xf borderId="0" fillId="0" fontId="12" numFmtId="0" xfId="0" applyFont="1"/>
    <xf borderId="0" fillId="0" fontId="5" numFmtId="166" xfId="0" applyAlignment="1" applyFont="1" applyNumberFormat="1">
      <alignment horizontal="right" readingOrder="0" shrinkToFit="0" wrapText="1"/>
    </xf>
    <xf borderId="0" fillId="0" fontId="5" numFmtId="164" xfId="0" applyAlignment="1" applyFont="1" applyNumberFormat="1">
      <alignment horizontal="right" readingOrder="0" vertical="bottom"/>
    </xf>
    <xf borderId="0" fillId="0" fontId="5" numFmtId="165" xfId="0" applyAlignment="1" applyFont="1" applyNumberFormat="1">
      <alignment horizontal="right" readingOrder="0" vertical="bottom"/>
    </xf>
    <xf borderId="0" fillId="0" fontId="5" numFmtId="0" xfId="0" applyAlignment="1" applyFont="1">
      <alignment horizontal="left" readingOrder="0" vertical="bottom"/>
    </xf>
    <xf borderId="0" fillId="9" fontId="31" numFmtId="165" xfId="0" applyAlignment="1" applyFont="1" applyNumberFormat="1">
      <alignment readingOrder="0"/>
    </xf>
    <xf borderId="0" fillId="0" fontId="5" numFmtId="0" xfId="0" applyAlignment="1" applyFont="1">
      <alignment horizontal="right" readingOrder="0" vertical="bottom"/>
    </xf>
    <xf borderId="0" fillId="0" fontId="12" numFmtId="170" xfId="0" applyAlignment="1" applyFont="1" applyNumberFormat="1">
      <alignment readingOrder="0"/>
    </xf>
    <xf borderId="0" fillId="0" fontId="5" numFmtId="164" xfId="0" applyAlignment="1" applyFont="1" applyNumberFormat="1">
      <alignment horizontal="right" readingOrder="0" shrinkToFit="0" wrapText="1"/>
    </xf>
    <xf borderId="8" fillId="43" fontId="5" numFmtId="164" xfId="0" applyAlignment="1" applyBorder="1" applyFont="1" applyNumberFormat="1">
      <alignment readingOrder="0" vertical="bottom"/>
    </xf>
    <xf borderId="6" fillId="43" fontId="5" numFmtId="164" xfId="0" applyAlignment="1" applyBorder="1" applyFont="1" applyNumberFormat="1">
      <alignment readingOrder="0" vertical="bottom"/>
    </xf>
    <xf borderId="0" fillId="0" fontId="12" numFmtId="0" xfId="0" applyAlignment="1" applyFont="1">
      <alignment horizontal="right" readingOrder="0"/>
    </xf>
    <xf borderId="6" fillId="43" fontId="5" numFmtId="165" xfId="0" applyAlignment="1" applyBorder="1" applyFont="1" applyNumberFormat="1">
      <alignment readingOrder="0" vertical="bottom"/>
    </xf>
    <xf borderId="6" fillId="43" fontId="5" numFmtId="0" xfId="0" applyAlignment="1" applyBorder="1" applyFont="1">
      <alignment readingOrder="0" vertical="bottom"/>
    </xf>
    <xf borderId="6" fillId="43" fontId="5" numFmtId="0" xfId="0" applyAlignment="1" applyBorder="1" applyFont="1">
      <alignment readingOrder="0" shrinkToFit="0" vertical="bottom" wrapText="0"/>
    </xf>
    <xf borderId="6" fillId="43" fontId="5" numFmtId="164" xfId="0" applyAlignment="1" applyBorder="1" applyFont="1" applyNumberFormat="1">
      <alignment vertical="bottom"/>
    </xf>
    <xf borderId="0" fillId="0" fontId="5" numFmtId="166" xfId="0" applyAlignment="1" applyFont="1" applyNumberFormat="1">
      <alignment horizontal="right" readingOrder="0" vertical="bottom"/>
    </xf>
    <xf borderId="6" fillId="43" fontId="5" numFmtId="0" xfId="0" applyAlignment="1" applyBorder="1" applyFont="1">
      <alignment vertical="bottom"/>
    </xf>
    <xf borderId="0" fillId="0" fontId="5" numFmtId="170" xfId="0" applyAlignment="1" applyFont="1" applyNumberFormat="1">
      <alignment horizontal="right" readingOrder="0" vertical="bottom"/>
    </xf>
    <xf borderId="0" fillId="43" fontId="5" numFmtId="0" xfId="0" applyFont="1"/>
    <xf borderId="0" fillId="0" fontId="5" numFmtId="177" xfId="0" applyAlignment="1" applyFont="1" applyNumberFormat="1">
      <alignment horizontal="right" readingOrder="0" vertical="bottom"/>
    </xf>
    <xf borderId="1" fillId="0" fontId="12" numFmtId="0" xfId="0" applyAlignment="1" applyBorder="1" applyFont="1">
      <alignment shrinkToFit="0" vertical="bottom" wrapText="1"/>
    </xf>
    <xf borderId="9" fillId="9" fontId="19" numFmtId="0" xfId="0" applyAlignment="1" applyBorder="1" applyFont="1">
      <alignment readingOrder="0" vertical="bottom"/>
    </xf>
    <xf borderId="0" fillId="0" fontId="12" numFmtId="165" xfId="0" applyAlignment="1" applyFont="1" applyNumberFormat="1">
      <alignment readingOrder="0"/>
    </xf>
    <xf borderId="8" fillId="0" fontId="12" numFmtId="0" xfId="0" applyAlignment="1" applyBorder="1" applyFont="1">
      <alignment readingOrder="0" shrinkToFit="0" vertical="bottom" wrapText="1"/>
    </xf>
    <xf borderId="8" fillId="0" fontId="12" numFmtId="0" xfId="0" applyAlignment="1" applyBorder="1" applyFont="1">
      <alignment shrinkToFit="0" vertical="bottom" wrapText="1"/>
    </xf>
    <xf borderId="1" fillId="0" fontId="12" numFmtId="0" xfId="0" applyAlignment="1" applyBorder="1" applyFont="1">
      <alignment readingOrder="0" vertical="bottom"/>
    </xf>
    <xf borderId="7" fillId="0" fontId="12" numFmtId="0" xfId="0" applyAlignment="1" applyBorder="1" applyFont="1">
      <alignment readingOrder="0" vertical="bottom"/>
    </xf>
    <xf borderId="1" fillId="0" fontId="5" numFmtId="0" xfId="0" applyAlignment="1" applyBorder="1" applyFont="1">
      <alignment horizontal="left" readingOrder="0" shrinkToFit="0" wrapText="1"/>
    </xf>
    <xf borderId="1" fillId="0" fontId="12" numFmtId="164" xfId="0" applyAlignment="1" applyBorder="1" applyFont="1" applyNumberFormat="1">
      <alignment readingOrder="0"/>
    </xf>
    <xf borderId="1" fillId="0" fontId="12" numFmtId="164" xfId="0" applyAlignment="1" applyBorder="1" applyFont="1" applyNumberFormat="1">
      <alignment vertical="bottom"/>
    </xf>
    <xf borderId="7" fillId="0" fontId="12" numFmtId="164" xfId="0" applyAlignment="1" applyBorder="1" applyFont="1" applyNumberFormat="1">
      <alignment vertical="bottom"/>
    </xf>
    <xf borderId="1" fillId="0" fontId="12" numFmtId="0" xfId="0" applyAlignment="1" applyBorder="1" applyFont="1">
      <alignment readingOrder="0"/>
    </xf>
    <xf borderId="0" fillId="0" fontId="12" numFmtId="164" xfId="0" applyAlignment="1" applyFont="1" applyNumberFormat="1">
      <alignment horizontal="right" readingOrder="0" vertical="bottom"/>
    </xf>
    <xf borderId="0" fillId="0" fontId="12" numFmtId="0" xfId="0" applyAlignment="1" applyFont="1">
      <alignment horizontal="right" readingOrder="0" vertical="bottom"/>
    </xf>
    <xf borderId="8" fillId="0" fontId="12" numFmtId="164" xfId="0" applyAlignment="1" applyBorder="1" applyFont="1" applyNumberFormat="1">
      <alignment readingOrder="0" vertical="bottom"/>
    </xf>
    <xf borderId="6" fillId="0" fontId="12" numFmtId="164" xfId="0" applyAlignment="1" applyBorder="1" applyFont="1" applyNumberFormat="1">
      <alignment readingOrder="0" vertical="bottom"/>
    </xf>
    <xf borderId="6" fillId="0" fontId="12" numFmtId="165" xfId="0" applyAlignment="1" applyBorder="1" applyFont="1" applyNumberFormat="1">
      <alignment readingOrder="0" vertical="bottom"/>
    </xf>
    <xf borderId="6" fillId="0" fontId="12" numFmtId="0" xfId="0" applyAlignment="1" applyBorder="1" applyFont="1">
      <alignment readingOrder="0" vertical="bottom"/>
    </xf>
    <xf borderId="6" fillId="0" fontId="12" numFmtId="0" xfId="0" applyAlignment="1" applyBorder="1" applyFont="1">
      <alignment vertical="bottom"/>
    </xf>
    <xf borderId="6" fillId="0" fontId="12" numFmtId="164" xfId="0" applyAlignment="1" applyBorder="1" applyFont="1" applyNumberFormat="1">
      <alignment vertical="bottom"/>
    </xf>
    <xf borderId="0" fillId="0" fontId="5" numFmtId="165" xfId="0" applyAlignment="1" applyFont="1" applyNumberFormat="1">
      <alignment horizontal="right" readingOrder="0" vertical="bottom"/>
    </xf>
    <xf borderId="6" fillId="0" fontId="12" numFmtId="0" xfId="0" applyAlignment="1" applyBorder="1" applyFont="1">
      <alignment readingOrder="0" vertical="bottom"/>
    </xf>
    <xf borderId="0" fillId="0" fontId="1" numFmtId="4" xfId="0" applyAlignment="1" applyFont="1" applyNumberFormat="1">
      <alignment readingOrder="0"/>
    </xf>
    <xf borderId="0" fillId="0" fontId="1" numFmtId="165" xfId="0" applyFont="1" applyNumberFormat="1"/>
    <xf borderId="0" fillId="0" fontId="12" numFmtId="165" xfId="0" applyAlignment="1" applyFont="1" applyNumberFormat="1">
      <alignment readingOrder="0"/>
    </xf>
    <xf borderId="8" fillId="0" fontId="12" numFmtId="164" xfId="0" applyAlignment="1" applyBorder="1" applyFont="1" applyNumberFormat="1">
      <alignment vertical="bottom"/>
    </xf>
    <xf borderId="6" fillId="0" fontId="12" numFmtId="165" xfId="0" applyAlignment="1" applyBorder="1" applyFont="1" applyNumberFormat="1">
      <alignment vertical="bottom"/>
    </xf>
    <xf borderId="6" fillId="0" fontId="12" numFmtId="0" xfId="0" applyAlignment="1" applyBorder="1" applyFont="1">
      <alignment shrinkToFit="0" vertical="bottom" wrapText="0"/>
    </xf>
    <xf borderId="8" fillId="0" fontId="9" numFmtId="164" xfId="0" applyAlignment="1" applyBorder="1" applyFont="1" applyNumberFormat="1">
      <alignment vertical="bottom"/>
    </xf>
    <xf borderId="6" fillId="0" fontId="9" numFmtId="165" xfId="0" applyAlignment="1" applyBorder="1" applyFont="1" applyNumberFormat="1">
      <alignment vertical="bottom"/>
    </xf>
    <xf borderId="6" fillId="0" fontId="9" numFmtId="0" xfId="0" applyAlignment="1" applyBorder="1" applyFont="1">
      <alignment shrinkToFit="0" vertical="bottom" wrapText="0"/>
    </xf>
    <xf borderId="0" fillId="0" fontId="12" numFmtId="0" xfId="0" applyAlignment="1" applyFont="1">
      <alignment horizontal="left" readingOrder="0"/>
    </xf>
    <xf borderId="0" fillId="0" fontId="12" numFmtId="0" xfId="0" applyAlignment="1" applyFont="1">
      <alignment horizontal="left" readingOrder="0" shrinkToFit="0" wrapText="1"/>
    </xf>
    <xf borderId="0" fillId="0" fontId="12" numFmtId="166" xfId="0" applyAlignment="1" applyFont="1" applyNumberFormat="1">
      <alignment readingOrder="0"/>
    </xf>
    <xf borderId="0" fillId="0" fontId="12" numFmtId="164" xfId="0" applyAlignment="1" applyFont="1" applyNumberFormat="1">
      <alignment readingOrder="0"/>
    </xf>
    <xf borderId="6" fillId="0" fontId="9" numFmtId="164" xfId="0" applyAlignment="1" applyBorder="1" applyFont="1" applyNumberFormat="1">
      <alignment shrinkToFit="0" vertical="bottom" wrapText="0"/>
    </xf>
    <xf borderId="0" fillId="0" fontId="12" numFmtId="0" xfId="0" applyAlignment="1" applyFont="1">
      <alignment horizontal="right" readingOrder="0"/>
    </xf>
    <xf borderId="0" fillId="0" fontId="12" numFmtId="0" xfId="0" applyAlignment="1" applyFont="1">
      <alignment horizontal="left" readingOrder="0"/>
    </xf>
    <xf borderId="0" fillId="0" fontId="12" numFmtId="178" xfId="0" applyAlignment="1" applyFont="1" applyNumberFormat="1">
      <alignment readingOrder="0"/>
    </xf>
    <xf borderId="0" fillId="0" fontId="12" numFmtId="166" xfId="0" applyFont="1" applyNumberFormat="1"/>
    <xf borderId="0" fillId="0" fontId="12" numFmtId="0" xfId="0" applyAlignment="1" applyFont="1">
      <alignment horizontal="right"/>
    </xf>
    <xf borderId="0" fillId="0" fontId="12" numFmtId="0" xfId="0" applyAlignment="1" applyFont="1">
      <alignment horizontal="left"/>
    </xf>
    <xf borderId="0" fillId="0" fontId="12" numFmtId="0" xfId="0" applyAlignment="1" applyFont="1">
      <alignment readingOrder="0"/>
    </xf>
    <xf borderId="0" fillId="0" fontId="12" numFmtId="0" xfId="0" applyAlignment="1" applyFont="1">
      <alignment horizontal="left" shrinkToFit="0" wrapText="1"/>
    </xf>
    <xf borderId="0" fillId="0" fontId="12" numFmtId="165" xfId="0" applyAlignment="1" applyFont="1" applyNumberFormat="1">
      <alignment horizontal="left" readingOrder="0"/>
    </xf>
    <xf borderId="6" fillId="0" fontId="9" numFmtId="170" xfId="0" applyAlignment="1" applyBorder="1" applyFont="1" applyNumberFormat="1">
      <alignment vertical="bottom"/>
    </xf>
    <xf borderId="4" fillId="0" fontId="9" numFmtId="164" xfId="0" applyAlignment="1" applyBorder="1" applyFont="1" applyNumberFormat="1">
      <alignment vertical="bottom"/>
    </xf>
    <xf borderId="0" fillId="0" fontId="9" numFmtId="164" xfId="0" applyAlignment="1" applyFont="1" applyNumberFormat="1">
      <alignment vertical="bottom"/>
    </xf>
    <xf borderId="2" fillId="0" fontId="9" numFmtId="170" xfId="0" applyAlignment="1" applyBorder="1" applyFont="1" applyNumberFormat="1">
      <alignment vertical="bottom"/>
    </xf>
    <xf borderId="1" fillId="0" fontId="12" numFmtId="165" xfId="0" applyAlignment="1" applyBorder="1" applyFont="1" applyNumberFormat="1">
      <alignment horizontal="left"/>
    </xf>
    <xf borderId="1" fillId="0" fontId="5" numFmtId="165" xfId="0" applyAlignment="1" applyBorder="1" applyFont="1" applyNumberFormat="1">
      <alignment horizontal="left" readingOrder="0"/>
    </xf>
    <xf borderId="1" fillId="0" fontId="12" numFmtId="0" xfId="0" applyAlignment="1" applyBorder="1" applyFont="1">
      <alignment horizontal="left"/>
    </xf>
    <xf borderId="1" fillId="0" fontId="12" numFmtId="0" xfId="0" applyAlignment="1" applyBorder="1" applyFont="1">
      <alignment horizontal="left" shrinkToFit="0" wrapText="1"/>
    </xf>
    <xf borderId="1" fillId="0" fontId="5" numFmtId="165" xfId="0" applyAlignment="1" applyBorder="1" applyFont="1" applyNumberFormat="1">
      <alignment readingOrder="0"/>
    </xf>
    <xf borderId="1" fillId="0" fontId="5" numFmtId="165" xfId="0" applyAlignment="1" applyBorder="1" applyFont="1" applyNumberFormat="1">
      <alignment horizontal="left"/>
    </xf>
    <xf borderId="1" fillId="0" fontId="5" numFmtId="0" xfId="0" applyAlignment="1" applyBorder="1" applyFont="1">
      <alignment horizontal="left" shrinkToFit="0" wrapText="1"/>
    </xf>
    <xf borderId="0" fillId="18" fontId="1" numFmtId="0" xfId="0" applyAlignment="1" applyFont="1">
      <alignment horizontal="center" readingOrder="0"/>
    </xf>
    <xf borderId="0" fillId="83" fontId="46" numFmtId="0" xfId="0" applyAlignment="1" applyFill="1" applyFont="1">
      <alignment horizontal="center" readingOrder="0"/>
    </xf>
    <xf borderId="0" fillId="9" fontId="47" numFmtId="0" xfId="0" applyFont="1"/>
    <xf borderId="0" fillId="6" fontId="48" numFmtId="0" xfId="0" applyAlignment="1" applyFont="1">
      <alignment readingOrder="0"/>
    </xf>
    <xf borderId="0" fillId="9" fontId="49" numFmtId="0" xfId="0" applyAlignment="1" applyFont="1">
      <alignment horizontal="left" readingOrder="0"/>
    </xf>
    <xf borderId="0" fillId="6" fontId="46" numFmtId="0" xfId="0" applyAlignment="1" applyFont="1">
      <alignment readingOrder="0"/>
    </xf>
    <xf borderId="0" fillId="9" fontId="47" numFmtId="173" xfId="0" applyAlignment="1" applyFont="1" applyNumberFormat="1">
      <alignment readingOrder="0"/>
    </xf>
    <xf borderId="0" fillId="9" fontId="47" numFmtId="0" xfId="0" applyAlignment="1" applyFont="1">
      <alignment readingOrder="0"/>
    </xf>
    <xf borderId="0" fillId="2" fontId="9" numFmtId="179" xfId="0" applyAlignment="1" applyFont="1" applyNumberFormat="1">
      <alignment horizontal="left" readingOrder="0" vertical="bottom"/>
    </xf>
    <xf borderId="0" fillId="71" fontId="50" numFmtId="4" xfId="0" applyAlignment="1" applyFont="1" applyNumberFormat="1">
      <alignment horizontal="right" readingOrder="0" shrinkToFit="0" wrapText="0"/>
    </xf>
    <xf borderId="0" fillId="9" fontId="47" numFmtId="180" xfId="0" applyAlignment="1" applyFont="1" applyNumberFormat="1">
      <alignment readingOrder="0"/>
    </xf>
    <xf borderId="0" fillId="50" fontId="1" numFmtId="165" xfId="0" applyAlignment="1" applyFont="1" applyNumberFormat="1">
      <alignment readingOrder="0"/>
    </xf>
    <xf borderId="0" fillId="0" fontId="1" numFmtId="0" xfId="0" applyAlignment="1" applyFont="1">
      <alignment horizontal="right" readingOrder="0"/>
    </xf>
    <xf borderId="0" fillId="9" fontId="1" numFmtId="0" xfId="0" applyAlignment="1" applyFont="1">
      <alignment horizontal="left" readingOrder="0"/>
    </xf>
    <xf borderId="0" fillId="0" fontId="1" numFmtId="180" xfId="0" applyAlignment="1" applyFont="1" applyNumberFormat="1">
      <alignment readingOrder="0"/>
    </xf>
    <xf borderId="0" fillId="0" fontId="51" numFmtId="0" xfId="0" applyAlignment="1" applyFont="1">
      <alignment readingOrder="0"/>
    </xf>
    <xf borderId="4" fillId="0" fontId="1" numFmtId="0" xfId="0" applyAlignment="1" applyBorder="1" applyFont="1">
      <alignment readingOrder="0"/>
    </xf>
    <xf borderId="4" fillId="0" fontId="1" numFmtId="165" xfId="0" applyBorder="1" applyFont="1" applyNumberFormat="1"/>
    <xf borderId="0" fillId="0" fontId="1" numFmtId="170" xfId="0" applyAlignment="1" applyFont="1" applyNumberFormat="1">
      <alignment readingOrder="0"/>
    </xf>
    <xf borderId="0" fillId="47" fontId="1" numFmtId="0" xfId="0" applyAlignment="1" applyFont="1">
      <alignment readingOrder="0"/>
    </xf>
    <xf borderId="0" fillId="47" fontId="1" numFmtId="10" xfId="0" applyAlignment="1" applyFont="1" applyNumberFormat="1">
      <alignment readingOrder="0"/>
    </xf>
    <xf borderId="0" fillId="0" fontId="1" numFmtId="181" xfId="0" applyAlignment="1" applyFont="1" applyNumberFormat="1">
      <alignment readingOrder="0"/>
    </xf>
    <xf borderId="0" fillId="71" fontId="1" numFmtId="170" xfId="0" applyAlignment="1" applyFont="1" applyNumberFormat="1">
      <alignment readingOrder="0"/>
    </xf>
    <xf borderId="0" fillId="0" fontId="1" numFmtId="182" xfId="0" applyAlignment="1" applyFont="1" applyNumberFormat="1">
      <alignment readingOrder="0"/>
    </xf>
    <xf borderId="0" fillId="0" fontId="1" numFmtId="9" xfId="0" applyAlignment="1" applyFont="1" applyNumberFormat="1">
      <alignment readingOrder="0"/>
    </xf>
    <xf borderId="0" fillId="0" fontId="52" numFmtId="0" xfId="0" applyAlignment="1" applyFont="1">
      <alignment vertical="bottom"/>
    </xf>
    <xf borderId="0" fillId="0" fontId="1" numFmtId="164" xfId="0" applyFont="1" applyNumberFormat="1"/>
    <xf borderId="0" fillId="0" fontId="9" numFmtId="0" xfId="0" applyAlignment="1" applyFont="1">
      <alignment horizontal="right" vertical="bottom"/>
    </xf>
    <xf borderId="0" fillId="0" fontId="53" numFmtId="0" xfId="0" applyAlignment="1" applyFont="1">
      <alignment horizontal="right" vertical="bottom"/>
    </xf>
    <xf borderId="1" fillId="0" fontId="12" numFmtId="0" xfId="0" applyAlignment="1" applyBorder="1" applyFont="1">
      <alignment shrinkToFit="0" wrapText="1"/>
    </xf>
    <xf borderId="0" fillId="0" fontId="1" numFmtId="49" xfId="0" applyFont="1" applyNumberFormat="1"/>
    <xf borderId="8" fillId="0" fontId="9" numFmtId="0" xfId="0" applyAlignment="1" applyBorder="1" applyFont="1">
      <alignment vertical="bottom"/>
    </xf>
    <xf borderId="6" fillId="0" fontId="9" numFmtId="165" xfId="0" applyAlignment="1" applyBorder="1" applyFont="1" applyNumberFormat="1">
      <alignment vertical="bottom"/>
    </xf>
    <xf borderId="0" fillId="0" fontId="54" numFmtId="0" xfId="0" applyFont="1"/>
    <xf borderId="2" fillId="0" fontId="9" numFmtId="0" xfId="0" applyAlignment="1" applyBorder="1" applyFont="1">
      <alignment shrinkToFit="0" vertical="bottom" wrapText="0"/>
    </xf>
    <xf borderId="0" fillId="0" fontId="55" numFmtId="0" xfId="0" applyAlignment="1" applyFont="1">
      <alignment readingOrder="0"/>
    </xf>
    <xf borderId="0" fillId="0" fontId="1" numFmtId="0" xfId="0" applyAlignment="1" applyFont="1">
      <alignment readingOrder="0" vertical="top"/>
    </xf>
    <xf borderId="0" fillId="0" fontId="56" numFmtId="0" xfId="0" applyAlignment="1" applyFont="1">
      <alignment readingOrder="0"/>
    </xf>
    <xf borderId="0" fillId="0" fontId="56" numFmtId="0" xfId="0" applyFont="1"/>
    <xf borderId="0" fillId="0" fontId="1" numFmtId="0" xfId="0" applyAlignment="1" applyFont="1">
      <alignment readingOrder="0" shrinkToFit="0" vertical="top" wrapText="1"/>
    </xf>
    <xf borderId="0" fillId="0" fontId="56" numFmtId="0" xfId="0" applyAlignment="1" applyFont="1">
      <alignment readingOrder="0"/>
    </xf>
    <xf borderId="0" fillId="41" fontId="57" numFmtId="0" xfId="0" applyAlignment="1" applyFont="1">
      <alignment readingOrder="0"/>
    </xf>
    <xf borderId="0" fillId="41" fontId="57" numFmtId="0" xfId="0" applyFont="1"/>
    <xf borderId="0" fillId="0" fontId="54" numFmtId="165" xfId="0" applyFont="1" applyNumberFormat="1"/>
    <xf borderId="0" fillId="0" fontId="47" numFmtId="0" xfId="0" applyAlignment="1" applyFont="1">
      <alignment readingOrder="0"/>
    </xf>
    <xf borderId="0" fillId="0" fontId="47" numFmtId="0" xfId="0" applyFont="1"/>
    <xf borderId="0" fillId="0" fontId="47" numFmtId="167" xfId="0" applyAlignment="1" applyFont="1" applyNumberFormat="1">
      <alignment readingOrder="0"/>
    </xf>
    <xf borderId="0" fillId="0" fontId="47" numFmtId="0" xfId="0" applyAlignment="1" applyFont="1">
      <alignment readingOrder="0"/>
    </xf>
    <xf quotePrefix="1" borderId="0" fillId="0" fontId="47" numFmtId="0" xfId="0" applyAlignment="1" applyFont="1">
      <alignment readingOrder="0"/>
    </xf>
    <xf borderId="1" fillId="0" fontId="5" numFmtId="0" xfId="0" applyAlignment="1" applyBorder="1" applyFont="1">
      <alignment shrinkToFit="0" wrapText="1"/>
    </xf>
  </cellXfs>
  <cellStyles count="1">
    <cellStyle xfId="0" name="Normal" builtinId="0"/>
  </cellStyles>
  <dxfs count="6">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B7E1CD"/>
          <bgColor rgb="FFB7E1CD"/>
        </patternFill>
      </fill>
      <border/>
    </dxf>
    <dxf>
      <font/>
      <fill>
        <patternFill patternType="solid">
          <fgColor rgb="FFFBBEC1"/>
          <bgColor rgb="FFFBBEC1"/>
        </patternFill>
      </fill>
      <border/>
    </dxf>
    <dxf>
      <font>
        <i/>
      </font>
      <fill>
        <patternFill patternType="solid">
          <fgColor rgb="FFB4A7D6"/>
          <bgColor rgb="FFB4A7D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Sales!$A$10</c:f>
            </c:strRef>
          </c:tx>
          <c:spPr>
            <a:solidFill>
              <a:srgbClr val="4285F4">
                <a:alpha val="30000"/>
              </a:srgbClr>
            </a:solidFill>
            <a:ln cmpd="sng">
              <a:solidFill>
                <a:srgbClr val="4285F4"/>
              </a:solidFill>
            </a:ln>
          </c:spPr>
          <c:cat>
            <c:strRef>
              <c:f>Sales!$B$1:$AE$1</c:f>
            </c:strRef>
          </c:cat>
          <c:val>
            <c:numRef>
              <c:f>Sales!$B$10:$AE$10</c:f>
              <c:numCache/>
            </c:numRef>
          </c:val>
        </c:ser>
        <c:ser>
          <c:idx val="1"/>
          <c:order val="1"/>
          <c:tx>
            <c:strRef>
              <c:f>Sales!$A$19</c:f>
            </c:strRef>
          </c:tx>
          <c:spPr>
            <a:solidFill>
              <a:srgbClr val="EA4335">
                <a:alpha val="30000"/>
              </a:srgbClr>
            </a:solidFill>
            <a:ln cmpd="sng">
              <a:solidFill>
                <a:srgbClr val="EA4335"/>
              </a:solidFill>
            </a:ln>
          </c:spPr>
          <c:cat>
            <c:strRef>
              <c:f>Sales!$B$1:$AE$1</c:f>
            </c:strRef>
          </c:cat>
          <c:val>
            <c:numRef>
              <c:f>Sales!$B$19:$AE$19</c:f>
              <c:numCache/>
            </c:numRef>
          </c:val>
        </c:ser>
        <c:axId val="1227008132"/>
        <c:axId val="306921472"/>
      </c:areaChart>
      <c:catAx>
        <c:axId val="12270081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06921472"/>
      </c:catAx>
      <c:valAx>
        <c:axId val="3069214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700813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72</xdr:row>
      <xdr:rowOff>133350</xdr:rowOff>
    </xdr:from>
    <xdr:ext cx="6991350" cy="4448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54</xdr:row>
      <xdr:rowOff>152400</xdr:rowOff>
    </xdr:from>
    <xdr:ext cx="6991350"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600075</xdr:colOff>
      <xdr:row>54</xdr:row>
      <xdr:rowOff>152400</xdr:rowOff>
    </xdr:from>
    <xdr:ext cx="14335125" cy="806767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981" sheet="Refunds"/>
  </cacheSource>
  <cacheFields>
    <cacheField name="Date of refund" numFmtId="164">
      <sharedItems containsDate="1" containsString="0" containsBlank="1">
        <d v="2023-01-03T00:00:00Z"/>
        <d v="2023-01-04T00:00:00Z"/>
        <d v="2023-01-05T00:00:00Z"/>
        <d v="2023-01-06T00:00:00Z"/>
        <d v="2023-01-07T00:00:00Z"/>
        <d v="2023-01-08T00:00:00Z"/>
        <d v="2023-01-09T00:00:00Z"/>
        <d v="2023-01-10T00:00:00Z"/>
        <d v="2023-01-11T00:00:00Z"/>
        <m/>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sharedItems>
    </cacheField>
    <cacheField name="Value">
      <sharedItems containsBlank="1" containsMixedTypes="1" containsNumber="1">
        <n v="20.39"/>
        <n v="17.8"/>
        <n v="70.0"/>
        <n v="12.0"/>
        <n v="249.0"/>
        <n v="14.8"/>
        <n v="24.0"/>
        <n v="373.48"/>
        <n v="321.43"/>
        <n v="342.69"/>
        <n v="313.0"/>
        <n v="37.4"/>
        <n v="243.32"/>
        <n v="500.7"/>
        <n v="242.1"/>
        <n v="159.0"/>
        <n v="231.0"/>
        <n v="238.0"/>
        <n v="22.0"/>
        <n v="25.74"/>
        <n v="299.0"/>
        <n v="324.8"/>
        <n v="267.5"/>
        <n v="319.93"/>
        <n v="18.0"/>
        <n v="264.82"/>
        <n v="669.0"/>
        <n v="229.0"/>
        <n v="107.41"/>
        <n v="69.86"/>
        <n v="264.6"/>
        <n v="315.14"/>
        <n v="323.0"/>
        <n v="345.0"/>
        <n v="269.0"/>
        <n v="369.43"/>
        <n v="243.55"/>
        <n v="84.8"/>
        <n v="201.8"/>
        <n v="247.41"/>
        <n v="32.0"/>
        <n v="350.0"/>
        <n v="313.95"/>
        <n v="366.57"/>
        <n v="36.81"/>
        <n v="365.7"/>
        <n v="35.86"/>
        <n v="74.2"/>
        <n v="343.19"/>
        <n v="245.61"/>
        <n v="74.99"/>
        <n v="48.88"/>
        <n v="289.0"/>
        <n v="339.85"/>
        <n v="25.8"/>
        <n v="461.69"/>
        <n v="51.18"/>
        <n v="125.8"/>
        <n v="273.24"/>
        <n v="76.63"/>
        <n v="247.39"/>
        <n v="271.96"/>
        <n v="247.9"/>
        <n v="317.7"/>
        <n v="232.3"/>
        <n v="62.8"/>
        <n v="541.0"/>
        <n v="201.5"/>
        <n v="167.0"/>
        <n v="532.26"/>
        <n v="240.94"/>
        <n v="232.0"/>
        <n v="328.15"/>
        <n v="315.82"/>
        <n v="234.0"/>
        <n v="243.0"/>
        <s v="187,86"/>
        <n v="233.51"/>
        <n v="272.9"/>
        <n v="253.0"/>
        <s v="$301.00"/>
        <n v="183.2"/>
        <n v="155.5"/>
        <n v="237.4"/>
        <n v="363.9"/>
        <n v="372.7"/>
        <n v="76.43"/>
        <n v="311.0"/>
        <n v="35.5"/>
        <n v="316.94"/>
        <n v="242.4"/>
        <n v="66.0"/>
        <n v="185.14"/>
        <n v="309.23"/>
        <n v="309.0"/>
        <n v="53.0"/>
        <n v="290.0"/>
        <n v="369.15"/>
        <n v="337.0"/>
        <n v="325.0"/>
        <n v="241.8"/>
        <n v="246.87"/>
        <n v="283.18"/>
        <n v="185.06"/>
        <n v="63.44"/>
        <n v="289.18"/>
        <n v="310.99"/>
        <n v="242.0"/>
        <n v="245.62"/>
        <n v="341.32"/>
        <n v="322.0"/>
        <n v="275.0"/>
        <n v="253.9"/>
        <n v="291.0"/>
        <s v="$33.97"/>
        <n v="232.91"/>
        <n v="256.44"/>
        <n v="285.7"/>
        <n v="267.36"/>
        <n v="258.32"/>
        <n v="339.57"/>
        <n v="258.43"/>
        <n v="260.89"/>
        <n v="206.0"/>
        <n v="49.0"/>
        <n v="327.41"/>
        <n v="85.41"/>
        <n v="99.88"/>
        <n v="36.3"/>
        <n v="306.34"/>
        <n v="80.0"/>
        <m/>
        <n v="86.25"/>
        <n v="75.86"/>
        <n v="340.58"/>
        <n v="272.6"/>
        <n v="379.0"/>
        <n v="220.0"/>
        <n v="245.03"/>
        <n v="34.0"/>
        <n v="25.6"/>
        <n v="311.37"/>
        <n v="338.3"/>
        <n v="36.25"/>
        <n v="621.0"/>
        <n v="229.6"/>
        <n v="25.44"/>
        <n v="349.66"/>
        <n v="313.51"/>
        <n v="395.28"/>
        <n v="182.84"/>
        <n v="308.0"/>
        <n v="155.0"/>
        <n v="85.46"/>
        <n v="35.27"/>
        <n v="276.48"/>
        <n v="19.29"/>
        <n v="509.0"/>
        <n v="121.13"/>
        <n v="268.18"/>
        <n v="355.62"/>
        <n v="230.94"/>
        <n v="319.18"/>
        <n v="94.0"/>
        <n v="36.04"/>
        <n v="361.06"/>
        <n v="35.44"/>
        <n v="26.1"/>
        <n v="576.4"/>
        <n v="281.0"/>
        <n v="184.6"/>
        <n v="36.72"/>
        <n v="251.33"/>
        <n v="72.93"/>
        <n v="317.99"/>
        <n v="319.37"/>
        <n v="112.0"/>
        <n v="107.19"/>
        <n v="366.58"/>
        <n v="232.14"/>
        <n v="305.81"/>
        <n v="128.43"/>
        <n v="364.7"/>
        <n v="25.59"/>
        <n v="74.73"/>
        <n v="244.46"/>
        <n v="269.06"/>
        <n v="93.83"/>
        <n v="363.98"/>
        <n v="71.45"/>
        <n v="37.32"/>
        <n v="70.38"/>
        <n v="244.52"/>
        <n v="23.38"/>
        <n v="36.0"/>
        <n v="86.26"/>
        <n v="118.72"/>
        <n v="184.0"/>
        <n v="322.92"/>
        <n v="236.2"/>
        <n v="301.0"/>
        <n v="27.91"/>
        <n v="83.68"/>
        <n v="617.41"/>
        <n v="193.96"/>
        <n v="277.66"/>
        <n v="120.84"/>
        <n v="255.3"/>
        <n v="26.02"/>
        <n v="36.47"/>
        <n v="190.88"/>
        <n v="227.3"/>
        <n v="342.38"/>
        <n v="98.0"/>
        <n v="23.32"/>
        <n v="18.66"/>
        <n v="18.3"/>
        <n v="376.07"/>
        <n v="216.0"/>
        <n v="251.0"/>
        <n v="26.5"/>
        <n v="20.34"/>
        <n v="250.76"/>
        <n v="304.0"/>
        <n v="322.2"/>
        <n v="209.95"/>
        <n v="271.98"/>
        <n v="245.04"/>
        <n v="346.1"/>
        <n v="216.67"/>
        <n v="244.17"/>
        <n v="25.5"/>
        <n v="374.95"/>
        <n v="75.96"/>
        <n v="287.83"/>
        <n v="43.02"/>
        <n v="268.57"/>
        <n v="349.89"/>
        <n v="18.9"/>
        <n v="26.28"/>
        <n v="48.0"/>
        <n v="270.7"/>
        <s v="29,70"/>
        <n v="192.6"/>
        <n v="323.68"/>
        <n v="354.49"/>
        <n v="43.54"/>
        <n v="242.74"/>
        <n v="77.0"/>
        <n v="86.4"/>
        <n v="347.0"/>
        <n v="248.04"/>
        <n v="56.18"/>
        <n v="59.0"/>
        <n v="319.86"/>
        <n v="36.43"/>
      </sharedItems>
    </cacheField>
    <cacheField name="Date of purchase">
      <sharedItems containsDate="1" containsBlank="1" containsMixedTypes="1">
        <d v="2022-12-28T00:00:00Z"/>
        <d v="2020-11-24T00:00:00Z"/>
        <d v="2021-06-24T00:00:00Z"/>
        <d v="2020-09-24T00:00:00Z"/>
        <d v="2022-04-21T00:00:00Z"/>
        <d v="2022-12-31T00:00:00Z"/>
        <d v="2022-11-26T00:00:00Z"/>
        <d v="2022-12-24T00:00:00Z"/>
        <d v="2022-12-11T00:00:00Z"/>
        <d v="2021-05-21T00:00:00Z"/>
        <d v="2023-01-03T00:00:00Z"/>
        <d v="2020-11-18T00:00:00Z"/>
        <d v="2021-01-12T00:00:00Z"/>
        <d v="2021-01-14T00:00:00Z"/>
        <d v="2023-11-04T00:00:00Z"/>
        <d v="2021-01-13T00:00:00Z"/>
        <d v="2022-10-08T00:00:00Z"/>
        <d v="2023-01-04T00:00:00Z"/>
        <d v="2022-11-10T00:00:00Z"/>
        <d v="2022-11-29T00:00:00Z"/>
        <d v="2022-12-07T00:00:00Z"/>
        <d v="2022-12-22T00:00:00Z"/>
        <d v="2022-12-30T00:00:00Z"/>
        <d v="2020-11-30T00:00:00Z"/>
        <d v="2022-12-05T00:00:00Z"/>
        <d v="2022-05-05T00:00:00Z"/>
        <d v="2023-01-05T00:00:00Z"/>
        <d v="2022-11-11T00:00:00Z"/>
        <d v="2022-12-13T00:00:00Z"/>
        <d v="2022-11-01T00:00:00Z"/>
        <d v="2023-01-06T00:00:00Z"/>
        <d v="2022-12-25T00:00:00Z"/>
        <d v="2022-07-22T00:00:00Z"/>
        <d v="2022-12-01T00:00:00Z"/>
        <d v="2022-10-24T00:00:00Z"/>
        <s v="18/12/2022"/>
        <d v="2023-05-01T00:00:00Z"/>
        <d v="2022-10-22T00:00:00Z"/>
        <d v="2023-01-07T00:00:00Z"/>
        <d v="2022-12-03T00:00:00Z"/>
        <d v="2022-10-25T00:00:00Z"/>
        <d v="2022-12-17T00:00:00Z"/>
        <d v="2022-10-06T00:00:00Z"/>
        <d v="2022-11-21T00:00:00Z"/>
        <d v="2022-11-13T00:00:00Z"/>
        <d v="2022-10-19T00:00:00Z"/>
        <d v="2023-01-08T00:00:00Z"/>
        <d v="2022-12-27T00:00:00Z"/>
        <d v="2022-12-04T00:00:00Z"/>
        <d v="2021-01-23T00:00:00Z"/>
        <d v="2022-11-05T00:00:00Z"/>
        <d v="2022-12-26T00:00:00Z"/>
        <d v="2021-07-12T00:00:00Z"/>
        <d v="2021-01-10T00:00:00Z"/>
        <d v="2021-07-25T00:00:00Z"/>
        <d v="2022-12-21T00:00:00Z"/>
        <d v="2021-06-20T00:00:00Z"/>
        <d v="2022-04-12T00:00:00Z"/>
        <d v="2021-01-03T00:00:00Z"/>
        <d v="2022-10-29T00:00:00Z"/>
        <d v="2020-12-26T00:00:00Z"/>
        <d v="2022-12-23T00:00:00Z"/>
        <d v="2022-10-14T00:00:00Z"/>
        <s v="18/22/2020"/>
        <d v="2020-12-28T00:00:00Z"/>
        <d v="2020-11-27T00:00:00Z"/>
        <d v="2022-12-06T00:00:00Z"/>
        <d v="2022-10-12T00:00:00Z"/>
        <d v="2022-12-10T00:00:00Z"/>
        <d v="2023-01-02T00:00:00Z"/>
        <d v="2020-12-25T00:00:00Z"/>
        <s v="26/12/2020"/>
        <d v="2021-12-10T00:00:00Z"/>
        <s v="30/12/2022"/>
        <d v="2022-05-15T00:00:00Z"/>
        <d v="2022-08-10T00:00:00Z"/>
        <d v="2020-11-21T00:00:00Z"/>
        <d v="2023-01-10T00:00:00Z"/>
        <d v="2022-11-06T00:00:00Z"/>
        <d v="2023-01-09T00:00:00Z"/>
        <d v="2020-11-20T00:00:00Z"/>
        <d v="2022-04-17T00:00:00Z"/>
        <d v="2020-11-23T00:00:00Z"/>
        <d v="2022-12-15T00:00:00Z"/>
        <d v="2022-04-15T00:00:00Z"/>
        <d v="2021-01-09T00:00:00Z"/>
        <s v="23/11/2020"/>
        <d v="2022-07-25T00:00:00Z"/>
        <d v="2022-11-25T00:00:00Z"/>
        <d v="2022-05-14T00:00:00Z"/>
        <d v="2022-12-02T00:00:00Z"/>
        <d v="2022-11-30T00:00:00Z"/>
        <d v="2021-06-19T00:00:00Z"/>
        <d v="2021-09-11T00:00:00Z"/>
        <d v="2021-05-27T00:00:00Z"/>
        <d v="2022-12-16T00:00:00Z"/>
        <d v="2022-10-18T00:00:00Z"/>
        <d v="2023-01-11T00:00:00Z"/>
        <d v="2022-12-19T00:00:00Z"/>
        <m/>
        <d v="2023-01-12T00:00:00Z"/>
        <d v="2021-10-26T00:00:00Z"/>
        <d v="2023-11-12T00:00:00Z"/>
        <d v="2022-11-15T00:00:00Z"/>
        <d v="2022-06-09T00:00:00Z"/>
        <d v="2022-10-31T00:00:00Z"/>
        <d v="2023-01-13T00:00:00Z"/>
        <d v="2022-01-05T00:00:00Z"/>
        <d v="2022-05-02T00:00:00Z"/>
        <d v="2022-04-26T00:00:00Z"/>
        <d v="2023-01-16T00:00:00Z"/>
        <d v="2023-01-01T00:00:00Z"/>
        <d v="2023-12-24T00:00:00Z"/>
        <d v="2022-10-28T00:00:00Z"/>
        <d v="2022-01-15T00:00:00Z"/>
        <d v="2022-12-29T00:00:00Z"/>
        <d v="2022-03-06T00:00:00Z"/>
        <d v="2020-11-25T00:00:00Z"/>
        <d v="2022-11-19T00:00:00Z"/>
        <d v="2023-01-17T00:00:00Z"/>
        <d v="2022-11-09T00:00:00Z"/>
        <d v="2022-01-18T00:00:00Z"/>
        <d v="2022-11-02T00:00:00Z"/>
        <d v="2022-03-29T00:00:00Z"/>
        <d v="2022-11-24T00:00:00Z"/>
        <d v="2021-07-16T00:00:00Z"/>
        <d v="2023-01-15T00:00:00Z"/>
        <d v="2023-01-14T00:00:00Z"/>
        <d v="2022-10-26T00:00:00Z"/>
        <d v="2022-02-10T00:00:00Z"/>
        <d v="2022-05-31T00:00:00Z"/>
        <s v="19/1/2023"/>
        <d v="2021-09-20T00:00:00Z"/>
        <d v="2022-11-03T00:00:00Z"/>
        <d v="2023-01-21T00:00:00Z"/>
        <d v="2023-12-17T00:00:00Z"/>
        <d v="2021-11-18T00:00:00Z"/>
        <d v="2022-09-30T00:00:00Z"/>
        <d v="2022-11-28T00:00:00Z"/>
        <d v="2020-12-22T00:00:00Z"/>
        <d v="2021-11-04T00:00:00Z"/>
        <d v="2021-01-01T00:00:00Z"/>
        <d v="2022-04-20T00:00:00Z"/>
        <d v="2021-05-25T00:00:00Z"/>
        <d v="2021-08-01T00:00:00Z"/>
        <d v="2023-01-23T00:00:00Z"/>
        <d v="2023-01-20T00:00:00Z"/>
        <d v="2023-01-22T00:00:00Z"/>
        <d v="2022-12-18T00:00:00Z"/>
        <d v="2021-08-08T00:00:00Z"/>
        <d v="2021-07-10T00:00:00Z"/>
        <d v="2023-01-26T00:00:00Z"/>
        <d v="2022-03-25T00:00:00Z"/>
        <d v="2022-08-17T00:00:00Z"/>
        <d v="2020-11-22T00:00:00Z"/>
        <d v="2022-08-27T00:00:00Z"/>
        <d v="2022-10-16T00:00:00Z"/>
        <d v="2023-01-28T00:00:00Z"/>
        <d v="2022-11-23T00:00:00Z"/>
        <d v="2023-01-27T00:00:00Z"/>
        <d v="2023-01-31T00:00:00Z"/>
        <d v="2022-11-18T00:00:00Z"/>
        <d v="2021-10-09T00:00:00Z"/>
      </sharedItems>
    </cacheField>
    <cacheField name="Order ID">
      <sharedItems containsBlank="1" containsMixedTypes="1" containsNumber="1" containsInteger="1">
        <s v="#139028"/>
        <s v="21480996BKS"/>
        <s v="#139185"/>
        <s v="24282251IGG"/>
        <s v="21475768BKS"/>
        <s v="#41690"/>
        <s v="#139783"/>
        <s v="#130036"/>
        <s v="#139960"/>
        <s v="#138074"/>
        <s v="#135662"/>
        <s v="#1552KS"/>
        <s v="#140415"/>
        <s v="#135605"/>
        <s v="21475136BKS"/>
        <s v="21495768BKS"/>
        <s v="21498422BKS"/>
        <s v="#117507"/>
        <s v="21496626BKS"/>
        <s v="#108758"/>
        <s v="#140587"/>
        <s v="#120275"/>
        <s v="#133616"/>
        <s v="#135081"/>
        <s v="#137472"/>
        <s v="#139684"/>
        <s v="#139689"/>
        <s v="21482852BKS"/>
        <s v="#134600"/>
        <s v="#66451"/>
        <s v="#141074"/>
        <s v="#140882"/>
        <s v="#140818&#10;"/>
        <s v="#120820"/>
        <s v="#135957"/>
        <s v="#115628"/>
        <s v="#141265"/>
        <s v="#139455"/>
        <s v="#133637"/>
        <s v="#139088"/>
        <s v="#141009"/>
        <s v="#138403"/>
        <s v="#139988"/>
        <s v="21475923BKS"/>
        <s v="#133919"/>
        <s v="#128/21475770BKS"/>
        <s v="#112258"/>
        <s v="#135600"/>
        <s v="#138163"/>
        <s v="#141327"/>
        <s v="#141307"/>
        <s v="#141539"/>
        <s v="#136653"/>
        <s v="#141064"/>
        <s v="#140991"/>
        <s v="#111082"/>
        <s v="#141747"/>
        <s v="#134194"/>
        <s v="21476439BKS "/>
        <s v="#112573"/>
        <s v="#128915"/>
        <s v="#108590"/>
        <s v="#141821"/>
        <s v="#125697"/>
        <s v="#136621"/>
        <s v="#121748"/>
        <s v="21476213BKS"/>
        <s v="#137717"/>
        <n v="110348.0"/>
        <s v="#136597"/>
        <s v="#142037"/>
        <s v="#138925"/>
        <s v="#136062"/>
        <s v="#135626"/>
        <s v="#134422"/>
        <s v="21496689BKS"/>
        <s v="#117907"/>
        <s v="#138494"/>
        <s v="#6767KS"/>
        <s v="21494834BKS"/>
        <s v="#9310KS"/>
        <s v="#141985"/>
        <s v="#134199"/>
        <s v="#137110"/>
        <s v="#4230KS"/>
        <s v="#133626"/>
        <s v="#134310"/>
        <s v="#118181"/>
        <s v="21494223BKS "/>
        <s v="#16626"/>
        <s v="#114105"/>
        <s v="21488553BKS "/>
        <s v="#137618"/>
        <s v="#109492"/>
        <s v="21477321BKS"/>
        <s v="21489317BKS"/>
        <s v="21475940BKS"/>
        <s v="21482042BKS"/>
        <s v="#134738"/>
        <s v="#137194"/>
        <s v="#137437"/>
        <s v="#109153"/>
        <s v="#138649"/>
        <s v="#135446"/>
        <s v="#140336"/>
        <s v="#139995"/>
        <s v="21488366BKS"/>
        <s v="#141003"/>
        <s v="21488553BKS"/>
        <s v="21476197BKS"/>
        <s v="21476906BKS"/>
        <s v="#111945"/>
        <s v="#118263"/>
        <s v="#139453"/>
        <s v="21476065BKS"/>
        <s v="#15444KS"/>
        <s v="#133943"/>
        <s v="#139412"/>
        <s v="#67881"/>
        <s v="#106384"/>
        <s v="21479792BKS"/>
        <s v="#142492"/>
        <s v="#118766"/>
        <s v="#139570"/>
        <s v="#142173"/>
        <s v="21479474BKS"/>
        <s v="#142395"/>
        <s v="#121109"/>
        <s v="#40797"/>
        <s v="21480468BKS"/>
        <s v="#135492"/>
        <s v="#136289"/>
        <s v="#40485"/>
        <s v="#11464KS"/>
        <s v="21480485BKS"/>
        <m/>
        <s v="#129662"/>
        <s v="#138923"/>
        <s v="#68036"/>
        <s v="#137153"/>
        <s v="#136324"/>
        <s v="#134812"/>
        <s v="#134046"/>
        <s v="#133855"/>
        <s v="#133801"/>
        <s v="#133677"/>
        <s v="#4052KS"/>
        <s v="#1035"/>
        <s v="#1819KS"/>
        <s v="#136355"/>
        <s v="#140396"/>
        <s v="24065752IGG"/>
        <s v="#110178"/>
        <s v="#139167"/>
        <s v="#142202"/>
        <s v="#142236"/>
        <s v="#142671"/>
        <s v="#136953"/>
        <s v="#139064"/>
        <s v="#142817"/>
        <s v="#139914"/>
        <s v="#135481"/>
        <s v="#138188"/>
        <s v="23270449IGG"/>
        <s v="#11301KS"/>
        <s v="22895232IGG"/>
        <s v="#133832"/>
        <s v="#137042"/>
        <s v="#142792"/>
        <s v="#122691"/>
        <s v="#125872"/>
        <s v="#69905"/>
        <s v="#138864"/>
        <s v="#133468"/>
        <s v="#138095"/>
        <s v="#121720"/>
        <s v="#135628"/>
        <s v="#135025"/>
        <s v="#115128"/>
        <s v="#142969"/>
        <s v="#140955"/>
        <s v="#16319KS"/>
        <s v="#142691"/>
        <s v="21479197BKS"/>
        <s v="#140315"/>
        <s v="#142039"/>
        <s v="#65572"/>
        <s v="#42660"/>
        <s v="#138733"/>
        <s v="#143340"/>
        <s v="#138953"/>
        <s v="#135517"/>
        <s v="#138104"/>
        <s v="#139038"/>
        <s v="#140149"/>
        <s v="#138826"/>
        <s v="#114029"/>
        <s v="#139273"/>
        <s v="#111230"/>
        <s v="#143259"/>
        <s v="#135208"/>
        <s v="#138633"/>
        <s v="#139362"/>
        <s v="21494735BKS"/>
        <s v="#19840"/>
        <s v="21481413BKS"/>
        <s v="#124308"/>
        <s v="#136004"/>
        <s v="#125601"/>
        <s v="#133843"/>
        <s v="#143664"/>
        <s v="#143415"/>
        <s v=" &#10;#142973"/>
        <s v="#119879"/>
        <s v="#143712"/>
        <s v="#140589"/>
        <s v="#141923"/>
        <s v="#137408"/>
        <s v="#136342"/>
        <s v="#128674"/>
        <s v="#116145"/>
        <s v="#112402"/>
        <s v="#9727KS"/>
        <s v="#128189"/>
        <s v="#7289KS"/>
        <s v="#119898"/>
        <s v="#143291"/>
        <s v="#133614"/>
        <s v="#140970"/>
        <s v="#42710"/>
        <s v="#143012"/>
        <s v="#142234"/>
        <s v="#142049"/>
        <s v="#129121"/>
        <s v="#140046"/>
        <s v="#135658"/>
        <s v="#113099"/>
        <s v="#18258"/>
        <s v="#69114"/>
        <s v="#143906"/>
        <s v="#143059"/>
        <s v="21475774BKS"/>
        <s v="#137169"/>
        <s v="#135535"/>
        <s v="#140418"/>
        <s v="#11731KS"/>
        <s v="#120908"/>
        <s v="21479691BKS"/>
        <s v="#109432"/>
        <s v="#138610"/>
        <s v="#139581"/>
        <s v="#142682"/>
        <s v="#142679"/>
        <s v="#134153"/>
        <s v="#140010"/>
        <s v="#139318"/>
        <s v="21481931BKS"/>
        <s v="#116876"/>
        <s v="#143375"/>
        <s v="#144206"/>
        <s v="#136579"/>
        <s v="#142516"/>
        <s v="#143682"/>
        <s v="#143311"/>
        <s v="#1173 (old webstore)"/>
        <s v="#108044"/>
        <s v="#132750"/>
        <s v="21487152BKS"/>
        <s v="23199029IGG"/>
        <s v="21481120BKS"/>
        <s v="#141445"/>
        <s v="#13407KS"/>
        <s v="21490279BKS"/>
        <s v="#142183"/>
        <s v="#144108"/>
        <s v="#41590"/>
        <s v="#1702KS"/>
        <s v="#10565KS"/>
        <s v="#140911 "/>
        <s v="#135050 "/>
        <s v="#125541"/>
        <s v="#138879"/>
        <s v="#144506"/>
        <s v="#143984"/>
        <s v=" &#10;#138874"/>
        <s v="#142709"/>
        <s v="#133948"/>
        <s v="23522849IGG"/>
        <s v="#110103"/>
        <s v="#144329"/>
        <s v="#144121"/>
        <s v="#139004"/>
        <s v="#136754"/>
        <s v="#134168"/>
        <s v="#141407 "/>
        <s v="#10809KS"/>
        <s v="#6560KS"/>
        <s v="#142638"/>
        <s v="#136013"/>
        <s v="#144999"/>
        <s v="#135530"/>
        <s v="#134739"/>
        <s v="#143224"/>
        <s v="#127627"/>
        <s v="#21886"/>
        <s v="#137175"/>
        <s v="#137471"/>
        <s v="#130168"/>
        <s v="#140065"/>
        <s v="#140206"/>
        <s v="#142795"/>
        <s v="#141121 "/>
        <s v="#144474 "/>
        <s v="#136800"/>
        <s v="#140039 "/>
        <s v="#143373"/>
        <s v="#143357"/>
        <s v="#66576"/>
        <s v="#106510"/>
        <s v="#125486"/>
        <s v="#4228KS"/>
        <s v="#137363"/>
        <s v="#134640"/>
        <s v="21480132BKS"/>
        <s v="21479866BKS"/>
        <s v="#136480"/>
        <s v="#141928"/>
        <s v="#140372"/>
        <s v="#141528"/>
        <s v="#144078"/>
        <s v="#140699"/>
        <s v="#141273"/>
        <s v="#137637"/>
        <s v="#106665"/>
        <s v="#140758"/>
        <s v="#109706"/>
        <s v="#133652"/>
        <s v="#140214"/>
        <s v="#2687SPL"/>
        <s v="#145264"/>
        <s v="#142216"/>
        <s v="#138465"/>
        <s v="21479142BKS"/>
        <s v="#112893"/>
        <s v="#126893"/>
        <s v="#145076"/>
        <s v="#141988"/>
        <s v="#139056"/>
        <s v="#140128"/>
        <s v="#120125"/>
        <s v="#124050"/>
        <s v="#12301KS"/>
        <s v="#142811"/>
        <s v="#134269"/>
        <s v="#136044"/>
        <s v="#143374"/>
        <s v="#141463"/>
      </sharedItems>
    </cacheField>
    <cacheField name="Name" numFmtId="0">
      <sharedItems containsBlank="1">
        <s v="Christen Lewis"/>
        <s v="Dr. Hans-Friedrich Fuge"/>
        <s v="Edward K. Swain, Jr., DMD"/>
        <s v="Elisabeth Cavanagh"/>
        <s v="Kelly Gaddie"/>
        <s v="Nicole Kate Roduit"/>
        <s v="Sean Dwyer"/>
        <s v="Alisha Hurst"/>
        <s v="Bonnie March"/>
        <s v="James Barnett"/>
        <s v="James King"/>
        <s v="Kathryn Witt"/>
        <s v="Kristine Brown "/>
        <s v="Lisa Krych"/>
        <s v="Lizzie Toyne"/>
        <s v="Martin Terrier "/>
        <s v="Matthew Heywood"/>
        <s v="Morven Dearden"/>
        <s v="Tobias Ettlin"/>
        <s v="Ingo Jahn"/>
        <s v="Brandon DuBois"/>
        <s v="Chelsea Zanichelli"/>
        <s v="Connie Weaver"/>
        <s v="Evan Nichols"/>
        <s v="Fergal Gallagher Jr"/>
        <s v="Georg Knabl"/>
        <s v="Jaclyn Courchaine"/>
        <s v="James Walton"/>
        <s v="Janet Huddleston"/>
        <s v="Karen Ritter"/>
        <s v="Kate Dominguez"/>
        <s v="Kim Harrison"/>
        <s v="Margaret i Wergley"/>
        <s v="Maria Schroeder"/>
        <s v="Marie elene decarie"/>
        <s v="Rene Geisenjohann"/>
        <s v="Rudolf Nanne"/>
        <s v="Sarah Hamilton"/>
        <s v="Shawn Donald"/>
        <s v="Stacey Henion"/>
        <s v="Thomas Easterday"/>
        <s v="Anthony Ginger"/>
        <s v="Caroline Chojnacki"/>
        <s v="Darren Rees"/>
        <s v="David Smith"/>
        <s v="Hannah Roberts"/>
        <s v="Katie Perry"/>
        <s v="Martin Low"/>
        <s v="Merideth Ryan"/>
        <s v="Natalie White"/>
        <s v="patricia jackson"/>
        <s v="raymond alexander"/>
        <s v="Brian Ferguson"/>
        <s v="Bruce Conover"/>
        <s v="David Bradley"/>
        <s v="Emily Maxwell"/>
        <s v="Katherine Wood"/>
        <s v="Lauren Delaney"/>
        <s v="Mark Kudron"/>
        <s v="Rebecca Chambless"/>
        <s v="Rich Ward"/>
        <s v="Shelley Miller"/>
        <s v="Alice Bradley"/>
        <s v="Alice Roberts"/>
        <s v="Ann Gray"/>
        <s v="Carrie Follett"/>
        <s v="Carrie Meagher"/>
        <s v="Courtney King"/>
        <s v="Dean Jones"/>
        <s v="Deanna Davis"/>
        <s v="Emily Manning"/>
        <s v="Eunice P Qualls"/>
        <s v="Glenn Bluemer"/>
        <s v="Hande Tekin"/>
        <s v="Holly MacLeod"/>
        <s v="Janine Bocciardi"/>
        <s v="Jessica Bradley"/>
        <s v="Josh Marshall Bryant"/>
        <s v="Karen Quevatre"/>
        <s v="Kimberly Martinez"/>
        <s v="Leslie Miller"/>
        <s v="Melissa Miehling"/>
        <s v="MIRIAM BOOK"/>
        <s v="Abigail Baker"/>
        <s v="Allison ONeill"/>
        <s v="Anna-Marie Burruss"/>
        <s v="Chris Bramley"/>
        <s v="Christofer Popoff"/>
        <s v="Cindy Pormilli"/>
        <s v="David Stocks"/>
        <s v="Dorota Szelagowicz"/>
        <s v="Gabriel Urban"/>
        <s v="Glenn Browne"/>
        <s v="Helen Thomson"/>
        <s v="Jacquie Campbell"/>
        <s v="James Shaw"/>
        <s v="Jeff Gatofano"/>
        <s v="Jessica Smithson"/>
        <s v="Jim Tuck"/>
        <s v="Joseph Schena"/>
        <s v="Keith Barber"/>
        <s v="Kristi Wilder"/>
        <s v="Laura Weaver"/>
        <s v="Liesbeth Janssens"/>
        <s v="Mark Torp Birkholt"/>
        <s v="Mr David Stocks"/>
        <s v="Mrs Emma Brown"/>
        <s v="Natalie McSkimming"/>
        <s v="Nicki McNally"/>
        <s v="Pia Kolb"/>
        <s v="SÃ¸ren Lyager Thingholm"/>
        <s v="Sam Palmer"/>
        <s v="Sasha Watherston"/>
        <s v="Scott Grotjan"/>
        <s v="Seasia Catena"/>
        <s v="Sian Thomas"/>
        <s v="Uwe Koerner"/>
        <s v="Veronica Howe"/>
        <s v="Allison Gunzenhaeuser"/>
        <s v="Ashley Giardiello"/>
        <s v="Brittany Echtler"/>
        <s v="Frank Gaini"/>
        <s v="Hannah Scully"/>
        <s v="Jason Milligan"/>
        <s v="John Anderson"/>
        <s v="Katyann Beerbower"/>
        <s v="Lucy deGraft-Johnson"/>
        <s v="Mary Bentley"/>
        <s v="Matthew Connors"/>
        <s v="Oleg Calame"/>
        <s v="SHIEKHA.M ALMAKTOUM"/>
        <s v="Tony Batten"/>
        <m/>
        <s v="Teresa Shaad"/>
        <s v="Kris Provoost"/>
        <s v="Brian Meehan"/>
        <s v="Joan Davenport"/>
        <s v="Bill Macpherson"/>
        <s v="Alice Fleck"/>
        <s v="Deb Bray"/>
        <s v="Leslie Lindemann"/>
        <s v="alicia miller"/>
        <s v="Jay Borland"/>
        <s v="Stephen Murphy"/>
        <s v="Kelly Mueller"/>
        <s v="Christopher Parsons"/>
        <s v="Joel Newman"/>
        <s v="Tom Brennan"/>
        <s v="Sascha Brendle"/>
        <s v="Kelly Swan"/>
        <s v="Pam Kidder"/>
        <s v="Vincent Paulson"/>
        <s v="Brian Leach"/>
        <s v="Jason Ader"/>
        <s v="Nathan Kelley"/>
        <s v="Madison Hurd"/>
        <s v="Jamie Miller"/>
        <s v="Kate Ferguson"/>
        <s v="Catherine Keeter"/>
        <s v="Hunter Pennington"/>
        <s v="John Hody-Versin "/>
        <s v="Lisa Cantor"/>
        <s v="Stephen Wesley"/>
        <s v="Christine Harrop"/>
        <s v="Eric Blamick"/>
        <s v="Gérald Aubard"/>
        <s v="Doug English"/>
        <s v="Jennifer Patten"/>
        <s v="Ashley Yeargan"/>
        <s v="Victoria Brooks"/>
        <s v="Nicola Smith"/>
        <s v="Jay Lucas"/>
        <s v="Harrirt Harworth"/>
        <s v="Elaine Hall"/>
        <s v="John Howard"/>
        <s v="Lisa Lynam"/>
        <s v="Tom Lukes"/>
        <s v="Ella Madlen"/>
        <s v=" &#10;Adam Simon"/>
        <s v="Jonathan Craft"/>
        <s v="Miss L Hipwood"/>
        <s v="Bill Buitenhuys"/>
        <s v="Tim Miller"/>
        <s v="John Schulze"/>
        <s v="Marissa Woodruff"/>
        <s v="Keith Day"/>
        <s v="Joseph Snow"/>
        <s v="Louise Parker"/>
        <s v="Dennis Fickel"/>
        <s v="Dan Cardamore"/>
        <s v="Leanne Cribbs"/>
        <s v="kate minshall"/>
        <s v="Philip Brown"/>
        <s v="Susan Cunningham"/>
        <s v="Erica Perdue"/>
        <s v="Lindsay Paradis"/>
        <s v="lisa garrett"/>
        <s v="Jessica Doheny"/>
        <s v="Brent Frieze"/>
        <s v="Stacy Rominger"/>
        <s v="Jane Tyacke"/>
        <s v="Shannon Badcock"/>
        <s v="Stephan Keereweer"/>
        <s v="Donald McGowan"/>
        <s v="Sara Souther"/>
        <s v="Sarah Stewart"/>
        <s v="Chris Armstrong"/>
        <s v="Scott Bachtell"/>
        <s v="Adrian Torres"/>
        <s v="James Rhoades"/>
        <s v="Chris Haynes"/>
        <s v="Katie Deen"/>
        <s v="Thomas Schröter"/>
        <s v="Richard Johnson"/>
        <s v="ERIN JOYCE"/>
        <s v="Jason Drake"/>
        <s v="chelsea craig"/>
        <s v="Kathleen Rusteika"/>
        <s v="Oliver Rosenthal"/>
        <s v="Ching Ching Shaw"/>
        <s v="Martin Reyers"/>
        <s v="Anne Holtzman"/>
        <s v="Sheryl Lazenby"/>
        <s v="Debra Richards"/>
        <s v="David Strang"/>
        <s v="Arek Sokol"/>
        <s v="Jerry Hause"/>
        <s v="Chris Riker"/>
        <s v="Joe McDonald"/>
        <s v="Meredith Fann"/>
        <s v="Deena Leary"/>
        <s v="Holly Munger"/>
        <s v="Lauren Marusich"/>
        <s v="Rose Mickleson"/>
        <s v="Lilien Sugár"/>
        <s v="Luke Henderson"/>
        <s v="Karen Guiley"/>
        <s v="John Commons"/>
        <s v="Joseph Fung"/>
        <s v="Elaine Costello"/>
        <s v="Emily Nash"/>
        <s v="Francesco Serianni"/>
        <s v="Alexander Berz"/>
        <s v="Aaron Lang"/>
        <s v="Dominik Achatz"/>
        <s v="Robin Hartman"/>
        <s v="Jacqueline Venchi"/>
        <s v="Kevin Przewrocki"/>
        <s v="Dakota Brown"/>
        <s v="Bryan Knight"/>
        <s v="Matt Byham"/>
        <s v="Lauren Colas"/>
        <s v="Joseph Czach"/>
        <s v="Chris Bradford"/>
        <s v="MARK GREMILLION"/>
        <s v="Julie Daughtry"/>
        <s v="Steven Marchessault"/>
        <s v="Melissa Byrd"/>
        <s v="John Isaia"/>
        <s v="Martin Winter"/>
        <s v="Heather Lueth"/>
        <s v="Jiří Šeda"/>
        <s v="Barb Hinton"/>
        <s v="Oliver Lee"/>
        <s v="Konstanze Fritsch"/>
        <s v="Chris Pearson"/>
        <s v="Amy Schroeder"/>
        <s v="Scott Field"/>
        <s v="Roger Poels"/>
        <s v="Janina Münster"/>
        <s v="Ian Brimble "/>
        <s v="Francis Bonnin"/>
        <s v="Robert Baars"/>
        <s v="Margaret Herring"/>
        <s v="Dean Vaughan"/>
        <s v="Joseph DePaola"/>
        <s v="Malinda Goodrich"/>
        <s v="Debra Robinson"/>
        <s v="Erika Solomonson"/>
        <s v="Debora Scherrer"/>
        <s v="Michael Lyngbøl"/>
        <s v="Jocelyn Woolsey"/>
        <s v="Laura Breckenridge"/>
        <s v="Katherine Herriott"/>
        <s v="Erin Lykins"/>
        <s v="angelica kelly "/>
        <s v="Chia Cheryl"/>
        <s v="Ali Alshehhi"/>
        <s v="Katie Britt"/>
        <s v="Robert Miller"/>
        <s v="Tyson Bell"/>
        <s v="Mathew Foley"/>
        <s v="Jeff Nelson"/>
        <s v="Joe Pisano"/>
        <s v="Sydney Pickle"/>
        <s v="ANDREW Dekany"/>
        <s v="Stacey Cossaboon"/>
        <s v="Joe Goulet"/>
        <s v="Randy Townsend"/>
        <s v="Melissa Kaplan"/>
        <s v="Elisa Tachis"/>
        <s v="Brendan Smith"/>
        <s v="Glenn Collier"/>
        <s v="Inger Killian"/>
        <s v="STAMO EVTIMOV"/>
        <s v="Karen Francis"/>
        <s v="Suzanne Jones"/>
        <s v="David Colson"/>
        <s v="Jackie Jazo"/>
        <s v="Zoe Dinerstein"/>
        <s v="Makenzie Stroup"/>
        <s v="Evelyn Bachofner"/>
        <s v="Crystal Maire"/>
        <s v="Kim Hawks"/>
        <s v="Tom Payne"/>
        <s v="Amanda Burley"/>
        <s v="Erica Webb"/>
        <s v="Ernest Motteram"/>
        <s v="Cliff Tunnell"/>
        <s v="Nicolas Scheffer"/>
        <s v="Hal Strausberg"/>
        <s v="Maureen Cassidy"/>
        <s v="Pierre Bedard"/>
        <s v="Kristin Heemeryck"/>
        <s v="Dean Angelos"/>
        <s v="Liz Weiss"/>
        <s v="kathryn dawsey"/>
        <s v="Laura Vitale"/>
        <s v="Jeff Starke"/>
        <s v="Jessica Fike"/>
        <s v="Julie Gough"/>
        <s v="Martin Rifkin"/>
        <s v="Matthias Knauer"/>
        <s v="John Allaway "/>
        <s v="Shannon Calhoon"/>
        <s v="Carrie Strange"/>
        <s v="Heidi Lyjak"/>
        <s v="Manuel D Luna Jr"/>
        <s v="Niek Eijsbouts"/>
        <s v="Tammy Snell"/>
        <s v="Peggy Sheets"/>
        <s v="Annelies Da Costa Gomez"/>
        <s v="Fred Gaines"/>
        <s v="Rachel Securro"/>
        <s v="Nick Ingallina"/>
        <s v="Nathan Willger"/>
        <s v="Karen Wiringa"/>
      </sharedItems>
    </cacheField>
    <cacheField name="Email" numFmtId="0">
      <sharedItems containsBlank="1">
        <s v="christenlewis816@gmail.com"/>
        <s v="facebook@fuge.net"/>
        <s v="eksdmd@aol.com"/>
        <s v="elisabeth.cavanagh@gmail.com"/>
        <s v="krgaddie@gmail.com"/>
        <s v="nk@nicolekate.ch"/>
        <s v="dwyer_43@hotmail.com"/>
        <s v="lisha.hurst@gmail.com"/>
        <s v="bonn76@aol.com"/>
        <s v="jamesharrisonbarnett@gmail.com"/>
        <s v="jamesmuratking@gmail.com"/>
        <s v="#1552KS"/>
        <s v="brown.kristine@comcast.net"/>
        <s v="lisakrych@yahoo.com"/>
        <s v="lizzie-may@hotmail.co.uk"/>
        <s v="martin.terrier@gmail.com"/>
        <s v="matthew@matthewheywood.com"/>
        <s v="m20rvv@gmail.com"/>
        <s v="tobiasettlin@me.com"/>
        <s v="ingo.jahn@gc-gruppe.de"/>
        <s v="dubois.brandon@gmail.com"/>
        <s v="clzanichelli2005@gmail.com"/>
        <s v="csweaver917@yahoo.com"/>
        <s v="evan.j.nichols@gmail.com"/>
        <s v="fergalgallagher66@live.com"/>
        <s v="georg.knabl@aquinashub.com"/>
        <s v="jcourchaine24@gmail.com"/>
        <s v="jamesmwalton@hotmail.co.uk"/>
        <s v="twohuds@outlook.com"/>
        <s v="karen.ritter@gmail.com"/>
        <s v="kate.domi@gmail.com"/>
        <s v="kimbritchie@gmail.com"/>
        <s v="mwergley@cox.net"/>
        <s v="marylou@gmx.net"/>
        <s v="medecarie@gmail.com"/>
        <s v="post@renegeisenjohann.de"/>
        <s v="ruud.nanne@gmail.com"/>
        <s v="sarahrhamilton77@gmail.com"/>
        <s v="shawn@monosyth.com"/>
        <s v="shenion1@aol.com"/>
        <s v="tom@langolfco.com"/>
        <s v="tony.ginger@live.co.uk"/>
        <s v="carolchoj@gmail.com"/>
        <s v="darren@djreesconsulting.com"/>
        <s v="dabasm@gmail.com"/>
        <s v="hannerrose@gmail.com"/>
        <s v="kbperry1231@yahoo.com"/>
        <s v="loew.martin@gmail.com"/>
        <s v="meridethryan@me.com"/>
        <s v="nataliew@internationallabel.com"/>
        <s v="pat.metcalf@sbcglobal.net"/>
        <s v="bossgoon@1791.com"/>
        <s v="brianferg@gmail.com"/>
        <s v="R00A005@MSN.COM"/>
        <s v="kb9koy@me.com"/>
        <s v="emilybmaxwell@gmail.com"/>
        <s v="katherine.epsom@yahoo.com"/>
        <s v="soren.hoeger.lerdal@gmail.com"/>
        <s v="mkudron@yahoo.com"/>
        <s v="bemore_ak@hotmail.com"/>
        <s v="Richdubya@aol.com"/>
        <s v="shelleyanne226@gmail.com"/>
        <s v="Ashnmitch@comcast.net"/>
        <s v="alicebr726@gmail.com"/>
        <s v="billygray1@hotmail.co.uk"/>
        <s v="3cmarketingandmedia@gmail.com"/>
        <s v="carrie.a.meagher@gmail.com"/>
        <s v="cobyrnek@gmail.com"/>
        <s v="edeanjones2@gmail.com"/>
        <s v="braddeedavis@comcast.net"/>
        <s v="emilyarowan@gmail.com"/>
        <s v="euniceq9902@gmail.com"/>
        <s v="bluemerglenn@gmail.com"/>
        <s v="hande.tekin@ymail.com"/>
        <s v="holly.macleod11@gmail.com"/>
        <s v="jbocciardi@gmail.com"/>
        <s v="jesstierno1@gmail.com"/>
        <s v="joshmarshallbryant@gmail.com"/>
        <s v="karenquevatre@hotmail.com"/>
        <s v="kimberlymartinez2001@gmail.com"/>
        <s v="lesliemillerdancer@gmail.com"/>
        <s v="mmorin46@gmail.com"/>
        <s v="miriambook1@gmail.com"/>
        <s v="abigailbaker18@gmail.com"/>
        <s v="allioneill@gmail.com"/>
        <s v="amvalya1997@gmail.com"/>
        <s v="vickybramley@aol.com"/>
        <s v="pjcxfyp4jk@privaterelay.appleid.com"/>
        <s v="cindym109@gmail.com"/>
        <s v="davestocks@me.com"/>
        <s v="dorota100@hotmail.com"/>
        <s v="gabriel.urban@ehl.ch"/>
        <s v="glenn.browne@aucklandcouncil.govt.nz"/>
        <s v="helen_thomson@live.co.uk"/>
        <s v="jacquiescampbell@me.com"/>
        <s v="james.shaw21@yahoo.co.uk"/>
        <s v="jgarofano12@gmail.com"/>
        <s v="jlsw@me.com"/>
        <s v="jimtuck@aol.com"/>
        <s v="jschena3@gmail.com"/>
        <s v="jkeithbarber@gmail.com"/>
        <s v="wilderkristi@gmail.com"/>
        <s v="lawe100@gmail.com"/>
        <s v="liesbeth@suikerdraakje.be"/>
        <s v="dj_torp@hotmail.com"/>
        <s v="imjamesbrown@gmail.com"/>
        <s v="nataliejaynemcskimming@gmail.com"/>
        <s v="lamcnally2@yahoo.com"/>
        <s v="kolb.pia@web.de"/>
        <s v="sorenthingholmjensen@gmail.com"/>
        <s v="samallenpalmer@gmail.com"/>
        <s v="sashaw28@gmail.com"/>
        <s v="scottgrotjan@gmail.com"/>
        <s v="seasiapup@yahoo.com"/>
        <s v="siant31@gmail.com"/>
        <s v="uwe+birdbuddy@brief.li"/>
        <s v="vhowe@ymail.com"/>
        <s v="abgunz418@gmail.com"/>
        <s v="ashleygiardiello@gmail.com"/>
        <s v="millsbrittanylynn@gmail.com"/>
        <s v="frgaini@gmail.com"/>
        <s v="hannahrscully@hotmail.com"/>
        <s v="jasonsmilligan@aol.com"/>
        <s v="18navy@gmail.com"/>
        <s v="katyann.grindle@gmail.com"/>
        <s v="lucy.degraft-johnson@talk21.com"/>
        <s v="marybentley5@gmail.com"/>
        <s v="drmartycon@gmail.com"/>
        <s v="olegcalame@me.com"/>
        <s v="madiyasaeed@gmail.com"/>
        <s v="tony.batten@sky.com"/>
        <m/>
        <s v="teresa.shaad@gmail.com"/>
        <s v="kris_provoost@hotmail.com"/>
        <s v="brianmeehan@me.com"/>
        <s v="davenjo21@yahoo.com"/>
        <s v="lisafmsc2020@gmail.com"/>
        <s v="cleefleck78@gmail.com"/>
        <s v="dbray411@aol.com"/>
        <s v="leslie.lindemann@gmail.com"/>
        <s v="acarm4@gmail.com"/>
        <s v="borland927@gmail.com"/>
        <s v="sdmurphy02@gmail.com"/>
        <s v="kelly.mueller90@gmail.com"/>
        <s v="cparsons@belmontday.org"/>
        <s v="joel@electrasales.net"/>
        <s v="wstom53@yahoo.com"/>
        <s v="saschabrendle@me.com"/>
        <s v="bartzkelly1@gmail.com"/>
        <s v="pamela.kidder@gmail.com"/>
        <s v="pougan@gmail.com"/>
        <s v="Bleach76@outlook.com"/>
        <s v="jader@msjnet.edu"/>
        <s v="puckcakes27@yahoo.com"/>
        <s v="zimileih@gmail.com"/>
        <s v="eyeballs42@aol.com"/>
        <s v="katecam99@gmail.com"/>
        <s v="catherine.keeter@gmail.com"/>
        <s v="hunterpennington0@gmail.com"/>
        <s v="johnhodyversin@yahoo.com"/>
        <s v="lisa830@gmail.com"/>
        <s v="madfox.wesley@gmail.com"/>
        <s v="charrop@sasktel.net"/>
        <s v="eric.blamick@gmail.com"/>
        <s v="gerald.aubard@gmail.com"/>
        <s v="dougenglish564@gmail.com"/>
        <s v="jenniferpatten@bellsouth.net"/>
        <s v="ashley.marie.fowler@gmail.com"/>
        <s v="vickybrooksrealtor@gmail.com"/>
        <s v="nicolatait@live.ca"/>
        <s v="jaylucas@comcast.net"/>
        <s v="hharworth@gmail.com"/>
        <s v="elaine_99@verizon.net"/>
        <s v="jhoward81408@gmail.com"/>
        <s v="llynam@comcast.net"/>
        <s v="stevelukes@yahoo.com"/>
        <s v="ellabella3@rochester.rr.com"/>
        <s v="adamjsimon@gmail.com"/>
        <s v="Jonathan.craft95@gmail.com"/>
        <s v="juicy_lucy52@hotmail.com"/>
        <s v="billb777@gmail.com"/>
        <s v="thmiller1218@gmail.com"/>
        <s v="john.schulze@aya.yale.edu"/>
        <s v="marissaleewoodruff@gmail.com"/>
        <s v="keith_day@my.uri.edu"/>
        <s v="joesnow@me.com"/>
        <s v="50longhorn@sbcglobal.net"/>
        <s v="ficsfatboys@yahoo.com"/>
        <s v="dan@hld.ca"/>
        <s v="lcribbs@luc.edu"/>
        <s v="kateminshall@yahoo.com"/>
        <s v="philbrown5000@gmail.com"/>
        <s v="cunningham.matt32@gmail.com"/>
        <s v="perduee2@gmail.com"/>
        <s v="toothfairy603@yahoo.com"/>
        <s v="lgb223@aol.com"/>
        <s v="jguerrera@icesonline.org"/>
        <s v="bfrieze@hotmail.com"/>
        <s v="rsroming@gmail.com"/>
        <s v="jane@tyacke.com"/>
        <s v="summer_on_jupiter@hotmail.com"/>
        <s v="s_keereweer@hotmail.com"/>
        <s v="donmc@wowway.com"/>
        <s v="sklsouther@gmail.com"/>
        <s v="sarah_stewart@saa.senate.gov"/>
        <s v="Kickflips7@aol.com"/>
        <s v="purchasing@wcps.k12.md.us"/>
        <s v="adrian.torres76@gmail.com"/>
        <s v="james.rhoades@gmail.com"/>
        <s v="clhaynes1@gmail.com"/>
        <s v="kbdeen@comcast.net"/>
        <s v="tho.schroeter@t-online.de"/>
        <s v="richardejohnson@icloud.com"/>
        <s v="ekjoyce13@yahoo.com"/>
        <s v="Jasonrobertdrake@gmail.com"/>
        <s v="chelsea@rhino-reviews.com"/>
        <s v="krusteika@hotmail.com"/>
        <s v="oliverrosenthal@me.com"/>
        <s v="ssh@alum.mit.edu"/>
        <s v="martin.reyers@t-online.de"/>
        <s v="annielippert82@gmail.com"/>
        <s v="sevenuptobat@yahoo.com"/>
        <s v="leighkrichards@gmail.com"/>
        <s v="DStrang@prg.com"/>
        <s v="arek@arek.fish"/>
        <s v="jer24680@gmail.com"/>
        <s v="chrisriker@outlook.com"/>
        <s v="jmcdonald2@gmail.com"/>
        <s v="merefann@gmail.com"/>
        <s v="dmleary@ymail.com"/>
        <s v="hmunger1@outlook.com"/>
        <s v="marusichlauren@gmail.com"/>
        <s v="rosemickleson@live.com"/>
        <s v="sugar.lilien@gmail.com"/>
        <s v="lah0014@gmail.com"/>
        <s v="kaguiley@yahoo.com"/>
        <s v="johncommons@gmail.com"/>
        <s v="joe@josephfung.com"/>
        <s v="laniec003@aol.com"/>
        <s v="nash.emily.k@gmail.com"/>
        <s v="seriannif@gmail.com"/>
        <s v="alexanderjberz@gmail.com"/>
        <s v="aaronlangde@gmail.com"/>
        <s v="dominik.achatz@me.com"/>
        <s v="robin.hartman1@gmail.com"/>
        <s v="jvenchi@bellsouth.net"/>
        <s v="kevin8pez@yahoo.com"/>
        <s v="brown.dakotachase@gmail.com"/>
        <s v="bryank8@verizon.net"/>
        <s v="matt.byham@mac.com"/>
        <s v="camasgarden@hotmail.com"/>
        <s v="josephczach@aol.com"/>
        <s v="chbradford@gmail.com"/>
        <s v="MARKGREMILLION@GMAIL.COM"/>
        <s v="daughtryjulie@gmail.com"/>
        <s v="steven@marchessault.me"/>
        <s v="melb0800@gmail.com"/>
        <s v="jisaia@mac.com"/>
        <s v="kickstarter@macwinnie.me"/>
        <s v="heatherlueth@gmail.com"/>
        <s v="3.georgerr@seznam.cz"/>
        <s v="barbhinton@gmail.com"/>
        <s v="olivah_j@live.co.uk"/>
        <s v="k.fritsch@freenet.de"/>
        <s v="ctpearson@gmail.com"/>
        <s v="eajschroeder@sbcglobal.net"/>
        <s v="scottygfield@gmail.com"/>
        <s v="roger@grapevine.com.au"/>
        <s v="aninaj3001@googlemail.com"/>
        <s v="eibrimble@hotmail.com"/>
        <s v="francis.bonnin@gmail.com"/>
        <s v="3588tuckersfarm@gmail.com"/>
        <s v="herring2356@gmail.com"/>
        <s v="dean@deanvaughan.org"/>
        <s v="naf358@gmail.com"/>
        <s v="billandm1@verizon.net"/>
        <s v="Lacipurple@aol.com"/>
        <s v="esintc@yahoo.com"/>
        <s v="debischerrer@gmail.com"/>
        <s v="michael@lyngbol.dk"/>
        <s v="jocelyn.woolsey@gmail.com"/>
        <s v="cool_breck@yahoo.com"/>
        <s v="kisskks@gmail.com"/>
        <s v="lbsgrl@hotmail.com"/>
        <s v="amtkelly@aol.com"/>
        <s v="mei.ann@hotmail.com"/>
        <s v="vx1xv@hotmail.com"/>
        <s v="katie.britt@hotmail.com"/>
        <s v="rwmiller20@hotmail.com"/>
        <s v="tyson.bell@gmail.com"/>
        <s v="airfoley@gmail.com"/>
        <s v="nelson_j_m@yahoo.com"/>
        <s v="jpisano388@gmail.com"/>
        <s v="spickle2001@gmail.com"/>
        <s v="andrewdekany62@gmail.com"/>
        <s v="sdp8809@yahoo.com"/>
        <s v="au1357@gmail.com"/>
        <s v="coachtownsend@fusionbhf.com"/>
        <s v="rebelmel82@gmail.com"/>
        <s v="tachisemail@gmail.com"/>
        <s v="cms1@bu.edu"/>
        <s v="glenn.c.collier@gmail.com"/>
        <s v="ingerhugh@yahoo.com"/>
        <s v="s8478905367@gmail.com"/>
        <s v="kfrancis48@hotmail.com"/>
        <s v="twj3@aol.com"/>
        <s v="waynecolson8@gmail.com"/>
        <s v="jaquelinjazo@outlook.com"/>
        <s v="zoedinerstein@gmail.com"/>
        <s v="kkrome64@yahoo.com"/>
        <s v="evelyn.bachofner@bluewin.ch"/>
        <s v="cryssue@yahoo.com"/>
        <s v="khawksnest53@gmail.com"/>
        <s v="mirandapayne@doctors.org.uk"/>
        <s v="burleyamanda7@gmail.com"/>
        <s v="ericansmith@gmail.com"/>
        <s v="esmotteram@palouse.com"/>
        <s v="tunnell@gmail.com"/>
        <s v="nscheffer@me.com"/>
        <s v="hstrausberg@verizon.net"/>
        <s v="mocass@me.com"/>
        <s v="pjbedard1@hotmail.com"/>
        <s v="cannabush42@yahoo.com"/>
        <s v="kmheemeryck@hotmail.com"/>
        <s v="dna@alum.mit.edu"/>
        <s v="lizweiss2@gmail.com"/>
        <s v="kate.dawsey@gmail.com"/>
        <s v="vitale.laura@hotmail.com"/>
        <s v="ejstarke1@gmail.com"/>
        <s v="fikejessica2018@gmail.com"/>
        <s v="julie@apalelandscape.co.uk"/>
        <s v="martin@rochester.rr.com"/>
        <s v="matieu@gmail.com"/>
        <s v="jga1964@icloud.com"/>
        <s v="shannon400hj@gmail.com"/>
        <s v="carrieystrange@gmail.com"/>
        <s v="dhlyjak3@gmail.com"/>
        <s v="mannyloona@gmail.com"/>
        <s v="niekeijsbouts@gmail.com"/>
        <s v="mrstammysnell@gmail.com"/>
        <s v="peggy@sheetsbsl.com"/>
        <s v="anneliesdcg@bellsouth.net"/>
        <s v="phred.gaines@gmail.com"/>
        <s v="rachelsecurro71@gmail.com"/>
        <s v="NICHOLAS.INGALLINA@YAHOO.COM"/>
        <s v="nathan.willger1@gmail.com"/>
        <s v="kwiringa@gmail.com"/>
      </sharedItems>
    </cacheField>
    <cacheField name="Reason" numFmtId="0">
      <sharedItems containsBlank="1">
        <s v="other"/>
        <s v="Delivery date"/>
        <s v="Refund and order another Bundle"/>
        <s v="Unknown"/>
        <s v="Unkown"/>
        <s v="Cannot afford it anymore"/>
        <s v="Delivery date "/>
        <m/>
        <s v="Requested RMA for fullfiled order, canceled unfullfiled items "/>
        <s v="Other "/>
        <s v="Moving"/>
      </sharedItems>
    </cacheField>
    <cacheField name="Platform" numFmtId="0">
      <sharedItems containsBlank="1">
        <s v="Shopify"/>
        <s v="KS"/>
        <m/>
        <s v="IGG"/>
        <s v="Kickstarter"/>
        <s v="Sopify"/>
      </sharedItems>
    </cacheField>
    <cacheField name="Refund through" numFmtId="0">
      <sharedItems containsBlank="1">
        <s v="Shopify"/>
        <s v="Stripe"/>
        <s v="Zelle"/>
        <s v="Wire"/>
        <s v="KS"/>
        <s v="BKS"/>
        <s v="TBA"/>
        <s v="Shopify chargeback"/>
        <s v="?"/>
        <s v="??"/>
        <m/>
        <s v="Kickstarter"/>
        <s v="KS / wire"/>
      </sharedItems>
    </cacheField>
    <cacheField name="Country" numFmtId="0">
      <sharedItems containsBlank="1">
        <s v="USA"/>
        <s v="Germany"/>
        <s v="Switzerland"/>
        <s v="UK"/>
        <s v="France"/>
        <s v="Austria"/>
        <s v="Canada"/>
        <s v="Czech"/>
        <s v="Australia"/>
        <s v="Sweden"/>
        <s v="NZ"/>
        <s v="Belgium"/>
        <s v="Denmark"/>
        <s v="UAE"/>
        <m/>
        <s v="Taiwan"/>
        <s v="Netherlands"/>
        <s v="New Zealand"/>
        <s v="Hungary"/>
        <s v="Italy"/>
        <s v="Czechia"/>
        <s v="Signapore"/>
        <s v="United Kingdom"/>
      </sharedItems>
    </cacheField>
    <cacheField name="Bird Buddy" numFmtId="0">
      <sharedItems containsString="0" containsBlank="1" containsNumber="1" containsInteger="1">
        <m/>
        <n v="1.0"/>
        <n v="2.0"/>
        <n v="3.0"/>
      </sharedItems>
    </cacheField>
    <cacheField name="Bird Buddy with Solar Roof" numFmtId="0">
      <sharedItems containsString="0" containsBlank="1" containsNumber="1" containsInteger="1">
        <m/>
        <n v="1.0"/>
        <n v="2.0"/>
      </sharedItems>
    </cacheField>
    <cacheField name="Solar Roof" numFmtId="0">
      <sharedItems containsString="0" containsBlank="1" containsNumber="1" containsInteger="1">
        <m/>
        <n v="1.0"/>
        <n v="2.0"/>
        <n v="4.0"/>
      </sharedItems>
    </cacheField>
    <cacheField name="Wall Mount" numFmtId="0">
      <sharedItems containsString="0" containsBlank="1" containsNumber="1" containsInteger="1">
        <m/>
        <n v="1.0"/>
        <n v="2.0"/>
      </sharedItems>
    </cacheField>
    <cacheField name="Fence Mount" numFmtId="0">
      <sharedItems containsString="0" containsBlank="1" containsNumber="1" containsInteger="1">
        <m/>
        <n v="1.0"/>
        <n v="2.0"/>
      </sharedItems>
    </cacheField>
    <cacheField name="Suet Ball Holder" numFmtId="0">
      <sharedItems containsString="0" containsBlank="1" containsNumber="1" containsInteger="1">
        <n v="1.0"/>
        <m/>
        <n v="2.0"/>
      </sharedItems>
    </cacheField>
    <cacheField name="Water Fountain" numFmtId="0">
      <sharedItems containsString="0" containsBlank="1" containsNumber="1" containsInteger="1">
        <m/>
        <n v="1.0"/>
      </sharedItems>
    </cacheField>
    <cacheField name="Premium Subscription" numFmtId="0">
      <sharedItems containsString="0" containsBlank="1" containsNumber="1" containsInteger="1">
        <m/>
        <n v="1.0"/>
      </sharedItems>
    </cacheField>
    <cacheField name="Seeds Subscription" numFmtId="0">
      <sharedItems containsString="0" containsBlank="1">
        <m/>
      </sharedItems>
    </cacheField>
    <cacheField name="12-month warranty" numFmtId="0">
      <sharedItems containsString="0" containsBlank="1">
        <m/>
      </sharedItems>
    </cacheField>
    <cacheField name="24-month warranty" numFmtId="0">
      <sharedItems containsString="0" containsBlank="1">
        <m/>
      </sharedItems>
    </cacheField>
    <cacheField name="Gift Card" numFmtId="0">
      <sharedItems containsString="0" containsBlank="1" containsNumber="1" containsInteger="1">
        <m/>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do_not_delete_1" cacheId="0" dataCaption="" rowGrandTotals="0" compact="0" compactData="0">
  <location ref="A1:H360" firstHeaderRow="0" firstDataRow="6" firstDataCol="0"/>
  <pivotFields>
    <pivotField name="Date of refun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Date of purchase" axis="axisRow" compact="0" outline="0" multipleItemSelectionAllowed="1" showAll="0" sortType="ascending" defaultSubtotal="0">
      <items>
        <item x="99"/>
        <item x="3"/>
        <item x="11"/>
        <item x="80"/>
        <item x="76"/>
        <item x="154"/>
        <item x="82"/>
        <item x="1"/>
        <item x="117"/>
        <item x="65"/>
        <item x="23"/>
        <item x="139"/>
        <item x="70"/>
        <item x="60"/>
        <item x="64"/>
        <item x="141"/>
        <item x="58"/>
        <item x="85"/>
        <item x="53"/>
        <item x="12"/>
        <item x="15"/>
        <item x="13"/>
        <item x="49"/>
        <item x="9"/>
        <item x="143"/>
        <item x="94"/>
        <item x="92"/>
        <item x="56"/>
        <item x="2"/>
        <item x="150"/>
        <item x="52"/>
        <item x="125"/>
        <item x="54"/>
        <item x="144"/>
        <item x="149"/>
        <item x="93"/>
        <item x="132"/>
        <item x="162"/>
        <item x="101"/>
        <item x="140"/>
        <item x="136"/>
        <item x="72"/>
        <item x="107"/>
        <item x="114"/>
        <item x="121"/>
        <item x="129"/>
        <item x="116"/>
        <item x="152"/>
        <item x="123"/>
        <item x="57"/>
        <item x="84"/>
        <item x="81"/>
        <item x="142"/>
        <item x="4"/>
        <item x="109"/>
        <item x="108"/>
        <item x="25"/>
        <item x="89"/>
        <item x="74"/>
        <item x="130"/>
        <item x="104"/>
        <item x="32"/>
        <item x="87"/>
        <item x="75"/>
        <item x="153"/>
        <item x="155"/>
        <item x="137"/>
        <item x="42"/>
        <item x="16"/>
        <item x="67"/>
        <item x="62"/>
        <item x="156"/>
        <item x="96"/>
        <item x="45"/>
        <item x="37"/>
        <item x="34"/>
        <item x="40"/>
        <item x="128"/>
        <item x="113"/>
        <item x="59"/>
        <item x="105"/>
        <item x="29"/>
        <item x="122"/>
        <item x="133"/>
        <item x="50"/>
        <item x="78"/>
        <item x="120"/>
        <item x="18"/>
        <item x="27"/>
        <item x="44"/>
        <item x="103"/>
        <item x="161"/>
        <item x="118"/>
        <item x="43"/>
        <item x="158"/>
        <item x="124"/>
        <item x="88"/>
        <item x="6"/>
        <item x="138"/>
        <item x="19"/>
        <item x="91"/>
        <item x="33"/>
        <item x="90"/>
        <item x="39"/>
        <item x="48"/>
        <item x="24"/>
        <item x="66"/>
        <item x="20"/>
        <item x="68"/>
        <item x="8"/>
        <item x="28"/>
        <item x="83"/>
        <item x="95"/>
        <item x="41"/>
        <item x="148"/>
        <item x="98"/>
        <item x="55"/>
        <item x="21"/>
        <item x="61"/>
        <item x="7"/>
        <item x="31"/>
        <item x="51"/>
        <item x="47"/>
        <item x="0"/>
        <item x="115"/>
        <item x="22"/>
        <item x="5"/>
        <item x="111"/>
        <item x="69"/>
        <item x="10"/>
        <item x="17"/>
        <item x="26"/>
        <item x="30"/>
        <item x="38"/>
        <item x="46"/>
        <item x="79"/>
        <item x="77"/>
        <item x="97"/>
        <item x="100"/>
        <item x="106"/>
        <item x="127"/>
        <item x="126"/>
        <item x="110"/>
        <item x="119"/>
        <item x="146"/>
        <item x="134"/>
        <item x="147"/>
        <item x="145"/>
        <item x="151"/>
        <item x="159"/>
        <item x="157"/>
        <item x="160"/>
        <item x="36"/>
        <item x="14"/>
        <item x="102"/>
        <item x="135"/>
        <item x="112"/>
        <item x="35"/>
        <item x="63"/>
        <item x="131"/>
        <item x="86"/>
        <item x="71"/>
        <item x="73"/>
      </items>
    </pivotField>
    <pivotField name="Order ID" axis="axisRow" compact="0" outline="0" multipleItemSelectionAllowed="1" showAll="0" sortType="ascending" defaultSubtotal="0">
      <items>
        <item x="135"/>
        <item x="68"/>
        <item x="284"/>
        <item x="212"/>
        <item x="147"/>
        <item x="277"/>
        <item x="119"/>
        <item x="318"/>
        <item x="333"/>
        <item x="265"/>
        <item x="295"/>
        <item x="61"/>
        <item x="19"/>
        <item x="101"/>
        <item x="248"/>
        <item x="93"/>
        <item x="335"/>
        <item x="288"/>
        <item x="152"/>
        <item x="55"/>
        <item x="198"/>
        <item x="111"/>
        <item x="46"/>
        <item x="221"/>
        <item x="59"/>
        <item x="343"/>
        <item x="164"/>
        <item x="236"/>
        <item x="196"/>
        <item x="90"/>
        <item x="133"/>
        <item x="178"/>
        <item x="35"/>
        <item x="220"/>
        <item x="257"/>
        <item x="264"/>
        <item x="245"/>
        <item x="17"/>
        <item x="76"/>
        <item x="87"/>
        <item x="112"/>
        <item x="122"/>
        <item x="213"/>
        <item x="225"/>
        <item x="349"/>
        <item x="21"/>
        <item x="33"/>
        <item x="246"/>
        <item x="127"/>
        <item x="175"/>
        <item x="65"/>
        <item x="169"/>
        <item x="351"/>
        <item x="350"/>
        <item x="206"/>
        <item x="319"/>
        <item x="280"/>
        <item x="208"/>
        <item x="63"/>
        <item x="170"/>
        <item x="344"/>
        <item x="303"/>
        <item x="45"/>
        <item x="223"/>
        <item x="219"/>
        <item x="60"/>
        <item x="233"/>
        <item x="136"/>
        <item x="7"/>
        <item x="307"/>
        <item x="266"/>
        <item x="173"/>
        <item x="227"/>
        <item x="22"/>
        <item x="85"/>
        <item x="38"/>
        <item x="336"/>
        <item x="145"/>
        <item x="144"/>
        <item x="166"/>
        <item x="209"/>
        <item x="143"/>
        <item x="44"/>
        <item x="116"/>
        <item x="286"/>
        <item x="142"/>
        <item x="271"/>
        <item x="253"/>
        <item x="293"/>
        <item x="57"/>
        <item x="82"/>
        <item x="353"/>
        <item x="86"/>
        <item x="74"/>
        <item x="28"/>
        <item x="322"/>
        <item x="98"/>
        <item x="301"/>
        <item x="141"/>
        <item x="177"/>
        <item x="279"/>
        <item x="23"/>
        <item x="200"/>
        <item x="103"/>
        <item x="161"/>
        <item x="130"/>
        <item x="191"/>
        <item x="300"/>
        <item x="243"/>
        <item x="47"/>
        <item x="13"/>
        <item x="73"/>
        <item x="176"/>
        <item x="235"/>
        <item x="10"/>
        <item x="34"/>
        <item x="207"/>
        <item x="298"/>
        <item x="354"/>
        <item x="72"/>
        <item x="131"/>
        <item x="140"/>
        <item x="218"/>
        <item x="149"/>
        <item x="325"/>
        <item x="260"/>
        <item x="69"/>
        <item x="64"/>
        <item x="52"/>
        <item x="292"/>
        <item x="313"/>
        <item x="157"/>
        <item x="167"/>
        <item x="83"/>
        <item x="139"/>
        <item x="242"/>
        <item x="305"/>
        <item x="99"/>
        <item x="321"/>
        <item x="217"/>
        <item x="100"/>
        <item x="306"/>
        <item x="24"/>
        <item x="92"/>
        <item x="332"/>
        <item x="67"/>
        <item x="9"/>
        <item x="174"/>
        <item x="192"/>
        <item x="48"/>
        <item x="162"/>
        <item x="41"/>
        <item x="341"/>
        <item x="77"/>
        <item x="249"/>
        <item x="201"/>
        <item x="102"/>
        <item x="188"/>
        <item x="195"/>
        <item x="172"/>
        <item x="281"/>
        <item x="137"/>
        <item x="71"/>
        <item x="190"/>
        <item x="291"/>
        <item x="0"/>
        <item x="193"/>
        <item x="347"/>
        <item x="158"/>
        <item x="39"/>
        <item x="153"/>
        <item x="2"/>
        <item x="197"/>
        <item x="255"/>
        <item x="202"/>
        <item x="117"/>
        <item x="113"/>
        <item x="37"/>
        <item x="123"/>
        <item x="250"/>
        <item x="25"/>
        <item x="26"/>
        <item x="6"/>
        <item x="160"/>
        <item x="8"/>
        <item x="42"/>
        <item x="105"/>
        <item x="254"/>
        <item x="314"/>
        <item x="234"/>
        <item x="308"/>
        <item x="348"/>
        <item x="194"/>
        <item x="309"/>
        <item x="337"/>
        <item x="184"/>
        <item x="104"/>
        <item x="327"/>
        <item x="150"/>
        <item x="12"/>
        <item x="244"/>
        <item x="20"/>
        <item x="215"/>
        <item x="330"/>
        <item x="334"/>
        <item x="32"/>
        <item x="31"/>
        <item x="278"/>
        <item x="180"/>
        <item x="228"/>
        <item x="54"/>
        <item x="107"/>
        <item x="40"/>
        <item x="53"/>
        <item x="30"/>
        <item x="311"/>
        <item x="36"/>
        <item x="331"/>
        <item x="50"/>
        <item x="49"/>
        <item x="294"/>
        <item x="270"/>
        <item x="356"/>
        <item x="328"/>
        <item x="51"/>
        <item x="56"/>
        <item x="62"/>
        <item x="216"/>
        <item x="326"/>
        <item x="81"/>
        <item x="346"/>
        <item x="70"/>
        <item x="185"/>
        <item x="232"/>
        <item x="124"/>
        <item x="273"/>
        <item x="154"/>
        <item x="340"/>
        <item x="231"/>
        <item x="155"/>
        <item x="126"/>
        <item x="121"/>
        <item x="261"/>
        <item x="297"/>
        <item x="156"/>
        <item x="252"/>
        <item x="251"/>
        <item x="182"/>
        <item x="285"/>
        <item x="168"/>
        <item x="310"/>
        <item x="352"/>
        <item x="159"/>
        <item x="179"/>
        <item x="230"/>
        <item x="240"/>
        <item x="302"/>
        <item x="199"/>
        <item x="226"/>
        <item x="263"/>
        <item x="189"/>
        <item x="316"/>
        <item x="315"/>
        <item x="355"/>
        <item x="258"/>
        <item x="211"/>
        <item x="210"/>
        <item x="262"/>
        <item x="214"/>
        <item x="239"/>
        <item x="283"/>
        <item x="329"/>
        <item x="274"/>
        <item x="290"/>
        <item x="259"/>
        <item x="289"/>
        <item x="312"/>
        <item x="282"/>
        <item x="299"/>
        <item x="345"/>
        <item x="339"/>
        <item x="115"/>
        <item x="11"/>
        <item x="181"/>
        <item x="89"/>
        <item x="276"/>
        <item x="148"/>
        <item x="237"/>
        <item x="204"/>
        <item x="304"/>
        <item x="338"/>
        <item x="132"/>
        <item x="146"/>
        <item x="128"/>
        <item x="275"/>
        <item x="5"/>
        <item x="320"/>
        <item x="84"/>
        <item x="187"/>
        <item x="229"/>
        <item x="186"/>
        <item x="296"/>
        <item x="29"/>
        <item x="317"/>
        <item x="78"/>
        <item x="118"/>
        <item x="138"/>
        <item x="238"/>
        <item x="171"/>
        <item x="224"/>
        <item x="80"/>
        <item x="222"/>
        <item x="14"/>
        <item x="4"/>
        <item x="241"/>
        <item x="43"/>
        <item x="96"/>
        <item x="114"/>
        <item x="109"/>
        <item x="66"/>
        <item x="58"/>
        <item x="110"/>
        <item x="94"/>
        <item x="342"/>
        <item x="183"/>
        <item x="125"/>
        <item x="247"/>
        <item x="120"/>
        <item x="324"/>
        <item x="323"/>
        <item x="129"/>
        <item x="134"/>
        <item x="1"/>
        <item x="269"/>
        <item x="205"/>
        <item x="256"/>
        <item x="97"/>
        <item x="27"/>
        <item x="267"/>
        <item x="106"/>
        <item x="108"/>
        <item x="91"/>
        <item x="95"/>
        <item x="272"/>
        <item x="88"/>
        <item x="203"/>
        <item x="79"/>
        <item x="15"/>
        <item x="18"/>
        <item x="75"/>
        <item x="16"/>
        <item x="165"/>
        <item x="268"/>
        <item x="163"/>
        <item x="287"/>
        <item x="151"/>
        <item x="3"/>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Email" axis="axisRow" compact="0" outline="0" multipleItemSelectionAllowed="1" showAll="0" sortType="ascending" defaultSubtotal="0">
      <items>
        <item x="131"/>
        <item x="11"/>
        <item x="123"/>
        <item x="260"/>
        <item x="271"/>
        <item x="65"/>
        <item x="186"/>
        <item x="242"/>
        <item x="117"/>
        <item x="83"/>
        <item x="140"/>
        <item x="177"/>
        <item x="207"/>
        <item x="290"/>
        <item x="241"/>
        <item x="63"/>
        <item x="84"/>
        <item x="284"/>
        <item x="85"/>
        <item x="294"/>
        <item x="268"/>
        <item x="341"/>
        <item x="220"/>
        <item x="224"/>
        <item x="167"/>
        <item x="118"/>
        <item x="62"/>
        <item x="296"/>
        <item x="261"/>
        <item x="148"/>
        <item x="59"/>
        <item x="197"/>
        <item x="275"/>
        <item x="180"/>
        <item x="64"/>
        <item x="151"/>
        <item x="72"/>
        <item x="8"/>
        <item x="141"/>
        <item x="51"/>
        <item x="69"/>
        <item x="52"/>
        <item x="134"/>
        <item x="247"/>
        <item x="12"/>
        <item x="248"/>
        <item x="314"/>
        <item x="250"/>
        <item x="322"/>
        <item x="42"/>
        <item x="66"/>
        <item x="335"/>
        <item x="157"/>
        <item x="162"/>
        <item x="252"/>
        <item x="215"/>
        <item x="226"/>
        <item x="0"/>
        <item x="88"/>
        <item x="137"/>
        <item x="209"/>
        <item x="21"/>
        <item x="300"/>
        <item x="297"/>
        <item x="67"/>
        <item x="281"/>
        <item x="144"/>
        <item x="311"/>
        <item x="22"/>
        <item x="264"/>
        <item x="192"/>
        <item x="44"/>
        <item x="188"/>
        <item x="43"/>
        <item x="254"/>
        <item x="135"/>
        <item x="89"/>
        <item x="138"/>
        <item x="273"/>
        <item x="278"/>
        <item x="336"/>
        <item x="104"/>
        <item x="229"/>
        <item x="324"/>
        <item x="243"/>
        <item x="202"/>
        <item x="90"/>
        <item x="165"/>
        <item x="127"/>
        <item x="223"/>
        <item x="20"/>
        <item x="6"/>
        <item x="265"/>
        <item x="68"/>
        <item x="269"/>
        <item x="328"/>
        <item x="213"/>
        <item x="2"/>
        <item x="172"/>
        <item x="3"/>
        <item x="176"/>
        <item x="70"/>
        <item x="55"/>
        <item x="163"/>
        <item x="315"/>
        <item x="277"/>
        <item x="316"/>
        <item x="71"/>
        <item x="23"/>
        <item x="310"/>
        <item x="155"/>
        <item x="1"/>
        <item x="24"/>
        <item x="187"/>
        <item x="329"/>
        <item x="270"/>
        <item x="120"/>
        <item x="91"/>
        <item x="25"/>
        <item x="164"/>
        <item x="92"/>
        <item x="301"/>
        <item x="73"/>
        <item x="121"/>
        <item x="45"/>
        <item x="259"/>
        <item x="93"/>
        <item x="272"/>
        <item x="171"/>
        <item x="230"/>
        <item x="74"/>
        <item x="319"/>
        <item x="158"/>
        <item x="105"/>
        <item x="302"/>
        <item x="19"/>
        <item x="94"/>
        <item x="152"/>
        <item x="208"/>
        <item x="95"/>
        <item x="9"/>
        <item x="10"/>
        <item x="27"/>
        <item x="199"/>
        <item x="307"/>
        <item x="214"/>
        <item x="122"/>
        <item x="170"/>
        <item x="75"/>
        <item x="26"/>
        <item x="166"/>
        <item x="225"/>
        <item x="76"/>
        <item x="333"/>
        <item x="96"/>
        <item x="196"/>
        <item x="173"/>
        <item x="98"/>
        <item x="257"/>
        <item x="100"/>
        <item x="97"/>
        <item x="227"/>
        <item x="280"/>
        <item x="237"/>
        <item x="145"/>
        <item x="185"/>
        <item x="182"/>
        <item x="236"/>
        <item x="159"/>
        <item x="178"/>
        <item x="251"/>
        <item x="77"/>
        <item x="292"/>
        <item x="99"/>
        <item x="179"/>
        <item x="330"/>
        <item x="245"/>
        <item x="263"/>
        <item x="235"/>
        <item x="29"/>
        <item x="78"/>
        <item x="326"/>
        <item x="30"/>
        <item x="156"/>
        <item x="190"/>
        <item x="56"/>
        <item x="287"/>
        <item x="124"/>
        <item x="54"/>
        <item x="210"/>
        <item x="46"/>
        <item x="184"/>
        <item x="143"/>
        <item x="246"/>
        <item x="304"/>
        <item x="312"/>
        <item x="205"/>
        <item x="258"/>
        <item x="79"/>
        <item x="31"/>
        <item x="282"/>
        <item x="309"/>
        <item x="323"/>
        <item x="108"/>
        <item x="4"/>
        <item x="133"/>
        <item x="216"/>
        <item x="346"/>
        <item x="276"/>
        <item x="234"/>
        <item x="107"/>
        <item x="238"/>
        <item x="102"/>
        <item x="283"/>
        <item x="189"/>
        <item x="222"/>
        <item x="139"/>
        <item x="80"/>
        <item x="195"/>
        <item x="103"/>
        <item x="160"/>
        <item x="136"/>
        <item x="13"/>
        <item x="7"/>
        <item x="325"/>
        <item x="14"/>
        <item x="174"/>
        <item x="47"/>
        <item x="125"/>
        <item x="17"/>
        <item x="161"/>
        <item x="129"/>
        <item x="337"/>
        <item x="183"/>
        <item x="253"/>
        <item x="219"/>
        <item x="15"/>
        <item x="331"/>
        <item x="231"/>
        <item x="126"/>
        <item x="33"/>
        <item x="332"/>
        <item x="249"/>
        <item x="16"/>
        <item x="34"/>
        <item x="285"/>
        <item x="256"/>
        <item x="228"/>
        <item x="48"/>
        <item x="279"/>
        <item x="119"/>
        <item x="313"/>
        <item x="82"/>
        <item x="58"/>
        <item x="81"/>
        <item x="320"/>
        <item x="339"/>
        <item x="32"/>
        <item x="274"/>
        <item x="239"/>
        <item x="106"/>
        <item x="49"/>
        <item x="345"/>
        <item x="291"/>
        <item x="344"/>
        <item x="169"/>
        <item x="338"/>
        <item x="5"/>
        <item x="318"/>
        <item x="128"/>
        <item x="262"/>
        <item x="217"/>
        <item x="149"/>
        <item x="50"/>
        <item x="340"/>
        <item x="193"/>
        <item x="191"/>
        <item x="342"/>
        <item x="321"/>
        <item x="87"/>
        <item x="35"/>
        <item x="150"/>
        <item x="153"/>
        <item x="206"/>
        <item x="53"/>
        <item x="343"/>
        <item x="298"/>
        <item x="212"/>
        <item x="60"/>
        <item x="244"/>
        <item x="267"/>
        <item x="232"/>
        <item x="198"/>
        <item x="36"/>
        <item x="288"/>
        <item x="201"/>
        <item x="303"/>
        <item x="110"/>
        <item x="204"/>
        <item x="37"/>
        <item x="147"/>
        <item x="111"/>
        <item x="112"/>
        <item x="266"/>
        <item x="142"/>
        <item x="295"/>
        <item x="113"/>
        <item x="240"/>
        <item x="221"/>
        <item x="334"/>
        <item x="38"/>
        <item x="61"/>
        <item x="39"/>
        <item x="114"/>
        <item x="203"/>
        <item x="57"/>
        <item x="109"/>
        <item x="293"/>
        <item x="218"/>
        <item x="175"/>
        <item x="255"/>
        <item x="233"/>
        <item x="200"/>
        <item x="299"/>
        <item x="132"/>
        <item x="181"/>
        <item x="211"/>
        <item x="18"/>
        <item x="40"/>
        <item x="130"/>
        <item x="41"/>
        <item x="194"/>
        <item x="317"/>
        <item x="305"/>
        <item x="28"/>
        <item x="289"/>
        <item x="115"/>
        <item x="116"/>
        <item x="86"/>
        <item x="168"/>
        <item x="327"/>
        <item x="286"/>
        <item x="306"/>
        <item x="101"/>
        <item x="146"/>
        <item x="154"/>
        <item x="308"/>
      </items>
    </pivotField>
    <pivotField name="Reason" compact="0" outline="0" multipleItemSelectionAllowed="1" showAll="0">
      <items>
        <item x="0"/>
        <item x="1"/>
        <item x="2"/>
        <item x="3"/>
        <item x="4"/>
        <item x="5"/>
        <item x="6"/>
        <item x="7"/>
        <item x="8"/>
        <item x="9"/>
        <item x="10"/>
        <item t="default"/>
      </items>
    </pivotField>
    <pivotField name="Platform" axis="axisRow" compact="0" outline="0" multipleItemSelectionAllowed="1" showAll="0" sortType="ascending">
      <items>
        <item x="2"/>
        <item x="3"/>
        <item x="4"/>
        <item x="1"/>
        <item x="0"/>
        <item x="5"/>
        <item t="default"/>
      </items>
    </pivotField>
    <pivotField name="Refund through" compact="0" outline="0" multipleItemSelectionAllowed="1" showAll="0">
      <items>
        <item x="0"/>
        <item x="1"/>
        <item x="2"/>
        <item x="3"/>
        <item x="4"/>
        <item x="5"/>
        <item x="6"/>
        <item x="7"/>
        <item x="8"/>
        <item x="9"/>
        <item x="10"/>
        <item x="11"/>
        <item x="12"/>
        <item t="default"/>
      </items>
    </pivotField>
    <pivotField name="Country" axis="axisRow" compact="0" outline="0" multipleItemSelectionAllowed="1" showAll="0" sortType="ascending" defaultSubtotal="0">
      <items>
        <item x="14"/>
        <item x="8"/>
        <item x="5"/>
        <item x="11"/>
        <item x="6"/>
        <item x="7"/>
        <item x="20"/>
        <item x="12"/>
        <item x="4"/>
        <item x="1"/>
        <item x="18"/>
        <item x="19"/>
        <item x="16"/>
        <item x="17"/>
        <item x="10"/>
        <item x="21"/>
        <item x="9"/>
        <item x="2"/>
        <item x="15"/>
        <item x="13"/>
        <item x="3"/>
        <item x="22"/>
        <item x="0"/>
      </items>
    </pivotField>
    <pivotField name="Bird Buddy" dataField="1" compact="0" outline="0" multipleItemSelectionAllowed="1" showAll="0">
      <items>
        <item x="0"/>
        <item x="1"/>
        <item x="2"/>
        <item x="3"/>
        <item t="default"/>
      </items>
    </pivotField>
    <pivotField name="Bird Buddy with Solar Roof" dataField="1" compact="0" outline="0" multipleItemSelectionAllowed="1" showAll="0">
      <items>
        <item x="0"/>
        <item x="1"/>
        <item x="2"/>
        <item t="default"/>
      </items>
    </pivotField>
    <pivotField name="Solar Roof" compact="0" outline="0" multipleItemSelectionAllowed="1" showAll="0">
      <items>
        <item x="0"/>
        <item x="1"/>
        <item x="2"/>
        <item x="3"/>
        <item t="default"/>
      </items>
    </pivotField>
    <pivotField name="Wall Mount" compact="0" outline="0" multipleItemSelectionAllowed="1" showAll="0">
      <items>
        <item x="0"/>
        <item x="1"/>
        <item x="2"/>
        <item t="default"/>
      </items>
    </pivotField>
    <pivotField name="Fence Mount" compact="0" outline="0" multipleItemSelectionAllowed="1" showAll="0">
      <items>
        <item x="0"/>
        <item x="1"/>
        <item x="2"/>
        <item t="default"/>
      </items>
    </pivotField>
    <pivotField name="Suet Ball Holder" compact="0" outline="0" multipleItemSelectionAllowed="1" showAll="0">
      <items>
        <item x="0"/>
        <item x="1"/>
        <item x="2"/>
        <item t="default"/>
      </items>
    </pivotField>
    <pivotField name="Water Fountain" compact="0" outline="0" multipleItemSelectionAllowed="1" showAll="0">
      <items>
        <item x="0"/>
        <item x="1"/>
        <item t="default"/>
      </items>
    </pivotField>
    <pivotField name="Premium Subscription" compact="0" outline="0" multipleItemSelectionAllowed="1" showAll="0">
      <items>
        <item x="0"/>
        <item x="1"/>
        <item t="default"/>
      </items>
    </pivotField>
    <pivotField name="Seeds Subscription" compact="0" outline="0" multipleItemSelectionAllowed="1" showAll="0">
      <items>
        <item x="0"/>
        <item t="default"/>
      </items>
    </pivotField>
    <pivotField name="12-month warranty" compact="0" outline="0" multipleItemSelectionAllowed="1" showAll="0">
      <items>
        <item x="0"/>
        <item t="default"/>
      </items>
    </pivotField>
    <pivotField name="24-month warranty" compact="0" outline="0" multipleItemSelectionAllowed="1" showAll="0">
      <items>
        <item x="0"/>
        <item t="default"/>
      </items>
    </pivotField>
    <pivotField name="Gift Card" compact="0" outline="0" multipleItemSelectionAllowed="1" showAll="0">
      <items>
        <item x="0"/>
        <item x="1"/>
        <item t="default"/>
      </items>
    </pivotField>
  </pivotFields>
  <rowFields>
    <field x="2"/>
    <field x="3"/>
    <field x="5"/>
    <field x="9"/>
    <field x="7"/>
  </rowFields>
  <colFields>
    <field x="-2"/>
  </colFields>
  <dataFields>
    <dataField name="SUM of Value" fld="1" baseField="0"/>
    <dataField name="SUM of Bird Buddy" fld="10" baseField="0"/>
    <dataField name="SUM of Bird Buddy with Solar Roof" fld="11" baseField="0"/>
  </dataFields>
</pivotTableDefinition>
</file>

<file path=xl/pivotTables/pivotTable2.xml><?xml version="1.0" encoding="utf-8"?>
<pivotTableDefinition xmlns="http://schemas.openxmlformats.org/spreadsheetml/2006/main" name="dtc_return_for_refund_do_not_de" cacheId="0" dataCaption="" rowGrandTotals="0" compact="0" compactData="0">
  <location ref="A1:H360" firstHeaderRow="0" firstDataRow="6" firstDataCol="0"/>
  <pivotFields>
    <pivotField name="Date of refun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t="default"/>
      </items>
    </pivotField>
    <pivotField name="Date of purchase" axis="axisRow" compact="0" outline="0" multipleItemSelectionAllowed="1" showAll="0" sortType="ascending" defaultSubtotal="0">
      <items>
        <item x="99"/>
        <item x="3"/>
        <item x="11"/>
        <item x="80"/>
        <item x="76"/>
        <item x="154"/>
        <item x="82"/>
        <item x="1"/>
        <item x="117"/>
        <item x="65"/>
        <item x="23"/>
        <item x="139"/>
        <item x="70"/>
        <item x="60"/>
        <item x="64"/>
        <item x="141"/>
        <item x="58"/>
        <item x="85"/>
        <item x="53"/>
        <item x="12"/>
        <item x="15"/>
        <item x="13"/>
        <item x="49"/>
        <item x="9"/>
        <item x="143"/>
        <item x="94"/>
        <item x="92"/>
        <item x="56"/>
        <item x="2"/>
        <item x="150"/>
        <item x="52"/>
        <item x="125"/>
        <item x="54"/>
        <item x="144"/>
        <item x="149"/>
        <item x="93"/>
        <item x="132"/>
        <item x="162"/>
        <item x="101"/>
        <item x="140"/>
        <item x="136"/>
        <item x="72"/>
        <item x="107"/>
        <item x="114"/>
        <item x="121"/>
        <item x="129"/>
        <item x="116"/>
        <item x="152"/>
        <item x="123"/>
        <item x="57"/>
        <item x="84"/>
        <item x="81"/>
        <item x="142"/>
        <item x="4"/>
        <item x="109"/>
        <item x="108"/>
        <item x="25"/>
        <item x="89"/>
        <item x="74"/>
        <item x="130"/>
        <item x="104"/>
        <item x="32"/>
        <item x="87"/>
        <item x="75"/>
        <item x="153"/>
        <item x="155"/>
        <item x="137"/>
        <item x="42"/>
        <item x="16"/>
        <item x="67"/>
        <item x="62"/>
        <item x="156"/>
        <item x="96"/>
        <item x="45"/>
        <item x="37"/>
        <item x="34"/>
        <item x="40"/>
        <item x="128"/>
        <item x="113"/>
        <item x="59"/>
        <item x="105"/>
        <item x="29"/>
        <item x="122"/>
        <item x="133"/>
        <item x="50"/>
        <item x="78"/>
        <item x="120"/>
        <item x="18"/>
        <item x="27"/>
        <item x="44"/>
        <item x="103"/>
        <item x="161"/>
        <item x="118"/>
        <item x="43"/>
        <item x="158"/>
        <item x="124"/>
        <item x="88"/>
        <item x="6"/>
        <item x="138"/>
        <item x="19"/>
        <item x="91"/>
        <item x="33"/>
        <item x="90"/>
        <item x="39"/>
        <item x="48"/>
        <item x="24"/>
        <item x="66"/>
        <item x="20"/>
        <item x="68"/>
        <item x="8"/>
        <item x="28"/>
        <item x="83"/>
        <item x="95"/>
        <item x="41"/>
        <item x="148"/>
        <item x="98"/>
        <item x="55"/>
        <item x="21"/>
        <item x="61"/>
        <item x="7"/>
        <item x="31"/>
        <item x="51"/>
        <item x="47"/>
        <item x="0"/>
        <item x="115"/>
        <item x="22"/>
        <item x="5"/>
        <item x="111"/>
        <item x="69"/>
        <item x="10"/>
        <item x="17"/>
        <item x="26"/>
        <item x="30"/>
        <item x="38"/>
        <item x="46"/>
        <item x="79"/>
        <item x="77"/>
        <item x="97"/>
        <item x="100"/>
        <item x="106"/>
        <item x="127"/>
        <item x="126"/>
        <item x="110"/>
        <item x="119"/>
        <item x="146"/>
        <item x="134"/>
        <item x="147"/>
        <item x="145"/>
        <item x="151"/>
        <item x="159"/>
        <item x="157"/>
        <item x="160"/>
        <item x="36"/>
        <item x="14"/>
        <item x="102"/>
        <item x="135"/>
        <item x="112"/>
        <item x="35"/>
        <item x="63"/>
        <item x="131"/>
        <item x="86"/>
        <item x="71"/>
        <item x="73"/>
      </items>
    </pivotField>
    <pivotField name="Order ID" axis="axisRow" compact="0" outline="0" multipleItemSelectionAllowed="1" showAll="0" sortType="ascending" defaultSubtotal="0">
      <items>
        <item x="135"/>
        <item x="68"/>
        <item x="284"/>
        <item x="212"/>
        <item x="147"/>
        <item x="277"/>
        <item x="119"/>
        <item x="318"/>
        <item x="333"/>
        <item x="265"/>
        <item x="295"/>
        <item x="61"/>
        <item x="19"/>
        <item x="101"/>
        <item x="248"/>
        <item x="93"/>
        <item x="335"/>
        <item x="288"/>
        <item x="152"/>
        <item x="55"/>
        <item x="198"/>
        <item x="111"/>
        <item x="46"/>
        <item x="221"/>
        <item x="59"/>
        <item x="343"/>
        <item x="164"/>
        <item x="236"/>
        <item x="196"/>
        <item x="90"/>
        <item x="133"/>
        <item x="178"/>
        <item x="35"/>
        <item x="220"/>
        <item x="257"/>
        <item x="264"/>
        <item x="245"/>
        <item x="17"/>
        <item x="76"/>
        <item x="87"/>
        <item x="112"/>
        <item x="122"/>
        <item x="213"/>
        <item x="225"/>
        <item x="349"/>
        <item x="21"/>
        <item x="33"/>
        <item x="246"/>
        <item x="127"/>
        <item x="175"/>
        <item x="65"/>
        <item x="169"/>
        <item x="351"/>
        <item x="350"/>
        <item x="206"/>
        <item x="319"/>
        <item x="280"/>
        <item x="208"/>
        <item x="63"/>
        <item x="170"/>
        <item x="344"/>
        <item x="303"/>
        <item x="45"/>
        <item x="223"/>
        <item x="219"/>
        <item x="60"/>
        <item x="233"/>
        <item x="136"/>
        <item x="7"/>
        <item x="307"/>
        <item x="266"/>
        <item x="173"/>
        <item x="227"/>
        <item x="22"/>
        <item x="85"/>
        <item x="38"/>
        <item x="336"/>
        <item x="145"/>
        <item x="144"/>
        <item x="166"/>
        <item x="209"/>
        <item x="143"/>
        <item x="44"/>
        <item x="116"/>
        <item x="286"/>
        <item x="142"/>
        <item x="271"/>
        <item x="253"/>
        <item x="293"/>
        <item x="57"/>
        <item x="82"/>
        <item x="353"/>
        <item x="86"/>
        <item x="74"/>
        <item x="28"/>
        <item x="322"/>
        <item x="98"/>
        <item x="301"/>
        <item x="141"/>
        <item x="177"/>
        <item x="279"/>
        <item x="23"/>
        <item x="200"/>
        <item x="103"/>
        <item x="161"/>
        <item x="130"/>
        <item x="191"/>
        <item x="300"/>
        <item x="243"/>
        <item x="47"/>
        <item x="13"/>
        <item x="73"/>
        <item x="176"/>
        <item x="235"/>
        <item x="10"/>
        <item x="34"/>
        <item x="207"/>
        <item x="298"/>
        <item x="354"/>
        <item x="72"/>
        <item x="131"/>
        <item x="140"/>
        <item x="218"/>
        <item x="149"/>
        <item x="325"/>
        <item x="260"/>
        <item x="69"/>
        <item x="64"/>
        <item x="52"/>
        <item x="292"/>
        <item x="313"/>
        <item x="157"/>
        <item x="167"/>
        <item x="83"/>
        <item x="139"/>
        <item x="242"/>
        <item x="305"/>
        <item x="99"/>
        <item x="321"/>
        <item x="217"/>
        <item x="100"/>
        <item x="306"/>
        <item x="24"/>
        <item x="92"/>
        <item x="332"/>
        <item x="67"/>
        <item x="9"/>
        <item x="174"/>
        <item x="192"/>
        <item x="48"/>
        <item x="162"/>
        <item x="41"/>
        <item x="341"/>
        <item x="77"/>
        <item x="249"/>
        <item x="201"/>
        <item x="102"/>
        <item x="188"/>
        <item x="195"/>
        <item x="172"/>
        <item x="281"/>
        <item x="137"/>
        <item x="71"/>
        <item x="190"/>
        <item x="291"/>
        <item x="0"/>
        <item x="193"/>
        <item x="347"/>
        <item x="158"/>
        <item x="39"/>
        <item x="153"/>
        <item x="2"/>
        <item x="197"/>
        <item x="255"/>
        <item x="202"/>
        <item x="117"/>
        <item x="113"/>
        <item x="37"/>
        <item x="123"/>
        <item x="250"/>
        <item x="25"/>
        <item x="26"/>
        <item x="6"/>
        <item x="160"/>
        <item x="8"/>
        <item x="42"/>
        <item x="105"/>
        <item x="254"/>
        <item x="314"/>
        <item x="234"/>
        <item x="308"/>
        <item x="348"/>
        <item x="194"/>
        <item x="309"/>
        <item x="337"/>
        <item x="184"/>
        <item x="104"/>
        <item x="327"/>
        <item x="150"/>
        <item x="12"/>
        <item x="244"/>
        <item x="20"/>
        <item x="215"/>
        <item x="330"/>
        <item x="334"/>
        <item x="32"/>
        <item x="31"/>
        <item x="278"/>
        <item x="180"/>
        <item x="228"/>
        <item x="54"/>
        <item x="107"/>
        <item x="40"/>
        <item x="53"/>
        <item x="30"/>
        <item x="311"/>
        <item x="36"/>
        <item x="331"/>
        <item x="50"/>
        <item x="49"/>
        <item x="294"/>
        <item x="270"/>
        <item x="356"/>
        <item x="328"/>
        <item x="51"/>
        <item x="56"/>
        <item x="62"/>
        <item x="216"/>
        <item x="326"/>
        <item x="81"/>
        <item x="346"/>
        <item x="70"/>
        <item x="185"/>
        <item x="232"/>
        <item x="124"/>
        <item x="273"/>
        <item x="154"/>
        <item x="340"/>
        <item x="231"/>
        <item x="155"/>
        <item x="126"/>
        <item x="121"/>
        <item x="261"/>
        <item x="297"/>
        <item x="156"/>
        <item x="252"/>
        <item x="251"/>
        <item x="182"/>
        <item x="285"/>
        <item x="168"/>
        <item x="310"/>
        <item x="352"/>
        <item x="159"/>
        <item x="179"/>
        <item x="230"/>
        <item x="240"/>
        <item x="302"/>
        <item x="199"/>
        <item x="226"/>
        <item x="263"/>
        <item x="189"/>
        <item x="316"/>
        <item x="315"/>
        <item x="355"/>
        <item x="258"/>
        <item x="211"/>
        <item x="210"/>
        <item x="262"/>
        <item x="214"/>
        <item x="239"/>
        <item x="283"/>
        <item x="329"/>
        <item x="274"/>
        <item x="290"/>
        <item x="259"/>
        <item x="289"/>
        <item x="312"/>
        <item x="282"/>
        <item x="299"/>
        <item x="345"/>
        <item x="339"/>
        <item x="115"/>
        <item x="11"/>
        <item x="181"/>
        <item x="89"/>
        <item x="276"/>
        <item x="148"/>
        <item x="237"/>
        <item x="204"/>
        <item x="304"/>
        <item x="338"/>
        <item x="132"/>
        <item x="146"/>
        <item x="128"/>
        <item x="275"/>
        <item x="5"/>
        <item x="320"/>
        <item x="84"/>
        <item x="187"/>
        <item x="229"/>
        <item x="186"/>
        <item x="296"/>
        <item x="29"/>
        <item x="317"/>
        <item x="78"/>
        <item x="118"/>
        <item x="138"/>
        <item x="238"/>
        <item x="171"/>
        <item x="224"/>
        <item x="80"/>
        <item x="222"/>
        <item x="14"/>
        <item x="4"/>
        <item x="241"/>
        <item x="43"/>
        <item x="96"/>
        <item x="114"/>
        <item x="109"/>
        <item x="66"/>
        <item x="58"/>
        <item x="110"/>
        <item x="94"/>
        <item x="342"/>
        <item x="183"/>
        <item x="125"/>
        <item x="247"/>
        <item x="120"/>
        <item x="324"/>
        <item x="323"/>
        <item x="129"/>
        <item x="134"/>
        <item x="1"/>
        <item x="269"/>
        <item x="205"/>
        <item x="256"/>
        <item x="97"/>
        <item x="27"/>
        <item x="267"/>
        <item x="106"/>
        <item x="108"/>
        <item x="91"/>
        <item x="95"/>
        <item x="272"/>
        <item x="88"/>
        <item x="203"/>
        <item x="79"/>
        <item x="15"/>
        <item x="18"/>
        <item x="75"/>
        <item x="16"/>
        <item x="165"/>
        <item x="268"/>
        <item x="163"/>
        <item x="287"/>
        <item x="151"/>
        <item x="3"/>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Email" axis="axisRow" compact="0" outline="0" multipleItemSelectionAllowed="1" showAll="0" sortType="ascending" defaultSubtotal="0">
      <items>
        <item x="131"/>
        <item x="11"/>
        <item x="123"/>
        <item x="260"/>
        <item x="271"/>
        <item x="65"/>
        <item x="186"/>
        <item x="242"/>
        <item x="117"/>
        <item x="83"/>
        <item x="140"/>
        <item x="177"/>
        <item x="207"/>
        <item x="290"/>
        <item x="241"/>
        <item x="63"/>
        <item x="84"/>
        <item x="284"/>
        <item x="85"/>
        <item x="294"/>
        <item x="268"/>
        <item x="341"/>
        <item x="220"/>
        <item x="224"/>
        <item x="167"/>
        <item x="118"/>
        <item x="62"/>
        <item x="296"/>
        <item x="261"/>
        <item x="148"/>
        <item x="59"/>
        <item x="197"/>
        <item x="275"/>
        <item x="180"/>
        <item x="64"/>
        <item x="151"/>
        <item x="72"/>
        <item x="8"/>
        <item x="141"/>
        <item x="51"/>
        <item x="69"/>
        <item x="52"/>
        <item x="134"/>
        <item x="247"/>
        <item x="12"/>
        <item x="248"/>
        <item x="314"/>
        <item x="250"/>
        <item x="322"/>
        <item x="42"/>
        <item x="66"/>
        <item x="335"/>
        <item x="157"/>
        <item x="162"/>
        <item x="252"/>
        <item x="215"/>
        <item x="226"/>
        <item x="0"/>
        <item x="88"/>
        <item x="137"/>
        <item x="209"/>
        <item x="21"/>
        <item x="300"/>
        <item x="297"/>
        <item x="67"/>
        <item x="281"/>
        <item x="144"/>
        <item x="311"/>
        <item x="22"/>
        <item x="264"/>
        <item x="192"/>
        <item x="44"/>
        <item x="188"/>
        <item x="43"/>
        <item x="254"/>
        <item x="135"/>
        <item x="89"/>
        <item x="138"/>
        <item x="273"/>
        <item x="278"/>
        <item x="336"/>
        <item x="104"/>
        <item x="229"/>
        <item x="324"/>
        <item x="243"/>
        <item x="202"/>
        <item x="90"/>
        <item x="165"/>
        <item x="127"/>
        <item x="223"/>
        <item x="20"/>
        <item x="6"/>
        <item x="265"/>
        <item x="68"/>
        <item x="269"/>
        <item x="328"/>
        <item x="213"/>
        <item x="2"/>
        <item x="172"/>
        <item x="3"/>
        <item x="176"/>
        <item x="70"/>
        <item x="55"/>
        <item x="163"/>
        <item x="315"/>
        <item x="277"/>
        <item x="316"/>
        <item x="71"/>
        <item x="23"/>
        <item x="310"/>
        <item x="155"/>
        <item x="1"/>
        <item x="24"/>
        <item x="187"/>
        <item x="329"/>
        <item x="270"/>
        <item x="120"/>
        <item x="91"/>
        <item x="25"/>
        <item x="164"/>
        <item x="92"/>
        <item x="301"/>
        <item x="73"/>
        <item x="121"/>
        <item x="45"/>
        <item x="259"/>
        <item x="93"/>
        <item x="272"/>
        <item x="171"/>
        <item x="230"/>
        <item x="74"/>
        <item x="319"/>
        <item x="158"/>
        <item x="105"/>
        <item x="302"/>
        <item x="19"/>
        <item x="94"/>
        <item x="152"/>
        <item x="208"/>
        <item x="95"/>
        <item x="9"/>
        <item x="10"/>
        <item x="27"/>
        <item x="199"/>
        <item x="307"/>
        <item x="214"/>
        <item x="122"/>
        <item x="170"/>
        <item x="75"/>
        <item x="26"/>
        <item x="166"/>
        <item x="225"/>
        <item x="76"/>
        <item x="333"/>
        <item x="96"/>
        <item x="196"/>
        <item x="173"/>
        <item x="98"/>
        <item x="257"/>
        <item x="100"/>
        <item x="97"/>
        <item x="227"/>
        <item x="280"/>
        <item x="237"/>
        <item x="145"/>
        <item x="185"/>
        <item x="182"/>
        <item x="236"/>
        <item x="159"/>
        <item x="178"/>
        <item x="251"/>
        <item x="77"/>
        <item x="292"/>
        <item x="99"/>
        <item x="179"/>
        <item x="330"/>
        <item x="245"/>
        <item x="263"/>
        <item x="235"/>
        <item x="29"/>
        <item x="78"/>
        <item x="326"/>
        <item x="30"/>
        <item x="156"/>
        <item x="190"/>
        <item x="56"/>
        <item x="287"/>
        <item x="124"/>
        <item x="54"/>
        <item x="210"/>
        <item x="46"/>
        <item x="184"/>
        <item x="143"/>
        <item x="246"/>
        <item x="304"/>
        <item x="312"/>
        <item x="205"/>
        <item x="258"/>
        <item x="79"/>
        <item x="31"/>
        <item x="282"/>
        <item x="309"/>
        <item x="323"/>
        <item x="108"/>
        <item x="4"/>
        <item x="133"/>
        <item x="216"/>
        <item x="346"/>
        <item x="276"/>
        <item x="234"/>
        <item x="107"/>
        <item x="238"/>
        <item x="102"/>
        <item x="283"/>
        <item x="189"/>
        <item x="222"/>
        <item x="139"/>
        <item x="80"/>
        <item x="195"/>
        <item x="103"/>
        <item x="160"/>
        <item x="136"/>
        <item x="13"/>
        <item x="7"/>
        <item x="325"/>
        <item x="14"/>
        <item x="174"/>
        <item x="47"/>
        <item x="125"/>
        <item x="17"/>
        <item x="161"/>
        <item x="129"/>
        <item x="337"/>
        <item x="183"/>
        <item x="253"/>
        <item x="219"/>
        <item x="15"/>
        <item x="331"/>
        <item x="231"/>
        <item x="126"/>
        <item x="33"/>
        <item x="332"/>
        <item x="249"/>
        <item x="16"/>
        <item x="34"/>
        <item x="285"/>
        <item x="256"/>
        <item x="228"/>
        <item x="48"/>
        <item x="279"/>
        <item x="119"/>
        <item x="313"/>
        <item x="82"/>
        <item x="58"/>
        <item x="81"/>
        <item x="320"/>
        <item x="339"/>
        <item x="32"/>
        <item x="274"/>
        <item x="239"/>
        <item x="106"/>
        <item x="49"/>
        <item x="345"/>
        <item x="291"/>
        <item x="344"/>
        <item x="169"/>
        <item x="338"/>
        <item x="5"/>
        <item x="318"/>
        <item x="128"/>
        <item x="262"/>
        <item x="217"/>
        <item x="149"/>
        <item x="50"/>
        <item x="340"/>
        <item x="193"/>
        <item x="191"/>
        <item x="342"/>
        <item x="321"/>
        <item x="87"/>
        <item x="35"/>
        <item x="150"/>
        <item x="153"/>
        <item x="206"/>
        <item x="53"/>
        <item x="343"/>
        <item x="298"/>
        <item x="212"/>
        <item x="60"/>
        <item x="244"/>
        <item x="267"/>
        <item x="232"/>
        <item x="198"/>
        <item x="36"/>
        <item x="288"/>
        <item x="201"/>
        <item x="303"/>
        <item x="110"/>
        <item x="204"/>
        <item x="37"/>
        <item x="147"/>
        <item x="111"/>
        <item x="112"/>
        <item x="266"/>
        <item x="142"/>
        <item x="295"/>
        <item x="113"/>
        <item x="240"/>
        <item x="221"/>
        <item x="334"/>
        <item x="38"/>
        <item x="61"/>
        <item x="39"/>
        <item x="114"/>
        <item x="203"/>
        <item x="57"/>
        <item x="109"/>
        <item x="293"/>
        <item x="218"/>
        <item x="175"/>
        <item x="255"/>
        <item x="233"/>
        <item x="200"/>
        <item x="299"/>
        <item x="132"/>
        <item x="181"/>
        <item x="211"/>
        <item x="18"/>
        <item x="40"/>
        <item x="130"/>
        <item x="41"/>
        <item x="194"/>
        <item x="317"/>
        <item x="305"/>
        <item x="28"/>
        <item x="289"/>
        <item x="115"/>
        <item x="116"/>
        <item x="86"/>
        <item x="168"/>
        <item x="327"/>
        <item x="286"/>
        <item x="306"/>
        <item x="101"/>
        <item x="146"/>
        <item x="154"/>
        <item x="308"/>
      </items>
    </pivotField>
    <pivotField name="Reason" compact="0" outline="0" multipleItemSelectionAllowed="1" showAll="0">
      <items>
        <item x="0"/>
        <item x="1"/>
        <item x="2"/>
        <item x="3"/>
        <item x="4"/>
        <item x="5"/>
        <item x="6"/>
        <item x="7"/>
        <item x="8"/>
        <item x="9"/>
        <item x="10"/>
        <item t="default"/>
      </items>
    </pivotField>
    <pivotField name="Platform" axis="axisRow" compact="0" outline="0" multipleItemSelectionAllowed="1" showAll="0" sortType="ascending">
      <items>
        <item x="2"/>
        <item x="3"/>
        <item x="4"/>
        <item x="1"/>
        <item x="0"/>
        <item x="5"/>
        <item t="default"/>
      </items>
    </pivotField>
    <pivotField name="Refund through" compact="0" outline="0" multipleItemSelectionAllowed="1" showAll="0">
      <items>
        <item x="0"/>
        <item x="1"/>
        <item x="2"/>
        <item x="3"/>
        <item x="4"/>
        <item x="5"/>
        <item x="6"/>
        <item x="7"/>
        <item x="8"/>
        <item x="9"/>
        <item x="10"/>
        <item x="11"/>
        <item x="12"/>
        <item t="default"/>
      </items>
    </pivotField>
    <pivotField name="Country" axis="axisRow" compact="0" outline="0" multipleItemSelectionAllowed="1" showAll="0" sortType="ascending" defaultSubtotal="0">
      <items>
        <item x="14"/>
        <item x="8"/>
        <item x="5"/>
        <item x="11"/>
        <item x="6"/>
        <item x="7"/>
        <item x="20"/>
        <item x="12"/>
        <item x="4"/>
        <item x="1"/>
        <item x="18"/>
        <item x="19"/>
        <item x="16"/>
        <item x="17"/>
        <item x="10"/>
        <item x="21"/>
        <item x="9"/>
        <item x="2"/>
        <item x="15"/>
        <item x="13"/>
        <item x="3"/>
        <item x="22"/>
        <item x="0"/>
      </items>
    </pivotField>
    <pivotField name="Bird Buddy" dataField="1" compact="0" outline="0" multipleItemSelectionAllowed="1" showAll="0">
      <items>
        <item x="0"/>
        <item x="1"/>
        <item x="2"/>
        <item x="3"/>
        <item t="default"/>
      </items>
    </pivotField>
    <pivotField name="Bird Buddy with Solar Roof" dataField="1" compact="0" outline="0" multipleItemSelectionAllowed="1" showAll="0">
      <items>
        <item x="0"/>
        <item x="1"/>
        <item x="2"/>
        <item t="default"/>
      </items>
    </pivotField>
    <pivotField name="Solar Roof" compact="0" outline="0" multipleItemSelectionAllowed="1" showAll="0">
      <items>
        <item x="0"/>
        <item x="1"/>
        <item x="2"/>
        <item x="3"/>
        <item t="default"/>
      </items>
    </pivotField>
    <pivotField name="Wall Mount" compact="0" outline="0" multipleItemSelectionAllowed="1" showAll="0">
      <items>
        <item x="0"/>
        <item x="1"/>
        <item x="2"/>
        <item t="default"/>
      </items>
    </pivotField>
    <pivotField name="Fence Mount" compact="0" outline="0" multipleItemSelectionAllowed="1" showAll="0">
      <items>
        <item x="0"/>
        <item x="1"/>
        <item x="2"/>
        <item t="default"/>
      </items>
    </pivotField>
    <pivotField name="Suet Ball Holder" compact="0" outline="0" multipleItemSelectionAllowed="1" showAll="0">
      <items>
        <item x="0"/>
        <item x="1"/>
        <item x="2"/>
        <item t="default"/>
      </items>
    </pivotField>
    <pivotField name="Water Fountain" compact="0" outline="0" multipleItemSelectionAllowed="1" showAll="0">
      <items>
        <item x="0"/>
        <item x="1"/>
        <item t="default"/>
      </items>
    </pivotField>
    <pivotField name="Premium Subscription" compact="0" outline="0" multipleItemSelectionAllowed="1" showAll="0">
      <items>
        <item x="0"/>
        <item x="1"/>
        <item t="default"/>
      </items>
    </pivotField>
    <pivotField name="Seeds Subscription" compact="0" outline="0" multipleItemSelectionAllowed="1" showAll="0">
      <items>
        <item x="0"/>
        <item t="default"/>
      </items>
    </pivotField>
    <pivotField name="12-month warranty" compact="0" outline="0" multipleItemSelectionAllowed="1" showAll="0">
      <items>
        <item x="0"/>
        <item t="default"/>
      </items>
    </pivotField>
    <pivotField name="24-month warranty" compact="0" outline="0" multipleItemSelectionAllowed="1" showAll="0">
      <items>
        <item x="0"/>
        <item t="default"/>
      </items>
    </pivotField>
    <pivotField name="Gift Card" compact="0" outline="0" multipleItemSelectionAllowed="1" showAll="0">
      <items>
        <item x="0"/>
        <item x="1"/>
        <item t="default"/>
      </items>
    </pivotField>
  </pivotFields>
  <rowFields>
    <field x="2"/>
    <field x="3"/>
    <field x="5"/>
    <field x="9"/>
    <field x="7"/>
  </rowFields>
  <colFields>
    <field x="-2"/>
  </colFields>
  <dataFields>
    <dataField name="SUM of Value" fld="1" baseField="0"/>
    <dataField name="SUM of Bird Buddy" fld="10" baseField="0"/>
    <dataField name="SUM of Bird Buddy with Solar Roof" fld="11"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y-bird-buddy.myshopify.com/admin/customers/6194703007991"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idUECWQit7UswbbGO_Mwza2jbXN-FdVQfZHfyVTjgds/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dhD3sTz_Knf_w4H3JhgYXhxBusiSvSSuRyK3HNU1E0E/edit?usp=sharing"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4</v>
      </c>
      <c r="D1" s="1" t="s">
        <v>5</v>
      </c>
      <c r="E1" s="1" t="s">
        <v>6</v>
      </c>
      <c r="F1" s="1" t="s">
        <v>7</v>
      </c>
      <c r="G1" s="1" t="s">
        <v>8</v>
      </c>
      <c r="H1" s="1" t="s">
        <v>9</v>
      </c>
      <c r="I1" s="1" t="s">
        <v>10</v>
      </c>
      <c r="J1" s="1" t="s">
        <v>12</v>
      </c>
      <c r="K1" s="1" t="s">
        <v>13</v>
      </c>
      <c r="L1" s="1" t="s">
        <v>14</v>
      </c>
      <c r="M1" s="1" t="s">
        <v>15</v>
      </c>
      <c r="N1" s="1" t="s">
        <v>16</v>
      </c>
      <c r="O1" s="1" t="s">
        <v>17</v>
      </c>
      <c r="P1" s="1" t="s">
        <v>18</v>
      </c>
      <c r="Q1" s="1" t="s">
        <v>19</v>
      </c>
      <c r="R1" s="1" t="s">
        <v>21</v>
      </c>
      <c r="S1" s="1" t="s">
        <v>22</v>
      </c>
      <c r="T1" s="1" t="s">
        <v>24</v>
      </c>
      <c r="U1" s="1" t="s">
        <v>25</v>
      </c>
      <c r="V1" s="1" t="s">
        <v>27</v>
      </c>
      <c r="W1" s="1" t="s">
        <v>28</v>
      </c>
      <c r="X1" s="1" t="s">
        <v>30</v>
      </c>
      <c r="Y1" s="1" t="s">
        <v>32</v>
      </c>
      <c r="Z1" s="1" t="s">
        <v>33</v>
      </c>
      <c r="AA1" s="1" t="s">
        <v>35</v>
      </c>
      <c r="AB1" s="1" t="s">
        <v>36</v>
      </c>
      <c r="AC1" s="1" t="s">
        <v>37</v>
      </c>
      <c r="AD1" s="1" t="s">
        <v>39</v>
      </c>
      <c r="AE1" s="1" t="s">
        <v>40</v>
      </c>
      <c r="AF1" s="1" t="s">
        <v>42</v>
      </c>
      <c r="AG1" s="1" t="s">
        <v>44</v>
      </c>
      <c r="AH1" s="1" t="s">
        <v>45</v>
      </c>
      <c r="AI1" s="1" t="s">
        <v>46</v>
      </c>
      <c r="AJ1" s="1" t="s">
        <v>48</v>
      </c>
      <c r="AK1" s="1" t="s">
        <v>49</v>
      </c>
      <c r="AL1" s="1" t="s">
        <v>51</v>
      </c>
      <c r="AM1" s="1" t="s">
        <v>52</v>
      </c>
      <c r="AN1" s="1" t="s">
        <v>54</v>
      </c>
      <c r="AO1" s="1" t="s">
        <v>56</v>
      </c>
    </row>
    <row r="2">
      <c r="A2" s="1" t="s">
        <v>57</v>
      </c>
      <c r="B2" s="1" t="str">
        <f>IFERROR(__xludf.DUMMYFUNCTION("ARRAY_CONSTRAIN(split(CELL(""ADDRESS"",rdataslayer_42b112e4e4be4305bb4c1be75e2dd549),""!""),1,1)"),"Formulas")</f>
        <v>Formulas</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$3:$H$4")</f>
        <v>$G$3:$H$4</v>
      </c>
      <c r="D2" s="15">
        <v>44518.61325231481</v>
      </c>
      <c r="E2" s="15">
        <v>44520.05126157407</v>
      </c>
      <c r="F2" s="1" t="s">
        <v>73</v>
      </c>
      <c r="I2" s="17">
        <v>7.0</v>
      </c>
      <c r="J2" s="1" t="s">
        <v>74</v>
      </c>
      <c r="L2" s="1" t="s">
        <v>75</v>
      </c>
      <c r="M2" s="1" t="s">
        <v>76</v>
      </c>
      <c r="R2" s="1" t="s">
        <v>77</v>
      </c>
      <c r="S2" s="1" t="s">
        <v>78</v>
      </c>
      <c r="T2" s="1" t="s">
        <v>79</v>
      </c>
      <c r="U2" s="1" t="s">
        <v>80</v>
      </c>
      <c r="V2" s="1" t="s">
        <v>80</v>
      </c>
      <c r="W2" s="1" t="s">
        <v>80</v>
      </c>
      <c r="Y2" s="1" t="s">
        <v>80</v>
      </c>
      <c r="Z2" s="17">
        <v>5.0</v>
      </c>
      <c r="AA2" s="17">
        <v>5.0</v>
      </c>
      <c r="AB2" s="1" t="s">
        <v>81</v>
      </c>
      <c r="AC2" s="1" t="s">
        <v>81</v>
      </c>
      <c r="AL2" s="1" t="s">
        <v>82</v>
      </c>
      <c r="AN2" s="1" t="s">
        <v>80</v>
      </c>
      <c r="AO2" s="1" t="s">
        <v>83</v>
      </c>
    </row>
    <row r="3">
      <c r="A3" s="1" t="s">
        <v>84</v>
      </c>
      <c r="B3" s="1" t="str">
        <f>IFERROR(__xludf.DUMMYFUNCTION("ARRAY_CONSTRAIN(split(CELL(""ADDRESS"",rdataslayer_4a0f150f4f2f4e4f85c890c75b7a1fa4),""!""),1,1)"),"Formulas")</f>
        <v>Formulas</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$3:$J$4")</f>
        <v>$I$3:$J$4</v>
      </c>
      <c r="D3" s="15">
        <v>44518.615324074075</v>
      </c>
      <c r="E3" s="15">
        <v>44520.0512962963</v>
      </c>
      <c r="F3" s="1" t="s">
        <v>73</v>
      </c>
      <c r="I3" s="17">
        <v>7.0</v>
      </c>
      <c r="J3" s="1" t="s">
        <v>74</v>
      </c>
      <c r="L3" s="1" t="s">
        <v>75</v>
      </c>
      <c r="M3" s="1" t="s">
        <v>76</v>
      </c>
      <c r="R3" s="1" t="s">
        <v>86</v>
      </c>
      <c r="S3" s="1" t="s">
        <v>78</v>
      </c>
      <c r="T3" s="1" t="s">
        <v>80</v>
      </c>
      <c r="U3" s="1" t="s">
        <v>79</v>
      </c>
      <c r="V3" s="1" t="s">
        <v>80</v>
      </c>
      <c r="W3" s="1" t="s">
        <v>80</v>
      </c>
      <c r="Y3" s="1" t="s">
        <v>80</v>
      </c>
      <c r="Z3" s="17">
        <v>5.0</v>
      </c>
      <c r="AA3" s="17">
        <v>5.0</v>
      </c>
      <c r="AB3" s="1" t="s">
        <v>81</v>
      </c>
      <c r="AC3" s="1" t="s">
        <v>81</v>
      </c>
      <c r="AL3" s="1" t="s">
        <v>82</v>
      </c>
      <c r="AN3" s="1" t="s">
        <v>80</v>
      </c>
      <c r="AO3" s="1" t="s">
        <v>83</v>
      </c>
    </row>
    <row r="4">
      <c r="A4" s="1" t="s">
        <v>88</v>
      </c>
      <c r="B4" s="1" t="str">
        <f>IFERROR(__xludf.DUMMYFUNCTION("ARRAY_CONSTRAIN(split(CELL(""ADDRESS"",rdataslayer_adf57e64065742daa5b4161161b1c3ca),""!""),1,1)"),"Formulas")</f>
        <v>Formulas</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$5:$I$6")</f>
        <v>$G$5:$I$6</v>
      </c>
      <c r="D4" s="15">
        <v>44518.61782407407</v>
      </c>
      <c r="E4" s="15">
        <v>44520.05138888889</v>
      </c>
      <c r="F4" s="1" t="s">
        <v>73</v>
      </c>
      <c r="I4" s="17">
        <v>18.0</v>
      </c>
      <c r="J4" s="1" t="s">
        <v>74</v>
      </c>
      <c r="L4" s="1" t="s">
        <v>75</v>
      </c>
      <c r="M4" s="1" t="s">
        <v>76</v>
      </c>
      <c r="R4" s="1" t="s">
        <v>96</v>
      </c>
      <c r="S4" s="1" t="s">
        <v>97</v>
      </c>
      <c r="T4" s="1" t="s">
        <v>79</v>
      </c>
      <c r="U4" s="1" t="s">
        <v>80</v>
      </c>
      <c r="V4" s="1" t="s">
        <v>80</v>
      </c>
      <c r="W4" s="1" t="s">
        <v>80</v>
      </c>
      <c r="Y4" s="1" t="s">
        <v>80</v>
      </c>
      <c r="Z4" s="17">
        <v>5.0</v>
      </c>
      <c r="AA4" s="17">
        <v>5.0</v>
      </c>
      <c r="AB4" s="1" t="s">
        <v>81</v>
      </c>
      <c r="AC4" s="1" t="s">
        <v>81</v>
      </c>
      <c r="AL4" s="1" t="s">
        <v>82</v>
      </c>
      <c r="AN4" s="1" t="s">
        <v>80</v>
      </c>
      <c r="AO4" s="1" t="s">
        <v>83</v>
      </c>
    </row>
    <row r="5">
      <c r="A5" s="1" t="s">
        <v>98</v>
      </c>
      <c r="B5" s="1" t="str">
        <f>IFERROR(__xludf.DUMMYFUNCTION("ARRAY_CONSTRAIN(split(CELL(""ADDRESS"",rdataslayer_d70e473bcafe40a3aa834ce157fb2ba3),""!""),1,1)"),"Formulas")</f>
        <v>Formulas</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$9:$I$10")</f>
        <v>$H$9:$I$10</v>
      </c>
      <c r="D5" s="15">
        <v>44518.619479166664</v>
      </c>
      <c r="E5" s="15">
        <v>44520.05134259259</v>
      </c>
      <c r="F5" s="1" t="s">
        <v>73</v>
      </c>
      <c r="I5" s="17">
        <v>7.0</v>
      </c>
      <c r="J5" s="1" t="s">
        <v>74</v>
      </c>
      <c r="L5" s="1" t="s">
        <v>75</v>
      </c>
      <c r="M5" s="1" t="s">
        <v>76</v>
      </c>
      <c r="R5" s="1" t="s">
        <v>100</v>
      </c>
      <c r="S5" s="1" t="s">
        <v>78</v>
      </c>
      <c r="T5" s="1" t="s">
        <v>79</v>
      </c>
      <c r="U5" s="1" t="s">
        <v>80</v>
      </c>
      <c r="V5" s="1" t="s">
        <v>80</v>
      </c>
      <c r="W5" s="1" t="s">
        <v>80</v>
      </c>
      <c r="Y5" s="1" t="s">
        <v>80</v>
      </c>
      <c r="Z5" s="17">
        <v>100.0</v>
      </c>
      <c r="AA5" s="17">
        <v>100.0</v>
      </c>
      <c r="AB5" s="1" t="s">
        <v>81</v>
      </c>
      <c r="AC5" s="1" t="s">
        <v>81</v>
      </c>
      <c r="AL5" s="1" t="s">
        <v>82</v>
      </c>
      <c r="AN5" s="1" t="s">
        <v>80</v>
      </c>
      <c r="AO5" s="1" t="s">
        <v>83</v>
      </c>
    </row>
    <row r="6">
      <c r="A6" s="1" t="s">
        <v>102</v>
      </c>
      <c r="B6" s="1" t="str">
        <f>IFERROR(__xludf.DUMMYFUNCTION("ARRAY_CONSTRAIN(split(CELL(""ADDRESS"",rdataslayer_3753ddf3234e496aa261974a0222e193),""!""),1,1)"),"Formulas")</f>
        <v>Formulas</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$3:$N$3")</f>
        <v>$M$3:$N$3</v>
      </c>
      <c r="D6" s="15">
        <v>44518.620729166665</v>
      </c>
      <c r="E6" s="15">
        <v>44520.05142361111</v>
      </c>
      <c r="F6" s="1" t="s">
        <v>73</v>
      </c>
      <c r="I6" s="17">
        <v>18.0</v>
      </c>
      <c r="J6" s="1" t="s">
        <v>74</v>
      </c>
      <c r="L6" s="1" t="s">
        <v>75</v>
      </c>
      <c r="M6" s="1" t="s">
        <v>76</v>
      </c>
      <c r="R6" s="1" t="s">
        <v>104</v>
      </c>
      <c r="S6" s="1" t="s">
        <v>78</v>
      </c>
      <c r="T6" s="1" t="s">
        <v>80</v>
      </c>
      <c r="U6" s="1" t="s">
        <v>80</v>
      </c>
      <c r="V6" s="1" t="s">
        <v>80</v>
      </c>
      <c r="W6" s="1" t="s">
        <v>80</v>
      </c>
      <c r="Y6" s="1" t="s">
        <v>80</v>
      </c>
      <c r="Z6" s="17">
        <v>100.0</v>
      </c>
      <c r="AA6" s="17">
        <v>100.0</v>
      </c>
      <c r="AB6" s="1" t="s">
        <v>105</v>
      </c>
      <c r="AC6" s="1" t="s">
        <v>81</v>
      </c>
      <c r="AL6" s="1" t="s">
        <v>82</v>
      </c>
      <c r="AN6" s="1" t="s">
        <v>80</v>
      </c>
      <c r="AO6" s="1" t="s">
        <v>83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2" width="11.75"/>
    <col customWidth="1" min="3" max="13" width="10.25"/>
    <col customWidth="1" min="14" max="14" width="11.25"/>
    <col customWidth="1" min="15" max="32" width="10.25"/>
  </cols>
  <sheetData>
    <row r="1">
      <c r="A1" s="521">
        <v>44927.0</v>
      </c>
      <c r="B1" s="522">
        <v>44927.0</v>
      </c>
      <c r="C1" s="522">
        <v>44928.0</v>
      </c>
      <c r="D1" s="522">
        <v>44929.0</v>
      </c>
      <c r="E1" s="522">
        <v>44930.0</v>
      </c>
      <c r="F1" s="522">
        <v>44931.0</v>
      </c>
      <c r="G1" s="522">
        <v>44932.0</v>
      </c>
      <c r="H1" s="522">
        <v>44933.0</v>
      </c>
      <c r="I1" s="522">
        <v>44934.0</v>
      </c>
      <c r="J1" s="522">
        <v>44935.0</v>
      </c>
      <c r="K1" s="522">
        <v>44936.0</v>
      </c>
      <c r="L1" s="522">
        <v>44937.0</v>
      </c>
      <c r="M1" s="522">
        <v>44938.0</v>
      </c>
      <c r="N1" s="522">
        <v>44939.0</v>
      </c>
      <c r="O1" s="522">
        <v>44940.0</v>
      </c>
      <c r="P1" s="522">
        <v>44941.0</v>
      </c>
      <c r="Q1" s="522">
        <v>44942.0</v>
      </c>
      <c r="R1" s="522">
        <v>44943.0</v>
      </c>
      <c r="S1" s="522">
        <v>44944.0</v>
      </c>
      <c r="T1" s="522">
        <v>44945.0</v>
      </c>
      <c r="U1" s="522">
        <v>44946.0</v>
      </c>
      <c r="V1" s="522">
        <v>44947.0</v>
      </c>
      <c r="W1" s="522">
        <v>44948.0</v>
      </c>
      <c r="X1" s="522">
        <v>44949.0</v>
      </c>
      <c r="Y1" s="522">
        <v>44950.0</v>
      </c>
      <c r="Z1" s="522">
        <v>44951.0</v>
      </c>
      <c r="AA1" s="522">
        <v>44952.0</v>
      </c>
      <c r="AB1" s="522">
        <v>44953.0</v>
      </c>
      <c r="AC1" s="522">
        <v>44954.0</v>
      </c>
      <c r="AD1" s="522">
        <v>44955.0</v>
      </c>
      <c r="AE1" s="522">
        <v>44956.0</v>
      </c>
      <c r="AF1" s="522">
        <v>44957.0</v>
      </c>
    </row>
    <row r="2">
      <c r="B2" s="523" t="s">
        <v>66</v>
      </c>
      <c r="C2" s="523" t="s">
        <v>67</v>
      </c>
      <c r="D2" s="523" t="s">
        <v>68</v>
      </c>
      <c r="E2" s="523" t="s">
        <v>69</v>
      </c>
      <c r="F2" s="523" t="s">
        <v>70</v>
      </c>
      <c r="G2" s="523" t="s">
        <v>71</v>
      </c>
      <c r="H2" s="523" t="s">
        <v>72</v>
      </c>
      <c r="I2" s="523" t="s">
        <v>66</v>
      </c>
      <c r="J2" s="523" t="s">
        <v>67</v>
      </c>
      <c r="K2" s="523" t="s">
        <v>68</v>
      </c>
      <c r="L2" s="523" t="s">
        <v>69</v>
      </c>
      <c r="M2" s="523" t="s">
        <v>70</v>
      </c>
      <c r="N2" s="523" t="s">
        <v>71</v>
      </c>
      <c r="O2" s="523" t="s">
        <v>72</v>
      </c>
      <c r="P2" s="523" t="s">
        <v>66</v>
      </c>
      <c r="Q2" s="523" t="s">
        <v>67</v>
      </c>
      <c r="R2" s="523" t="s">
        <v>68</v>
      </c>
      <c r="S2" s="523" t="s">
        <v>69</v>
      </c>
      <c r="T2" s="523" t="s">
        <v>70</v>
      </c>
      <c r="U2" s="523" t="s">
        <v>71</v>
      </c>
      <c r="V2" s="523" t="s">
        <v>72</v>
      </c>
      <c r="W2" s="523" t="s">
        <v>66</v>
      </c>
      <c r="X2" s="523" t="s">
        <v>67</v>
      </c>
      <c r="Y2" s="523" t="s">
        <v>68</v>
      </c>
      <c r="Z2" s="523" t="s">
        <v>69</v>
      </c>
      <c r="AA2" s="523" t="s">
        <v>70</v>
      </c>
      <c r="AB2" s="523" t="s">
        <v>71</v>
      </c>
      <c r="AC2" s="523" t="s">
        <v>72</v>
      </c>
      <c r="AD2" s="524" t="s">
        <v>66</v>
      </c>
      <c r="AE2" s="524" t="s">
        <v>67</v>
      </c>
      <c r="AF2" s="524" t="s">
        <v>68</v>
      </c>
    </row>
    <row r="3">
      <c r="A3" s="1" t="s">
        <v>2901</v>
      </c>
      <c r="B3" s="525" t="s">
        <v>2902</v>
      </c>
      <c r="C3" s="525" t="s">
        <v>2902</v>
      </c>
      <c r="D3" s="526"/>
      <c r="E3" s="526"/>
      <c r="F3" s="527"/>
      <c r="G3" s="527"/>
      <c r="H3" s="525" t="s">
        <v>2906</v>
      </c>
      <c r="I3" s="525" t="s">
        <v>2906</v>
      </c>
      <c r="J3" s="525"/>
      <c r="K3" s="528"/>
      <c r="L3" s="528"/>
      <c r="M3" s="525"/>
      <c r="N3" s="525"/>
      <c r="O3" s="525" t="s">
        <v>2902</v>
      </c>
      <c r="P3" s="525" t="s">
        <v>2902</v>
      </c>
      <c r="Q3" s="525"/>
      <c r="R3" s="525"/>
      <c r="S3" s="525"/>
      <c r="T3" s="525"/>
      <c r="U3" s="525"/>
      <c r="V3" s="525" t="s">
        <v>2907</v>
      </c>
      <c r="W3" s="525" t="s">
        <v>2907</v>
      </c>
      <c r="X3" s="525"/>
      <c r="AB3" s="525"/>
      <c r="AC3" s="525" t="s">
        <v>2906</v>
      </c>
      <c r="AD3" s="525" t="s">
        <v>2906</v>
      </c>
      <c r="AE3" s="525"/>
      <c r="AF3" s="525"/>
    </row>
    <row r="5">
      <c r="A5" s="529" t="s">
        <v>2908</v>
      </c>
      <c r="B5" s="527"/>
      <c r="C5" s="530" t="s">
        <v>2909</v>
      </c>
      <c r="D5" s="527"/>
      <c r="E5" s="531" t="s">
        <v>2910</v>
      </c>
      <c r="F5" s="527"/>
      <c r="G5" s="527"/>
      <c r="H5" s="527"/>
      <c r="I5" s="527"/>
      <c r="J5" s="527"/>
      <c r="K5" s="169"/>
      <c r="L5" s="527"/>
      <c r="M5" s="527"/>
      <c r="N5" s="527"/>
      <c r="O5" s="527"/>
      <c r="P5" s="527"/>
      <c r="Q5" s="527"/>
      <c r="R5" s="169"/>
      <c r="S5" s="527"/>
      <c r="T5" s="527"/>
      <c r="U5" s="527"/>
      <c r="V5" s="527"/>
      <c r="W5" s="527"/>
      <c r="X5" s="527"/>
      <c r="Y5" s="527"/>
      <c r="Z5" s="527"/>
      <c r="AA5" s="527"/>
      <c r="AB5" s="527"/>
      <c r="AC5" s="527"/>
      <c r="AD5" s="527"/>
      <c r="AE5" s="527"/>
      <c r="AF5" s="527"/>
    </row>
    <row r="6">
      <c r="B6" s="527"/>
      <c r="C6" s="527"/>
      <c r="D6" s="527"/>
      <c r="E6" s="533" t="s">
        <v>2911</v>
      </c>
      <c r="J6" s="527"/>
      <c r="K6" s="531" t="s">
        <v>2912</v>
      </c>
      <c r="L6" s="527"/>
      <c r="M6" s="527"/>
      <c r="N6" s="527"/>
      <c r="O6" s="527"/>
      <c r="P6" s="527"/>
      <c r="Q6" s="527"/>
      <c r="R6" s="531" t="s">
        <v>2916</v>
      </c>
      <c r="S6" s="527"/>
      <c r="T6" s="527"/>
      <c r="U6" s="527"/>
      <c r="V6" s="527"/>
      <c r="W6" s="527"/>
      <c r="X6" s="527"/>
      <c r="Y6" s="531" t="s">
        <v>2916</v>
      </c>
      <c r="Z6" s="527"/>
      <c r="AA6" s="527"/>
      <c r="AB6" s="527"/>
      <c r="AC6" s="527"/>
      <c r="AD6" s="527"/>
      <c r="AE6" s="527"/>
      <c r="AF6" s="531" t="s">
        <v>2916</v>
      </c>
    </row>
    <row r="7">
      <c r="B7" s="527"/>
      <c r="C7" s="527"/>
      <c r="D7" s="527"/>
      <c r="E7" s="527"/>
      <c r="F7" s="527"/>
      <c r="G7" s="527"/>
      <c r="H7" s="527"/>
      <c r="I7" s="527"/>
      <c r="J7" s="527"/>
      <c r="K7" s="527"/>
      <c r="L7" s="527"/>
      <c r="M7" s="527"/>
      <c r="N7" s="527"/>
      <c r="O7" s="527"/>
      <c r="P7" s="527"/>
      <c r="Q7" s="527"/>
      <c r="R7" s="527"/>
      <c r="S7" s="527"/>
      <c r="T7" s="527"/>
      <c r="U7" s="527"/>
      <c r="V7" s="527"/>
      <c r="W7" s="527"/>
      <c r="X7" s="527"/>
      <c r="Y7" s="527"/>
      <c r="Z7" s="527"/>
      <c r="AA7" s="527"/>
      <c r="AB7" s="527"/>
      <c r="AC7" s="527"/>
      <c r="AD7" s="527"/>
      <c r="AE7" s="527"/>
      <c r="AF7" s="527"/>
    </row>
    <row r="9" ht="15.0" customHeight="1">
      <c r="A9" s="535" t="s">
        <v>94</v>
      </c>
      <c r="B9" s="536">
        <v>34095.88</v>
      </c>
      <c r="C9" s="538">
        <v>31641.32</v>
      </c>
      <c r="D9" s="539">
        <v>21298.63</v>
      </c>
      <c r="E9" s="539">
        <v>88938.99</v>
      </c>
      <c r="F9" s="539">
        <v>77859.14</v>
      </c>
      <c r="G9" s="539">
        <v>71302.37</v>
      </c>
      <c r="H9" s="539">
        <v>67401.38</v>
      </c>
      <c r="I9" s="539">
        <v>45352.29</v>
      </c>
      <c r="J9" s="539">
        <v>42090.23</v>
      </c>
      <c r="K9" s="539">
        <v>54110.75</v>
      </c>
      <c r="L9" s="539">
        <v>37408.2</v>
      </c>
      <c r="M9" s="539">
        <v>26654.04</v>
      </c>
      <c r="N9" s="539">
        <v>35680.11</v>
      </c>
      <c r="O9" s="539">
        <v>32029.59</v>
      </c>
      <c r="P9" s="539">
        <v>41439.96</v>
      </c>
      <c r="Q9" s="539">
        <v>33693.94</v>
      </c>
      <c r="R9" s="539">
        <v>34955.95</v>
      </c>
      <c r="S9" s="539">
        <v>28882.73</v>
      </c>
      <c r="T9" s="539">
        <v>34351.04</v>
      </c>
      <c r="U9" s="539">
        <v>35450.41</v>
      </c>
      <c r="V9" s="539">
        <v>41523.18</v>
      </c>
      <c r="W9" s="539">
        <v>36775.13</v>
      </c>
      <c r="X9" s="539">
        <v>33385.99</v>
      </c>
      <c r="Y9" s="539">
        <v>38224.82</v>
      </c>
      <c r="Z9" s="539">
        <v>37011.21</v>
      </c>
      <c r="AA9" s="539">
        <v>29926.52</v>
      </c>
      <c r="AB9" s="539">
        <v>39472.04</v>
      </c>
      <c r="AC9" s="539">
        <v>39334.25</v>
      </c>
      <c r="AD9" s="539">
        <v>41568.81</v>
      </c>
      <c r="AE9" s="539">
        <v>38837.36</v>
      </c>
      <c r="AF9" s="539">
        <v>39688.03</v>
      </c>
    </row>
    <row r="10">
      <c r="A10" s="541" t="s">
        <v>2921</v>
      </c>
      <c r="B10" s="542">
        <f t="shared" ref="B10:AF10" si="1">SUM(B9)</f>
        <v>34095.88</v>
      </c>
      <c r="C10" s="542">
        <f t="shared" si="1"/>
        <v>31641.32</v>
      </c>
      <c r="D10" s="542">
        <f t="shared" si="1"/>
        <v>21298.63</v>
      </c>
      <c r="E10" s="542">
        <f t="shared" si="1"/>
        <v>88938.99</v>
      </c>
      <c r="F10" s="542">
        <f t="shared" si="1"/>
        <v>77859.14</v>
      </c>
      <c r="G10" s="542">
        <f t="shared" si="1"/>
        <v>71302.37</v>
      </c>
      <c r="H10" s="542">
        <f t="shared" si="1"/>
        <v>67401.38</v>
      </c>
      <c r="I10" s="542">
        <f t="shared" si="1"/>
        <v>45352.29</v>
      </c>
      <c r="J10" s="542">
        <f t="shared" si="1"/>
        <v>42090.23</v>
      </c>
      <c r="K10" s="542">
        <f t="shared" si="1"/>
        <v>54110.75</v>
      </c>
      <c r="L10" s="542">
        <f t="shared" si="1"/>
        <v>37408.2</v>
      </c>
      <c r="M10" s="542">
        <f t="shared" si="1"/>
        <v>26654.04</v>
      </c>
      <c r="N10" s="542">
        <f t="shared" si="1"/>
        <v>35680.11</v>
      </c>
      <c r="O10" s="542">
        <f t="shared" si="1"/>
        <v>32029.59</v>
      </c>
      <c r="P10" s="542">
        <f t="shared" si="1"/>
        <v>41439.96</v>
      </c>
      <c r="Q10" s="542">
        <f t="shared" si="1"/>
        <v>33693.94</v>
      </c>
      <c r="R10" s="542">
        <f t="shared" si="1"/>
        <v>34955.95</v>
      </c>
      <c r="S10" s="542">
        <f t="shared" si="1"/>
        <v>28882.73</v>
      </c>
      <c r="T10" s="542">
        <f t="shared" si="1"/>
        <v>34351.04</v>
      </c>
      <c r="U10" s="542">
        <f t="shared" si="1"/>
        <v>35450.41</v>
      </c>
      <c r="V10" s="542">
        <f t="shared" si="1"/>
        <v>41523.18</v>
      </c>
      <c r="W10" s="542">
        <f t="shared" si="1"/>
        <v>36775.13</v>
      </c>
      <c r="X10" s="542">
        <f t="shared" si="1"/>
        <v>33385.99</v>
      </c>
      <c r="Y10" s="542">
        <f t="shared" si="1"/>
        <v>38224.82</v>
      </c>
      <c r="Z10" s="542">
        <f t="shared" si="1"/>
        <v>37011.21</v>
      </c>
      <c r="AA10" s="542">
        <f t="shared" si="1"/>
        <v>29926.52</v>
      </c>
      <c r="AB10" s="542">
        <f t="shared" si="1"/>
        <v>39472.04</v>
      </c>
      <c r="AC10" s="542">
        <f t="shared" si="1"/>
        <v>39334.25</v>
      </c>
      <c r="AD10" s="542">
        <f t="shared" si="1"/>
        <v>41568.81</v>
      </c>
      <c r="AE10" s="542">
        <f t="shared" si="1"/>
        <v>38837.36</v>
      </c>
      <c r="AF10" s="542">
        <f t="shared" si="1"/>
        <v>39688.03</v>
      </c>
    </row>
    <row r="11">
      <c r="A11" s="1" t="s">
        <v>2923</v>
      </c>
      <c r="B11" s="546">
        <v>184.0</v>
      </c>
      <c r="C11" s="547">
        <v>174.0</v>
      </c>
      <c r="D11" s="1">
        <v>136.0</v>
      </c>
      <c r="E11" s="1">
        <v>372.0</v>
      </c>
      <c r="F11" s="1">
        <v>314.0</v>
      </c>
      <c r="G11" s="1">
        <v>283.0</v>
      </c>
      <c r="H11" s="1">
        <v>262.0</v>
      </c>
      <c r="I11" s="1">
        <v>212.0</v>
      </c>
      <c r="J11" s="1">
        <v>178.0</v>
      </c>
      <c r="K11" s="1">
        <v>289.0</v>
      </c>
      <c r="L11" s="1">
        <v>171.0</v>
      </c>
      <c r="M11" s="1">
        <v>113.0</v>
      </c>
      <c r="N11" s="1">
        <v>144.0</v>
      </c>
      <c r="O11" s="1">
        <v>136.0</v>
      </c>
      <c r="P11" s="1">
        <v>176.0</v>
      </c>
      <c r="Q11" s="1">
        <v>146.0</v>
      </c>
      <c r="R11" s="1">
        <f>253-69</f>
        <v>184</v>
      </c>
      <c r="S11" s="1">
        <v>119.0</v>
      </c>
      <c r="T11" s="1">
        <v>138.0</v>
      </c>
      <c r="U11" s="1">
        <v>133.0</v>
      </c>
      <c r="V11" s="1">
        <v>158.0</v>
      </c>
      <c r="W11" s="1">
        <v>157.0</v>
      </c>
      <c r="X11" s="1">
        <v>127.0</v>
      </c>
      <c r="Y11" s="1">
        <v>152.0</v>
      </c>
      <c r="Z11" s="1">
        <v>141.0</v>
      </c>
      <c r="AA11" s="1">
        <v>112.0</v>
      </c>
      <c r="AB11" s="1">
        <v>145.0</v>
      </c>
      <c r="AC11" s="1">
        <v>156.0</v>
      </c>
      <c r="AD11" s="1">
        <v>164.0</v>
      </c>
      <c r="AE11" s="1">
        <v>135.0</v>
      </c>
      <c r="AF11" s="1">
        <v>140.0</v>
      </c>
    </row>
    <row r="12">
      <c r="B12" s="335"/>
      <c r="C12" s="335"/>
    </row>
    <row r="13">
      <c r="A13" s="535" t="s">
        <v>2927</v>
      </c>
      <c r="B13" s="538">
        <v>6003.49</v>
      </c>
      <c r="C13" s="538">
        <v>5666.34</v>
      </c>
      <c r="D13" s="539">
        <v>5287.53</v>
      </c>
      <c r="E13" s="539">
        <v>5405.32</v>
      </c>
      <c r="F13" s="539">
        <v>5448.5</v>
      </c>
      <c r="G13" s="539">
        <v>6253.48</v>
      </c>
      <c r="H13" s="539">
        <v>4657.96</v>
      </c>
      <c r="I13" s="539">
        <v>4892.4</v>
      </c>
      <c r="J13" s="539">
        <v>4507.56</v>
      </c>
      <c r="K13" s="539">
        <v>4379.15</v>
      </c>
      <c r="L13" s="539">
        <v>4295.76</v>
      </c>
      <c r="M13" s="539">
        <v>4171.36</v>
      </c>
      <c r="N13" s="539">
        <v>4409.89</v>
      </c>
      <c r="O13" s="539">
        <v>4930.36</v>
      </c>
      <c r="P13" s="539">
        <v>5160.51</v>
      </c>
      <c r="Q13" s="539">
        <v>4972.37</v>
      </c>
      <c r="R13" s="539">
        <v>4662.58</v>
      </c>
      <c r="S13" s="539">
        <v>4469.93</v>
      </c>
      <c r="T13" s="539">
        <v>5539.33</v>
      </c>
      <c r="U13" s="539">
        <v>6580.63</v>
      </c>
      <c r="V13" s="539">
        <v>8133.65</v>
      </c>
      <c r="W13" s="539">
        <v>9351.24</v>
      </c>
      <c r="X13" s="539">
        <v>8863.02</v>
      </c>
      <c r="Y13" s="539">
        <v>8805.28</v>
      </c>
      <c r="Z13" s="539">
        <v>8629.72</v>
      </c>
      <c r="AA13" s="539">
        <v>8138.59</v>
      </c>
      <c r="AB13" s="539">
        <v>6958.98</v>
      </c>
      <c r="AC13" s="539">
        <v>7798.06</v>
      </c>
      <c r="AD13" s="539">
        <v>7872.09</v>
      </c>
      <c r="AE13" s="539">
        <v>9682.09</v>
      </c>
      <c r="AF13" s="539">
        <v>9677.62</v>
      </c>
    </row>
    <row r="14">
      <c r="A14" s="535" t="s">
        <v>2929</v>
      </c>
      <c r="B14" s="538">
        <v>2600.0</v>
      </c>
      <c r="C14" s="538">
        <v>2990.0</v>
      </c>
      <c r="D14" s="539">
        <v>2520.0</v>
      </c>
      <c r="E14" s="539">
        <v>3230.0</v>
      </c>
      <c r="F14" s="539">
        <v>3500.0</v>
      </c>
      <c r="G14" s="539">
        <v>2296.12</v>
      </c>
      <c r="H14" s="539">
        <v>2822.09</v>
      </c>
      <c r="I14" s="539">
        <v>2213.61</v>
      </c>
      <c r="J14" s="539">
        <v>1789.04</v>
      </c>
      <c r="K14" s="539">
        <v>2123.89</v>
      </c>
      <c r="L14" s="539">
        <v>1479.12</v>
      </c>
      <c r="M14" s="539">
        <v>1610.83</v>
      </c>
      <c r="N14" s="539">
        <v>1900.0</v>
      </c>
      <c r="O14" s="539">
        <v>2220.0</v>
      </c>
      <c r="P14" s="539">
        <v>2618.92</v>
      </c>
      <c r="Q14" s="539">
        <v>2856.36</v>
      </c>
      <c r="R14" s="539">
        <v>2308.9</v>
      </c>
      <c r="S14" s="539">
        <v>2076.88</v>
      </c>
      <c r="T14" s="539">
        <v>2047.28</v>
      </c>
      <c r="U14" s="539">
        <v>2396.9</v>
      </c>
      <c r="V14" s="539">
        <v>2607.87</v>
      </c>
      <c r="W14" s="539">
        <v>2318.01</v>
      </c>
      <c r="X14" s="539">
        <v>2109.62</v>
      </c>
      <c r="Y14" s="539">
        <v>2052.02</v>
      </c>
      <c r="Z14" s="539">
        <v>1595.22</v>
      </c>
      <c r="AA14" s="539">
        <v>1830.99</v>
      </c>
      <c r="AB14" s="539">
        <v>1987.12</v>
      </c>
      <c r="AC14" s="539">
        <v>2012.09</v>
      </c>
      <c r="AD14" s="539">
        <v>2048.27</v>
      </c>
      <c r="AE14" s="539">
        <v>1765.94</v>
      </c>
      <c r="AF14" s="539">
        <v>1573.76</v>
      </c>
    </row>
    <row r="15">
      <c r="A15" s="535" t="s">
        <v>2933</v>
      </c>
      <c r="B15" s="538">
        <v>83.03</v>
      </c>
      <c r="C15" s="538">
        <v>91.99</v>
      </c>
      <c r="D15" s="539">
        <v>89.3</v>
      </c>
      <c r="E15" s="539">
        <v>155.15</v>
      </c>
      <c r="F15" s="539">
        <v>152.58</v>
      </c>
      <c r="G15" s="539">
        <v>154.02</v>
      </c>
      <c r="H15" s="539">
        <v>126.99</v>
      </c>
      <c r="I15" s="539">
        <v>139.77</v>
      </c>
      <c r="J15" s="539">
        <v>148.1</v>
      </c>
      <c r="K15" s="539">
        <v>137.47</v>
      </c>
      <c r="L15" s="539">
        <v>129.34</v>
      </c>
      <c r="M15" s="539">
        <v>109.4</v>
      </c>
      <c r="N15" s="539">
        <v>113.26</v>
      </c>
      <c r="O15" s="539">
        <v>69.12</v>
      </c>
      <c r="P15" s="539">
        <v>84.21</v>
      </c>
      <c r="Q15" s="539">
        <v>125.1</v>
      </c>
      <c r="R15" s="539">
        <v>72.17</v>
      </c>
      <c r="S15" s="539">
        <v>71.99</v>
      </c>
      <c r="T15" s="539">
        <v>86.35</v>
      </c>
      <c r="U15" s="539">
        <v>75.36</v>
      </c>
      <c r="V15" s="539">
        <v>52.14</v>
      </c>
      <c r="W15" s="539">
        <v>80.81</v>
      </c>
      <c r="X15" s="539">
        <v>82.51</v>
      </c>
      <c r="Y15" s="539">
        <v>104.32</v>
      </c>
      <c r="Z15" s="539">
        <v>96.31</v>
      </c>
      <c r="AA15" s="539">
        <v>65.31</v>
      </c>
      <c r="AB15" s="539">
        <v>78.43</v>
      </c>
      <c r="AC15" s="539">
        <v>69.32</v>
      </c>
      <c r="AD15" s="539">
        <v>66.38</v>
      </c>
      <c r="AE15" s="539">
        <v>88.33</v>
      </c>
      <c r="AF15" s="539">
        <v>78.76</v>
      </c>
    </row>
    <row r="16">
      <c r="A16" s="535" t="s">
        <v>2934</v>
      </c>
      <c r="B16" s="548"/>
      <c r="C16" s="548"/>
      <c r="D16" s="548"/>
      <c r="E16" s="548"/>
      <c r="F16" s="548"/>
      <c r="G16" s="549">
        <v>248.33</v>
      </c>
      <c r="H16" s="549">
        <v>248.96</v>
      </c>
      <c r="I16" s="548"/>
      <c r="J16" s="548"/>
      <c r="K16" s="548"/>
      <c r="L16" s="548"/>
      <c r="M16" s="548"/>
      <c r="N16" s="548"/>
      <c r="O16" s="548"/>
      <c r="P16" s="548"/>
      <c r="Q16" s="548"/>
      <c r="R16" s="548"/>
      <c r="S16" s="548"/>
      <c r="T16" s="548"/>
      <c r="U16" s="548"/>
      <c r="V16" s="548"/>
      <c r="W16" s="548"/>
      <c r="X16" s="548"/>
      <c r="Y16" s="548"/>
      <c r="Z16" s="548"/>
      <c r="AA16" s="548"/>
      <c r="AB16" s="548"/>
      <c r="AC16" s="548"/>
      <c r="AD16" s="548"/>
      <c r="AE16" s="548"/>
      <c r="AF16" s="548"/>
    </row>
    <row r="17">
      <c r="A17" s="535" t="s">
        <v>113</v>
      </c>
      <c r="B17" s="548"/>
      <c r="C17" s="548"/>
      <c r="D17" s="548"/>
      <c r="E17" s="548"/>
      <c r="F17" s="548"/>
      <c r="G17" s="548"/>
      <c r="H17" s="548"/>
      <c r="I17" s="548"/>
      <c r="J17" s="548"/>
      <c r="K17" s="548"/>
      <c r="L17" s="548"/>
      <c r="M17" s="548"/>
      <c r="N17" s="548"/>
      <c r="O17" s="548"/>
      <c r="P17" s="548"/>
      <c r="Q17" s="548"/>
      <c r="R17" s="548"/>
      <c r="S17" s="548"/>
      <c r="T17" s="548"/>
      <c r="U17" s="548"/>
      <c r="V17" s="548"/>
      <c r="W17" s="548"/>
      <c r="X17" s="548"/>
      <c r="Y17" s="548"/>
      <c r="Z17" s="548"/>
      <c r="AA17" s="548"/>
      <c r="AB17" s="548"/>
      <c r="AC17" s="548"/>
      <c r="AD17" s="548"/>
      <c r="AE17" s="548"/>
      <c r="AF17" s="548"/>
    </row>
    <row r="18">
      <c r="A18" s="1" t="s">
        <v>2938</v>
      </c>
      <c r="B18" s="539"/>
      <c r="C18" s="539"/>
      <c r="D18" s="539"/>
      <c r="E18" s="539"/>
      <c r="F18" s="539"/>
      <c r="G18" s="539"/>
      <c r="H18" s="539">
        <v>0.0</v>
      </c>
      <c r="I18" s="539">
        <v>0.0</v>
      </c>
      <c r="J18" s="539">
        <v>0.0</v>
      </c>
      <c r="K18" s="539">
        <v>15.47</v>
      </c>
      <c r="L18" s="539">
        <v>0.0</v>
      </c>
      <c r="M18" s="539">
        <v>0.0</v>
      </c>
      <c r="N18" s="539">
        <v>0.0</v>
      </c>
      <c r="O18" s="539">
        <v>0.0</v>
      </c>
      <c r="P18" s="539">
        <v>0.0</v>
      </c>
      <c r="Q18" s="539">
        <v>0.0</v>
      </c>
      <c r="R18" s="539">
        <v>0.0</v>
      </c>
      <c r="S18" s="539">
        <v>0.0</v>
      </c>
      <c r="T18" s="539">
        <v>0.0</v>
      </c>
      <c r="U18" s="539">
        <f>63.03+70.29 </f>
        <v>133.32</v>
      </c>
      <c r="V18" s="539">
        <v>0.0</v>
      </c>
      <c r="W18" s="539">
        <v>0.0</v>
      </c>
      <c r="X18" s="539">
        <v>0.0</v>
      </c>
      <c r="Y18" s="539">
        <v>0.0</v>
      </c>
      <c r="Z18" s="539">
        <v>0.0</v>
      </c>
      <c r="AA18" s="539">
        <v>0.0</v>
      </c>
      <c r="AB18" s="539">
        <v>50.08</v>
      </c>
      <c r="AC18" s="539">
        <v>0.0</v>
      </c>
      <c r="AD18" s="539">
        <v>0.0</v>
      </c>
      <c r="AE18" s="539">
        <v>0.0</v>
      </c>
      <c r="AF18" s="539">
        <v>59.8</v>
      </c>
    </row>
    <row r="19">
      <c r="A19" s="553" t="s">
        <v>2939</v>
      </c>
      <c r="B19" s="554">
        <f t="shared" ref="B19:AF19" si="2">SUM(B13:B18)</f>
        <v>8686.52</v>
      </c>
      <c r="C19" s="554">
        <f t="shared" si="2"/>
        <v>8748.33</v>
      </c>
      <c r="D19" s="554">
        <f t="shared" si="2"/>
        <v>7896.83</v>
      </c>
      <c r="E19" s="554">
        <f t="shared" si="2"/>
        <v>8790.47</v>
      </c>
      <c r="F19" s="554">
        <f t="shared" si="2"/>
        <v>9101.08</v>
      </c>
      <c r="G19" s="554">
        <f t="shared" si="2"/>
        <v>8951.95</v>
      </c>
      <c r="H19" s="554">
        <f t="shared" si="2"/>
        <v>7856</v>
      </c>
      <c r="I19" s="554">
        <f t="shared" si="2"/>
        <v>7245.78</v>
      </c>
      <c r="J19" s="554">
        <f t="shared" si="2"/>
        <v>6444.7</v>
      </c>
      <c r="K19" s="554">
        <f t="shared" si="2"/>
        <v>6655.98</v>
      </c>
      <c r="L19" s="554">
        <f t="shared" si="2"/>
        <v>5904.22</v>
      </c>
      <c r="M19" s="554">
        <f t="shared" si="2"/>
        <v>5891.59</v>
      </c>
      <c r="N19" s="554">
        <f t="shared" si="2"/>
        <v>6423.15</v>
      </c>
      <c r="O19" s="554">
        <f t="shared" si="2"/>
        <v>7219.48</v>
      </c>
      <c r="P19" s="554">
        <f t="shared" si="2"/>
        <v>7863.64</v>
      </c>
      <c r="Q19" s="554">
        <f t="shared" si="2"/>
        <v>7953.83</v>
      </c>
      <c r="R19" s="554">
        <f t="shared" si="2"/>
        <v>7043.65</v>
      </c>
      <c r="S19" s="554">
        <f t="shared" si="2"/>
        <v>6618.8</v>
      </c>
      <c r="T19" s="554">
        <f t="shared" si="2"/>
        <v>7672.96</v>
      </c>
      <c r="U19" s="554">
        <f t="shared" si="2"/>
        <v>9186.21</v>
      </c>
      <c r="V19" s="554">
        <f t="shared" si="2"/>
        <v>10793.66</v>
      </c>
      <c r="W19" s="554">
        <f t="shared" si="2"/>
        <v>11750.06</v>
      </c>
      <c r="X19" s="554">
        <f t="shared" si="2"/>
        <v>11055.15</v>
      </c>
      <c r="Y19" s="554">
        <f t="shared" si="2"/>
        <v>10961.62</v>
      </c>
      <c r="Z19" s="554">
        <f t="shared" si="2"/>
        <v>10321.25</v>
      </c>
      <c r="AA19" s="554">
        <f t="shared" si="2"/>
        <v>10034.89</v>
      </c>
      <c r="AB19" s="554">
        <f t="shared" si="2"/>
        <v>9074.61</v>
      </c>
      <c r="AC19" s="554">
        <f t="shared" si="2"/>
        <v>9879.47</v>
      </c>
      <c r="AD19" s="554">
        <f t="shared" si="2"/>
        <v>9986.74</v>
      </c>
      <c r="AE19" s="554">
        <f t="shared" si="2"/>
        <v>11536.36</v>
      </c>
      <c r="AF19" s="554">
        <f t="shared" si="2"/>
        <v>11389.94</v>
      </c>
    </row>
    <row r="21">
      <c r="A21" s="535" t="s">
        <v>428</v>
      </c>
      <c r="B21" s="558">
        <f t="shared" ref="B21:AF21" si="3">B10/B19</f>
        <v>3.925148391</v>
      </c>
      <c r="C21" s="558">
        <f t="shared" si="3"/>
        <v>3.616841157</v>
      </c>
      <c r="D21" s="558">
        <f t="shared" si="3"/>
        <v>2.697111373</v>
      </c>
      <c r="E21" s="558">
        <f t="shared" si="3"/>
        <v>10.11766038</v>
      </c>
      <c r="F21" s="558">
        <f t="shared" si="3"/>
        <v>8.55493414</v>
      </c>
      <c r="G21" s="558">
        <f t="shared" si="3"/>
        <v>7.965009858</v>
      </c>
      <c r="H21" s="558">
        <f t="shared" si="3"/>
        <v>8.579605397</v>
      </c>
      <c r="I21" s="558">
        <f t="shared" si="3"/>
        <v>6.259131522</v>
      </c>
      <c r="J21" s="558">
        <f t="shared" si="3"/>
        <v>6.530983599</v>
      </c>
      <c r="K21" s="558">
        <f t="shared" si="3"/>
        <v>8.12964432</v>
      </c>
      <c r="L21" s="558">
        <f t="shared" si="3"/>
        <v>6.335841144</v>
      </c>
      <c r="M21" s="558">
        <f t="shared" si="3"/>
        <v>4.524082633</v>
      </c>
      <c r="N21" s="558">
        <f t="shared" si="3"/>
        <v>5.554923986</v>
      </c>
      <c r="O21" s="558">
        <f t="shared" si="3"/>
        <v>4.436550832</v>
      </c>
      <c r="P21" s="558">
        <f t="shared" si="3"/>
        <v>5.269819066</v>
      </c>
      <c r="Q21" s="558">
        <f t="shared" si="3"/>
        <v>4.236190615</v>
      </c>
      <c r="R21" s="558">
        <f t="shared" si="3"/>
        <v>4.962760785</v>
      </c>
      <c r="S21" s="558">
        <f t="shared" si="3"/>
        <v>4.363741162</v>
      </c>
      <c r="T21" s="558">
        <f t="shared" si="3"/>
        <v>4.476895488</v>
      </c>
      <c r="U21" s="558">
        <f t="shared" si="3"/>
        <v>3.859089875</v>
      </c>
      <c r="V21" s="558">
        <f t="shared" si="3"/>
        <v>3.846997219</v>
      </c>
      <c r="W21" s="558">
        <f t="shared" si="3"/>
        <v>3.129782316</v>
      </c>
      <c r="X21" s="558">
        <f t="shared" si="3"/>
        <v>3.019949074</v>
      </c>
      <c r="Y21" s="558">
        <f t="shared" si="3"/>
        <v>3.487150622</v>
      </c>
      <c r="Z21" s="558">
        <f t="shared" si="3"/>
        <v>3.585923217</v>
      </c>
      <c r="AA21" s="558">
        <f t="shared" si="3"/>
        <v>2.98224694</v>
      </c>
      <c r="AB21" s="558">
        <f t="shared" si="3"/>
        <v>4.349723018</v>
      </c>
      <c r="AC21" s="558">
        <f t="shared" si="3"/>
        <v>3.981412971</v>
      </c>
      <c r="AD21" s="558">
        <f t="shared" si="3"/>
        <v>4.162400343</v>
      </c>
      <c r="AE21" s="558">
        <f t="shared" si="3"/>
        <v>3.366517688</v>
      </c>
      <c r="AF21" s="558">
        <f t="shared" si="3"/>
        <v>3.484481042</v>
      </c>
    </row>
    <row r="22">
      <c r="A22" s="535" t="s">
        <v>2946</v>
      </c>
      <c r="B22" s="561">
        <f t="shared" ref="B22:AF22" si="4">B19/B11</f>
        <v>47.20934783</v>
      </c>
      <c r="C22" s="561">
        <f t="shared" si="4"/>
        <v>50.27775862</v>
      </c>
      <c r="D22" s="561">
        <f t="shared" si="4"/>
        <v>58.06492647</v>
      </c>
      <c r="E22" s="561">
        <f t="shared" si="4"/>
        <v>23.6302957</v>
      </c>
      <c r="F22" s="561">
        <f t="shared" si="4"/>
        <v>28.98433121</v>
      </c>
      <c r="G22" s="561">
        <f t="shared" si="4"/>
        <v>31.63233216</v>
      </c>
      <c r="H22" s="561">
        <f t="shared" si="4"/>
        <v>29.98473282</v>
      </c>
      <c r="I22" s="561">
        <f t="shared" si="4"/>
        <v>34.17820755</v>
      </c>
      <c r="J22" s="561">
        <f t="shared" si="4"/>
        <v>36.20617978</v>
      </c>
      <c r="K22" s="561">
        <f t="shared" si="4"/>
        <v>23.03107266</v>
      </c>
      <c r="L22" s="561">
        <f t="shared" si="4"/>
        <v>34.52760234</v>
      </c>
      <c r="M22" s="561">
        <f t="shared" si="4"/>
        <v>52.1379646</v>
      </c>
      <c r="N22" s="561">
        <f t="shared" si="4"/>
        <v>44.60520833</v>
      </c>
      <c r="O22" s="561">
        <f t="shared" si="4"/>
        <v>53.08441176</v>
      </c>
      <c r="P22" s="561">
        <f t="shared" si="4"/>
        <v>44.67977273</v>
      </c>
      <c r="Q22" s="561">
        <f t="shared" si="4"/>
        <v>54.47828767</v>
      </c>
      <c r="R22" s="561">
        <f t="shared" si="4"/>
        <v>38.28070652</v>
      </c>
      <c r="S22" s="561">
        <f t="shared" si="4"/>
        <v>55.62016807</v>
      </c>
      <c r="T22" s="561">
        <f t="shared" si="4"/>
        <v>55.60115942</v>
      </c>
      <c r="U22" s="561">
        <f t="shared" si="4"/>
        <v>69.06924812</v>
      </c>
      <c r="V22" s="561">
        <f t="shared" si="4"/>
        <v>68.3143038</v>
      </c>
      <c r="W22" s="561">
        <f t="shared" si="4"/>
        <v>74.8411465</v>
      </c>
      <c r="X22" s="561">
        <f t="shared" si="4"/>
        <v>87.0484252</v>
      </c>
      <c r="Y22" s="561">
        <f t="shared" si="4"/>
        <v>72.11592105</v>
      </c>
      <c r="Z22" s="561">
        <f t="shared" si="4"/>
        <v>73.20035461</v>
      </c>
      <c r="AA22" s="561">
        <f t="shared" si="4"/>
        <v>89.59723214</v>
      </c>
      <c r="AB22" s="561">
        <f t="shared" si="4"/>
        <v>62.58351724</v>
      </c>
      <c r="AC22" s="561">
        <f t="shared" si="4"/>
        <v>63.3299359</v>
      </c>
      <c r="AD22" s="561">
        <f t="shared" si="4"/>
        <v>60.8947561</v>
      </c>
      <c r="AE22" s="561">
        <f t="shared" si="4"/>
        <v>85.45451852</v>
      </c>
      <c r="AF22" s="561">
        <f t="shared" si="4"/>
        <v>81.35671429</v>
      </c>
    </row>
    <row r="23">
      <c r="A23" s="535" t="s">
        <v>2950</v>
      </c>
      <c r="B23" s="562">
        <v>0.0175</v>
      </c>
      <c r="C23" s="563">
        <v>0.0156</v>
      </c>
      <c r="D23" s="564">
        <v>0.0142</v>
      </c>
      <c r="E23" s="564">
        <v>0.0194</v>
      </c>
      <c r="F23" s="564">
        <v>0.0141</v>
      </c>
      <c r="G23" s="564">
        <v>0.012</v>
      </c>
      <c r="H23" s="564">
        <v>0.0145</v>
      </c>
      <c r="I23" s="564">
        <v>0.0143</v>
      </c>
      <c r="J23" s="564">
        <v>0.0138</v>
      </c>
      <c r="K23" s="564">
        <v>0.0227</v>
      </c>
      <c r="L23" s="564">
        <v>0.017</v>
      </c>
      <c r="M23" s="564">
        <v>0.0106</v>
      </c>
      <c r="N23" s="564">
        <v>0.0138</v>
      </c>
      <c r="O23" s="564">
        <v>0.0127</v>
      </c>
      <c r="P23" s="564">
        <v>0.0157</v>
      </c>
      <c r="Q23" s="564">
        <v>0.0131</v>
      </c>
      <c r="R23" s="564">
        <v>0.0174</v>
      </c>
      <c r="S23" s="564">
        <v>0.0124</v>
      </c>
      <c r="T23" s="564">
        <v>0.0112</v>
      </c>
      <c r="U23" s="564">
        <v>0.0103</v>
      </c>
      <c r="V23" s="564">
        <v>0.0106</v>
      </c>
      <c r="W23" s="564">
        <v>0.0099</v>
      </c>
      <c r="X23" s="564">
        <v>0.0095</v>
      </c>
      <c r="Y23" s="564">
        <v>0.0088</v>
      </c>
      <c r="Z23" s="564">
        <v>0.009</v>
      </c>
      <c r="AA23" s="564">
        <v>0.0096</v>
      </c>
      <c r="AB23" s="564">
        <v>0.0108</v>
      </c>
      <c r="AC23" s="564">
        <v>0.0112</v>
      </c>
      <c r="AD23" s="564">
        <v>0.0121</v>
      </c>
      <c r="AE23" s="564">
        <v>0.0101</v>
      </c>
      <c r="AF23" s="564">
        <v>0.0096</v>
      </c>
    </row>
    <row r="24">
      <c r="A24" s="535" t="s">
        <v>2954</v>
      </c>
      <c r="B24" s="539">
        <f t="shared" ref="B24:AF24" si="5">B10/B11</f>
        <v>185.3036957</v>
      </c>
      <c r="C24" s="539">
        <f t="shared" si="5"/>
        <v>181.8466667</v>
      </c>
      <c r="D24" s="539">
        <f t="shared" si="5"/>
        <v>156.6075735</v>
      </c>
      <c r="E24" s="539">
        <f t="shared" si="5"/>
        <v>239.0833065</v>
      </c>
      <c r="F24" s="539">
        <f t="shared" si="5"/>
        <v>247.9590446</v>
      </c>
      <c r="G24" s="539">
        <f t="shared" si="5"/>
        <v>251.9518375</v>
      </c>
      <c r="H24" s="539">
        <f t="shared" si="5"/>
        <v>257.2571756</v>
      </c>
      <c r="I24" s="539">
        <f t="shared" si="5"/>
        <v>213.9258962</v>
      </c>
      <c r="J24" s="539">
        <f t="shared" si="5"/>
        <v>236.4619663</v>
      </c>
      <c r="K24" s="539">
        <f t="shared" si="5"/>
        <v>187.2344291</v>
      </c>
      <c r="L24" s="539">
        <f t="shared" si="5"/>
        <v>218.7614035</v>
      </c>
      <c r="M24" s="539">
        <f t="shared" si="5"/>
        <v>235.8764602</v>
      </c>
      <c r="N24" s="539">
        <f t="shared" si="5"/>
        <v>247.7785417</v>
      </c>
      <c r="O24" s="539">
        <f t="shared" si="5"/>
        <v>235.5116912</v>
      </c>
      <c r="P24" s="539">
        <f t="shared" si="5"/>
        <v>235.4543182</v>
      </c>
      <c r="Q24" s="539">
        <f t="shared" si="5"/>
        <v>230.780411</v>
      </c>
      <c r="R24" s="539">
        <f t="shared" si="5"/>
        <v>189.9779891</v>
      </c>
      <c r="S24" s="539">
        <f t="shared" si="5"/>
        <v>242.7120168</v>
      </c>
      <c r="T24" s="539">
        <f t="shared" si="5"/>
        <v>248.9205797</v>
      </c>
      <c r="U24" s="539">
        <f t="shared" si="5"/>
        <v>266.5444361</v>
      </c>
      <c r="V24" s="539">
        <f t="shared" si="5"/>
        <v>262.8049367</v>
      </c>
      <c r="W24" s="539">
        <f t="shared" si="5"/>
        <v>234.2364968</v>
      </c>
      <c r="X24" s="539">
        <f t="shared" si="5"/>
        <v>262.881811</v>
      </c>
      <c r="Y24" s="539">
        <f t="shared" si="5"/>
        <v>251.4790789</v>
      </c>
      <c r="Z24" s="539">
        <f t="shared" si="5"/>
        <v>262.4908511</v>
      </c>
      <c r="AA24" s="539">
        <f t="shared" si="5"/>
        <v>267.2010714</v>
      </c>
      <c r="AB24" s="539">
        <f t="shared" si="5"/>
        <v>272.2209655</v>
      </c>
      <c r="AC24" s="539">
        <f t="shared" si="5"/>
        <v>252.1426282</v>
      </c>
      <c r="AD24" s="539">
        <f t="shared" si="5"/>
        <v>253.4683537</v>
      </c>
      <c r="AE24" s="539">
        <f t="shared" si="5"/>
        <v>287.6841481</v>
      </c>
      <c r="AF24" s="539">
        <f t="shared" si="5"/>
        <v>283.4859286</v>
      </c>
    </row>
    <row r="25">
      <c r="A25" s="535" t="s">
        <v>2958</v>
      </c>
      <c r="B25" s="539">
        <v>218.0977953</v>
      </c>
      <c r="C25" s="539">
        <v>213.02</v>
      </c>
      <c r="D25" s="539">
        <v>165.4201042</v>
      </c>
      <c r="E25" s="539">
        <v>274.634635</v>
      </c>
      <c r="F25" s="539">
        <v>276.5014343</v>
      </c>
      <c r="G25" s="539">
        <v>278.5923404</v>
      </c>
      <c r="H25" s="539">
        <v>277.4609767</v>
      </c>
      <c r="I25" s="539">
        <v>252.4538462</v>
      </c>
      <c r="J25" s="539">
        <v>264.7903401</v>
      </c>
      <c r="K25" s="539">
        <v>227.3596875</v>
      </c>
      <c r="L25" s="539">
        <v>261.5797391</v>
      </c>
      <c r="M25" s="539">
        <v>266.4298889</v>
      </c>
      <c r="N25" s="539">
        <v>267.2038261</v>
      </c>
      <c r="O25" s="539">
        <v>278.1639623</v>
      </c>
      <c r="P25" s="539">
        <v>252.998951</v>
      </c>
      <c r="Q25" s="539">
        <v>256.165463</v>
      </c>
      <c r="R25" s="539">
        <v>219.0960714</v>
      </c>
      <c r="S25" s="539">
        <v>268.3286813</v>
      </c>
      <c r="T25" s="539">
        <v>288.9156481</v>
      </c>
      <c r="U25" s="539">
        <v>287.7029245</v>
      </c>
      <c r="V25" s="539">
        <v>285.6303125</v>
      </c>
      <c r="W25" s="539">
        <v>266.162541</v>
      </c>
      <c r="X25" s="539">
        <v>278.8422</v>
      </c>
      <c r="Y25" s="539">
        <v>265.78616</v>
      </c>
      <c r="Z25" s="539">
        <v>287.0068696</v>
      </c>
      <c r="AA25" s="539">
        <v>282.7894565</v>
      </c>
      <c r="AB25" s="539">
        <v>287.54464</v>
      </c>
      <c r="AC25" s="539">
        <v>277.4262992</v>
      </c>
      <c r="AD25" s="539">
        <v>278.8615714</v>
      </c>
      <c r="AE25" s="539">
        <v>306.6281818</v>
      </c>
      <c r="AF25" s="539">
        <v>300.16</v>
      </c>
    </row>
    <row r="26">
      <c r="A26" s="535" t="s">
        <v>2962</v>
      </c>
      <c r="B26" s="539">
        <v>112.2361404</v>
      </c>
      <c r="C26" s="539">
        <v>112.57</v>
      </c>
      <c r="D26" s="539">
        <v>86.11</v>
      </c>
      <c r="E26" s="539">
        <v>138.9259184</v>
      </c>
      <c r="F26" s="539">
        <v>131.0838095</v>
      </c>
      <c r="G26" s="539">
        <v>121.524375</v>
      </c>
      <c r="H26" s="539">
        <v>164.8355319</v>
      </c>
      <c r="I26" s="539">
        <v>105.2698214</v>
      </c>
      <c r="J26" s="539">
        <v>102.1306452</v>
      </c>
      <c r="K26" s="539">
        <v>137.4666667</v>
      </c>
      <c r="L26" s="539">
        <v>130.8308929</v>
      </c>
      <c r="M26" s="539">
        <v>116.3195652</v>
      </c>
      <c r="N26" s="539">
        <v>170.7472414</v>
      </c>
      <c r="O26" s="539">
        <v>84.807</v>
      </c>
      <c r="P26" s="539">
        <v>150.6036364</v>
      </c>
      <c r="Q26" s="539">
        <v>146.3792105</v>
      </c>
      <c r="R26" s="539">
        <v>101.9642857</v>
      </c>
      <c r="S26" s="539">
        <v>159.4578571</v>
      </c>
      <c r="T26" s="539">
        <v>102.063</v>
      </c>
      <c r="U26" s="539">
        <v>183.4777778</v>
      </c>
      <c r="V26" s="539">
        <v>164.201</v>
      </c>
      <c r="W26" s="539">
        <v>120.8314286</v>
      </c>
      <c r="X26" s="539">
        <v>194.9085185</v>
      </c>
      <c r="Y26" s="539">
        <v>185.2425926</v>
      </c>
      <c r="Z26" s="539">
        <v>118.2230769</v>
      </c>
      <c r="AA26" s="539">
        <v>195.4945</v>
      </c>
      <c r="AB26" s="539">
        <v>176.448</v>
      </c>
      <c r="AC26" s="539">
        <v>146.4682143</v>
      </c>
      <c r="AD26" s="539">
        <v>109.9213043</v>
      </c>
      <c r="AE26" s="539">
        <v>118.9535714</v>
      </c>
      <c r="AF26" s="539">
        <v>189.02</v>
      </c>
    </row>
    <row r="28">
      <c r="A28" s="535" t="s">
        <v>2963</v>
      </c>
    </row>
    <row r="29">
      <c r="A29" s="1" t="s">
        <v>2964</v>
      </c>
      <c r="B29" s="564">
        <v>0.3098</v>
      </c>
      <c r="C29" s="564">
        <v>0.3103</v>
      </c>
      <c r="D29" s="564">
        <v>0.2941</v>
      </c>
      <c r="E29" s="564">
        <v>0.2634</v>
      </c>
      <c r="F29" s="564">
        <v>0.2006</v>
      </c>
      <c r="G29" s="564">
        <v>0.1696</v>
      </c>
      <c r="H29" s="564">
        <v>0.1794</v>
      </c>
      <c r="I29" s="564">
        <v>0.2642</v>
      </c>
      <c r="J29" s="564">
        <v>0.1742</v>
      </c>
      <c r="K29" s="564">
        <v>0.4464</v>
      </c>
      <c r="L29" s="564">
        <v>0.3275</v>
      </c>
      <c r="M29" s="564">
        <v>0.2035</v>
      </c>
      <c r="N29" s="564">
        <v>0.2014</v>
      </c>
      <c r="O29" s="564">
        <v>0.2206</v>
      </c>
      <c r="P29" s="564">
        <v>0.1875</v>
      </c>
      <c r="Q29" s="564">
        <v>0.2603</v>
      </c>
      <c r="R29" s="564">
        <v>0.2283</v>
      </c>
      <c r="S29" s="564">
        <v>0.2353</v>
      </c>
      <c r="T29" s="564">
        <v>0.2174</v>
      </c>
      <c r="U29" s="564">
        <v>0.203</v>
      </c>
      <c r="V29" s="564">
        <v>0.1899</v>
      </c>
      <c r="W29" s="564">
        <v>0.2229</v>
      </c>
      <c r="X29" s="564">
        <v>0.2126</v>
      </c>
      <c r="Y29" s="564">
        <v>0.1776</v>
      </c>
      <c r="Z29" s="564">
        <v>0.1844</v>
      </c>
      <c r="AA29" s="564">
        <v>0.1786</v>
      </c>
      <c r="AB29" s="564">
        <v>0.1379</v>
      </c>
      <c r="AC29" s="564">
        <v>0.1806</v>
      </c>
      <c r="AD29" s="564">
        <v>0.1411</v>
      </c>
      <c r="AE29" s="564">
        <v>0.1037</v>
      </c>
      <c r="AF29" s="564">
        <v>0.15</v>
      </c>
    </row>
    <row r="30">
      <c r="A30" s="1" t="s">
        <v>2965</v>
      </c>
      <c r="B30" s="566">
        <f t="shared" ref="B30:E30" si="6">1-B29</f>
        <v>0.6902</v>
      </c>
      <c r="C30" s="566">
        <f t="shared" si="6"/>
        <v>0.6897</v>
      </c>
      <c r="D30" s="566">
        <f t="shared" si="6"/>
        <v>0.7059</v>
      </c>
      <c r="E30" s="566">
        <f t="shared" si="6"/>
        <v>0.7366</v>
      </c>
      <c r="F30" s="564">
        <v>0.7994</v>
      </c>
      <c r="G30" s="566">
        <f t="shared" ref="G30:AF30" si="7">1-G29</f>
        <v>0.8304</v>
      </c>
      <c r="H30" s="566">
        <f t="shared" si="7"/>
        <v>0.8206</v>
      </c>
      <c r="I30" s="566">
        <f t="shared" si="7"/>
        <v>0.7358</v>
      </c>
      <c r="J30" s="566">
        <f t="shared" si="7"/>
        <v>0.8258</v>
      </c>
      <c r="K30" s="566">
        <f t="shared" si="7"/>
        <v>0.5536</v>
      </c>
      <c r="L30" s="566">
        <f t="shared" si="7"/>
        <v>0.6725</v>
      </c>
      <c r="M30" s="566">
        <f t="shared" si="7"/>
        <v>0.7965</v>
      </c>
      <c r="N30" s="566">
        <f t="shared" si="7"/>
        <v>0.7986</v>
      </c>
      <c r="O30" s="566">
        <f t="shared" si="7"/>
        <v>0.7794</v>
      </c>
      <c r="P30" s="566">
        <f t="shared" si="7"/>
        <v>0.8125</v>
      </c>
      <c r="Q30" s="566">
        <f t="shared" si="7"/>
        <v>0.7397</v>
      </c>
      <c r="R30" s="566">
        <f t="shared" si="7"/>
        <v>0.7717</v>
      </c>
      <c r="S30" s="566">
        <f t="shared" si="7"/>
        <v>0.7647</v>
      </c>
      <c r="T30" s="566">
        <f t="shared" si="7"/>
        <v>0.7826</v>
      </c>
      <c r="U30" s="566">
        <f t="shared" si="7"/>
        <v>0.797</v>
      </c>
      <c r="V30" s="566">
        <f t="shared" si="7"/>
        <v>0.8101</v>
      </c>
      <c r="W30" s="566">
        <f t="shared" si="7"/>
        <v>0.7771</v>
      </c>
      <c r="X30" s="566">
        <f t="shared" si="7"/>
        <v>0.7874</v>
      </c>
      <c r="Y30" s="566">
        <f t="shared" si="7"/>
        <v>0.8224</v>
      </c>
      <c r="Z30" s="566">
        <f t="shared" si="7"/>
        <v>0.8156</v>
      </c>
      <c r="AA30" s="566">
        <f t="shared" si="7"/>
        <v>0.8214</v>
      </c>
      <c r="AB30" s="566">
        <f t="shared" si="7"/>
        <v>0.8621</v>
      </c>
      <c r="AC30" s="566">
        <f t="shared" si="7"/>
        <v>0.8194</v>
      </c>
      <c r="AD30" s="566">
        <f t="shared" si="7"/>
        <v>0.8589</v>
      </c>
      <c r="AE30" s="566">
        <f t="shared" si="7"/>
        <v>0.8963</v>
      </c>
      <c r="AF30" s="566">
        <f t="shared" si="7"/>
        <v>0.85</v>
      </c>
    </row>
    <row r="32">
      <c r="A32" s="535" t="s">
        <v>2972</v>
      </c>
    </row>
    <row r="33">
      <c r="A33" s="1" t="s">
        <v>2973</v>
      </c>
      <c r="B33" s="567">
        <v>0.2632</v>
      </c>
      <c r="C33" s="568">
        <v>0.3137</v>
      </c>
      <c r="D33" s="569">
        <v>0.1714</v>
      </c>
      <c r="E33" s="564">
        <v>0.1392</v>
      </c>
      <c r="F33" s="564">
        <v>0.101</v>
      </c>
      <c r="G33" s="564">
        <v>0.0667</v>
      </c>
      <c r="H33" s="564">
        <v>0.1519</v>
      </c>
      <c r="I33" s="564">
        <v>0.1923</v>
      </c>
      <c r="J33" s="564">
        <v>0.225</v>
      </c>
      <c r="K33" s="564">
        <v>0.2903</v>
      </c>
      <c r="L33" s="564">
        <v>0.2286</v>
      </c>
      <c r="M33" s="564">
        <v>0.3333</v>
      </c>
      <c r="N33" s="564">
        <v>0.1522</v>
      </c>
      <c r="O33" s="564">
        <v>0.1714</v>
      </c>
      <c r="P33" s="564">
        <v>0.1429</v>
      </c>
      <c r="Q33" s="564">
        <v>0.1765</v>
      </c>
      <c r="R33" s="564">
        <v>0.36</v>
      </c>
      <c r="S33" s="564">
        <v>0.1892</v>
      </c>
      <c r="T33" s="564">
        <v>0.1707</v>
      </c>
      <c r="U33" s="564">
        <v>0.1538</v>
      </c>
      <c r="V33" s="564">
        <v>0.4167</v>
      </c>
      <c r="W33" s="564">
        <v>0.4167</v>
      </c>
      <c r="X33" s="564">
        <v>0.3548</v>
      </c>
      <c r="Y33" s="564">
        <v>0.425</v>
      </c>
      <c r="Z33" s="564">
        <v>0.2857</v>
      </c>
      <c r="AA33" s="564">
        <v>0.2</v>
      </c>
      <c r="AB33" s="564">
        <v>0.3673</v>
      </c>
      <c r="AC33" s="564">
        <v>0.3158</v>
      </c>
      <c r="AD33" s="564">
        <v>0.3333</v>
      </c>
      <c r="AE33" s="564">
        <v>0.4211</v>
      </c>
      <c r="AF33" s="564">
        <v>0.5526</v>
      </c>
    </row>
    <row r="34">
      <c r="A34" s="1" t="s">
        <v>2974</v>
      </c>
      <c r="B34" s="570">
        <v>0.6842</v>
      </c>
      <c r="C34" s="571">
        <v>0.6471</v>
      </c>
      <c r="D34" s="572">
        <v>0.8286</v>
      </c>
      <c r="E34" s="564">
        <v>0.3418</v>
      </c>
      <c r="F34" s="564">
        <v>0.3434</v>
      </c>
      <c r="G34" s="564">
        <v>0.3867</v>
      </c>
      <c r="H34" s="564">
        <v>0.443</v>
      </c>
      <c r="I34" s="564">
        <v>0.4038</v>
      </c>
      <c r="J34" s="564">
        <v>0.5</v>
      </c>
      <c r="K34" s="564">
        <v>0.4516</v>
      </c>
      <c r="L34" s="564">
        <v>0.5429</v>
      </c>
      <c r="M34" s="564">
        <v>0.2667</v>
      </c>
      <c r="N34" s="564">
        <v>0.5</v>
      </c>
      <c r="O34" s="564">
        <v>0.4</v>
      </c>
      <c r="P34" s="564">
        <v>0.4694</v>
      </c>
      <c r="Q34" s="564">
        <v>0.4706</v>
      </c>
      <c r="R34" s="564">
        <v>0.44</v>
      </c>
      <c r="S34" s="564">
        <v>0.5135</v>
      </c>
      <c r="T34" s="564">
        <v>0.5366</v>
      </c>
      <c r="U34" s="564">
        <v>0.5</v>
      </c>
      <c r="V34" s="564">
        <v>0.4444</v>
      </c>
      <c r="W34" s="564">
        <v>0.4375</v>
      </c>
      <c r="X34" s="564">
        <v>0.5806</v>
      </c>
      <c r="Y34" s="564">
        <v>0.375</v>
      </c>
      <c r="Z34" s="564">
        <v>0.5238</v>
      </c>
      <c r="AA34" s="564">
        <v>0.5667</v>
      </c>
      <c r="AB34" s="564">
        <v>0.5714</v>
      </c>
      <c r="AC34" s="564">
        <v>0.4474</v>
      </c>
      <c r="AD34" s="566">
        <v>0.4706</v>
      </c>
      <c r="AE34" s="564">
        <v>0.4211</v>
      </c>
      <c r="AF34" s="564">
        <v>0.3158</v>
      </c>
    </row>
    <row r="35">
      <c r="A35" s="1" t="s">
        <v>2978</v>
      </c>
      <c r="B35" s="573">
        <v>0.0351</v>
      </c>
      <c r="C35" s="574">
        <v>0.0196</v>
      </c>
      <c r="D35" s="572">
        <v>0.0</v>
      </c>
      <c r="E35" s="564">
        <v>0.0</v>
      </c>
      <c r="F35" s="564">
        <v>0.0808</v>
      </c>
      <c r="G35" s="564">
        <v>0.1067</v>
      </c>
      <c r="H35" s="564">
        <v>0.1519</v>
      </c>
      <c r="I35" s="564">
        <v>0.0769</v>
      </c>
      <c r="J35" s="564">
        <v>0.075</v>
      </c>
      <c r="K35" s="564">
        <v>0.0161</v>
      </c>
      <c r="L35" s="564">
        <v>0.0857</v>
      </c>
      <c r="M35" s="564">
        <v>0.0667</v>
      </c>
      <c r="N35" s="564">
        <v>0.0435</v>
      </c>
      <c r="O35" s="564">
        <v>0.1429</v>
      </c>
      <c r="P35" s="564">
        <v>0.102</v>
      </c>
      <c r="Q35" s="564">
        <v>0.0588</v>
      </c>
      <c r="R35" s="564">
        <v>0.04</v>
      </c>
      <c r="S35" s="564">
        <v>0.0541</v>
      </c>
      <c r="T35" s="564">
        <v>0.122</v>
      </c>
      <c r="U35" s="564">
        <v>0.1538</v>
      </c>
      <c r="V35" s="564">
        <v>0.0833</v>
      </c>
      <c r="W35" s="564">
        <v>0.0417</v>
      </c>
      <c r="X35" s="564">
        <v>0.0</v>
      </c>
      <c r="Y35" s="564">
        <v>0.05</v>
      </c>
      <c r="Z35" s="564">
        <v>0.0476</v>
      </c>
      <c r="AA35" s="564">
        <v>0.1</v>
      </c>
      <c r="AB35" s="564">
        <v>0.0204</v>
      </c>
      <c r="AC35" s="564">
        <v>0.1053</v>
      </c>
      <c r="AD35" s="564">
        <v>0.0588</v>
      </c>
      <c r="AE35" s="564">
        <v>0.0526</v>
      </c>
      <c r="AF35" s="564">
        <v>0.0789</v>
      </c>
    </row>
    <row r="36">
      <c r="A36" s="1" t="s">
        <v>2979</v>
      </c>
      <c r="B36" s="575">
        <v>0.0</v>
      </c>
      <c r="C36" s="575">
        <v>0.0</v>
      </c>
      <c r="D36" s="572">
        <v>0.0</v>
      </c>
      <c r="E36" s="572">
        <v>0.0</v>
      </c>
      <c r="F36" s="572">
        <v>0.0</v>
      </c>
      <c r="G36" s="572">
        <v>0.0</v>
      </c>
      <c r="H36" s="572">
        <v>0.0</v>
      </c>
      <c r="I36" s="572">
        <v>0.0</v>
      </c>
      <c r="J36" s="572">
        <v>0.0</v>
      </c>
      <c r="K36" s="572">
        <v>0.0</v>
      </c>
      <c r="L36" s="572">
        <v>0.0</v>
      </c>
      <c r="M36" s="572">
        <v>0.0</v>
      </c>
      <c r="N36" s="564">
        <v>0.0</v>
      </c>
      <c r="O36" s="564">
        <v>0.0</v>
      </c>
      <c r="P36" s="564">
        <v>0.0</v>
      </c>
      <c r="Q36" s="564">
        <v>0.0</v>
      </c>
      <c r="R36" s="564">
        <v>0.0</v>
      </c>
      <c r="S36" s="564">
        <v>0.027</v>
      </c>
      <c r="T36" s="564">
        <v>0.0</v>
      </c>
      <c r="U36" s="564">
        <v>0.0</v>
      </c>
      <c r="V36" s="564">
        <v>0.0</v>
      </c>
      <c r="W36" s="564">
        <v>0.0</v>
      </c>
      <c r="X36" s="564">
        <v>0.0</v>
      </c>
      <c r="Y36" s="564">
        <v>0.0</v>
      </c>
      <c r="Z36" s="564">
        <v>0.0</v>
      </c>
      <c r="AA36" s="564">
        <v>0.0</v>
      </c>
      <c r="AB36" s="564">
        <v>0.0</v>
      </c>
      <c r="AC36" s="564">
        <v>0.0</v>
      </c>
      <c r="AD36" s="564">
        <v>0.0</v>
      </c>
      <c r="AE36" s="564">
        <v>0.0</v>
      </c>
      <c r="AF36" s="564">
        <v>0.0</v>
      </c>
    </row>
    <row r="37">
      <c r="A37" s="1" t="s">
        <v>103</v>
      </c>
      <c r="B37" s="575">
        <v>0.0</v>
      </c>
      <c r="C37" s="574">
        <v>0.0196</v>
      </c>
      <c r="D37" s="564">
        <v>0.0</v>
      </c>
      <c r="E37" s="564">
        <v>0.0127</v>
      </c>
      <c r="F37" s="564">
        <v>0.0202</v>
      </c>
      <c r="G37" s="564">
        <v>0.0</v>
      </c>
      <c r="H37" s="564">
        <v>0.0127</v>
      </c>
      <c r="I37" s="564">
        <v>0.0</v>
      </c>
      <c r="J37" s="572">
        <v>0.0</v>
      </c>
      <c r="K37" s="564">
        <v>0.0161</v>
      </c>
      <c r="L37" s="572">
        <v>0.0</v>
      </c>
      <c r="M37" s="572">
        <v>0.0</v>
      </c>
      <c r="N37" s="564">
        <v>0.0217</v>
      </c>
      <c r="O37" s="564">
        <v>0.0286</v>
      </c>
      <c r="P37" s="564">
        <v>0.0204</v>
      </c>
      <c r="Q37" s="564">
        <v>0.0294</v>
      </c>
      <c r="R37" s="564">
        <v>0.0</v>
      </c>
      <c r="S37" s="564">
        <v>0.027</v>
      </c>
      <c r="T37" s="564">
        <v>0.0244</v>
      </c>
      <c r="U37" s="564">
        <v>0.0</v>
      </c>
      <c r="V37" s="564">
        <v>0.0278</v>
      </c>
      <c r="W37" s="564">
        <v>0.0417</v>
      </c>
      <c r="X37" s="564">
        <v>0.0</v>
      </c>
      <c r="Y37" s="564">
        <v>0.025</v>
      </c>
      <c r="Z37" s="564">
        <v>0.0238</v>
      </c>
      <c r="AA37" s="564">
        <v>0.0</v>
      </c>
      <c r="AB37" s="564">
        <v>0.0</v>
      </c>
      <c r="AC37" s="564">
        <v>0.0526</v>
      </c>
      <c r="AD37" s="564">
        <v>0.0</v>
      </c>
      <c r="AE37" s="564">
        <v>0.0</v>
      </c>
      <c r="AF37" s="564">
        <v>0.0</v>
      </c>
    </row>
    <row r="38">
      <c r="A38" s="1" t="s">
        <v>2983</v>
      </c>
      <c r="B38" s="576">
        <v>0.0175</v>
      </c>
      <c r="C38" s="575">
        <v>0.0</v>
      </c>
      <c r="D38" s="572">
        <v>0.0</v>
      </c>
      <c r="E38" s="572">
        <v>0.0633</v>
      </c>
      <c r="F38" s="564">
        <v>0.0808</v>
      </c>
      <c r="G38" s="572">
        <v>0.12</v>
      </c>
      <c r="H38" s="572">
        <v>0.0759</v>
      </c>
      <c r="I38" s="572">
        <v>0.0962</v>
      </c>
      <c r="J38" s="564">
        <v>0.05</v>
      </c>
      <c r="K38" s="564">
        <v>0.0484</v>
      </c>
      <c r="L38" s="572">
        <v>0.0</v>
      </c>
      <c r="M38" s="564">
        <v>0.0667</v>
      </c>
      <c r="N38" s="564">
        <v>0.0435</v>
      </c>
      <c r="O38" s="564">
        <v>0.0857</v>
      </c>
      <c r="P38" s="564">
        <v>0.0816</v>
      </c>
      <c r="Q38" s="564">
        <v>0.0882</v>
      </c>
      <c r="R38" s="564">
        <v>0.08</v>
      </c>
      <c r="S38" s="564">
        <v>0.0</v>
      </c>
      <c r="T38" s="564">
        <v>0.0</v>
      </c>
      <c r="U38" s="564">
        <v>0.0385</v>
      </c>
      <c r="V38" s="564">
        <v>0.0278</v>
      </c>
      <c r="W38" s="564">
        <v>0.0</v>
      </c>
      <c r="X38" s="564">
        <v>0.0</v>
      </c>
      <c r="Y38" s="564">
        <v>0.05</v>
      </c>
      <c r="Z38" s="564">
        <v>0.0714</v>
      </c>
      <c r="AA38" s="564">
        <v>0.0</v>
      </c>
      <c r="AB38" s="564">
        <v>0.0</v>
      </c>
      <c r="AC38" s="564">
        <v>0.0789</v>
      </c>
      <c r="AD38" s="564">
        <v>0.0</v>
      </c>
      <c r="AE38" s="564">
        <v>0.0</v>
      </c>
      <c r="AF38" s="564">
        <v>0.0</v>
      </c>
    </row>
    <row r="39">
      <c r="A39" s="1" t="s">
        <v>2984</v>
      </c>
      <c r="B39" s="575">
        <v>0.0</v>
      </c>
      <c r="C39" s="575">
        <v>0.0</v>
      </c>
      <c r="D39" s="572">
        <v>0.0</v>
      </c>
      <c r="E39" s="564">
        <v>0.443</v>
      </c>
      <c r="F39" s="564">
        <v>0.3737</v>
      </c>
      <c r="G39" s="572">
        <v>0.32</v>
      </c>
      <c r="H39" s="564">
        <v>0.1646</v>
      </c>
      <c r="I39" s="572">
        <v>0.2308</v>
      </c>
      <c r="J39" s="564">
        <v>0.15</v>
      </c>
      <c r="K39" s="564">
        <v>0.1774</v>
      </c>
      <c r="L39" s="564">
        <v>0.1429</v>
      </c>
      <c r="M39" s="564">
        <v>0.2667</v>
      </c>
      <c r="N39" s="564">
        <v>0.2391</v>
      </c>
      <c r="O39" s="564">
        <v>0.1714</v>
      </c>
      <c r="P39" s="564">
        <v>0.1837</v>
      </c>
      <c r="Q39" s="564">
        <v>0.1765</v>
      </c>
      <c r="R39" s="564">
        <v>0.08</v>
      </c>
      <c r="S39" s="564">
        <v>0.1892</v>
      </c>
      <c r="T39" s="564">
        <v>0.1463</v>
      </c>
      <c r="U39" s="564">
        <v>0.1538</v>
      </c>
      <c r="V39" s="564">
        <v>0.0</v>
      </c>
      <c r="W39" s="564">
        <v>0.0625</v>
      </c>
      <c r="X39" s="564">
        <v>0.0645</v>
      </c>
      <c r="Y39" s="564">
        <v>0.075</v>
      </c>
      <c r="Z39" s="564">
        <v>0.0476</v>
      </c>
      <c r="AA39" s="564">
        <v>0.1333</v>
      </c>
      <c r="AB39" s="564">
        <v>0.0408</v>
      </c>
      <c r="AC39" s="563">
        <v>0.0</v>
      </c>
      <c r="AD39" s="564">
        <v>0.1373</v>
      </c>
      <c r="AE39" s="564">
        <v>0.1053</v>
      </c>
      <c r="AF39" s="564">
        <v>0.0526</v>
      </c>
    </row>
    <row r="41">
      <c r="B41" s="577">
        <v>44927.0</v>
      </c>
      <c r="C41" s="578" t="s">
        <v>2988</v>
      </c>
      <c r="D41" s="578" t="s">
        <v>2989</v>
      </c>
    </row>
    <row r="42">
      <c r="A42" s="1" t="s">
        <v>131</v>
      </c>
      <c r="B42" s="561">
        <f>SUM(B10:AF10)</f>
        <v>1290384.29</v>
      </c>
      <c r="C42" s="579"/>
      <c r="D42" s="580" t="str">
        <f t="shared" ref="D42:D44" si="8">B42/C42</f>
        <v>#DIV/0!</v>
      </c>
    </row>
    <row r="43">
      <c r="A43" s="1" t="s">
        <v>2993</v>
      </c>
      <c r="B43" s="561">
        <f>SUM(B19:AF19)</f>
        <v>268938.92</v>
      </c>
      <c r="C43" s="579"/>
      <c r="D43" s="580" t="str">
        <f t="shared" si="8"/>
        <v>#DIV/0!</v>
      </c>
    </row>
    <row r="44">
      <c r="A44" s="1" t="s">
        <v>428</v>
      </c>
      <c r="B44" s="558">
        <f>B42/B43</f>
        <v>4.798057083</v>
      </c>
      <c r="C44" s="581"/>
      <c r="D44" s="580" t="str">
        <f t="shared" si="8"/>
        <v>#DIV/0!</v>
      </c>
    </row>
    <row r="45">
      <c r="A45" s="1" t="s">
        <v>2946</v>
      </c>
      <c r="B45" s="561">
        <f>SUM(B19:AF19)/SUM(B11:AF11)</f>
        <v>49.33753807</v>
      </c>
      <c r="C45" s="582"/>
      <c r="D45" s="580"/>
      <c r="W45" s="1" t="s">
        <v>166</v>
      </c>
    </row>
    <row r="46">
      <c r="A46" s="1" t="s">
        <v>2994</v>
      </c>
      <c r="B46" s="561">
        <f>B43/B52</f>
        <v>71.60248136</v>
      </c>
      <c r="C46" s="582"/>
      <c r="D46" s="580" t="str">
        <f t="shared" ref="D46:D48" si="9">B46/C46</f>
        <v>#DIV/0!</v>
      </c>
    </row>
    <row r="47">
      <c r="A47" s="1" t="s">
        <v>2950</v>
      </c>
      <c r="B47" s="566">
        <f>AVERAGE(B23:AE23)</f>
        <v>0.01313</v>
      </c>
      <c r="C47" s="583"/>
      <c r="D47" s="580" t="str">
        <f t="shared" si="9"/>
        <v>#DIV/0!</v>
      </c>
    </row>
    <row r="48">
      <c r="A48" s="1" t="s">
        <v>2954</v>
      </c>
      <c r="B48" s="561">
        <f>B42/B51</f>
        <v>236.724324</v>
      </c>
      <c r="C48" s="582"/>
      <c r="D48" s="580" t="str">
        <f t="shared" si="9"/>
        <v>#DIV/0!</v>
      </c>
    </row>
    <row r="49">
      <c r="A49" s="1" t="s">
        <v>2958</v>
      </c>
      <c r="B49" s="561">
        <f t="shared" ref="B49:B50" si="10">AVERAGE(B25:AF25)</f>
        <v>264.895308</v>
      </c>
    </row>
    <row r="50">
      <c r="A50" s="1" t="s">
        <v>2962</v>
      </c>
      <c r="B50" s="561">
        <f t="shared" si="10"/>
        <v>138.0166317</v>
      </c>
    </row>
    <row r="51">
      <c r="A51" s="1" t="s">
        <v>2923</v>
      </c>
      <c r="B51" s="584">
        <f>SUM(B11:AF11)</f>
        <v>5451</v>
      </c>
      <c r="C51" s="585"/>
      <c r="D51" s="580"/>
      <c r="L51" s="1" t="s">
        <v>166</v>
      </c>
    </row>
    <row r="52">
      <c r="A52" s="1" t="s">
        <v>2996</v>
      </c>
      <c r="B52" s="584">
        <f>'Detailed Report'!AG140</f>
        <v>3756</v>
      </c>
      <c r="C52" s="585"/>
      <c r="D52" s="580" t="str">
        <f>B52/C52</f>
        <v>#DIV/0!</v>
      </c>
    </row>
    <row r="64">
      <c r="Y64" s="564"/>
      <c r="Z64" s="564"/>
      <c r="AA64" s="564"/>
      <c r="AB64" s="564"/>
      <c r="AC64" s="564"/>
    </row>
    <row r="65">
      <c r="Y65" s="564"/>
      <c r="Z65" s="564"/>
      <c r="AA65" s="564"/>
      <c r="AB65" s="564"/>
      <c r="AC65" s="564"/>
    </row>
    <row r="66">
      <c r="Y66" s="564"/>
      <c r="Z66" s="564"/>
      <c r="AA66" s="564"/>
      <c r="AB66" s="564"/>
      <c r="AC66" s="564"/>
    </row>
    <row r="67">
      <c r="Y67" s="586"/>
      <c r="AC67" s="564"/>
    </row>
    <row r="72">
      <c r="Y72" s="1" t="s">
        <v>166</v>
      </c>
    </row>
  </sheetData>
  <mergeCells count="2">
    <mergeCell ref="A5:A7"/>
    <mergeCell ref="E6:I6"/>
  </mergeCells>
  <conditionalFormatting sqref="B21:AF21">
    <cfRule type="colorScale" priority="1">
      <colorScale>
        <cfvo type="min"/>
        <cfvo type="max"/>
        <color rgb="FFFFFFFF"/>
        <color rgb="FF57BB8A"/>
      </colorScale>
    </cfRule>
  </conditionalFormatting>
  <conditionalFormatting sqref="A22:AF22">
    <cfRule type="colorScale" priority="2">
      <colorScale>
        <cfvo type="min"/>
        <cfvo type="max"/>
        <color rgb="FF57BB8A"/>
        <color rgb="FFFFFFFF"/>
      </colorScale>
    </cfRule>
  </conditionalFormatting>
  <conditionalFormatting sqref="A23:AF23">
    <cfRule type="colorScale" priority="3">
      <colorScale>
        <cfvo type="min"/>
        <cfvo type="max"/>
        <color rgb="FFFFFFFF"/>
        <color rgb="FF57BB8A"/>
      </colorScale>
    </cfRule>
  </conditionalFormatting>
  <conditionalFormatting sqref="A24:A26 B24:AF24">
    <cfRule type="colorScale" priority="4">
      <colorScale>
        <cfvo type="min"/>
        <cfvo type="max"/>
        <color rgb="FFFFFFFF"/>
        <color rgb="FF57BB8A"/>
      </colorScale>
    </cfRule>
  </conditionalFormatting>
  <conditionalFormatting sqref="A11:R11 T11:AF11">
    <cfRule type="colorScale" priority="5">
      <colorScale>
        <cfvo type="min"/>
        <cfvo type="max"/>
        <color rgb="FFFFFFFF"/>
        <color rgb="FF57BB8A"/>
      </colorScale>
    </cfRule>
  </conditionalFormatting>
  <conditionalFormatting sqref="B33:W39 X33:X38 Y33:Y37 Z33:Z38 AA33:AF39 Y64:Y67 Z64:AB66 AC64:AC67">
    <cfRule type="colorScale" priority="6">
      <colorScale>
        <cfvo type="min"/>
        <cfvo type="max"/>
        <color rgb="FFFFFFFF"/>
        <color rgb="FF57BB8A"/>
      </colorScale>
    </cfRule>
  </conditionalFormatting>
  <conditionalFormatting sqref="B29:AF29">
    <cfRule type="colorScale" priority="7">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6.75"/>
    <col customWidth="1" min="2" max="18" width="16.13"/>
    <col customWidth="1" min="19" max="19" width="15.13"/>
    <col customWidth="1" min="20" max="20" width="14.38"/>
    <col customWidth="1" min="21" max="32" width="16.13"/>
    <col customWidth="1" min="33" max="33" width="16.25"/>
  </cols>
  <sheetData>
    <row r="1">
      <c r="A1" s="3" t="s">
        <v>2</v>
      </c>
      <c r="B1" s="5">
        <v>44927.0</v>
      </c>
      <c r="C1" s="5">
        <v>44928.0</v>
      </c>
      <c r="D1" s="5">
        <v>44929.0</v>
      </c>
      <c r="E1" s="5">
        <v>44930.0</v>
      </c>
      <c r="F1" s="5">
        <v>44931.0</v>
      </c>
      <c r="G1" s="5">
        <v>44932.0</v>
      </c>
      <c r="H1" s="5">
        <v>44933.0</v>
      </c>
      <c r="I1" s="5">
        <v>44934.0</v>
      </c>
      <c r="J1" s="5">
        <v>44935.0</v>
      </c>
      <c r="K1" s="5">
        <v>44936.0</v>
      </c>
      <c r="L1" s="5">
        <v>44937.0</v>
      </c>
      <c r="M1" s="5">
        <v>44938.0</v>
      </c>
      <c r="N1" s="5">
        <v>44939.0</v>
      </c>
      <c r="O1" s="5">
        <v>44940.0</v>
      </c>
      <c r="P1" s="5">
        <v>44941.0</v>
      </c>
      <c r="Q1" s="5">
        <v>44942.0</v>
      </c>
      <c r="R1" s="5">
        <v>44943.0</v>
      </c>
      <c r="S1" s="5">
        <v>44944.0</v>
      </c>
      <c r="T1" s="5">
        <v>44945.0</v>
      </c>
      <c r="U1" s="5">
        <v>44946.0</v>
      </c>
      <c r="V1" s="5">
        <v>44947.0</v>
      </c>
      <c r="W1" s="5">
        <v>44948.0</v>
      </c>
      <c r="X1" s="5">
        <v>44949.0</v>
      </c>
      <c r="Y1" s="5">
        <v>44950.0</v>
      </c>
      <c r="Z1" s="5">
        <v>44951.0</v>
      </c>
      <c r="AA1" s="5">
        <v>44952.0</v>
      </c>
      <c r="AB1" s="5">
        <v>44953.0</v>
      </c>
      <c r="AC1" s="5">
        <v>44954.0</v>
      </c>
      <c r="AD1" s="5">
        <v>44955.0</v>
      </c>
      <c r="AE1" s="5">
        <v>44956.0</v>
      </c>
      <c r="AF1" s="5">
        <v>44957.0</v>
      </c>
      <c r="AG1" s="10"/>
    </row>
    <row r="2">
      <c r="A2" s="12" t="s">
        <v>65</v>
      </c>
      <c r="B2" s="13" t="s">
        <v>66</v>
      </c>
      <c r="C2" s="13" t="s">
        <v>67</v>
      </c>
      <c r="D2" s="13" t="s">
        <v>68</v>
      </c>
      <c r="E2" s="13" t="s">
        <v>69</v>
      </c>
      <c r="F2" s="13" t="s">
        <v>70</v>
      </c>
      <c r="G2" s="13" t="s">
        <v>71</v>
      </c>
      <c r="H2" s="13" t="s">
        <v>72</v>
      </c>
      <c r="I2" s="13" t="s">
        <v>66</v>
      </c>
      <c r="J2" s="13" t="s">
        <v>67</v>
      </c>
      <c r="K2" s="13" t="s">
        <v>68</v>
      </c>
      <c r="L2" s="13" t="s">
        <v>69</v>
      </c>
      <c r="M2" s="13" t="s">
        <v>70</v>
      </c>
      <c r="N2" s="13" t="s">
        <v>71</v>
      </c>
      <c r="O2" s="13" t="s">
        <v>72</v>
      </c>
      <c r="P2" s="13" t="s">
        <v>66</v>
      </c>
      <c r="Q2" s="13" t="s">
        <v>67</v>
      </c>
      <c r="R2" s="13" t="s">
        <v>68</v>
      </c>
      <c r="S2" s="13" t="s">
        <v>69</v>
      </c>
      <c r="T2" s="13" t="s">
        <v>70</v>
      </c>
      <c r="U2" s="13" t="s">
        <v>71</v>
      </c>
      <c r="V2" s="13" t="s">
        <v>72</v>
      </c>
      <c r="W2" s="13" t="s">
        <v>66</v>
      </c>
      <c r="X2" s="13" t="s">
        <v>67</v>
      </c>
      <c r="Y2" s="13" t="s">
        <v>68</v>
      </c>
      <c r="Z2" s="13" t="s">
        <v>69</v>
      </c>
      <c r="AA2" s="13" t="s">
        <v>70</v>
      </c>
      <c r="AB2" s="13" t="s">
        <v>71</v>
      </c>
      <c r="AC2" s="13" t="s">
        <v>72</v>
      </c>
      <c r="AD2" s="18" t="s">
        <v>66</v>
      </c>
      <c r="AE2" s="18" t="s">
        <v>67</v>
      </c>
      <c r="AF2" s="18" t="s">
        <v>68</v>
      </c>
      <c r="AG2" s="10"/>
    </row>
    <row r="3">
      <c r="A3" s="19" t="s">
        <v>85</v>
      </c>
      <c r="B3" s="20"/>
      <c r="C3" s="20"/>
      <c r="D3" s="20"/>
      <c r="E3" s="20"/>
      <c r="F3" s="20"/>
      <c r="G3" s="20"/>
      <c r="H3" s="20"/>
      <c r="I3" s="20"/>
      <c r="J3" s="20"/>
      <c r="K3" s="20"/>
      <c r="L3" s="20"/>
      <c r="M3" s="20"/>
      <c r="N3" s="20"/>
      <c r="O3" s="20"/>
      <c r="P3" s="20"/>
      <c r="Q3" s="20"/>
      <c r="R3" s="20"/>
      <c r="S3" s="20"/>
      <c r="T3" s="20"/>
      <c r="U3" s="20"/>
      <c r="V3" s="20"/>
      <c r="W3" s="20"/>
      <c r="X3" s="20"/>
      <c r="Y3" s="20"/>
      <c r="Z3" s="20"/>
      <c r="AA3" s="20"/>
      <c r="AB3" s="21"/>
      <c r="AC3" s="20"/>
      <c r="AD3" s="20"/>
      <c r="AE3" s="20"/>
      <c r="AF3" s="20"/>
      <c r="AG3" s="10"/>
    </row>
    <row r="4">
      <c r="A4" s="23" t="s">
        <v>87</v>
      </c>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10"/>
    </row>
    <row r="5">
      <c r="A5" s="26" t="s">
        <v>93</v>
      </c>
      <c r="B5" s="27">
        <v>16.0</v>
      </c>
      <c r="C5" s="28">
        <v>17.0</v>
      </c>
      <c r="D5" s="29">
        <v>7.0</v>
      </c>
      <c r="E5" s="29">
        <v>13.0</v>
      </c>
      <c r="F5" s="29">
        <v>11.0</v>
      </c>
      <c r="G5" s="29">
        <v>13.0</v>
      </c>
      <c r="H5" s="29">
        <v>13.0</v>
      </c>
      <c r="I5" s="29">
        <v>6.0</v>
      </c>
      <c r="J5" s="29">
        <v>7.0</v>
      </c>
      <c r="K5" s="29">
        <v>7.0</v>
      </c>
      <c r="L5" s="29">
        <v>7.0</v>
      </c>
      <c r="M5" s="29">
        <v>9.0</v>
      </c>
      <c r="N5" s="29">
        <v>7.0</v>
      </c>
      <c r="O5" s="29">
        <v>8.0</v>
      </c>
      <c r="P5" s="29">
        <v>11.0</v>
      </c>
      <c r="Q5" s="29">
        <v>8.0</v>
      </c>
      <c r="R5" s="29">
        <v>11.0</v>
      </c>
      <c r="S5" s="30">
        <v>8.0</v>
      </c>
      <c r="T5" s="29">
        <v>6.0</v>
      </c>
      <c r="U5" s="30">
        <v>18.0</v>
      </c>
      <c r="V5" s="30">
        <v>28.0</v>
      </c>
      <c r="W5" s="30">
        <v>19.0</v>
      </c>
      <c r="X5" s="30">
        <v>16.0</v>
      </c>
      <c r="Y5" s="30">
        <v>24.0</v>
      </c>
      <c r="Z5" s="30">
        <v>19.0</v>
      </c>
      <c r="AA5" s="30">
        <v>7.0</v>
      </c>
      <c r="AB5" s="30">
        <v>27.0</v>
      </c>
      <c r="AC5" s="30">
        <v>36.0</v>
      </c>
      <c r="AD5" s="30">
        <v>35.0</v>
      </c>
      <c r="AE5" s="30">
        <v>35.0</v>
      </c>
      <c r="AF5" s="30">
        <v>46.0</v>
      </c>
      <c r="AG5" s="32">
        <f t="shared" ref="AG5:AG14" si="1">SUM(B5:AF5)</f>
        <v>495</v>
      </c>
    </row>
    <row r="6">
      <c r="A6" s="34" t="s">
        <v>101</v>
      </c>
      <c r="B6" s="27">
        <v>50.0</v>
      </c>
      <c r="C6" s="28">
        <v>50.0</v>
      </c>
      <c r="D6" s="29">
        <v>29.0</v>
      </c>
      <c r="E6" s="29">
        <v>45.0</v>
      </c>
      <c r="F6" s="29">
        <v>95.0</v>
      </c>
      <c r="G6" s="29">
        <v>83.0</v>
      </c>
      <c r="H6" s="29">
        <v>89.0</v>
      </c>
      <c r="I6" s="29">
        <v>63.0</v>
      </c>
      <c r="J6" s="29">
        <v>44.0</v>
      </c>
      <c r="K6" s="29">
        <v>52.0</v>
      </c>
      <c r="L6" s="29">
        <v>41.0</v>
      </c>
      <c r="M6" s="29">
        <v>33.0</v>
      </c>
      <c r="N6" s="29">
        <v>53.0</v>
      </c>
      <c r="O6" s="29">
        <v>46.0</v>
      </c>
      <c r="P6" s="29">
        <v>49.0</v>
      </c>
      <c r="Q6" s="29">
        <v>43.0</v>
      </c>
      <c r="R6" s="29">
        <v>31.0</v>
      </c>
      <c r="S6" s="30">
        <v>33.0</v>
      </c>
      <c r="T6" s="29">
        <v>51.0</v>
      </c>
      <c r="U6" s="30">
        <v>46.0</v>
      </c>
      <c r="V6" s="30">
        <v>38.0</v>
      </c>
      <c r="W6" s="30">
        <v>48.0</v>
      </c>
      <c r="X6" s="30">
        <v>37.0</v>
      </c>
      <c r="Y6" s="30">
        <v>41.0</v>
      </c>
      <c r="Z6" s="30">
        <v>43.0</v>
      </c>
      <c r="AA6" s="30">
        <v>35.0</v>
      </c>
      <c r="AB6" s="30">
        <v>31.0</v>
      </c>
      <c r="AC6" s="30">
        <v>39.0</v>
      </c>
      <c r="AD6" s="30">
        <v>30.0</v>
      </c>
      <c r="AE6" s="30">
        <v>27.0</v>
      </c>
      <c r="AF6" s="30">
        <v>36.0</v>
      </c>
      <c r="AG6" s="32">
        <f t="shared" si="1"/>
        <v>1431</v>
      </c>
    </row>
    <row r="7">
      <c r="A7" s="20" t="s">
        <v>103</v>
      </c>
      <c r="B7" s="27">
        <v>0.0</v>
      </c>
      <c r="C7" s="28">
        <v>0.0</v>
      </c>
      <c r="D7" s="29">
        <v>0.0</v>
      </c>
      <c r="E7" s="29">
        <v>0.0</v>
      </c>
      <c r="F7" s="29">
        <v>0.0</v>
      </c>
      <c r="G7" s="29">
        <v>1.0</v>
      </c>
      <c r="H7" s="29">
        <v>0.0</v>
      </c>
      <c r="I7" s="29">
        <v>0.0</v>
      </c>
      <c r="J7" s="29">
        <v>0.0</v>
      </c>
      <c r="K7" s="29">
        <v>0.0</v>
      </c>
      <c r="L7" s="29">
        <v>0.0</v>
      </c>
      <c r="M7" s="29">
        <v>0.0</v>
      </c>
      <c r="N7" s="29">
        <v>0.0</v>
      </c>
      <c r="O7" s="29">
        <v>0.0</v>
      </c>
      <c r="P7" s="29">
        <v>0.0</v>
      </c>
      <c r="Q7" s="29">
        <v>1.0</v>
      </c>
      <c r="R7" s="29">
        <v>0.0</v>
      </c>
      <c r="S7" s="29">
        <v>0.0</v>
      </c>
      <c r="T7" s="29">
        <v>0.0</v>
      </c>
      <c r="U7" s="29">
        <v>0.0</v>
      </c>
      <c r="V7" s="29">
        <v>0.0</v>
      </c>
      <c r="W7" s="29">
        <v>0.0</v>
      </c>
      <c r="X7" s="29">
        <v>0.0</v>
      </c>
      <c r="Y7" s="29">
        <v>0.0</v>
      </c>
      <c r="Z7" s="29">
        <v>0.0</v>
      </c>
      <c r="AA7" s="29">
        <v>0.0</v>
      </c>
      <c r="AB7" s="29">
        <v>0.0</v>
      </c>
      <c r="AC7" s="29">
        <v>0.0</v>
      </c>
      <c r="AD7" s="29">
        <v>0.0</v>
      </c>
      <c r="AE7" s="29">
        <v>0.0</v>
      </c>
      <c r="AF7" s="29">
        <v>0.0</v>
      </c>
      <c r="AG7" s="32">
        <f t="shared" si="1"/>
        <v>2</v>
      </c>
    </row>
    <row r="8">
      <c r="A8" s="21" t="s">
        <v>106</v>
      </c>
      <c r="B8" s="27">
        <v>3.0</v>
      </c>
      <c r="C8" s="28">
        <v>0.0</v>
      </c>
      <c r="D8" s="29">
        <v>10.0</v>
      </c>
      <c r="E8" s="29">
        <v>7.0</v>
      </c>
      <c r="F8" s="29">
        <v>8.0</v>
      </c>
      <c r="G8" s="29">
        <v>11.0</v>
      </c>
      <c r="H8" s="29">
        <v>6.0</v>
      </c>
      <c r="I8" s="29">
        <v>5.0</v>
      </c>
      <c r="J8" s="29">
        <v>2.0</v>
      </c>
      <c r="K8" s="29">
        <v>5.0</v>
      </c>
      <c r="L8" s="29">
        <v>3.0</v>
      </c>
      <c r="M8" s="29">
        <v>4.0</v>
      </c>
      <c r="N8" s="29">
        <v>4.0</v>
      </c>
      <c r="O8" s="29">
        <v>5.0</v>
      </c>
      <c r="P8" s="29">
        <v>5.0</v>
      </c>
      <c r="Q8" s="29">
        <v>8.0</v>
      </c>
      <c r="R8" s="29">
        <v>3.0</v>
      </c>
      <c r="S8" s="30">
        <v>3.0</v>
      </c>
      <c r="T8" s="29">
        <v>5.0</v>
      </c>
      <c r="U8" s="30">
        <v>1.0</v>
      </c>
      <c r="V8" s="30">
        <v>4.0</v>
      </c>
      <c r="W8" s="30">
        <v>5.0</v>
      </c>
      <c r="X8" s="30">
        <v>2.0</v>
      </c>
      <c r="Y8" s="30">
        <v>4.0</v>
      </c>
      <c r="Z8" s="30">
        <v>6.0</v>
      </c>
      <c r="AA8" s="30">
        <v>4.0</v>
      </c>
      <c r="AB8" s="30">
        <v>5.0</v>
      </c>
      <c r="AC8" s="30">
        <v>4.0</v>
      </c>
      <c r="AD8" s="30">
        <v>4.0</v>
      </c>
      <c r="AE8" s="30">
        <v>2.0</v>
      </c>
      <c r="AF8" s="30">
        <v>6.0</v>
      </c>
      <c r="AG8" s="32">
        <f t="shared" si="1"/>
        <v>144</v>
      </c>
    </row>
    <row r="9">
      <c r="A9" s="34" t="s">
        <v>113</v>
      </c>
      <c r="B9" s="27">
        <v>0.0</v>
      </c>
      <c r="C9" s="28">
        <v>0.0</v>
      </c>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2">
        <f t="shared" si="1"/>
        <v>0</v>
      </c>
    </row>
    <row r="10">
      <c r="A10" s="34" t="s">
        <v>115</v>
      </c>
      <c r="B10" s="39">
        <v>0.0</v>
      </c>
      <c r="C10" s="39">
        <v>0.0</v>
      </c>
      <c r="D10" s="39">
        <v>0.0</v>
      </c>
      <c r="E10" s="39">
        <v>0.0</v>
      </c>
      <c r="F10" s="39">
        <v>0.0</v>
      </c>
      <c r="G10" s="39">
        <v>0.0</v>
      </c>
      <c r="H10" s="39">
        <v>0.0</v>
      </c>
      <c r="I10" s="39">
        <v>0.0</v>
      </c>
      <c r="J10" s="39">
        <v>0.0</v>
      </c>
      <c r="K10" s="39">
        <v>1.0</v>
      </c>
      <c r="L10" s="39">
        <v>0.0</v>
      </c>
      <c r="M10" s="39">
        <v>0.0</v>
      </c>
      <c r="N10" s="39">
        <v>0.0</v>
      </c>
      <c r="O10" s="39">
        <v>0.0</v>
      </c>
      <c r="P10" s="39">
        <v>0.0</v>
      </c>
      <c r="Q10" s="39">
        <v>0.0</v>
      </c>
      <c r="R10" s="39">
        <v>0.0</v>
      </c>
      <c r="S10" s="39">
        <v>0.0</v>
      </c>
      <c r="T10" s="39">
        <v>0.0</v>
      </c>
      <c r="U10" s="39">
        <v>2.0</v>
      </c>
      <c r="V10" s="39">
        <v>0.0</v>
      </c>
      <c r="W10" s="39">
        <v>0.0</v>
      </c>
      <c r="X10" s="39">
        <v>0.0</v>
      </c>
      <c r="Y10" s="39">
        <v>0.0</v>
      </c>
      <c r="Z10" s="39">
        <v>0.0</v>
      </c>
      <c r="AA10" s="39">
        <v>0.0</v>
      </c>
      <c r="AB10" s="39">
        <v>1.0</v>
      </c>
      <c r="AC10" s="39">
        <v>0.0</v>
      </c>
      <c r="AD10" s="39">
        <v>0.0</v>
      </c>
      <c r="AE10" s="39">
        <v>0.0</v>
      </c>
      <c r="AF10" s="39">
        <v>1.0</v>
      </c>
      <c r="AG10" s="41">
        <f t="shared" si="1"/>
        <v>5</v>
      </c>
    </row>
    <row r="11">
      <c r="A11" s="26" t="s">
        <v>119</v>
      </c>
      <c r="B11" s="42"/>
      <c r="C11" s="43"/>
      <c r="D11" s="38"/>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1">
        <f t="shared" si="1"/>
        <v>0</v>
      </c>
    </row>
    <row r="12">
      <c r="A12" s="26" t="s">
        <v>121</v>
      </c>
      <c r="B12" s="42"/>
      <c r="C12" s="43"/>
      <c r="D12" s="38"/>
      <c r="E12" s="44"/>
      <c r="F12" s="44"/>
      <c r="G12" s="44"/>
      <c r="H12" s="44"/>
      <c r="I12" s="44"/>
      <c r="J12" s="44"/>
      <c r="K12" s="44"/>
      <c r="L12" s="44"/>
      <c r="M12" s="44"/>
      <c r="N12" s="44"/>
      <c r="O12" s="44"/>
      <c r="P12" s="44"/>
      <c r="Q12" s="44"/>
      <c r="R12" s="44"/>
      <c r="S12" s="44"/>
      <c r="T12" s="44"/>
      <c r="U12" s="44"/>
      <c r="V12" s="44"/>
      <c r="W12" s="44"/>
      <c r="X12" s="44"/>
      <c r="Y12" s="44"/>
      <c r="Z12" s="44"/>
      <c r="AA12" s="38"/>
      <c r="AB12" s="44"/>
      <c r="AC12" s="44"/>
      <c r="AD12" s="44"/>
      <c r="AE12" s="44"/>
      <c r="AF12" s="44"/>
      <c r="AG12" s="41">
        <f t="shared" si="1"/>
        <v>0</v>
      </c>
    </row>
    <row r="13">
      <c r="A13" s="45" t="s">
        <v>29</v>
      </c>
      <c r="B13" s="46">
        <v>31.0</v>
      </c>
      <c r="C13" s="47">
        <v>8.0</v>
      </c>
      <c r="D13" s="48">
        <v>15.0</v>
      </c>
      <c r="E13" s="48">
        <v>83.0</v>
      </c>
      <c r="F13" s="48">
        <v>42.0</v>
      </c>
      <c r="G13" s="48">
        <v>16.0</v>
      </c>
      <c r="H13" s="48">
        <v>10.0</v>
      </c>
      <c r="I13" s="48">
        <v>18.0</v>
      </c>
      <c r="J13" s="48">
        <v>11.0</v>
      </c>
      <c r="K13" s="48">
        <v>132.0</v>
      </c>
      <c r="L13" s="48">
        <v>44.0</v>
      </c>
      <c r="M13" s="48">
        <v>6.0</v>
      </c>
      <c r="N13" s="48">
        <v>12.0</v>
      </c>
      <c r="O13" s="48">
        <v>6.0</v>
      </c>
      <c r="P13" s="48">
        <v>11.0</v>
      </c>
      <c r="Q13" s="48">
        <v>8.0</v>
      </c>
      <c r="R13" s="48">
        <v>11.0</v>
      </c>
      <c r="S13" s="48">
        <v>7.0</v>
      </c>
      <c r="T13" s="48">
        <v>7.0</v>
      </c>
      <c r="U13" s="48">
        <v>4.0</v>
      </c>
      <c r="V13" s="48">
        <v>3.0</v>
      </c>
      <c r="W13" s="49">
        <v>11.0</v>
      </c>
      <c r="X13" s="48">
        <v>6.0</v>
      </c>
      <c r="Y13" s="48">
        <v>9.0</v>
      </c>
      <c r="Z13" s="48">
        <v>5.0</v>
      </c>
      <c r="AA13" s="48">
        <v>7.0</v>
      </c>
      <c r="AB13" s="48">
        <v>10.0</v>
      </c>
      <c r="AC13" s="48">
        <v>6.0</v>
      </c>
      <c r="AD13" s="48">
        <v>7.0</v>
      </c>
      <c r="AE13" s="48">
        <v>5.0</v>
      </c>
      <c r="AF13" s="48">
        <v>7.0</v>
      </c>
      <c r="AG13" s="32">
        <f t="shared" si="1"/>
        <v>558</v>
      </c>
    </row>
    <row r="14">
      <c r="A14" s="50" t="s">
        <v>126</v>
      </c>
      <c r="B14" s="51">
        <f t="shared" ref="B14:AF14" si="2">SUM(B5:B13)</f>
        <v>100</v>
      </c>
      <c r="C14" s="51">
        <f t="shared" si="2"/>
        <v>75</v>
      </c>
      <c r="D14" s="51">
        <f t="shared" si="2"/>
        <v>61</v>
      </c>
      <c r="E14" s="51">
        <f t="shared" si="2"/>
        <v>148</v>
      </c>
      <c r="F14" s="51">
        <f t="shared" si="2"/>
        <v>156</v>
      </c>
      <c r="G14" s="51">
        <f t="shared" si="2"/>
        <v>124</v>
      </c>
      <c r="H14" s="51">
        <f t="shared" si="2"/>
        <v>118</v>
      </c>
      <c r="I14" s="51">
        <f t="shared" si="2"/>
        <v>92</v>
      </c>
      <c r="J14" s="51">
        <f t="shared" si="2"/>
        <v>64</v>
      </c>
      <c r="K14" s="51">
        <f t="shared" si="2"/>
        <v>197</v>
      </c>
      <c r="L14" s="51">
        <f t="shared" si="2"/>
        <v>95</v>
      </c>
      <c r="M14" s="51">
        <f t="shared" si="2"/>
        <v>52</v>
      </c>
      <c r="N14" s="51">
        <f t="shared" si="2"/>
        <v>76</v>
      </c>
      <c r="O14" s="51">
        <f t="shared" si="2"/>
        <v>65</v>
      </c>
      <c r="P14" s="51">
        <f t="shared" si="2"/>
        <v>76</v>
      </c>
      <c r="Q14" s="51">
        <f t="shared" si="2"/>
        <v>68</v>
      </c>
      <c r="R14" s="51">
        <f t="shared" si="2"/>
        <v>56</v>
      </c>
      <c r="S14" s="51">
        <f t="shared" si="2"/>
        <v>51</v>
      </c>
      <c r="T14" s="51">
        <f t="shared" si="2"/>
        <v>69</v>
      </c>
      <c r="U14" s="51">
        <f t="shared" si="2"/>
        <v>71</v>
      </c>
      <c r="V14" s="51">
        <f t="shared" si="2"/>
        <v>73</v>
      </c>
      <c r="W14" s="51">
        <f t="shared" si="2"/>
        <v>83</v>
      </c>
      <c r="X14" s="51">
        <f t="shared" si="2"/>
        <v>61</v>
      </c>
      <c r="Y14" s="51">
        <f t="shared" si="2"/>
        <v>78</v>
      </c>
      <c r="Z14" s="51">
        <f t="shared" si="2"/>
        <v>73</v>
      </c>
      <c r="AA14" s="51">
        <f t="shared" si="2"/>
        <v>53</v>
      </c>
      <c r="AB14" s="51">
        <f t="shared" si="2"/>
        <v>74</v>
      </c>
      <c r="AC14" s="51">
        <f t="shared" si="2"/>
        <v>85</v>
      </c>
      <c r="AD14" s="51">
        <f t="shared" si="2"/>
        <v>76</v>
      </c>
      <c r="AE14" s="51">
        <f t="shared" si="2"/>
        <v>69</v>
      </c>
      <c r="AF14" s="51">
        <f t="shared" si="2"/>
        <v>96</v>
      </c>
      <c r="AG14" s="52">
        <f t="shared" si="1"/>
        <v>2635</v>
      </c>
    </row>
    <row r="15">
      <c r="A15" s="26"/>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10"/>
    </row>
    <row r="16">
      <c r="A16" s="53" t="s">
        <v>131</v>
      </c>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10"/>
    </row>
    <row r="17">
      <c r="A17" s="26" t="s">
        <v>93</v>
      </c>
      <c r="B17" s="56">
        <v>6067.98</v>
      </c>
      <c r="C17" s="57">
        <v>5398.61</v>
      </c>
      <c r="D17" s="58">
        <v>2206.39</v>
      </c>
      <c r="E17" s="58">
        <v>2760.36</v>
      </c>
      <c r="F17" s="58">
        <v>2836.4</v>
      </c>
      <c r="G17" s="58">
        <v>3984.65</v>
      </c>
      <c r="H17" s="58">
        <v>3564.05</v>
      </c>
      <c r="I17" s="58">
        <v>2112.52</v>
      </c>
      <c r="J17" s="58">
        <v>2337.66</v>
      </c>
      <c r="K17" s="58">
        <v>1858.43</v>
      </c>
      <c r="L17" s="58">
        <v>2305.21</v>
      </c>
      <c r="M17" s="58">
        <v>2670.04</v>
      </c>
      <c r="N17" s="58">
        <v>1633.7</v>
      </c>
      <c r="O17" s="58">
        <v>2044.77</v>
      </c>
      <c r="P17" s="58">
        <v>3521.58</v>
      </c>
      <c r="Q17" s="58">
        <v>2299.89</v>
      </c>
      <c r="R17" s="58">
        <v>3080.7</v>
      </c>
      <c r="S17" s="59">
        <v>3473.04</v>
      </c>
      <c r="T17" s="58">
        <v>1910.67</v>
      </c>
      <c r="U17" s="59">
        <v>4899.68</v>
      </c>
      <c r="V17" s="59">
        <v>9046.52</v>
      </c>
      <c r="W17" s="59">
        <v>5874.01</v>
      </c>
      <c r="X17" s="59">
        <v>4846.67</v>
      </c>
      <c r="Y17" s="59">
        <v>6855.13</v>
      </c>
      <c r="Z17" s="59">
        <v>6236.75</v>
      </c>
      <c r="AA17" s="59">
        <v>2313.78</v>
      </c>
      <c r="AB17" s="58">
        <v>8455.86</v>
      </c>
      <c r="AC17" s="58">
        <v>11356.97</v>
      </c>
      <c r="AD17" s="58">
        <v>10562.72</v>
      </c>
      <c r="AE17" s="58">
        <v>11273.99</v>
      </c>
      <c r="AF17" s="58">
        <v>15742.81</v>
      </c>
      <c r="AG17" s="60">
        <f t="shared" ref="AG17:AG26" si="3">SUM(B17:AF17)</f>
        <v>153531.54</v>
      </c>
    </row>
    <row r="18">
      <c r="A18" s="34" t="s">
        <v>101</v>
      </c>
      <c r="B18" s="56">
        <v>8738.77</v>
      </c>
      <c r="C18" s="57">
        <v>9578.14</v>
      </c>
      <c r="D18" s="58">
        <v>4155.18</v>
      </c>
      <c r="E18" s="58">
        <v>11063.94</v>
      </c>
      <c r="F18" s="58">
        <v>26839.74</v>
      </c>
      <c r="G18" s="58">
        <v>19585.85</v>
      </c>
      <c r="H18" s="58">
        <v>22899.5</v>
      </c>
      <c r="I18" s="58">
        <v>14018.66</v>
      </c>
      <c r="J18" s="58">
        <v>11280.43</v>
      </c>
      <c r="K18" s="58">
        <v>11897.45</v>
      </c>
      <c r="L18" s="58">
        <v>10451.33</v>
      </c>
      <c r="M18" s="58">
        <v>8033.46</v>
      </c>
      <c r="N18" s="58">
        <v>13456.98</v>
      </c>
      <c r="O18" s="58">
        <v>10495.95</v>
      </c>
      <c r="P18" s="58">
        <v>11230.7</v>
      </c>
      <c r="Q18" s="58">
        <v>11010.14</v>
      </c>
      <c r="R18" s="58">
        <v>7495.75</v>
      </c>
      <c r="S18" s="59">
        <v>8240.17</v>
      </c>
      <c r="T18" s="58">
        <v>13889.32</v>
      </c>
      <c r="U18" s="59">
        <v>12840.89</v>
      </c>
      <c r="V18" s="59">
        <v>8357.6</v>
      </c>
      <c r="W18" s="59">
        <v>11612.32</v>
      </c>
      <c r="X18" s="59">
        <v>9112.67</v>
      </c>
      <c r="Y18" s="59">
        <v>12498.52</v>
      </c>
      <c r="Z18" s="59">
        <v>11021.15</v>
      </c>
      <c r="AA18" s="59">
        <v>9435.73</v>
      </c>
      <c r="AB18" s="59">
        <v>8719.28</v>
      </c>
      <c r="AC18" s="59">
        <v>9952.69</v>
      </c>
      <c r="AD18" s="59">
        <v>7076.64</v>
      </c>
      <c r="AE18" s="59">
        <v>8401.8</v>
      </c>
      <c r="AF18" s="59">
        <v>9109.77</v>
      </c>
      <c r="AG18" s="60">
        <f t="shared" si="3"/>
        <v>352500.52</v>
      </c>
    </row>
    <row r="19">
      <c r="A19" s="20" t="s">
        <v>103</v>
      </c>
      <c r="B19" s="56">
        <v>0.0</v>
      </c>
      <c r="C19" s="57">
        <v>0.0</v>
      </c>
      <c r="D19" s="58">
        <v>0.0</v>
      </c>
      <c r="E19" s="58">
        <v>0.0</v>
      </c>
      <c r="F19" s="58">
        <v>0.0</v>
      </c>
      <c r="G19" s="58">
        <v>247.91</v>
      </c>
      <c r="H19" s="58">
        <v>0.0</v>
      </c>
      <c r="I19" s="58">
        <v>0.0</v>
      </c>
      <c r="J19" s="58">
        <v>0.0</v>
      </c>
      <c r="K19" s="58">
        <v>0.0</v>
      </c>
      <c r="L19" s="58">
        <v>0.0</v>
      </c>
      <c r="M19" s="58">
        <v>0.0</v>
      </c>
      <c r="N19" s="58">
        <v>0.0</v>
      </c>
      <c r="O19" s="58">
        <v>0.0</v>
      </c>
      <c r="P19" s="59">
        <v>0.0</v>
      </c>
      <c r="Q19" s="58">
        <v>20.33</v>
      </c>
      <c r="R19" s="59">
        <v>0.0</v>
      </c>
      <c r="S19" s="59">
        <v>0.0</v>
      </c>
      <c r="T19" s="59">
        <v>0.0</v>
      </c>
      <c r="U19" s="58">
        <v>0.0</v>
      </c>
      <c r="V19" s="58">
        <v>0.0</v>
      </c>
      <c r="W19" s="58">
        <v>0.0</v>
      </c>
      <c r="X19" s="58">
        <v>0.0</v>
      </c>
      <c r="Y19" s="58">
        <v>0.0</v>
      </c>
      <c r="Z19" s="58">
        <v>0.0</v>
      </c>
      <c r="AA19" s="58">
        <v>0.0</v>
      </c>
      <c r="AB19" s="58">
        <v>0.0</v>
      </c>
      <c r="AC19" s="58">
        <v>0.0</v>
      </c>
      <c r="AD19" s="58">
        <v>0.0</v>
      </c>
      <c r="AE19" s="58">
        <v>0.0</v>
      </c>
      <c r="AF19" s="58">
        <v>0.0</v>
      </c>
      <c r="AG19" s="60">
        <f t="shared" si="3"/>
        <v>268.24</v>
      </c>
    </row>
    <row r="20">
      <c r="A20" s="21" t="s">
        <v>106</v>
      </c>
      <c r="B20" s="56">
        <v>798.0</v>
      </c>
      <c r="C20" s="57">
        <v>0.0</v>
      </c>
      <c r="D20" s="58">
        <v>2660.0</v>
      </c>
      <c r="E20" s="58">
        <v>1862.0</v>
      </c>
      <c r="F20" s="58">
        <v>2128.0</v>
      </c>
      <c r="G20" s="58">
        <v>2926.0</v>
      </c>
      <c r="H20" s="58">
        <v>1596.0</v>
      </c>
      <c r="I20" s="58">
        <v>1330.0</v>
      </c>
      <c r="J20" s="58">
        <v>532.0</v>
      </c>
      <c r="K20" s="58">
        <v>1330.0</v>
      </c>
      <c r="L20" s="58">
        <v>798.0</v>
      </c>
      <c r="M20" s="58">
        <v>1064.0</v>
      </c>
      <c r="N20" s="58">
        <v>1064.0</v>
      </c>
      <c r="O20" s="58">
        <v>1330.0</v>
      </c>
      <c r="P20" s="58">
        <v>1330.0</v>
      </c>
      <c r="Q20" s="58">
        <v>2128.0</v>
      </c>
      <c r="R20" s="58">
        <v>798.0</v>
      </c>
      <c r="S20" s="58">
        <v>798.0</v>
      </c>
      <c r="T20" s="58">
        <v>1330.0</v>
      </c>
      <c r="U20" s="58">
        <v>266.0</v>
      </c>
      <c r="V20" s="59">
        <v>1064.0</v>
      </c>
      <c r="W20" s="59">
        <v>1330.0</v>
      </c>
      <c r="X20" s="59">
        <v>532.0</v>
      </c>
      <c r="Y20" s="59">
        <v>1064.0</v>
      </c>
      <c r="Z20" s="59">
        <v>1596.0</v>
      </c>
      <c r="AA20" s="58">
        <v>1064.0</v>
      </c>
      <c r="AB20" s="59">
        <v>1330.0</v>
      </c>
      <c r="AC20" s="59">
        <v>1064.0</v>
      </c>
      <c r="AD20" s="59">
        <v>1064.0</v>
      </c>
      <c r="AE20" s="59">
        <v>532.0</v>
      </c>
      <c r="AF20" s="59">
        <v>1596.0</v>
      </c>
      <c r="AG20" s="60">
        <f t="shared" si="3"/>
        <v>38304</v>
      </c>
    </row>
    <row r="21">
      <c r="A21" s="34" t="s">
        <v>113</v>
      </c>
      <c r="B21" s="61"/>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0">
        <f t="shared" si="3"/>
        <v>0</v>
      </c>
    </row>
    <row r="22">
      <c r="A22" s="21" t="s">
        <v>115</v>
      </c>
      <c r="B22" s="63">
        <v>0.0</v>
      </c>
      <c r="C22" s="63">
        <v>0.0</v>
      </c>
      <c r="D22" s="63">
        <v>0.0</v>
      </c>
      <c r="E22" s="63">
        <v>0.0</v>
      </c>
      <c r="F22" s="63">
        <v>0.0</v>
      </c>
      <c r="G22" s="63">
        <v>0.0</v>
      </c>
      <c r="H22" s="63">
        <v>0.0</v>
      </c>
      <c r="I22" s="63">
        <v>0.0</v>
      </c>
      <c r="J22" s="63">
        <v>0.0</v>
      </c>
      <c r="K22" s="63">
        <v>77.33</v>
      </c>
      <c r="L22" s="63">
        <v>0.0</v>
      </c>
      <c r="M22" s="63">
        <v>0.0</v>
      </c>
      <c r="N22" s="63">
        <v>0.0</v>
      </c>
      <c r="O22" s="63">
        <v>0.0</v>
      </c>
      <c r="P22" s="63">
        <v>0.0</v>
      </c>
      <c r="Q22" s="63">
        <v>0.0</v>
      </c>
      <c r="R22" s="63">
        <v>0.0</v>
      </c>
      <c r="S22" s="63">
        <v>0.0</v>
      </c>
      <c r="T22" s="63">
        <v>0.0</v>
      </c>
      <c r="U22" s="63">
        <f>351.43+315.14  </f>
        <v>666.57</v>
      </c>
      <c r="V22" s="63">
        <v>0.0</v>
      </c>
      <c r="W22" s="63">
        <v>0.0</v>
      </c>
      <c r="X22" s="63">
        <v>0.0</v>
      </c>
      <c r="Y22" s="63">
        <v>0.0</v>
      </c>
      <c r="Z22" s="63">
        <v>0.0</v>
      </c>
      <c r="AA22" s="63">
        <v>0.0</v>
      </c>
      <c r="AB22" s="63">
        <v>250.4</v>
      </c>
      <c r="AC22" s="63">
        <v>0.0</v>
      </c>
      <c r="AD22" s="63">
        <v>0.0</v>
      </c>
      <c r="AE22" s="63">
        <v>0.0</v>
      </c>
      <c r="AF22" s="63">
        <v>299.0</v>
      </c>
      <c r="AG22" s="60">
        <f t="shared" si="3"/>
        <v>1293.3</v>
      </c>
    </row>
    <row r="23">
      <c r="A23" s="26" t="s">
        <v>119</v>
      </c>
      <c r="B23" s="61"/>
      <c r="C23" s="62"/>
      <c r="D23" s="65"/>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0">
        <f t="shared" si="3"/>
        <v>0</v>
      </c>
    </row>
    <row r="24">
      <c r="A24" s="26" t="s">
        <v>121</v>
      </c>
      <c r="B24" s="61"/>
      <c r="C24" s="62"/>
      <c r="D24" s="65"/>
      <c r="E24" s="66"/>
      <c r="F24" s="66"/>
      <c r="G24" s="66"/>
      <c r="H24" s="66"/>
      <c r="I24" s="66"/>
      <c r="J24" s="65"/>
      <c r="K24" s="66"/>
      <c r="L24" s="66"/>
      <c r="M24" s="66"/>
      <c r="N24" s="66"/>
      <c r="O24" s="66"/>
      <c r="P24" s="66"/>
      <c r="Q24" s="66"/>
      <c r="R24" s="66"/>
      <c r="S24" s="66"/>
      <c r="T24" s="66"/>
      <c r="U24" s="66"/>
      <c r="V24" s="66"/>
      <c r="W24" s="66"/>
      <c r="X24" s="66"/>
      <c r="Y24" s="66"/>
      <c r="Z24" s="66"/>
      <c r="AA24" s="66"/>
      <c r="AB24" s="66"/>
      <c r="AC24" s="66"/>
      <c r="AD24" s="66"/>
      <c r="AE24" s="66"/>
      <c r="AF24" s="66"/>
      <c r="AG24" s="60">
        <f t="shared" si="3"/>
        <v>0</v>
      </c>
    </row>
    <row r="25">
      <c r="A25" s="70" t="s">
        <v>29</v>
      </c>
      <c r="B25" s="71">
        <v>4655.46</v>
      </c>
      <c r="C25" s="72">
        <v>773.28</v>
      </c>
      <c r="D25" s="73">
        <v>1690.9</v>
      </c>
      <c r="E25" s="73">
        <v>11280.65</v>
      </c>
      <c r="F25" s="73">
        <v>6426.36</v>
      </c>
      <c r="G25" s="73">
        <v>1762.8</v>
      </c>
      <c r="H25" s="73">
        <v>1705.89</v>
      </c>
      <c r="I25" s="73">
        <v>2423.02</v>
      </c>
      <c r="J25" s="73">
        <v>1813.44</v>
      </c>
      <c r="K25" s="73">
        <v>17085.19</v>
      </c>
      <c r="L25" s="73">
        <v>7193.4</v>
      </c>
      <c r="M25" s="73">
        <v>1171.2</v>
      </c>
      <c r="N25" s="73">
        <v>2294.24</v>
      </c>
      <c r="O25" s="74">
        <v>790.67</v>
      </c>
      <c r="P25" s="74">
        <v>3521.58</v>
      </c>
      <c r="Q25" s="74">
        <v>2299.89</v>
      </c>
      <c r="R25" s="75">
        <v>3080.7</v>
      </c>
      <c r="S25" s="74">
        <v>1143.75</v>
      </c>
      <c r="T25" s="74">
        <v>1157.64</v>
      </c>
      <c r="U25" s="74">
        <v>855.5</v>
      </c>
      <c r="V25" s="74">
        <v>624.78</v>
      </c>
      <c r="W25" s="75">
        <v>1660.64</v>
      </c>
      <c r="X25" s="74">
        <v>1029.11</v>
      </c>
      <c r="Y25" s="74">
        <v>1278.42</v>
      </c>
      <c r="Z25" s="74">
        <v>1074.96</v>
      </c>
      <c r="AA25" s="74">
        <v>1391.32</v>
      </c>
      <c r="AB25" s="74">
        <v>2150.26</v>
      </c>
      <c r="AC25" s="74">
        <v>1425.2</v>
      </c>
      <c r="AD25" s="75">
        <v>1489.91</v>
      </c>
      <c r="AE25" s="74">
        <v>835.47</v>
      </c>
      <c r="AF25" s="74">
        <v>1674.04</v>
      </c>
      <c r="AG25" s="60">
        <f t="shared" si="3"/>
        <v>87759.67</v>
      </c>
    </row>
    <row r="26">
      <c r="A26" s="50" t="s">
        <v>126</v>
      </c>
      <c r="B26" s="76">
        <f t="shared" ref="B26:AF26" si="4">SUM(B17:B25)</f>
        <v>20260.21</v>
      </c>
      <c r="C26" s="76">
        <f t="shared" si="4"/>
        <v>15750.03</v>
      </c>
      <c r="D26" s="76">
        <f t="shared" si="4"/>
        <v>10712.47</v>
      </c>
      <c r="E26" s="76">
        <f t="shared" si="4"/>
        <v>26966.95</v>
      </c>
      <c r="F26" s="76">
        <f t="shared" si="4"/>
        <v>38230.5</v>
      </c>
      <c r="G26" s="76">
        <f t="shared" si="4"/>
        <v>28507.21</v>
      </c>
      <c r="H26" s="76">
        <f t="shared" si="4"/>
        <v>29765.44</v>
      </c>
      <c r="I26" s="76">
        <f t="shared" si="4"/>
        <v>19884.2</v>
      </c>
      <c r="J26" s="76">
        <f t="shared" si="4"/>
        <v>15963.53</v>
      </c>
      <c r="K26" s="76">
        <f t="shared" si="4"/>
        <v>32248.4</v>
      </c>
      <c r="L26" s="76">
        <f t="shared" si="4"/>
        <v>20747.94</v>
      </c>
      <c r="M26" s="76">
        <f t="shared" si="4"/>
        <v>12938.7</v>
      </c>
      <c r="N26" s="76">
        <f t="shared" si="4"/>
        <v>18448.92</v>
      </c>
      <c r="O26" s="76">
        <f t="shared" si="4"/>
        <v>14661.39</v>
      </c>
      <c r="P26" s="76">
        <f t="shared" si="4"/>
        <v>19603.86</v>
      </c>
      <c r="Q26" s="76">
        <f t="shared" si="4"/>
        <v>17758.25</v>
      </c>
      <c r="R26" s="76">
        <f t="shared" si="4"/>
        <v>14455.15</v>
      </c>
      <c r="S26" s="76">
        <f t="shared" si="4"/>
        <v>13654.96</v>
      </c>
      <c r="T26" s="76">
        <f t="shared" si="4"/>
        <v>18287.63</v>
      </c>
      <c r="U26" s="76">
        <f t="shared" si="4"/>
        <v>19528.64</v>
      </c>
      <c r="V26" s="76">
        <f t="shared" si="4"/>
        <v>19092.9</v>
      </c>
      <c r="W26" s="76">
        <f t="shared" si="4"/>
        <v>20476.97</v>
      </c>
      <c r="X26" s="76">
        <f t="shared" si="4"/>
        <v>15520.45</v>
      </c>
      <c r="Y26" s="76">
        <f t="shared" si="4"/>
        <v>21696.07</v>
      </c>
      <c r="Z26" s="76">
        <f t="shared" si="4"/>
        <v>19928.86</v>
      </c>
      <c r="AA26" s="76">
        <f t="shared" si="4"/>
        <v>14204.83</v>
      </c>
      <c r="AB26" s="76">
        <f t="shared" si="4"/>
        <v>20905.8</v>
      </c>
      <c r="AC26" s="76">
        <f t="shared" si="4"/>
        <v>23798.86</v>
      </c>
      <c r="AD26" s="76">
        <f t="shared" si="4"/>
        <v>20193.27</v>
      </c>
      <c r="AE26" s="76">
        <f t="shared" si="4"/>
        <v>21043.26</v>
      </c>
      <c r="AF26" s="76">
        <f t="shared" si="4"/>
        <v>28421.62</v>
      </c>
      <c r="AG26" s="77">
        <f t="shared" si="3"/>
        <v>633657.27</v>
      </c>
    </row>
    <row r="27">
      <c r="A27" s="26"/>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78"/>
    </row>
    <row r="28">
      <c r="A28" s="79" t="s">
        <v>152</v>
      </c>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78"/>
    </row>
    <row r="29">
      <c r="A29" s="26" t="s">
        <v>154</v>
      </c>
      <c r="B29" s="81">
        <f>Sales!B13</f>
        <v>6003.49</v>
      </c>
      <c r="C29" s="81">
        <f>Sales!C13</f>
        <v>5666.34</v>
      </c>
      <c r="D29" s="81">
        <f>Sales!D13</f>
        <v>5287.53</v>
      </c>
      <c r="E29" s="81">
        <f>Sales!E13</f>
        <v>5405.32</v>
      </c>
      <c r="F29" s="81">
        <f>Sales!F13</f>
        <v>5448.5</v>
      </c>
      <c r="G29" s="81">
        <f>Sales!G13</f>
        <v>6253.48</v>
      </c>
      <c r="H29" s="81">
        <f>Sales!H13</f>
        <v>4657.96</v>
      </c>
      <c r="I29" s="81">
        <f>Sales!I13</f>
        <v>4892.4</v>
      </c>
      <c r="J29" s="81">
        <f>Sales!J13</f>
        <v>4507.56</v>
      </c>
      <c r="K29" s="81">
        <f>Sales!K13</f>
        <v>4379.15</v>
      </c>
      <c r="L29" s="81">
        <f>Sales!L13</f>
        <v>4295.76</v>
      </c>
      <c r="M29" s="81">
        <f>Sales!M13</f>
        <v>4171.36</v>
      </c>
      <c r="N29" s="81">
        <f>Sales!N13</f>
        <v>4409.89</v>
      </c>
      <c r="O29" s="81">
        <f>Sales!O13</f>
        <v>4930.36</v>
      </c>
      <c r="P29" s="81">
        <f>Sales!P13</f>
        <v>5160.51</v>
      </c>
      <c r="Q29" s="81">
        <f>Sales!Q13</f>
        <v>4972.37</v>
      </c>
      <c r="R29" s="81">
        <f>Sales!R13</f>
        <v>4662.58</v>
      </c>
      <c r="S29" s="81">
        <f>Sales!S13</f>
        <v>4469.93</v>
      </c>
      <c r="T29" s="81">
        <f>Sales!T13</f>
        <v>5539.33</v>
      </c>
      <c r="U29" s="81">
        <f>Sales!U13</f>
        <v>6580.63</v>
      </c>
      <c r="V29" s="81">
        <f>Sales!V13</f>
        <v>8133.65</v>
      </c>
      <c r="W29" s="81">
        <f>Sales!W13</f>
        <v>9351.24</v>
      </c>
      <c r="X29" s="81">
        <f>Sales!X13</f>
        <v>8863.02</v>
      </c>
      <c r="Y29" s="81">
        <f>Sales!Y13</f>
        <v>8805.28</v>
      </c>
      <c r="Z29" s="81">
        <f>Sales!Z13</f>
        <v>8629.72</v>
      </c>
      <c r="AA29" s="81">
        <f>Sales!AA13</f>
        <v>8138.59</v>
      </c>
      <c r="AB29" s="81">
        <f>Sales!AB13</f>
        <v>6958.98</v>
      </c>
      <c r="AC29" s="81">
        <f>Sales!AC13</f>
        <v>7798.06</v>
      </c>
      <c r="AD29" s="81">
        <f>Sales!AD13</f>
        <v>7872.09</v>
      </c>
      <c r="AE29" s="81">
        <f>Sales!AE13</f>
        <v>9682.09</v>
      </c>
      <c r="AF29" s="81">
        <f>Sales!AF13</f>
        <v>9677.62</v>
      </c>
      <c r="AG29" s="60">
        <f t="shared" ref="AG29:AG32" si="5">SUM(B29:AF29)</f>
        <v>195604.79</v>
      </c>
    </row>
    <row r="30">
      <c r="A30" s="34" t="s">
        <v>165</v>
      </c>
      <c r="B30" s="81">
        <f>Sales!B14</f>
        <v>2600</v>
      </c>
      <c r="C30" s="81">
        <f>Sales!C14</f>
        <v>2990</v>
      </c>
      <c r="D30" s="81">
        <f>Sales!D14</f>
        <v>2520</v>
      </c>
      <c r="E30" s="81">
        <f>Sales!E14</f>
        <v>3230</v>
      </c>
      <c r="F30" s="81">
        <f>Sales!F14</f>
        <v>3500</v>
      </c>
      <c r="G30" s="81">
        <f>Sales!G14</f>
        <v>2296.12</v>
      </c>
      <c r="H30" s="81">
        <f>Sales!H14</f>
        <v>2822.09</v>
      </c>
      <c r="I30" s="81">
        <f>Sales!I14</f>
        <v>2213.61</v>
      </c>
      <c r="J30" s="81">
        <f>Sales!J14</f>
        <v>1789.04</v>
      </c>
      <c r="K30" s="81">
        <f>Sales!K14</f>
        <v>2123.89</v>
      </c>
      <c r="L30" s="81">
        <f>Sales!L14</f>
        <v>1479.12</v>
      </c>
      <c r="M30" s="81">
        <f>Sales!M14</f>
        <v>1610.83</v>
      </c>
      <c r="N30" s="81">
        <f>Sales!N14</f>
        <v>1900</v>
      </c>
      <c r="O30" s="81">
        <f>Sales!O14</f>
        <v>2220</v>
      </c>
      <c r="P30" s="81">
        <f>Sales!P14</f>
        <v>2618.92</v>
      </c>
      <c r="Q30" s="81">
        <f>Sales!Q14</f>
        <v>2856.36</v>
      </c>
      <c r="R30" s="81">
        <f>Sales!R14</f>
        <v>2308.9</v>
      </c>
      <c r="S30" s="81">
        <f>Sales!S14</f>
        <v>2076.88</v>
      </c>
      <c r="T30" s="81">
        <f>Sales!T14</f>
        <v>2047.28</v>
      </c>
      <c r="U30" s="81">
        <f>Sales!U14</f>
        <v>2396.9</v>
      </c>
      <c r="V30" s="81">
        <f>Sales!V14</f>
        <v>2607.87</v>
      </c>
      <c r="W30" s="81">
        <f>Sales!W14</f>
        <v>2318.01</v>
      </c>
      <c r="X30" s="81">
        <f>Sales!X14</f>
        <v>2109.62</v>
      </c>
      <c r="Y30" s="81">
        <f>Sales!Y14</f>
        <v>2052.02</v>
      </c>
      <c r="Z30" s="81">
        <f>Sales!Z14</f>
        <v>1595.22</v>
      </c>
      <c r="AA30" s="81">
        <f>Sales!AA14</f>
        <v>1830.99</v>
      </c>
      <c r="AB30" s="81">
        <f>Sales!AB14</f>
        <v>1987.12</v>
      </c>
      <c r="AC30" s="81">
        <f>Sales!AC14</f>
        <v>2012.09</v>
      </c>
      <c r="AD30" s="81">
        <f>Sales!AD14</f>
        <v>2048.27</v>
      </c>
      <c r="AE30" s="81">
        <f>Sales!AE14</f>
        <v>1765.94</v>
      </c>
      <c r="AF30" s="81">
        <f>Sales!AF14</f>
        <v>1573.76</v>
      </c>
      <c r="AG30" s="60">
        <f t="shared" si="5"/>
        <v>69500.85</v>
      </c>
    </row>
    <row r="31">
      <c r="A31" s="26" t="s">
        <v>175</v>
      </c>
      <c r="B31" s="81">
        <v>0.0</v>
      </c>
      <c r="C31" s="81">
        <v>0.0</v>
      </c>
      <c r="D31" s="81">
        <v>0.0</v>
      </c>
      <c r="E31" s="81">
        <v>0.0</v>
      </c>
      <c r="F31" s="81">
        <v>0.0</v>
      </c>
      <c r="G31" s="81">
        <f>Sales!G16</f>
        <v>248.33</v>
      </c>
      <c r="H31" s="81">
        <f>Sales!H16</f>
        <v>248.96</v>
      </c>
      <c r="I31" s="81">
        <v>0.0</v>
      </c>
      <c r="J31" s="81">
        <v>0.0</v>
      </c>
      <c r="K31" s="81">
        <v>0.0</v>
      </c>
      <c r="L31" s="81">
        <v>0.0</v>
      </c>
      <c r="M31" s="81">
        <v>0.0</v>
      </c>
      <c r="N31" s="81">
        <v>0.0</v>
      </c>
      <c r="O31" s="81">
        <v>0.0</v>
      </c>
      <c r="P31" s="81">
        <v>0.0</v>
      </c>
      <c r="Q31" s="81">
        <v>0.0</v>
      </c>
      <c r="R31" s="81">
        <v>0.0</v>
      </c>
      <c r="S31" s="81">
        <v>0.0</v>
      </c>
      <c r="T31" s="81">
        <v>0.0</v>
      </c>
      <c r="U31" s="81">
        <v>0.0</v>
      </c>
      <c r="V31" s="81">
        <v>0.0</v>
      </c>
      <c r="W31" s="81">
        <v>0.0</v>
      </c>
      <c r="X31" s="81">
        <v>0.0</v>
      </c>
      <c r="Y31" s="81">
        <v>0.0</v>
      </c>
      <c r="Z31" s="81">
        <v>0.0</v>
      </c>
      <c r="AA31" s="81">
        <v>0.0</v>
      </c>
      <c r="AB31" s="81">
        <v>0.0</v>
      </c>
      <c r="AC31" s="81" t="str">
        <f>Sales!AC16</f>
        <v/>
      </c>
      <c r="AD31" s="81" t="str">
        <f>Sales!AD16</f>
        <v/>
      </c>
      <c r="AE31" s="81" t="str">
        <f>Sales!AE16</f>
        <v/>
      </c>
      <c r="AF31" s="81" t="str">
        <f>Sales!AF16</f>
        <v/>
      </c>
      <c r="AG31" s="60">
        <f t="shared" si="5"/>
        <v>497.29</v>
      </c>
    </row>
    <row r="32">
      <c r="A32" s="34" t="s">
        <v>180</v>
      </c>
      <c r="B32" s="81">
        <f>Sales!B15</f>
        <v>83.03</v>
      </c>
      <c r="C32" s="81">
        <f>Sales!C15</f>
        <v>91.99</v>
      </c>
      <c r="D32" s="81">
        <f>Sales!D15</f>
        <v>89.3</v>
      </c>
      <c r="E32" s="81">
        <f>Sales!E15</f>
        <v>155.15</v>
      </c>
      <c r="F32" s="81">
        <f>Sales!F15</f>
        <v>152.58</v>
      </c>
      <c r="G32" s="81">
        <f>Sales!G15</f>
        <v>154.02</v>
      </c>
      <c r="H32" s="81">
        <f>Sales!H15</f>
        <v>126.99</v>
      </c>
      <c r="I32" s="81">
        <f>Sales!I15</f>
        <v>139.77</v>
      </c>
      <c r="J32" s="81">
        <f>Sales!J15</f>
        <v>148.1</v>
      </c>
      <c r="K32" s="81">
        <f>Sales!K15</f>
        <v>137.47</v>
      </c>
      <c r="L32" s="81">
        <f>Sales!L15</f>
        <v>129.34</v>
      </c>
      <c r="M32" s="81">
        <f>Sales!M15</f>
        <v>109.4</v>
      </c>
      <c r="N32" s="81">
        <f>Sales!N15</f>
        <v>113.26</v>
      </c>
      <c r="O32" s="81">
        <f>Sales!O15</f>
        <v>69.12</v>
      </c>
      <c r="P32" s="81">
        <f>Sales!P15</f>
        <v>84.21</v>
      </c>
      <c r="Q32" s="81">
        <f>Sales!Q15</f>
        <v>125.1</v>
      </c>
      <c r="R32" s="81">
        <f>Sales!R15</f>
        <v>72.17</v>
      </c>
      <c r="S32" s="81">
        <f>Sales!S15</f>
        <v>71.99</v>
      </c>
      <c r="T32" s="81">
        <f>Sales!T15</f>
        <v>86.35</v>
      </c>
      <c r="U32" s="81">
        <f>Sales!U15</f>
        <v>75.36</v>
      </c>
      <c r="V32" s="81">
        <f>Sales!V15</f>
        <v>52.14</v>
      </c>
      <c r="W32" s="81">
        <f>Sales!W15</f>
        <v>80.81</v>
      </c>
      <c r="X32" s="81">
        <f>Sales!X15</f>
        <v>82.51</v>
      </c>
      <c r="Y32" s="81">
        <f>Sales!Y15</f>
        <v>104.32</v>
      </c>
      <c r="Z32" s="81">
        <f>Sales!Z15</f>
        <v>96.31</v>
      </c>
      <c r="AA32" s="81">
        <f>Sales!AA15</f>
        <v>65.31</v>
      </c>
      <c r="AB32" s="81">
        <f>Sales!AB15</f>
        <v>78.43</v>
      </c>
      <c r="AC32" s="81">
        <f>Sales!AC15</f>
        <v>69.32</v>
      </c>
      <c r="AD32" s="81">
        <f>Sales!AD15</f>
        <v>66.38</v>
      </c>
      <c r="AE32" s="81">
        <f>Sales!AE15</f>
        <v>88.33</v>
      </c>
      <c r="AF32" s="81">
        <f>Sales!AF15</f>
        <v>78.76</v>
      </c>
      <c r="AG32" s="60">
        <f t="shared" si="5"/>
        <v>3077.32</v>
      </c>
    </row>
    <row r="33">
      <c r="A33" s="34" t="s">
        <v>113</v>
      </c>
      <c r="B33" s="117"/>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c r="AA33" s="117"/>
      <c r="AB33" s="117"/>
      <c r="AC33" s="117"/>
      <c r="AD33" s="117"/>
      <c r="AE33" s="117"/>
      <c r="AF33" s="117"/>
      <c r="AG33" s="60">
        <f t="shared" ref="AG33:AG36" si="8">SUM(B33:AE33)</f>
        <v>0</v>
      </c>
    </row>
    <row r="34">
      <c r="A34" s="34" t="s">
        <v>195</v>
      </c>
      <c r="B34" s="117">
        <f t="shared" ref="B34:S34" si="6">B21*0.15</f>
        <v>0</v>
      </c>
      <c r="C34" s="117">
        <f t="shared" si="6"/>
        <v>0</v>
      </c>
      <c r="D34" s="117">
        <f t="shared" si="6"/>
        <v>0</v>
      </c>
      <c r="E34" s="117">
        <f t="shared" si="6"/>
        <v>0</v>
      </c>
      <c r="F34" s="117">
        <f t="shared" si="6"/>
        <v>0</v>
      </c>
      <c r="G34" s="117">
        <f t="shared" si="6"/>
        <v>0</v>
      </c>
      <c r="H34" s="117">
        <f t="shared" si="6"/>
        <v>0</v>
      </c>
      <c r="I34" s="117">
        <f t="shared" si="6"/>
        <v>0</v>
      </c>
      <c r="J34" s="117">
        <f t="shared" si="6"/>
        <v>0</v>
      </c>
      <c r="K34" s="117">
        <f t="shared" si="6"/>
        <v>0</v>
      </c>
      <c r="L34" s="117">
        <f t="shared" si="6"/>
        <v>0</v>
      </c>
      <c r="M34" s="117">
        <f t="shared" si="6"/>
        <v>0</v>
      </c>
      <c r="N34" s="117">
        <f t="shared" si="6"/>
        <v>0</v>
      </c>
      <c r="O34" s="117">
        <f t="shared" si="6"/>
        <v>0</v>
      </c>
      <c r="P34" s="117">
        <f t="shared" si="6"/>
        <v>0</v>
      </c>
      <c r="Q34" s="117">
        <f t="shared" si="6"/>
        <v>0</v>
      </c>
      <c r="R34" s="117">
        <f t="shared" si="6"/>
        <v>0</v>
      </c>
      <c r="S34" s="117">
        <f t="shared" si="6"/>
        <v>0</v>
      </c>
      <c r="T34" s="117"/>
      <c r="U34" s="117">
        <f t="shared" ref="U34:AF34" si="7">U21*0.15</f>
        <v>0</v>
      </c>
      <c r="V34" s="117">
        <f t="shared" si="7"/>
        <v>0</v>
      </c>
      <c r="W34" s="117">
        <f t="shared" si="7"/>
        <v>0</v>
      </c>
      <c r="X34" s="117">
        <f t="shared" si="7"/>
        <v>0</v>
      </c>
      <c r="Y34" s="117">
        <f t="shared" si="7"/>
        <v>0</v>
      </c>
      <c r="Z34" s="117">
        <f t="shared" si="7"/>
        <v>0</v>
      </c>
      <c r="AA34" s="117">
        <f t="shared" si="7"/>
        <v>0</v>
      </c>
      <c r="AB34" s="117">
        <f t="shared" si="7"/>
        <v>0</v>
      </c>
      <c r="AC34" s="117">
        <f t="shared" si="7"/>
        <v>0</v>
      </c>
      <c r="AD34" s="117">
        <f t="shared" si="7"/>
        <v>0</v>
      </c>
      <c r="AE34" s="117">
        <f t="shared" si="7"/>
        <v>0</v>
      </c>
      <c r="AF34" s="117">
        <f t="shared" si="7"/>
        <v>0</v>
      </c>
      <c r="AG34" s="60">
        <f t="shared" si="8"/>
        <v>0</v>
      </c>
    </row>
    <row r="35">
      <c r="A35" s="34" t="s">
        <v>198</v>
      </c>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c r="AA35" s="121"/>
      <c r="AB35" s="121"/>
      <c r="AC35" s="121"/>
      <c r="AD35" s="121"/>
      <c r="AE35" s="121"/>
      <c r="AF35" s="121"/>
      <c r="AG35" s="60">
        <f t="shared" si="8"/>
        <v>0</v>
      </c>
    </row>
    <row r="36">
      <c r="A36" s="124" t="s">
        <v>206</v>
      </c>
      <c r="B36" s="125"/>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60">
        <f t="shared" si="8"/>
        <v>0</v>
      </c>
    </row>
    <row r="37">
      <c r="A37" s="124" t="s">
        <v>207</v>
      </c>
      <c r="B37" s="125" t="str">
        <f>Sales!B18</f>
        <v/>
      </c>
      <c r="C37" s="121" t="str">
        <f>Sales!C18</f>
        <v/>
      </c>
      <c r="D37" s="121" t="str">
        <f>Sales!D18</f>
        <v/>
      </c>
      <c r="E37" s="121" t="str">
        <f>Sales!E18</f>
        <v/>
      </c>
      <c r="F37" s="121" t="str">
        <f>Sales!F18</f>
        <v/>
      </c>
      <c r="G37" s="121" t="str">
        <f>Sales!G18</f>
        <v/>
      </c>
      <c r="H37" s="121">
        <f>Sales!H18</f>
        <v>0</v>
      </c>
      <c r="I37" s="121">
        <f>Sales!I18</f>
        <v>0</v>
      </c>
      <c r="J37" s="121">
        <f>Sales!J18</f>
        <v>0</v>
      </c>
      <c r="K37" s="129">
        <f>Sales!K18</f>
        <v>15.47</v>
      </c>
      <c r="L37" s="121">
        <f>Sales!L18</f>
        <v>0</v>
      </c>
      <c r="M37" s="121">
        <f>Sales!M18</f>
        <v>0</v>
      </c>
      <c r="N37" s="121">
        <f>Sales!N18</f>
        <v>0</v>
      </c>
      <c r="O37" s="121">
        <f>Sales!O18</f>
        <v>0</v>
      </c>
      <c r="P37" s="121">
        <f>Sales!O18</f>
        <v>0</v>
      </c>
      <c r="Q37" s="121">
        <f>Sales!Q18</f>
        <v>0</v>
      </c>
      <c r="R37" s="121">
        <f>Sales!R18</f>
        <v>0</v>
      </c>
      <c r="S37" s="121">
        <f>Sales!S18</f>
        <v>0</v>
      </c>
      <c r="T37" s="121"/>
      <c r="U37" s="121">
        <f>Sales!U18</f>
        <v>133.32</v>
      </c>
      <c r="V37" s="121">
        <f>Sales!V18</f>
        <v>0</v>
      </c>
      <c r="W37" s="121">
        <f>Sales!W18</f>
        <v>0</v>
      </c>
      <c r="X37" s="121">
        <f>Sales!X18</f>
        <v>0</v>
      </c>
      <c r="Y37" s="121">
        <f>Sales!Y18</f>
        <v>0</v>
      </c>
      <c r="Z37" s="121">
        <f>Sales!Z18</f>
        <v>0</v>
      </c>
      <c r="AA37" s="121">
        <f>Sales!AA18</f>
        <v>0</v>
      </c>
      <c r="AB37" s="121">
        <f>Sales!AB18</f>
        <v>50.08</v>
      </c>
      <c r="AC37" s="121">
        <f>Sales!AC18</f>
        <v>0</v>
      </c>
      <c r="AD37" s="121">
        <f>Sales!AD18</f>
        <v>0</v>
      </c>
      <c r="AE37" s="121">
        <f>Sales!AE18</f>
        <v>0</v>
      </c>
      <c r="AF37" s="121">
        <f>Sales!AF18</f>
        <v>59.8</v>
      </c>
      <c r="AG37" s="60">
        <f>SUM(B37:AF37)</f>
        <v>258.67</v>
      </c>
    </row>
    <row r="38">
      <c r="A38" s="26" t="s">
        <v>214</v>
      </c>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60">
        <f t="shared" ref="AG38:AG41" si="9">SUM(B38:AE38)</f>
        <v>0</v>
      </c>
    </row>
    <row r="39">
      <c r="A39" s="26" t="s">
        <v>221</v>
      </c>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60">
        <f t="shared" si="9"/>
        <v>0</v>
      </c>
    </row>
    <row r="40">
      <c r="A40" s="26" t="s">
        <v>222</v>
      </c>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c r="AA40" s="121"/>
      <c r="AB40" s="121"/>
      <c r="AC40" s="121"/>
      <c r="AD40" s="121"/>
      <c r="AE40" s="121"/>
      <c r="AF40" s="121"/>
      <c r="AG40" s="60">
        <f t="shared" si="9"/>
        <v>0</v>
      </c>
    </row>
    <row r="41">
      <c r="A41" s="132" t="s">
        <v>226</v>
      </c>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5">
        <f t="shared" si="9"/>
        <v>0</v>
      </c>
    </row>
    <row r="42">
      <c r="A42" s="50" t="s">
        <v>126</v>
      </c>
      <c r="B42" s="76">
        <f t="shared" ref="B42:AF42" si="10">SUM(B29:B41)</f>
        <v>8686.52</v>
      </c>
      <c r="C42" s="76">
        <f t="shared" si="10"/>
        <v>8748.33</v>
      </c>
      <c r="D42" s="76">
        <f t="shared" si="10"/>
        <v>7896.83</v>
      </c>
      <c r="E42" s="76">
        <f t="shared" si="10"/>
        <v>8790.47</v>
      </c>
      <c r="F42" s="76">
        <f t="shared" si="10"/>
        <v>9101.08</v>
      </c>
      <c r="G42" s="76">
        <f t="shared" si="10"/>
        <v>8951.95</v>
      </c>
      <c r="H42" s="76">
        <f t="shared" si="10"/>
        <v>7856</v>
      </c>
      <c r="I42" s="76">
        <f t="shared" si="10"/>
        <v>7245.78</v>
      </c>
      <c r="J42" s="76">
        <f t="shared" si="10"/>
        <v>6444.7</v>
      </c>
      <c r="K42" s="76">
        <f t="shared" si="10"/>
        <v>6655.98</v>
      </c>
      <c r="L42" s="76">
        <f t="shared" si="10"/>
        <v>5904.22</v>
      </c>
      <c r="M42" s="76">
        <f t="shared" si="10"/>
        <v>5891.59</v>
      </c>
      <c r="N42" s="76">
        <f t="shared" si="10"/>
        <v>6423.15</v>
      </c>
      <c r="O42" s="76">
        <f t="shared" si="10"/>
        <v>7219.48</v>
      </c>
      <c r="P42" s="76">
        <f t="shared" si="10"/>
        <v>7863.64</v>
      </c>
      <c r="Q42" s="76">
        <f t="shared" si="10"/>
        <v>7953.83</v>
      </c>
      <c r="R42" s="76">
        <f t="shared" si="10"/>
        <v>7043.65</v>
      </c>
      <c r="S42" s="76">
        <f t="shared" si="10"/>
        <v>6618.8</v>
      </c>
      <c r="T42" s="76">
        <f t="shared" si="10"/>
        <v>7672.96</v>
      </c>
      <c r="U42" s="76">
        <f t="shared" si="10"/>
        <v>9186.21</v>
      </c>
      <c r="V42" s="76">
        <f t="shared" si="10"/>
        <v>10793.66</v>
      </c>
      <c r="W42" s="76">
        <f t="shared" si="10"/>
        <v>11750.06</v>
      </c>
      <c r="X42" s="76">
        <f t="shared" si="10"/>
        <v>11055.15</v>
      </c>
      <c r="Y42" s="76">
        <f t="shared" si="10"/>
        <v>10961.62</v>
      </c>
      <c r="Z42" s="76">
        <f t="shared" si="10"/>
        <v>10321.25</v>
      </c>
      <c r="AA42" s="76">
        <f t="shared" si="10"/>
        <v>10034.89</v>
      </c>
      <c r="AB42" s="76">
        <f t="shared" si="10"/>
        <v>9074.61</v>
      </c>
      <c r="AC42" s="76">
        <f t="shared" si="10"/>
        <v>9879.47</v>
      </c>
      <c r="AD42" s="76">
        <f t="shared" si="10"/>
        <v>9986.74</v>
      </c>
      <c r="AE42" s="76">
        <f t="shared" si="10"/>
        <v>11536.36</v>
      </c>
      <c r="AF42" s="76">
        <f t="shared" si="10"/>
        <v>11389.94</v>
      </c>
      <c r="AG42" s="77">
        <f>SUM(B42:AF42)</f>
        <v>268938.92</v>
      </c>
    </row>
    <row r="43">
      <c r="A43" s="26"/>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78"/>
    </row>
    <row r="44">
      <c r="A44" s="79" t="s">
        <v>234</v>
      </c>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78"/>
    </row>
    <row r="45">
      <c r="A45" s="34" t="s">
        <v>241</v>
      </c>
      <c r="B45" s="140">
        <f>B14*Formulas!$H21</f>
        <v>7982.294498</v>
      </c>
      <c r="C45" s="140">
        <f>C14*Formulas!$H21</f>
        <v>5986.720874</v>
      </c>
      <c r="D45" s="140">
        <f>D14*Formulas!$H21</f>
        <v>4869.199644</v>
      </c>
      <c r="E45" s="140">
        <f>E14*Formulas!$H21</f>
        <v>11813.79586</v>
      </c>
      <c r="F45" s="140">
        <f>F14*Formulas!$H21</f>
        <v>12452.37942</v>
      </c>
      <c r="G45" s="140">
        <f>G14*Formulas!$H21</f>
        <v>9898.045178</v>
      </c>
      <c r="H45" s="140">
        <f>H14*Formulas!$H21</f>
        <v>9419.107508</v>
      </c>
      <c r="I45" s="140">
        <f>I14*Formulas!$H21</f>
        <v>7343.710939</v>
      </c>
      <c r="J45" s="140">
        <f>J14*Formulas!$H21</f>
        <v>5108.668479</v>
      </c>
      <c r="K45" s="140">
        <f>K14*Formulas!$H21</f>
        <v>15725.12016</v>
      </c>
      <c r="L45" s="140">
        <f>L14*Formulas!$H21</f>
        <v>7583.179773</v>
      </c>
      <c r="M45" s="140">
        <f>M14*Formulas!$H21</f>
        <v>4150.793139</v>
      </c>
      <c r="N45" s="140">
        <f>N14*Formulas!$H21</f>
        <v>6066.543819</v>
      </c>
      <c r="O45" s="140">
        <f>O14*Formulas!$H21</f>
        <v>5188.491424</v>
      </c>
      <c r="P45" s="140">
        <f>P14*Formulas!$H21</f>
        <v>6066.543819</v>
      </c>
      <c r="Q45" s="140">
        <f>Q14*Formulas!$H21</f>
        <v>5427.960259</v>
      </c>
      <c r="R45" s="140">
        <f>R14*Formulas!$H21</f>
        <v>4470.084919</v>
      </c>
      <c r="S45" s="140">
        <f>S14*Formulas!$H21</f>
        <v>4070.970194</v>
      </c>
      <c r="T45" s="140">
        <f>T14*Formulas!$H21</f>
        <v>5507.783204</v>
      </c>
      <c r="U45" s="140">
        <f>U14*Formulas!$H21</f>
        <v>5667.429094</v>
      </c>
      <c r="V45" s="140">
        <f>V14*Formulas!$H21</f>
        <v>5827.074984</v>
      </c>
      <c r="W45" s="140">
        <f>W14*Formulas!$H21</f>
        <v>6625.304434</v>
      </c>
      <c r="X45" s="140">
        <f>X14*Formulas!$H21</f>
        <v>4869.199644</v>
      </c>
      <c r="Y45" s="140">
        <f>Y14*Formulas!$H21</f>
        <v>6226.189709</v>
      </c>
      <c r="Z45" s="140">
        <f>Z14*Formulas!$H21</f>
        <v>5827.074984</v>
      </c>
      <c r="AA45" s="140">
        <f>AA14*Formulas!$H21</f>
        <v>4230.616084</v>
      </c>
      <c r="AB45" s="140">
        <f>AB14*Formulas!$H21</f>
        <v>5906.897929</v>
      </c>
      <c r="AC45" s="140">
        <f>AC14*Formulas!$H21</f>
        <v>6784.950324</v>
      </c>
      <c r="AD45" s="140">
        <f>AD14*Formulas!$H21</f>
        <v>6066.543819</v>
      </c>
      <c r="AE45" s="140">
        <f>AE14*Formulas!$H21</f>
        <v>5507.783204</v>
      </c>
      <c r="AF45" s="140">
        <f>AF14*Formulas!$H21</f>
        <v>7663.002718</v>
      </c>
      <c r="AG45" s="60">
        <f t="shared" ref="AG45:AG55" si="11">SUM(B45:AF45)</f>
        <v>210333.46</v>
      </c>
    </row>
    <row r="46">
      <c r="A46" s="21" t="s">
        <v>251</v>
      </c>
      <c r="B46" s="149">
        <f>B14*Formulas!$H22</f>
        <v>1843</v>
      </c>
      <c r="C46" s="140">
        <f>C14*Formulas!$H22</f>
        <v>1382.25</v>
      </c>
      <c r="D46" s="140">
        <f>D14*Formulas!$H22</f>
        <v>1124.23</v>
      </c>
      <c r="E46" s="140">
        <f>E14*Formulas!$H22</f>
        <v>2727.64</v>
      </c>
      <c r="F46" s="140">
        <f>F14*Formulas!$H22</f>
        <v>2875.08</v>
      </c>
      <c r="G46" s="140">
        <f>G14*Formulas!$H22</f>
        <v>2285.32</v>
      </c>
      <c r="H46" s="140">
        <f>H14*Formulas!$H22</f>
        <v>2174.74</v>
      </c>
      <c r="I46" s="140">
        <f>I14*Formulas!$H22</f>
        <v>1695.56</v>
      </c>
      <c r="J46" s="140">
        <f>J14*Formulas!$H22</f>
        <v>1179.52</v>
      </c>
      <c r="K46" s="140">
        <f>K14*Formulas!$H22</f>
        <v>3630.71</v>
      </c>
      <c r="L46" s="140">
        <f>L14*Formulas!$H22</f>
        <v>1750.85</v>
      </c>
      <c r="M46" s="140">
        <f>M14*Formulas!$H22</f>
        <v>958.36</v>
      </c>
      <c r="N46" s="140">
        <f>N14*Formulas!$H22</f>
        <v>1400.68</v>
      </c>
      <c r="O46" s="140">
        <f>O14*Formulas!$H22</f>
        <v>1197.95</v>
      </c>
      <c r="P46" s="140">
        <f>P14*Formulas!$H22</f>
        <v>1400.68</v>
      </c>
      <c r="Q46" s="140">
        <f>Q14*Formulas!$H22</f>
        <v>1253.24</v>
      </c>
      <c r="R46" s="140">
        <f>R14*Formulas!$H22</f>
        <v>1032.08</v>
      </c>
      <c r="S46" s="140">
        <f>S14*Formulas!$H22</f>
        <v>939.93</v>
      </c>
      <c r="T46" s="140">
        <f>T14*Formulas!$H22</f>
        <v>1271.67</v>
      </c>
      <c r="U46" s="140">
        <f>U14*Formulas!$H22</f>
        <v>1308.53</v>
      </c>
      <c r="V46" s="140">
        <f>V14*Formulas!$H22</f>
        <v>1345.39</v>
      </c>
      <c r="W46" s="140">
        <f>W14*Formulas!$H22</f>
        <v>1529.69</v>
      </c>
      <c r="X46" s="140">
        <f>X14*Formulas!$H22</f>
        <v>1124.23</v>
      </c>
      <c r="Y46" s="140">
        <f>Y14*Formulas!$H22</f>
        <v>1437.54</v>
      </c>
      <c r="Z46" s="140">
        <f>Z14*Formulas!$H22</f>
        <v>1345.39</v>
      </c>
      <c r="AA46" s="140">
        <f>AA14*Formulas!$H22</f>
        <v>976.79</v>
      </c>
      <c r="AB46" s="140">
        <f>AB14*Formulas!$H22</f>
        <v>1363.82</v>
      </c>
      <c r="AC46" s="140">
        <f>AC14*Formulas!$H22</f>
        <v>1566.55</v>
      </c>
      <c r="AD46" s="140">
        <f>AD14*Formulas!$H22</f>
        <v>1400.68</v>
      </c>
      <c r="AE46" s="140">
        <f>AE14*Formulas!$H22</f>
        <v>1271.67</v>
      </c>
      <c r="AF46" s="140">
        <f>AF14*Formulas!$H22</f>
        <v>1769.28</v>
      </c>
      <c r="AG46" s="60">
        <f t="shared" si="11"/>
        <v>48563.05</v>
      </c>
    </row>
    <row r="47">
      <c r="A47" s="21" t="s">
        <v>264</v>
      </c>
      <c r="B47" s="149">
        <f>B14*Formulas!$H23</f>
        <v>1159</v>
      </c>
      <c r="C47" s="140">
        <f>C14*Formulas!$H23</f>
        <v>869.25</v>
      </c>
      <c r="D47" s="140">
        <f>D14*Formulas!$H23</f>
        <v>706.99</v>
      </c>
      <c r="E47" s="140">
        <f>E14*Formulas!$H23</f>
        <v>1715.32</v>
      </c>
      <c r="F47" s="140">
        <f>F14*Formulas!$H23</f>
        <v>1808.04</v>
      </c>
      <c r="G47" s="140">
        <f>G14*Formulas!$H23</f>
        <v>1437.16</v>
      </c>
      <c r="H47" s="140">
        <f>H14*Formulas!$H23</f>
        <v>1367.62</v>
      </c>
      <c r="I47" s="140">
        <f>I14*Formulas!$H23</f>
        <v>1066.28</v>
      </c>
      <c r="J47" s="140">
        <f>J14*Formulas!$H23</f>
        <v>741.76</v>
      </c>
      <c r="K47" s="140">
        <f>K14*Formulas!$H23</f>
        <v>2283.23</v>
      </c>
      <c r="L47" s="140">
        <f>L14*Formulas!$H23</f>
        <v>1101.05</v>
      </c>
      <c r="M47" s="140">
        <f>M14*Formulas!$H23</f>
        <v>602.68</v>
      </c>
      <c r="N47" s="140">
        <f>N14*Formulas!$H23</f>
        <v>880.84</v>
      </c>
      <c r="O47" s="140">
        <f>O14*Formulas!$H23</f>
        <v>753.35</v>
      </c>
      <c r="P47" s="140">
        <f>P14*Formulas!$H23</f>
        <v>880.84</v>
      </c>
      <c r="Q47" s="140">
        <f>Q14*Formulas!$H23</f>
        <v>788.12</v>
      </c>
      <c r="R47" s="140">
        <f>R14*Formulas!$H23</f>
        <v>649.04</v>
      </c>
      <c r="S47" s="140">
        <f>S14*Formulas!$H23</f>
        <v>591.09</v>
      </c>
      <c r="T47" s="140">
        <f>T14*Formulas!$H23</f>
        <v>799.71</v>
      </c>
      <c r="U47" s="140">
        <f>U14*Formulas!$H23</f>
        <v>822.89</v>
      </c>
      <c r="V47" s="140">
        <f>V14*Formulas!$H23</f>
        <v>846.07</v>
      </c>
      <c r="W47" s="140">
        <f>W14*Formulas!$H23</f>
        <v>961.97</v>
      </c>
      <c r="X47" s="140">
        <f>X14*Formulas!$H23</f>
        <v>706.99</v>
      </c>
      <c r="Y47" s="140">
        <f>Y14*Formulas!$H23</f>
        <v>904.02</v>
      </c>
      <c r="Z47" s="140">
        <f>Z14*Formulas!$H23</f>
        <v>846.07</v>
      </c>
      <c r="AA47" s="140">
        <f>AA14*Formulas!$H23</f>
        <v>614.27</v>
      </c>
      <c r="AB47" s="140">
        <f>AB14*Formulas!$H23</f>
        <v>857.66</v>
      </c>
      <c r="AC47" s="140">
        <f>AC14*Formulas!$H23</f>
        <v>985.15</v>
      </c>
      <c r="AD47" s="140">
        <f>AD14*Formulas!$H23</f>
        <v>880.84</v>
      </c>
      <c r="AE47" s="140">
        <f>AE14*Formulas!$H23</f>
        <v>799.71</v>
      </c>
      <c r="AF47" s="140">
        <f>AF14*Formulas!$H23</f>
        <v>1112.64</v>
      </c>
      <c r="AG47" s="60">
        <f t="shared" si="11"/>
        <v>30539.65</v>
      </c>
    </row>
    <row r="48">
      <c r="A48" s="21" t="s">
        <v>276</v>
      </c>
      <c r="B48" s="149">
        <f>B14*Formulas!$H24</f>
        <v>1089</v>
      </c>
      <c r="C48" s="140">
        <f>C14*Formulas!$H24</f>
        <v>816.75</v>
      </c>
      <c r="D48" s="140">
        <f>D14*Formulas!$H24</f>
        <v>664.29</v>
      </c>
      <c r="E48" s="140">
        <f>E14*Formulas!$H24</f>
        <v>1611.72</v>
      </c>
      <c r="F48" s="140">
        <f>F14*Formulas!$H24</f>
        <v>1698.84</v>
      </c>
      <c r="G48" s="140">
        <f>G14*Formulas!$H24</f>
        <v>1350.36</v>
      </c>
      <c r="H48" s="140">
        <f>H14*Formulas!$H24</f>
        <v>1285.02</v>
      </c>
      <c r="I48" s="140">
        <f>I14*Formulas!$H24</f>
        <v>1001.88</v>
      </c>
      <c r="J48" s="140">
        <f>J14*Formulas!$H24</f>
        <v>696.96</v>
      </c>
      <c r="K48" s="140">
        <f>K14*Formulas!$H24</f>
        <v>2145.33</v>
      </c>
      <c r="L48" s="140">
        <f>L14*Formulas!$H24</f>
        <v>1034.55</v>
      </c>
      <c r="M48" s="140">
        <f>M14*Formulas!$H24</f>
        <v>566.28</v>
      </c>
      <c r="N48" s="140">
        <f>N14*Formulas!$H24</f>
        <v>827.64</v>
      </c>
      <c r="O48" s="140">
        <f>O14*Formulas!$H24</f>
        <v>707.85</v>
      </c>
      <c r="P48" s="140">
        <f>P14*Formulas!$H24</f>
        <v>827.64</v>
      </c>
      <c r="Q48" s="140">
        <f>Q14*Formulas!$H24</f>
        <v>740.52</v>
      </c>
      <c r="R48" s="140">
        <f>R14*Formulas!$H24</f>
        <v>609.84</v>
      </c>
      <c r="S48" s="140">
        <f>S14*Formulas!$H24</f>
        <v>555.39</v>
      </c>
      <c r="T48" s="140">
        <f>T14*Formulas!$H24</f>
        <v>751.41</v>
      </c>
      <c r="U48" s="140">
        <f>U14*Formulas!$H24</f>
        <v>773.19</v>
      </c>
      <c r="V48" s="140">
        <f>V14*Formulas!$H24</f>
        <v>794.97</v>
      </c>
      <c r="W48" s="140">
        <f>W14*Formulas!$H24</f>
        <v>903.87</v>
      </c>
      <c r="X48" s="140">
        <f>X14*Formulas!$H24</f>
        <v>664.29</v>
      </c>
      <c r="Y48" s="140">
        <f>Y14*Formulas!$H24</f>
        <v>849.42</v>
      </c>
      <c r="Z48" s="140">
        <f>Z14*Formulas!$H24</f>
        <v>794.97</v>
      </c>
      <c r="AA48" s="140">
        <f>AA14*Formulas!$H24</f>
        <v>577.17</v>
      </c>
      <c r="AB48" s="140">
        <f>AB14*Formulas!$H24</f>
        <v>805.86</v>
      </c>
      <c r="AC48" s="140">
        <f>AC14*Formulas!$H24</f>
        <v>925.65</v>
      </c>
      <c r="AD48" s="140">
        <f>AD14*Formulas!$H24</f>
        <v>827.64</v>
      </c>
      <c r="AE48" s="140">
        <f>AE14*Formulas!$H24</f>
        <v>751.41</v>
      </c>
      <c r="AF48" s="140">
        <f>AF14*Formulas!$H24</f>
        <v>1045.44</v>
      </c>
      <c r="AG48" s="60">
        <f t="shared" si="11"/>
        <v>28695.15</v>
      </c>
    </row>
    <row r="49">
      <c r="A49" s="21" t="s">
        <v>292</v>
      </c>
      <c r="B49" s="149">
        <f>B14*Formulas!$H25</f>
        <v>598.6720874</v>
      </c>
      <c r="C49" s="140">
        <f>C14*Formulas!$H25</f>
        <v>449.0040655</v>
      </c>
      <c r="D49" s="140">
        <f>D14*Formulas!$H25</f>
        <v>365.1899733</v>
      </c>
      <c r="E49" s="140">
        <f>E14*Formulas!$H25</f>
        <v>886.0346893</v>
      </c>
      <c r="F49" s="140">
        <f>F14*Formulas!$H25</f>
        <v>933.9284563</v>
      </c>
      <c r="G49" s="140">
        <f>G14*Formulas!$H25</f>
        <v>742.3533883</v>
      </c>
      <c r="H49" s="140">
        <f>H14*Formulas!$H25</f>
        <v>706.4330631</v>
      </c>
      <c r="I49" s="140">
        <f>I14*Formulas!$H25</f>
        <v>550.7783204</v>
      </c>
      <c r="J49" s="140">
        <f>J14*Formulas!$H25</f>
        <v>383.1501359</v>
      </c>
      <c r="K49" s="140">
        <f>K14*Formulas!$H25</f>
        <v>1179.384012</v>
      </c>
      <c r="L49" s="140">
        <f>L14*Formulas!$H25</f>
        <v>568.738483</v>
      </c>
      <c r="M49" s="140">
        <f>M14*Formulas!$H25</f>
        <v>311.3094854</v>
      </c>
      <c r="N49" s="140">
        <f>N14*Formulas!$H25</f>
        <v>454.9907864</v>
      </c>
      <c r="O49" s="140">
        <f>O14*Formulas!$H25</f>
        <v>389.1368568</v>
      </c>
      <c r="P49" s="140">
        <f>P14*Formulas!$H25</f>
        <v>454.9907864</v>
      </c>
      <c r="Q49" s="140">
        <f>Q14*Formulas!$H25</f>
        <v>407.0970194</v>
      </c>
      <c r="R49" s="140">
        <f>R14*Formulas!$H25</f>
        <v>335.2563689</v>
      </c>
      <c r="S49" s="140">
        <f>S14*Formulas!$H25</f>
        <v>305.3227646</v>
      </c>
      <c r="T49" s="140">
        <f>T14*Formulas!$H25</f>
        <v>413.0837403</v>
      </c>
      <c r="U49" s="140">
        <f>U14*Formulas!$H25</f>
        <v>425.057182</v>
      </c>
      <c r="V49" s="140">
        <f>V14*Formulas!$H25</f>
        <v>437.0306238</v>
      </c>
      <c r="W49" s="140">
        <f>W14*Formulas!$H25</f>
        <v>496.8978325</v>
      </c>
      <c r="X49" s="140">
        <f>X14*Formulas!$H25</f>
        <v>365.1899733</v>
      </c>
      <c r="Y49" s="140">
        <f>Y14*Formulas!$H25</f>
        <v>466.9642282</v>
      </c>
      <c r="Z49" s="140">
        <f>Z14*Formulas!$H25</f>
        <v>437.0306238</v>
      </c>
      <c r="AA49" s="140">
        <f>AA14*Formulas!$H25</f>
        <v>317.2962063</v>
      </c>
      <c r="AB49" s="140">
        <f>AB14*Formulas!$H25</f>
        <v>443.0173447</v>
      </c>
      <c r="AC49" s="140">
        <f>AC14*Formulas!$H25</f>
        <v>508.8712743</v>
      </c>
      <c r="AD49" s="140">
        <f>AD14*Formulas!$H25</f>
        <v>454.9907864</v>
      </c>
      <c r="AE49" s="140">
        <f>AE14*Formulas!$H25</f>
        <v>413.0837403</v>
      </c>
      <c r="AF49" s="140">
        <f>AF14*Formulas!$H25</f>
        <v>574.7252039</v>
      </c>
      <c r="AG49" s="60">
        <f t="shared" si="11"/>
        <v>15775.0095</v>
      </c>
    </row>
    <row r="50">
      <c r="A50" s="21" t="s">
        <v>305</v>
      </c>
      <c r="B50" s="149">
        <f>B14*Formulas!$H26</f>
        <v>271.3980129</v>
      </c>
      <c r="C50" s="140">
        <f>C14*Formulas!$H26</f>
        <v>203.5485097</v>
      </c>
      <c r="D50" s="140">
        <f>D14*Formulas!$H26</f>
        <v>165.5527879</v>
      </c>
      <c r="E50" s="140">
        <f>E14*Formulas!$H26</f>
        <v>401.6690592</v>
      </c>
      <c r="F50" s="140">
        <f>F14*Formulas!$H26</f>
        <v>423.3809002</v>
      </c>
      <c r="G50" s="140">
        <f>G14*Formulas!$H26</f>
        <v>336.5335361</v>
      </c>
      <c r="H50" s="140">
        <f>H14*Formulas!$H26</f>
        <v>320.2496553</v>
      </c>
      <c r="I50" s="140">
        <f>I14*Formulas!$H26</f>
        <v>249.6861719</v>
      </c>
      <c r="J50" s="140">
        <f>J14*Formulas!$H26</f>
        <v>173.6947283</v>
      </c>
      <c r="K50" s="140">
        <f>K14*Formulas!$H26</f>
        <v>534.6540855</v>
      </c>
      <c r="L50" s="140">
        <f>L14*Formulas!$H26</f>
        <v>257.8281123</v>
      </c>
      <c r="M50" s="140">
        <f>M14*Formulas!$H26</f>
        <v>141.1269667</v>
      </c>
      <c r="N50" s="140">
        <f>N14*Formulas!$H26</f>
        <v>206.2624898</v>
      </c>
      <c r="O50" s="140">
        <f>O14*Formulas!$H26</f>
        <v>176.4087084</v>
      </c>
      <c r="P50" s="140">
        <f>P14*Formulas!$H26</f>
        <v>206.2624898</v>
      </c>
      <c r="Q50" s="140">
        <f>Q14*Formulas!$H26</f>
        <v>184.5506488</v>
      </c>
      <c r="R50" s="140">
        <f>R14*Formulas!$H26</f>
        <v>151.9828872</v>
      </c>
      <c r="S50" s="140">
        <f>S14*Formulas!$H26</f>
        <v>138.4129866</v>
      </c>
      <c r="T50" s="140">
        <f>T14*Formulas!$H26</f>
        <v>187.2646289</v>
      </c>
      <c r="U50" s="140">
        <f>U14*Formulas!$H26</f>
        <v>192.6925892</v>
      </c>
      <c r="V50" s="140">
        <f>V14*Formulas!$H26</f>
        <v>198.1205494</v>
      </c>
      <c r="W50" s="140">
        <f>W14*Formulas!$H26</f>
        <v>225.2603507</v>
      </c>
      <c r="X50" s="140">
        <f>X14*Formulas!$H26</f>
        <v>165.5527879</v>
      </c>
      <c r="Y50" s="140">
        <f>Y14*Formulas!$H26</f>
        <v>211.6904501</v>
      </c>
      <c r="Z50" s="140">
        <f>Z14*Formulas!$H26</f>
        <v>198.1205494</v>
      </c>
      <c r="AA50" s="140">
        <f>AA14*Formulas!$H26</f>
        <v>143.8409469</v>
      </c>
      <c r="AB50" s="140">
        <f>AB14*Formulas!$H26</f>
        <v>200.8345296</v>
      </c>
      <c r="AC50" s="140">
        <f>AC14*Formulas!$H26</f>
        <v>230.688311</v>
      </c>
      <c r="AD50" s="140">
        <f>AD14*Formulas!$H26</f>
        <v>206.2624898</v>
      </c>
      <c r="AE50" s="140">
        <f>AE14*Formulas!$H26</f>
        <v>187.2646289</v>
      </c>
      <c r="AF50" s="140">
        <f>AF14*Formulas!$H26</f>
        <v>260.5420924</v>
      </c>
      <c r="AG50" s="60">
        <f t="shared" si="11"/>
        <v>7151.337641</v>
      </c>
    </row>
    <row r="51">
      <c r="A51" s="21" t="s">
        <v>323</v>
      </c>
      <c r="B51" s="149">
        <f>B14*Formulas!$H29</f>
        <v>150</v>
      </c>
      <c r="C51" s="140">
        <f>C14*Formulas!$H29</f>
        <v>112.5</v>
      </c>
      <c r="D51" s="140">
        <f>D14*Formulas!$H29</f>
        <v>91.5</v>
      </c>
      <c r="E51" s="140">
        <f>E14*Formulas!$H29</f>
        <v>222</v>
      </c>
      <c r="F51" s="140">
        <f>F14*Formulas!$H29</f>
        <v>234</v>
      </c>
      <c r="G51" s="140">
        <f>G14*Formulas!$H29</f>
        <v>186</v>
      </c>
      <c r="H51" s="140">
        <f>H14*Formulas!$H29</f>
        <v>177</v>
      </c>
      <c r="I51" s="140">
        <f>I14*Formulas!$H29</f>
        <v>138</v>
      </c>
      <c r="J51" s="140">
        <f>J14*Formulas!$H29</f>
        <v>96</v>
      </c>
      <c r="K51" s="140">
        <f>K14*Formulas!$H29</f>
        <v>295.5</v>
      </c>
      <c r="L51" s="140">
        <f>L14*Formulas!$H29</f>
        <v>142.5</v>
      </c>
      <c r="M51" s="140">
        <f>M14*Formulas!$H29</f>
        <v>78</v>
      </c>
      <c r="N51" s="140">
        <f>N14*Formulas!$H29</f>
        <v>114</v>
      </c>
      <c r="O51" s="140">
        <f>O14*Formulas!$H29</f>
        <v>97.5</v>
      </c>
      <c r="P51" s="140">
        <f>P14*Formulas!$H29</f>
        <v>114</v>
      </c>
      <c r="Q51" s="140">
        <f>Q14*Formulas!$H29</f>
        <v>102</v>
      </c>
      <c r="R51" s="140">
        <f>R14*Formulas!$H29</f>
        <v>84</v>
      </c>
      <c r="S51" s="140">
        <f>S14*Formulas!$H29</f>
        <v>76.5</v>
      </c>
      <c r="T51" s="140">
        <f>T14*Formulas!$H29</f>
        <v>103.5</v>
      </c>
      <c r="U51" s="140">
        <f>U14*Formulas!$H29</f>
        <v>106.5</v>
      </c>
      <c r="V51" s="140">
        <f>V14*Formulas!$H29</f>
        <v>109.5</v>
      </c>
      <c r="W51" s="140">
        <f>W14*Formulas!$H29</f>
        <v>124.5</v>
      </c>
      <c r="X51" s="140">
        <f>X14*Formulas!$H29</f>
        <v>91.5</v>
      </c>
      <c r="Y51" s="140">
        <f>Y14*Formulas!$H29</f>
        <v>117</v>
      </c>
      <c r="Z51" s="140">
        <f>Z14*Formulas!$H29</f>
        <v>109.5</v>
      </c>
      <c r="AA51" s="140">
        <f>AA14*Formulas!$H29</f>
        <v>79.5</v>
      </c>
      <c r="AB51" s="140">
        <f>AB14*Formulas!$H29</f>
        <v>111</v>
      </c>
      <c r="AC51" s="140">
        <f>AC14*Formulas!$H29</f>
        <v>127.5</v>
      </c>
      <c r="AD51" s="140">
        <f>AD14*Formulas!$H29</f>
        <v>114</v>
      </c>
      <c r="AE51" s="140">
        <f>AE14*Formulas!$H29</f>
        <v>103.5</v>
      </c>
      <c r="AF51" s="140">
        <f>AF14*Formulas!$H29</f>
        <v>144</v>
      </c>
      <c r="AG51" s="60">
        <f t="shared" si="11"/>
        <v>3952.5</v>
      </c>
    </row>
    <row r="52">
      <c r="A52" s="21" t="s">
        <v>337</v>
      </c>
      <c r="B52" s="149">
        <f>B14*Formulas!$H30</f>
        <v>30</v>
      </c>
      <c r="C52" s="140">
        <f>C14*Formulas!$H30</f>
        <v>22.5</v>
      </c>
      <c r="D52" s="140">
        <f>D14*Formulas!$H30</f>
        <v>18.3</v>
      </c>
      <c r="E52" s="140">
        <f>E14*Formulas!$H30</f>
        <v>44.4</v>
      </c>
      <c r="F52" s="140">
        <f>F14*Formulas!$H30</f>
        <v>46.8</v>
      </c>
      <c r="G52" s="140">
        <f>G14*Formulas!$H30</f>
        <v>37.2</v>
      </c>
      <c r="H52" s="140">
        <f>H14*Formulas!$H30</f>
        <v>35.4</v>
      </c>
      <c r="I52" s="140">
        <f>I14*Formulas!$H30</f>
        <v>27.6</v>
      </c>
      <c r="J52" s="140">
        <f>J14*Formulas!$H30</f>
        <v>19.2</v>
      </c>
      <c r="K52" s="140">
        <f>K14*Formulas!$H30</f>
        <v>59.1</v>
      </c>
      <c r="L52" s="140">
        <f>L14*Formulas!$H30</f>
        <v>28.5</v>
      </c>
      <c r="M52" s="140">
        <f>M14*Formulas!$H30</f>
        <v>15.6</v>
      </c>
      <c r="N52" s="140">
        <f>N14*Formulas!$H30</f>
        <v>22.8</v>
      </c>
      <c r="O52" s="140">
        <f>O14*Formulas!$H30</f>
        <v>19.5</v>
      </c>
      <c r="P52" s="140">
        <f>P14*Formulas!$H30</f>
        <v>22.8</v>
      </c>
      <c r="Q52" s="140">
        <f>Q14*Formulas!$H30</f>
        <v>20.4</v>
      </c>
      <c r="R52" s="140">
        <f>R14*Formulas!$H30</f>
        <v>16.8</v>
      </c>
      <c r="S52" s="140">
        <f>S14*Formulas!$H30</f>
        <v>15.3</v>
      </c>
      <c r="T52" s="140">
        <f>T14*Formulas!$H30</f>
        <v>20.7</v>
      </c>
      <c r="U52" s="140">
        <f>U14*Formulas!$H30</f>
        <v>21.3</v>
      </c>
      <c r="V52" s="140">
        <f>V14*Formulas!$H30</f>
        <v>21.9</v>
      </c>
      <c r="W52" s="140">
        <f>W14*Formulas!$H30</f>
        <v>24.9</v>
      </c>
      <c r="X52" s="140">
        <f>X14*Formulas!$H30</f>
        <v>18.3</v>
      </c>
      <c r="Y52" s="140">
        <f>Y14*Formulas!$H30</f>
        <v>23.4</v>
      </c>
      <c r="Z52" s="140">
        <f>Z14*Formulas!$H30</f>
        <v>21.9</v>
      </c>
      <c r="AA52" s="140">
        <f>AA14*Formulas!$H30</f>
        <v>15.9</v>
      </c>
      <c r="AB52" s="140">
        <f>AB14*Formulas!$H30</f>
        <v>22.2</v>
      </c>
      <c r="AC52" s="140">
        <f>AC14*Formulas!$H30</f>
        <v>25.5</v>
      </c>
      <c r="AD52" s="140">
        <f>AD14*Formulas!$H30</f>
        <v>22.8</v>
      </c>
      <c r="AE52" s="140">
        <f>AE14*Formulas!$H30</f>
        <v>20.7</v>
      </c>
      <c r="AF52" s="140">
        <f>AF14*Formulas!$H30</f>
        <v>28.8</v>
      </c>
      <c r="AG52" s="60">
        <f t="shared" si="11"/>
        <v>790.5</v>
      </c>
    </row>
    <row r="53">
      <c r="A53" s="34" t="s">
        <v>348</v>
      </c>
      <c r="B53" s="140">
        <f>B26*Formulas!$H35</f>
        <v>601.728237</v>
      </c>
      <c r="C53" s="140">
        <f>C26*Formulas!$H35</f>
        <v>467.775891</v>
      </c>
      <c r="D53" s="140">
        <f>D26*Formulas!$H35</f>
        <v>318.160359</v>
      </c>
      <c r="E53" s="140">
        <f>E26*Formulas!$H35</f>
        <v>800.918415</v>
      </c>
      <c r="F53" s="140">
        <f>F26*Formulas!$H35</f>
        <v>1135.44585</v>
      </c>
      <c r="G53" s="140">
        <f>G26*Formulas!$H35</f>
        <v>846.664137</v>
      </c>
      <c r="H53" s="140">
        <f>H26*Formulas!$H35</f>
        <v>884.033568</v>
      </c>
      <c r="I53" s="140">
        <f>I26*Formulas!$H35</f>
        <v>590.56074</v>
      </c>
      <c r="J53" s="140">
        <f>J26*Formulas!$H35</f>
        <v>474.116841</v>
      </c>
      <c r="K53" s="140">
        <f>K26*Formulas!$H35</f>
        <v>957.77748</v>
      </c>
      <c r="L53" s="140">
        <f>L26*Formulas!$H35</f>
        <v>616.213818</v>
      </c>
      <c r="M53" s="140">
        <f>M26*Formulas!$H35</f>
        <v>384.27939</v>
      </c>
      <c r="N53" s="140">
        <f>N26*Formulas!$H35</f>
        <v>547.932924</v>
      </c>
      <c r="O53" s="140">
        <f>O26*Formulas!$H35</f>
        <v>435.443283</v>
      </c>
      <c r="P53" s="140">
        <f>P26*Formulas!$H35</f>
        <v>582.234642</v>
      </c>
      <c r="Q53" s="140">
        <f>Q26*Formulas!$H35</f>
        <v>527.420025</v>
      </c>
      <c r="R53" s="140">
        <f>R26*Formulas!$H35</f>
        <v>429.317955</v>
      </c>
      <c r="S53" s="140">
        <f>S26*Formulas!$H35</f>
        <v>405.552312</v>
      </c>
      <c r="T53" s="140">
        <f>T26*Formulas!$H35</f>
        <v>543.142611</v>
      </c>
      <c r="U53" s="140">
        <f>U26*Formulas!$H35</f>
        <v>580.000608</v>
      </c>
      <c r="V53" s="140">
        <f>V26*Formulas!$H35</f>
        <v>567.05913</v>
      </c>
      <c r="W53" s="140">
        <f>W26*Formulas!$H35</f>
        <v>608.166009</v>
      </c>
      <c r="X53" s="140">
        <f>X26*Formulas!$H35</f>
        <v>460.957365</v>
      </c>
      <c r="Y53" s="140">
        <f>Y26*Formulas!$H35</f>
        <v>644.373279</v>
      </c>
      <c r="Z53" s="140">
        <f>Z26*Formulas!$H35</f>
        <v>591.887142</v>
      </c>
      <c r="AA53" s="140">
        <f>AA26*Formulas!$H35</f>
        <v>421.883451</v>
      </c>
      <c r="AB53" s="140">
        <f>AB26*Formulas!$H35</f>
        <v>620.90226</v>
      </c>
      <c r="AC53" s="140">
        <f>AC26*Formulas!$H35</f>
        <v>706.826142</v>
      </c>
      <c r="AD53" s="140">
        <f>AD26*Formulas!$H35</f>
        <v>599.740119</v>
      </c>
      <c r="AE53" s="140">
        <f>AE26*Formulas!$H35</f>
        <v>624.984822</v>
      </c>
      <c r="AF53" s="140">
        <f>AF26*Formulas!$H35</f>
        <v>844.122114</v>
      </c>
      <c r="AG53" s="60">
        <f t="shared" si="11"/>
        <v>18819.62092</v>
      </c>
    </row>
    <row r="54">
      <c r="A54" s="70" t="s">
        <v>361</v>
      </c>
      <c r="B54" s="161">
        <f>B14*Formulas!$H28</f>
        <v>36</v>
      </c>
      <c r="C54" s="161">
        <f>C14*Formulas!$H28</f>
        <v>27</v>
      </c>
      <c r="D54" s="161">
        <f>D14*Formulas!$H28</f>
        <v>21.96</v>
      </c>
      <c r="E54" s="161">
        <f>E14*Formulas!$H28</f>
        <v>53.28</v>
      </c>
      <c r="F54" s="161">
        <f>F14*Formulas!$H28</f>
        <v>56.16</v>
      </c>
      <c r="G54" s="161">
        <f>G14*Formulas!$H28</f>
        <v>44.64</v>
      </c>
      <c r="H54" s="161">
        <f>H14*Formulas!$H28</f>
        <v>42.48</v>
      </c>
      <c r="I54" s="161">
        <f>I14*Formulas!$H28</f>
        <v>33.12</v>
      </c>
      <c r="J54" s="161">
        <f>J14*Formulas!$H28</f>
        <v>23.04</v>
      </c>
      <c r="K54" s="161">
        <f>K14*Formulas!$H28</f>
        <v>70.92</v>
      </c>
      <c r="L54" s="161">
        <f>L14*Formulas!$H28</f>
        <v>34.2</v>
      </c>
      <c r="M54" s="161">
        <f>M14*Formulas!$H28</f>
        <v>18.72</v>
      </c>
      <c r="N54" s="161">
        <f>N14*Formulas!$H28</f>
        <v>27.36</v>
      </c>
      <c r="O54" s="161">
        <f>O14*Formulas!$H28</f>
        <v>23.4</v>
      </c>
      <c r="P54" s="161">
        <f>P14*Formulas!$H28</f>
        <v>27.36</v>
      </c>
      <c r="Q54" s="161">
        <f>Q14*Formulas!$H28</f>
        <v>24.48</v>
      </c>
      <c r="R54" s="161">
        <f>R14*Formulas!$H28</f>
        <v>20.16</v>
      </c>
      <c r="S54" s="161">
        <f>S14*Formulas!$H28</f>
        <v>18.36</v>
      </c>
      <c r="T54" s="161">
        <f>T14*Formulas!$H28</f>
        <v>24.84</v>
      </c>
      <c r="U54" s="161">
        <f>U14*Formulas!$H28</f>
        <v>25.56</v>
      </c>
      <c r="V54" s="161">
        <f>V14*Formulas!$H28</f>
        <v>26.28</v>
      </c>
      <c r="W54" s="161">
        <f>W14*Formulas!$H28</f>
        <v>29.88</v>
      </c>
      <c r="X54" s="161">
        <f>X14*Formulas!$H28</f>
        <v>21.96</v>
      </c>
      <c r="Y54" s="161">
        <f>Y14*Formulas!$H28</f>
        <v>28.08</v>
      </c>
      <c r="Z54" s="161">
        <f>Z14*Formulas!$H28</f>
        <v>26.28</v>
      </c>
      <c r="AA54" s="161">
        <f>AA14*Formulas!$H28</f>
        <v>19.08</v>
      </c>
      <c r="AB54" s="161">
        <f>AB14*Formulas!$H28</f>
        <v>26.64</v>
      </c>
      <c r="AC54" s="161">
        <f>AC14*Formulas!$H28</f>
        <v>30.6</v>
      </c>
      <c r="AD54" s="161">
        <f>AD14*Formulas!$H28</f>
        <v>27.36</v>
      </c>
      <c r="AE54" s="161">
        <f>AE14*Formulas!$H28</f>
        <v>24.84</v>
      </c>
      <c r="AF54" s="161">
        <f>AF14*Formulas!$H28</f>
        <v>34.56</v>
      </c>
      <c r="AG54" s="60">
        <f t="shared" si="11"/>
        <v>948.6</v>
      </c>
    </row>
    <row r="55">
      <c r="A55" s="50" t="s">
        <v>126</v>
      </c>
      <c r="B55" s="76">
        <f t="shared" ref="B55:AF55" si="12">SUM(B45:B54)</f>
        <v>13761.09284</v>
      </c>
      <c r="C55" s="76">
        <f t="shared" si="12"/>
        <v>10337.29934</v>
      </c>
      <c r="D55" s="76">
        <f t="shared" si="12"/>
        <v>8345.372764</v>
      </c>
      <c r="E55" s="76">
        <f t="shared" si="12"/>
        <v>20276.77802</v>
      </c>
      <c r="F55" s="76">
        <f t="shared" si="12"/>
        <v>21664.05462</v>
      </c>
      <c r="G55" s="76">
        <f t="shared" si="12"/>
        <v>17164.27624</v>
      </c>
      <c r="H55" s="76">
        <f t="shared" si="12"/>
        <v>16412.08379</v>
      </c>
      <c r="I55" s="76">
        <f t="shared" si="12"/>
        <v>12697.17617</v>
      </c>
      <c r="J55" s="76">
        <f t="shared" si="12"/>
        <v>8896.110184</v>
      </c>
      <c r="K55" s="76">
        <f t="shared" si="12"/>
        <v>26881.72574</v>
      </c>
      <c r="L55" s="76">
        <f t="shared" si="12"/>
        <v>13117.61019</v>
      </c>
      <c r="M55" s="76">
        <f t="shared" si="12"/>
        <v>7227.148981</v>
      </c>
      <c r="N55" s="76">
        <f t="shared" si="12"/>
        <v>10549.05002</v>
      </c>
      <c r="O55" s="76">
        <f t="shared" si="12"/>
        <v>8989.030272</v>
      </c>
      <c r="P55" s="76">
        <f t="shared" si="12"/>
        <v>10583.35174</v>
      </c>
      <c r="Q55" s="76">
        <f t="shared" si="12"/>
        <v>9475.787952</v>
      </c>
      <c r="R55" s="76">
        <f t="shared" si="12"/>
        <v>7798.56213</v>
      </c>
      <c r="S55" s="76">
        <f t="shared" si="12"/>
        <v>7116.828257</v>
      </c>
      <c r="T55" s="76">
        <f t="shared" si="12"/>
        <v>9623.104184</v>
      </c>
      <c r="U55" s="76">
        <f t="shared" si="12"/>
        <v>9923.149473</v>
      </c>
      <c r="V55" s="76">
        <f t="shared" si="12"/>
        <v>10173.39529</v>
      </c>
      <c r="W55" s="76">
        <f t="shared" si="12"/>
        <v>11530.43863</v>
      </c>
      <c r="X55" s="76">
        <f t="shared" si="12"/>
        <v>8488.16977</v>
      </c>
      <c r="Y55" s="76">
        <f t="shared" si="12"/>
        <v>10908.67767</v>
      </c>
      <c r="Z55" s="76">
        <f t="shared" si="12"/>
        <v>10198.2233</v>
      </c>
      <c r="AA55" s="76">
        <f t="shared" si="12"/>
        <v>7396.346688</v>
      </c>
      <c r="AB55" s="76">
        <f t="shared" si="12"/>
        <v>10358.83206</v>
      </c>
      <c r="AC55" s="76">
        <f t="shared" si="12"/>
        <v>11892.28605</v>
      </c>
      <c r="AD55" s="76">
        <f t="shared" si="12"/>
        <v>10600.85721</v>
      </c>
      <c r="AE55" s="76">
        <f t="shared" si="12"/>
        <v>9704.946395</v>
      </c>
      <c r="AF55" s="76">
        <f t="shared" si="12"/>
        <v>13477.11213</v>
      </c>
      <c r="AG55" s="76">
        <f t="shared" si="11"/>
        <v>365568.8781</v>
      </c>
    </row>
    <row r="56">
      <c r="A56" s="26"/>
      <c r="B56" s="165"/>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c r="AG56" s="167"/>
    </row>
    <row r="57">
      <c r="A57" s="53" t="s">
        <v>384</v>
      </c>
      <c r="B57" s="140">
        <f t="shared" ref="B57:AF57" si="13">B26-B42-B55</f>
        <v>-2187.402836</v>
      </c>
      <c r="C57" s="140">
        <f t="shared" si="13"/>
        <v>-3335.59934</v>
      </c>
      <c r="D57" s="140">
        <f t="shared" si="13"/>
        <v>-5529.732764</v>
      </c>
      <c r="E57" s="140">
        <f t="shared" si="13"/>
        <v>-2100.298021</v>
      </c>
      <c r="F57" s="140">
        <f t="shared" si="13"/>
        <v>7465.365376</v>
      </c>
      <c r="G57" s="140">
        <f t="shared" si="13"/>
        <v>2390.983761</v>
      </c>
      <c r="H57" s="140">
        <f t="shared" si="13"/>
        <v>5497.356206</v>
      </c>
      <c r="I57" s="140">
        <f t="shared" si="13"/>
        <v>-58.75617081</v>
      </c>
      <c r="J57" s="140">
        <f t="shared" si="13"/>
        <v>622.7198158</v>
      </c>
      <c r="K57" s="140">
        <f t="shared" si="13"/>
        <v>-1289.305739</v>
      </c>
      <c r="L57" s="140">
        <f t="shared" si="13"/>
        <v>1726.109813</v>
      </c>
      <c r="M57" s="140">
        <f t="shared" si="13"/>
        <v>-180.0389813</v>
      </c>
      <c r="N57" s="140">
        <f t="shared" si="13"/>
        <v>1476.719981</v>
      </c>
      <c r="O57" s="140">
        <f t="shared" si="13"/>
        <v>-1547.120272</v>
      </c>
      <c r="P57" s="140">
        <f t="shared" si="13"/>
        <v>1156.868263</v>
      </c>
      <c r="Q57" s="140">
        <f t="shared" si="13"/>
        <v>328.6320479</v>
      </c>
      <c r="R57" s="140">
        <f t="shared" si="13"/>
        <v>-387.0621303</v>
      </c>
      <c r="S57" s="140">
        <f t="shared" si="13"/>
        <v>-80.66825734</v>
      </c>
      <c r="T57" s="140">
        <f t="shared" si="13"/>
        <v>991.5658159</v>
      </c>
      <c r="U57" s="140">
        <f t="shared" si="13"/>
        <v>419.2805269</v>
      </c>
      <c r="V57" s="140">
        <f t="shared" si="13"/>
        <v>-1874.155287</v>
      </c>
      <c r="W57" s="140">
        <f t="shared" si="13"/>
        <v>-2803.528626</v>
      </c>
      <c r="X57" s="140">
        <f t="shared" si="13"/>
        <v>-4022.86977</v>
      </c>
      <c r="Y57" s="140">
        <f t="shared" si="13"/>
        <v>-174.227666</v>
      </c>
      <c r="Z57" s="140">
        <f t="shared" si="13"/>
        <v>-590.6132991</v>
      </c>
      <c r="AA57" s="140">
        <f t="shared" si="13"/>
        <v>-3226.406688</v>
      </c>
      <c r="AB57" s="140">
        <f t="shared" si="13"/>
        <v>1472.357937</v>
      </c>
      <c r="AC57" s="140">
        <f t="shared" si="13"/>
        <v>2027.103949</v>
      </c>
      <c r="AD57" s="140">
        <f t="shared" si="13"/>
        <v>-394.327214</v>
      </c>
      <c r="AE57" s="140">
        <f t="shared" si="13"/>
        <v>-198.0463951</v>
      </c>
      <c r="AF57" s="140">
        <f t="shared" si="13"/>
        <v>3554.567871</v>
      </c>
      <c r="AG57" s="77">
        <f>SUM(B57:AF57)</f>
        <v>-850.5280949</v>
      </c>
    </row>
    <row r="58">
      <c r="A58" s="168">
        <f>SUM(B57:AE57)</f>
        <v>-4405.095966</v>
      </c>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10"/>
    </row>
    <row r="59">
      <c r="A59" s="26"/>
      <c r="B59" s="20"/>
      <c r="C59" s="20"/>
      <c r="D59" s="21"/>
      <c r="E59" s="20"/>
      <c r="F59" s="20"/>
      <c r="G59" s="20"/>
      <c r="H59" s="169"/>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10"/>
    </row>
    <row r="60">
      <c r="A60" s="170"/>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c r="AC60" s="171"/>
      <c r="AD60" s="171"/>
      <c r="AE60" s="171"/>
      <c r="AF60" s="171"/>
      <c r="AG60" s="172"/>
    </row>
    <row r="61">
      <c r="A61" s="26"/>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10"/>
    </row>
    <row r="62">
      <c r="A62" s="12" t="s">
        <v>403</v>
      </c>
      <c r="B62" s="20"/>
      <c r="C62" s="20"/>
      <c r="D62" s="20"/>
      <c r="E62" s="20"/>
      <c r="F62" s="20"/>
      <c r="G62" s="20"/>
      <c r="H62" s="20"/>
      <c r="I62" s="20"/>
      <c r="J62" s="20"/>
      <c r="K62" s="20"/>
      <c r="L62" s="20"/>
      <c r="M62" s="20"/>
      <c r="N62" s="20"/>
      <c r="O62" s="20"/>
      <c r="P62" s="20"/>
      <c r="Q62" s="20"/>
      <c r="R62" s="20"/>
      <c r="S62" s="20"/>
      <c r="T62" s="20"/>
      <c r="U62" s="20"/>
      <c r="V62" s="20"/>
      <c r="W62" s="20"/>
      <c r="X62" s="20"/>
      <c r="Y62" s="20"/>
      <c r="Z62" s="173">
        <v>3.11</v>
      </c>
      <c r="AA62" s="174">
        <v>1.8</v>
      </c>
      <c r="AB62" s="20"/>
      <c r="AC62" s="20"/>
      <c r="AD62" s="20"/>
      <c r="AE62" s="20"/>
      <c r="AF62" s="20"/>
      <c r="AG62" s="175"/>
    </row>
    <row r="63">
      <c r="A63" s="176" t="s">
        <v>407</v>
      </c>
      <c r="B63" s="140">
        <f>B17-(B5*Formulas!$H32)-B29</f>
        <v>-2153.499735</v>
      </c>
      <c r="C63" s="140">
        <f>C17-(C5*Formulas!$H32)-C29</f>
        <v>-2624.344093</v>
      </c>
      <c r="D63" s="140">
        <f>D17-(D5*Formulas!$H32)-D29</f>
        <v>-4051.510509</v>
      </c>
      <c r="E63" s="140">
        <f>E17-(E5*Formulas!$H32)-E29</f>
        <v>-4447.076659</v>
      </c>
      <c r="F63" s="140">
        <f>F17-(F5*Formulas!$H32)-F29</f>
        <v>-4136.967943</v>
      </c>
      <c r="G63" s="140">
        <f>G17-(G5*Formulas!$H32)-G29</f>
        <v>-4070.946659</v>
      </c>
      <c r="H63" s="140">
        <f>H17-(H5*Formulas!$H32)-H29</f>
        <v>-2896.026659</v>
      </c>
      <c r="I63" s="140">
        <f>I17-(I5*Formulas!$H32)-I29</f>
        <v>-3611.62615</v>
      </c>
      <c r="J63" s="140">
        <f>J17-(J5*Formulas!$H32)-J29</f>
        <v>-3140.270509</v>
      </c>
      <c r="K63" s="140">
        <f>K17-(K5*Formulas!$H32)-K29</f>
        <v>-3491.090509</v>
      </c>
      <c r="L63" s="140">
        <f>L17-(L5*Formulas!$H32)-L29</f>
        <v>-2960.920509</v>
      </c>
      <c r="M63" s="140">
        <f>M17-(M5*Formulas!$H32)-M29</f>
        <v>-2748.939226</v>
      </c>
      <c r="N63" s="140">
        <f>N17-(N5*Formulas!$H32)-N29</f>
        <v>-3746.560509</v>
      </c>
      <c r="O63" s="140">
        <f>O17-(O5*Formulas!$H32)-O29</f>
        <v>-3994.584867</v>
      </c>
      <c r="P63" s="140">
        <f>P17-(P5*Formulas!$H32)-P29</f>
        <v>-3163.797943</v>
      </c>
      <c r="Q63" s="140">
        <f>Q17-(Q5*Formulas!$H32)-Q29</f>
        <v>-3781.474867</v>
      </c>
      <c r="R63" s="140">
        <f>R17-(R5*Formulas!$H32)-R29</f>
        <v>-3106.747943</v>
      </c>
      <c r="S63" s="140">
        <f>S17-(S5*Formulas!$H32)-S29</f>
        <v>-2105.884867</v>
      </c>
      <c r="T63" s="140">
        <f>T17-(T5*Formulas!$H32)-T29</f>
        <v>-4460.40615</v>
      </c>
      <c r="U63" s="140">
        <f>U17-(U5*Formulas!$H32)-U29</f>
        <v>-4176.188451</v>
      </c>
      <c r="V63" s="140">
        <f>V17-(V5*Formulas!$H32)-V29</f>
        <v>-2968.612035</v>
      </c>
      <c r="W63" s="140">
        <f>W17-(W5*Formulas!$H32)-W29</f>
        <v>-6111.09281</v>
      </c>
      <c r="X63" s="140">
        <f>X17-(X5*Formulas!$H32)-X29</f>
        <v>-6234.339735</v>
      </c>
      <c r="Y63" s="140">
        <f>Y17-(Y5*Formulas!$H32)-Y29</f>
        <v>-5277.134602</v>
      </c>
      <c r="Z63" s="140">
        <f>Z17-(Z5*Formulas!$H32)-Z29</f>
        <v>-5026.83281</v>
      </c>
      <c r="AA63" s="140">
        <f>AA17-(AA5*Formulas!$H32)-AA29</f>
        <v>-6795.180509</v>
      </c>
      <c r="AB63" s="140">
        <f>AB17-(AB5*Formulas!$H32)-AB29</f>
        <v>-2245.977677</v>
      </c>
      <c r="AC63" s="140">
        <f>AC17-(AC5*Formulas!$H32)-AC29</f>
        <v>-1431.566903</v>
      </c>
      <c r="AD63" s="140">
        <f>AD17-(AD5*Formulas!$H32)-AD29</f>
        <v>-2161.222544</v>
      </c>
      <c r="AE63" s="140">
        <f>AE17-(AE5*Formulas!$H32)-AE29</f>
        <v>-3259.952544</v>
      </c>
      <c r="AF63" s="140">
        <f>AF17-(AF5*Formulas!$H32)-AF29</f>
        <v>-311.5304868</v>
      </c>
      <c r="AG63" s="175">
        <f>SUM(B63:AF63)</f>
        <v>-110692.3074</v>
      </c>
    </row>
    <row r="64">
      <c r="A64" s="176" t="s">
        <v>428</v>
      </c>
      <c r="B64" s="178">
        <f t="shared" ref="B64:AF64" si="14">B17/B29</f>
        <v>1.010742085</v>
      </c>
      <c r="C64" s="178">
        <f t="shared" si="14"/>
        <v>0.9527508056</v>
      </c>
      <c r="D64" s="178">
        <f t="shared" si="14"/>
        <v>0.4172817932</v>
      </c>
      <c r="E64" s="178">
        <f t="shared" si="14"/>
        <v>0.5106746687</v>
      </c>
      <c r="F64" s="178">
        <f t="shared" si="14"/>
        <v>0.5205836469</v>
      </c>
      <c r="G64" s="178">
        <f t="shared" si="14"/>
        <v>0.637189213</v>
      </c>
      <c r="H64" s="178">
        <f t="shared" si="14"/>
        <v>0.7651525561</v>
      </c>
      <c r="I64" s="178">
        <f t="shared" si="14"/>
        <v>0.4317962554</v>
      </c>
      <c r="J64" s="178">
        <f t="shared" si="14"/>
        <v>0.5186087373</v>
      </c>
      <c r="K64" s="178">
        <f t="shared" si="14"/>
        <v>0.4243814439</v>
      </c>
      <c r="L64" s="178">
        <f t="shared" si="14"/>
        <v>0.5366244855</v>
      </c>
      <c r="M64" s="178">
        <f t="shared" si="14"/>
        <v>0.6400886042</v>
      </c>
      <c r="N64" s="178">
        <f t="shared" si="14"/>
        <v>0.3704627553</v>
      </c>
      <c r="O64" s="178">
        <f t="shared" si="14"/>
        <v>0.4147303645</v>
      </c>
      <c r="P64" s="178">
        <f t="shared" si="14"/>
        <v>0.6824092968</v>
      </c>
      <c r="Q64" s="178">
        <f t="shared" si="14"/>
        <v>0.4625339627</v>
      </c>
      <c r="R64" s="178">
        <f t="shared" si="14"/>
        <v>0.6607286095</v>
      </c>
      <c r="S64" s="178">
        <f t="shared" si="14"/>
        <v>0.7769786104</v>
      </c>
      <c r="T64" s="178">
        <f t="shared" si="14"/>
        <v>0.3449279967</v>
      </c>
      <c r="U64" s="178">
        <f t="shared" si="14"/>
        <v>0.7445609311</v>
      </c>
      <c r="V64" s="178">
        <f t="shared" si="14"/>
        <v>1.112233745</v>
      </c>
      <c r="W64" s="178">
        <f t="shared" si="14"/>
        <v>0.6281530578</v>
      </c>
      <c r="X64" s="178">
        <f t="shared" si="14"/>
        <v>0.5468418214</v>
      </c>
      <c r="Y64" s="178">
        <f t="shared" si="14"/>
        <v>0.7785249305</v>
      </c>
      <c r="Z64" s="178">
        <f t="shared" si="14"/>
        <v>0.7227059511</v>
      </c>
      <c r="AA64" s="178">
        <f t="shared" si="14"/>
        <v>0.2842974029</v>
      </c>
      <c r="AB64" s="178">
        <f t="shared" si="14"/>
        <v>1.215100489</v>
      </c>
      <c r="AC64" s="178">
        <f t="shared" si="14"/>
        <v>1.456384024</v>
      </c>
      <c r="AD64" s="178">
        <f t="shared" si="14"/>
        <v>1.341793602</v>
      </c>
      <c r="AE64" s="178">
        <f t="shared" si="14"/>
        <v>1.16441698</v>
      </c>
      <c r="AF64" s="178">
        <f t="shared" si="14"/>
        <v>1.626723306</v>
      </c>
      <c r="AG64" s="175"/>
    </row>
    <row r="65">
      <c r="A65" s="176" t="s">
        <v>437</v>
      </c>
      <c r="B65" s="179">
        <f t="shared" ref="B65:AF65" si="15">B29/B5</f>
        <v>375.218125</v>
      </c>
      <c r="C65" s="179">
        <f t="shared" si="15"/>
        <v>333.3141176</v>
      </c>
      <c r="D65" s="179">
        <f t="shared" si="15"/>
        <v>755.3614286</v>
      </c>
      <c r="E65" s="179">
        <f t="shared" si="15"/>
        <v>415.7938462</v>
      </c>
      <c r="F65" s="179">
        <f t="shared" si="15"/>
        <v>495.3181818</v>
      </c>
      <c r="G65" s="179">
        <f t="shared" si="15"/>
        <v>481.0369231</v>
      </c>
      <c r="H65" s="179">
        <f t="shared" si="15"/>
        <v>358.3046154</v>
      </c>
      <c r="I65" s="179">
        <f t="shared" si="15"/>
        <v>815.4</v>
      </c>
      <c r="J65" s="179">
        <f t="shared" si="15"/>
        <v>643.9371429</v>
      </c>
      <c r="K65" s="179">
        <f t="shared" si="15"/>
        <v>625.5928571</v>
      </c>
      <c r="L65" s="179">
        <f t="shared" si="15"/>
        <v>613.68</v>
      </c>
      <c r="M65" s="179">
        <f t="shared" si="15"/>
        <v>463.4844444</v>
      </c>
      <c r="N65" s="179">
        <f t="shared" si="15"/>
        <v>629.9842857</v>
      </c>
      <c r="O65" s="179">
        <f t="shared" si="15"/>
        <v>616.295</v>
      </c>
      <c r="P65" s="179">
        <f t="shared" si="15"/>
        <v>469.1372727</v>
      </c>
      <c r="Q65" s="179">
        <f t="shared" si="15"/>
        <v>621.54625</v>
      </c>
      <c r="R65" s="179">
        <f t="shared" si="15"/>
        <v>423.8709091</v>
      </c>
      <c r="S65" s="179">
        <f t="shared" si="15"/>
        <v>558.74125</v>
      </c>
      <c r="T65" s="179">
        <f t="shared" si="15"/>
        <v>923.2216667</v>
      </c>
      <c r="U65" s="179">
        <f t="shared" si="15"/>
        <v>365.5905556</v>
      </c>
      <c r="V65" s="179">
        <f t="shared" si="15"/>
        <v>290.4875</v>
      </c>
      <c r="W65" s="179">
        <f t="shared" si="15"/>
        <v>492.1705263</v>
      </c>
      <c r="X65" s="179">
        <f t="shared" si="15"/>
        <v>553.93875</v>
      </c>
      <c r="Y65" s="179">
        <f t="shared" si="15"/>
        <v>366.8866667</v>
      </c>
      <c r="Z65" s="179">
        <f t="shared" si="15"/>
        <v>454.1957895</v>
      </c>
      <c r="AA65" s="179">
        <f t="shared" si="15"/>
        <v>1162.655714</v>
      </c>
      <c r="AB65" s="179">
        <f t="shared" si="15"/>
        <v>257.74</v>
      </c>
      <c r="AC65" s="179">
        <f t="shared" si="15"/>
        <v>216.6127778</v>
      </c>
      <c r="AD65" s="179">
        <f t="shared" si="15"/>
        <v>224.9168571</v>
      </c>
      <c r="AE65" s="179">
        <f t="shared" si="15"/>
        <v>276.6311429</v>
      </c>
      <c r="AF65" s="179">
        <f t="shared" si="15"/>
        <v>210.3830435</v>
      </c>
      <c r="AG65" s="175"/>
    </row>
    <row r="66">
      <c r="A66" s="180" t="s">
        <v>444</v>
      </c>
      <c r="B66" s="181">
        <f>B17/(Formulas!$H32*B5+B29)</f>
        <v>0.7380642167</v>
      </c>
      <c r="C66" s="181">
        <f>C17/(Formulas!$H32*C5+C29)</f>
        <v>0.6728955367</v>
      </c>
      <c r="D66" s="181">
        <f>D17/(Formulas!$H32*D5+D29)</f>
        <v>0.3525767143</v>
      </c>
      <c r="E66" s="181">
        <f>E17/(Formulas!$H32*E5+E29)</f>
        <v>0.382987757</v>
      </c>
      <c r="F66" s="181">
        <f>F17/(Formulas!$H32*F5+F29)</f>
        <v>0.4067475033</v>
      </c>
      <c r="G66" s="181">
        <f>G17/(Formulas!$H32*G5+G29)</f>
        <v>0.494643683</v>
      </c>
      <c r="H66" s="181">
        <f>H17/(Formulas!$H32*H5+H29)</f>
        <v>0.5517039794</v>
      </c>
      <c r="I66" s="181">
        <f>I17/(Formulas!$H32*I5+I29)</f>
        <v>0.3690541689</v>
      </c>
      <c r="J66" s="181">
        <f>J17/(Formulas!$H32*J5+J29)</f>
        <v>0.4267414485</v>
      </c>
      <c r="K66" s="181">
        <f>K17/(Formulas!$H32*K5+K29)</f>
        <v>0.3474012291</v>
      </c>
      <c r="L66" s="181">
        <f>L17/(Formulas!$H32*L5+L29)</f>
        <v>0.4377426644</v>
      </c>
      <c r="M66" s="181">
        <f>M17/(Formulas!$H32*M5+M29)</f>
        <v>0.4927201026</v>
      </c>
      <c r="N66" s="181">
        <f>N17/(Formulas!$H32*N5+N29)</f>
        <v>0.3036470069</v>
      </c>
      <c r="O66" s="181">
        <f>O17/(Formulas!$H32*O5+O29)</f>
        <v>0.3385742426</v>
      </c>
      <c r="P66" s="181">
        <f>P17/(Formulas!$H32*P5+P29)</f>
        <v>0.5267585513</v>
      </c>
      <c r="Q66" s="181">
        <f>Q17/(Formulas!$H32*Q5+Q29)</f>
        <v>0.3781864845</v>
      </c>
      <c r="R66" s="181">
        <f>R17/(Formulas!$H32*R5+R29)</f>
        <v>0.497895098</v>
      </c>
      <c r="S66" s="181">
        <f>S17/(Formulas!$H32*S5+S29)</f>
        <v>0.6225285485</v>
      </c>
      <c r="T66" s="181">
        <f>T17/(Formulas!$H32*T5+T29)</f>
        <v>0.2998975298</v>
      </c>
      <c r="U66" s="181">
        <f>U17/(Formulas!$H32*U5+U29)</f>
        <v>0.539857979</v>
      </c>
      <c r="V66" s="181">
        <f>V17/(Formulas!$H32*V5+V29)</f>
        <v>0.7529272232</v>
      </c>
      <c r="W66" s="181">
        <f>W17/(Formulas!$H32*W5+W29)</f>
        <v>0.4901092709</v>
      </c>
      <c r="X66" s="181">
        <f>X17/(Formulas!$H32*X5+X29)</f>
        <v>0.4373852308</v>
      </c>
      <c r="Y66" s="181">
        <f>Y17/(Formulas!$H32*Y5+Y29)</f>
        <v>0.5650330111</v>
      </c>
      <c r="Z66" s="181">
        <f>Z17/(Formulas!$H32*Z5+Z29)</f>
        <v>0.5537092509</v>
      </c>
      <c r="AA66" s="181">
        <f>AA17/(Formulas!$H32*AA5+AA29)</f>
        <v>0.2540114207</v>
      </c>
      <c r="AB66" s="181">
        <f>AB17/(Formulas!$H32*AB5+AB29)</f>
        <v>0.7901315882</v>
      </c>
      <c r="AC66" s="181">
        <f>AC17/(Formulas!$H32*AC5+AC29)</f>
        <v>0.8880585861</v>
      </c>
      <c r="AD66" s="181">
        <f>AD17/(Formulas!$H32*AD5+AD29)</f>
        <v>0.8301452135</v>
      </c>
      <c r="AE66" s="181">
        <f>AE17/(Formulas!$H32*AE5+AE29)</f>
        <v>0.7757007409</v>
      </c>
      <c r="AF66" s="181">
        <f>AF17/(Formulas!$H32*AF5+AF29)</f>
        <v>0.9805952486</v>
      </c>
      <c r="AG66" s="175"/>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175"/>
    </row>
    <row r="68">
      <c r="A68" s="183" t="s">
        <v>466</v>
      </c>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10"/>
    </row>
    <row r="69">
      <c r="A69" s="186" t="s">
        <v>407</v>
      </c>
      <c r="B69" s="140">
        <f>B18-(B6*Formulas!$H32)-B30</f>
        <v>-792.4479205</v>
      </c>
      <c r="C69" s="140">
        <f>C18-(C6*Formulas!$H32)-C30</f>
        <v>-343.0779205</v>
      </c>
      <c r="D69" s="140">
        <f>D18-(D6*Formulas!$H32)-D30</f>
        <v>-2384.926394</v>
      </c>
      <c r="E69" s="140">
        <f>E18-(E6*Formulas!$H32)-E30</f>
        <v>1595.843872</v>
      </c>
      <c r="F69" s="140">
        <f>F18-(F6*Formulas!$H32)-F30</f>
        <v>10170.42595</v>
      </c>
      <c r="G69" s="140">
        <f>G18-(G6*Formulas!$H32)-G30</f>
        <v>5783.908252</v>
      </c>
      <c r="H69" s="140">
        <f>H18-(H6*Formulas!$H32)-H30</f>
        <v>7739.842102</v>
      </c>
      <c r="I69" s="140">
        <f>I18-(I6*Formulas!$H32)-I30</f>
        <v>3071.71542</v>
      </c>
      <c r="J69" s="140">
        <f>J18-(J6*Formulas!$H32)-J30</f>
        <v>3391.91823</v>
      </c>
      <c r="K69" s="140">
        <f>K18-(K6*Formulas!$H32)-K30</f>
        <v>2565.093363</v>
      </c>
      <c r="L69" s="140">
        <f>L18-(L6*Formulas!$H32)-L30</f>
        <v>3288.611305</v>
      </c>
      <c r="M69" s="140">
        <f>M18-(M6*Formulas!$H32)-M30</f>
        <v>1848.026172</v>
      </c>
      <c r="N69" s="140">
        <f>N18-(N6*Formulas!$H32)-N30</f>
        <v>4209.889004</v>
      </c>
      <c r="O69" s="140">
        <f>O18-(O6*Formulas!$H32)-O30</f>
        <v>1899.229513</v>
      </c>
      <c r="P69" s="140">
        <f>P18-(P6*Formulas!$H32)-P30</f>
        <v>1819.186438</v>
      </c>
      <c r="Q69" s="140">
        <f>Q18-(Q6*Formulas!$H32)-Q30</f>
        <v>2192.932588</v>
      </c>
      <c r="R69" s="140">
        <f>R18-(R6*Formulas!$H32)-R30</f>
        <v>889.4948893</v>
      </c>
      <c r="S69" s="140">
        <f>S18-(S6*Formulas!$H32)-S30</f>
        <v>1588.686172</v>
      </c>
      <c r="T69" s="140">
        <f>T18-(T6*Formulas!$H32)-T30</f>
        <v>4772.197721</v>
      </c>
      <c r="U69" s="140">
        <f>U18-(U6*Formulas!$H32)-U30</f>
        <v>4067.269513</v>
      </c>
      <c r="V69" s="140">
        <f>V18-(V6*Formulas!$H32)-V30</f>
        <v>482.0043805</v>
      </c>
      <c r="W69" s="140">
        <f>W18-(W6*Formulas!$H32)-W30</f>
        <v>2640.340796</v>
      </c>
      <c r="X69" s="140">
        <f>X18-(X6*Formulas!$H32)-X30</f>
        <v>1873.948739</v>
      </c>
      <c r="Y69" s="140">
        <f>Y18-(Y6*Formulas!$H32)-Y30</f>
        <v>4762.901305</v>
      </c>
      <c r="Z69" s="140">
        <f>Z18-(Z6*Formulas!$H32)-Z30</f>
        <v>3465.082588</v>
      </c>
      <c r="AA69" s="140">
        <f>AA18-(AA6*Formulas!$H32)-AA30</f>
        <v>2752.887456</v>
      </c>
      <c r="AB69" s="140">
        <f>AB18-(AB6*Formulas!$H32)-AB30</f>
        <v>2434.804889</v>
      </c>
      <c r="AC69" s="140">
        <f>AC18-(AC6*Formulas!$H32)-AC30</f>
        <v>2534.250022</v>
      </c>
      <c r="AD69" s="140">
        <f>AD18-(AD6*Formulas!$H32)-AD30</f>
        <v>869.6392477</v>
      </c>
      <c r="AE69" s="140">
        <f>AE18-(AE6*Formulas!$H32)-AE30</f>
        <v>2893.002323</v>
      </c>
      <c r="AF69" s="140">
        <f>AF18-(AF6*Formulas!$H32)-AF30</f>
        <v>2545.533097</v>
      </c>
      <c r="AG69" s="175">
        <f>SUM(B69:AF69)</f>
        <v>84628.21312</v>
      </c>
    </row>
    <row r="70">
      <c r="A70" s="186" t="s">
        <v>428</v>
      </c>
      <c r="B70" s="178">
        <f t="shared" ref="B70:AF70" si="16">B18/B30</f>
        <v>3.361065385</v>
      </c>
      <c r="C70" s="178">
        <f t="shared" si="16"/>
        <v>3.203391304</v>
      </c>
      <c r="D70" s="178">
        <f t="shared" si="16"/>
        <v>1.648880952</v>
      </c>
      <c r="E70" s="178">
        <f t="shared" si="16"/>
        <v>3.425368421</v>
      </c>
      <c r="F70" s="178">
        <f t="shared" si="16"/>
        <v>7.668497143</v>
      </c>
      <c r="G70" s="178">
        <f t="shared" si="16"/>
        <v>8.529976656</v>
      </c>
      <c r="H70" s="178">
        <f t="shared" si="16"/>
        <v>8.114376225</v>
      </c>
      <c r="I70" s="178">
        <f t="shared" si="16"/>
        <v>6.33294031</v>
      </c>
      <c r="J70" s="178">
        <f t="shared" si="16"/>
        <v>6.305297813</v>
      </c>
      <c r="K70" s="178">
        <f t="shared" si="16"/>
        <v>5.601726078</v>
      </c>
      <c r="L70" s="178">
        <f t="shared" si="16"/>
        <v>7.065910812</v>
      </c>
      <c r="M70" s="178">
        <f t="shared" si="16"/>
        <v>4.98715569</v>
      </c>
      <c r="N70" s="178">
        <f t="shared" si="16"/>
        <v>7.082621053</v>
      </c>
      <c r="O70" s="178">
        <f t="shared" si="16"/>
        <v>4.727905405</v>
      </c>
      <c r="P70" s="178">
        <f t="shared" si="16"/>
        <v>4.288294411</v>
      </c>
      <c r="Q70" s="178">
        <f t="shared" si="16"/>
        <v>3.854605162</v>
      </c>
      <c r="R70" s="178">
        <f t="shared" si="16"/>
        <v>3.246459353</v>
      </c>
      <c r="S70" s="178">
        <f t="shared" si="16"/>
        <v>3.96757155</v>
      </c>
      <c r="T70" s="178">
        <f t="shared" si="16"/>
        <v>6.78427963</v>
      </c>
      <c r="U70" s="178">
        <f t="shared" si="16"/>
        <v>5.357290667</v>
      </c>
      <c r="V70" s="178">
        <f t="shared" si="16"/>
        <v>3.204760974</v>
      </c>
      <c r="W70" s="178">
        <f t="shared" si="16"/>
        <v>5.009607379</v>
      </c>
      <c r="X70" s="178">
        <f t="shared" si="16"/>
        <v>4.319578882</v>
      </c>
      <c r="Y70" s="178">
        <f t="shared" si="16"/>
        <v>6.090837321</v>
      </c>
      <c r="Z70" s="178">
        <f t="shared" si="16"/>
        <v>6.908858966</v>
      </c>
      <c r="AA70" s="178">
        <f t="shared" si="16"/>
        <v>5.153348735</v>
      </c>
      <c r="AB70" s="178">
        <f t="shared" si="16"/>
        <v>4.387898064</v>
      </c>
      <c r="AC70" s="178">
        <f t="shared" si="16"/>
        <v>4.946443748</v>
      </c>
      <c r="AD70" s="178">
        <f t="shared" si="16"/>
        <v>3.45493514</v>
      </c>
      <c r="AE70" s="178">
        <f t="shared" si="16"/>
        <v>4.757692787</v>
      </c>
      <c r="AF70" s="178">
        <f t="shared" si="16"/>
        <v>5.788538278</v>
      </c>
      <c r="AG70" s="175"/>
    </row>
    <row r="71">
      <c r="A71" s="186" t="s">
        <v>437</v>
      </c>
      <c r="B71" s="179">
        <f t="shared" ref="B71:AF71" si="17">B30/B6</f>
        <v>52</v>
      </c>
      <c r="C71" s="179">
        <f t="shared" si="17"/>
        <v>59.8</v>
      </c>
      <c r="D71" s="179">
        <f t="shared" si="17"/>
        <v>86.89655172</v>
      </c>
      <c r="E71" s="179">
        <f t="shared" si="17"/>
        <v>71.77777778</v>
      </c>
      <c r="F71" s="179">
        <f t="shared" si="17"/>
        <v>36.84210526</v>
      </c>
      <c r="G71" s="179">
        <f t="shared" si="17"/>
        <v>27.66409639</v>
      </c>
      <c r="H71" s="179">
        <f t="shared" si="17"/>
        <v>31.7088764</v>
      </c>
      <c r="I71" s="179">
        <f t="shared" si="17"/>
        <v>35.13666667</v>
      </c>
      <c r="J71" s="179">
        <f t="shared" si="17"/>
        <v>40.66</v>
      </c>
      <c r="K71" s="179">
        <f t="shared" si="17"/>
        <v>40.84403846</v>
      </c>
      <c r="L71" s="179">
        <f t="shared" si="17"/>
        <v>36.07609756</v>
      </c>
      <c r="M71" s="179">
        <f t="shared" si="17"/>
        <v>48.8130303</v>
      </c>
      <c r="N71" s="179">
        <f t="shared" si="17"/>
        <v>35.8490566</v>
      </c>
      <c r="O71" s="179">
        <f t="shared" si="17"/>
        <v>48.26086957</v>
      </c>
      <c r="P71" s="179">
        <f t="shared" si="17"/>
        <v>53.44734694</v>
      </c>
      <c r="Q71" s="179">
        <f t="shared" si="17"/>
        <v>66.42697674</v>
      </c>
      <c r="R71" s="179">
        <f t="shared" si="17"/>
        <v>74.48064516</v>
      </c>
      <c r="S71" s="179">
        <f t="shared" si="17"/>
        <v>62.93575758</v>
      </c>
      <c r="T71" s="179">
        <f t="shared" si="17"/>
        <v>40.1427451</v>
      </c>
      <c r="U71" s="179">
        <f t="shared" si="17"/>
        <v>52.10652174</v>
      </c>
      <c r="V71" s="179">
        <f t="shared" si="17"/>
        <v>68.62815789</v>
      </c>
      <c r="W71" s="179">
        <f t="shared" si="17"/>
        <v>48.291875</v>
      </c>
      <c r="X71" s="179">
        <f t="shared" si="17"/>
        <v>57.01675676</v>
      </c>
      <c r="Y71" s="179">
        <f t="shared" si="17"/>
        <v>50.04926829</v>
      </c>
      <c r="Z71" s="179">
        <f t="shared" si="17"/>
        <v>37.09813953</v>
      </c>
      <c r="AA71" s="179">
        <f t="shared" si="17"/>
        <v>52.314</v>
      </c>
      <c r="AB71" s="179">
        <f t="shared" si="17"/>
        <v>64.10064516</v>
      </c>
      <c r="AC71" s="179">
        <f t="shared" si="17"/>
        <v>51.59205128</v>
      </c>
      <c r="AD71" s="179">
        <f t="shared" si="17"/>
        <v>68.27566667</v>
      </c>
      <c r="AE71" s="179">
        <f t="shared" si="17"/>
        <v>65.40518519</v>
      </c>
      <c r="AF71" s="179">
        <f t="shared" si="17"/>
        <v>43.71555556</v>
      </c>
      <c r="AG71" s="175"/>
    </row>
    <row r="72">
      <c r="A72" s="192" t="s">
        <v>444</v>
      </c>
      <c r="B72" s="181">
        <f>B18/(Formulas!$H32*B6+B30)</f>
        <v>0.9168576433</v>
      </c>
      <c r="C72" s="181">
        <f>C18/(Formulas!$H32*C6+C30)</f>
        <v>0.9654197778</v>
      </c>
      <c r="D72" s="181">
        <f>D18/(Formulas!$H32*D6+D30)</f>
        <v>0.6353382881</v>
      </c>
      <c r="E72" s="181">
        <f>E18/(Formulas!$H32*E6+E30)</f>
        <v>1.168549606</v>
      </c>
      <c r="F72" s="181">
        <f>F18/(Formulas!$H32*F6+F30)</f>
        <v>1.610128642</v>
      </c>
      <c r="G72" s="181">
        <f>G18/(Formulas!$H32*G6+G30)</f>
        <v>1.419064821</v>
      </c>
      <c r="H72" s="181">
        <f>H18/(Formulas!$H32*H6+H30)</f>
        <v>1.510555195</v>
      </c>
      <c r="I72" s="181">
        <f>I18/(Formulas!$H32*I6+I30)</f>
        <v>1.280600253</v>
      </c>
      <c r="J72" s="181">
        <f>J18/(Formulas!$H32*J6+J30)</f>
        <v>1.429982021</v>
      </c>
      <c r="K72" s="181">
        <f>K18/(Formulas!$H32*K6+K30)</f>
        <v>1.274860195</v>
      </c>
      <c r="L72" s="181">
        <f>L18/(Formulas!$H32*L6+L30)</f>
        <v>1.459128921</v>
      </c>
      <c r="M72" s="181">
        <f>M18/(Formulas!$H32*M6+M30)</f>
        <v>1.298770664</v>
      </c>
      <c r="N72" s="181">
        <f>N18/(Formulas!$H32*N6+N30)</f>
        <v>1.455266311</v>
      </c>
      <c r="O72" s="181">
        <f>O18/(Formulas!$H32*O6+O30)</f>
        <v>1.220924888</v>
      </c>
      <c r="P72" s="181">
        <f>P18/(Formulas!$H32*P6+P30)</f>
        <v>1.193293717</v>
      </c>
      <c r="Q72" s="181">
        <f>Q18/(Formulas!$H32*Q6+Q30)</f>
        <v>1.248710559</v>
      </c>
      <c r="R72" s="181">
        <f>R18/(Formulas!$H32*R6+R30)</f>
        <v>1.134644345</v>
      </c>
      <c r="S72" s="181">
        <f>S18/(Formulas!$H32*S6+S30)</f>
        <v>1.238846882</v>
      </c>
      <c r="T72" s="181">
        <f>T18/(Formulas!$H32*T6+T30)</f>
        <v>1.523432458</v>
      </c>
      <c r="U72" s="181">
        <f>U18/(Formulas!$H32*U6+U30)</f>
        <v>1.463579376</v>
      </c>
      <c r="V72" s="181">
        <f>V18/(Formulas!$H32*V6+V30)</f>
        <v>1.061202276</v>
      </c>
      <c r="W72" s="181">
        <f>W18/(Formulas!$H32*W6+W30)</f>
        <v>1.294287441</v>
      </c>
      <c r="X72" s="181">
        <f>X18/(Formulas!$H32*X6+X30)</f>
        <v>1.258878422</v>
      </c>
      <c r="Y72" s="181">
        <f>Y18/(Formulas!$H32*Y6+Y30)</f>
        <v>1.615710455</v>
      </c>
      <c r="Z72" s="181">
        <f>Z18/(Formulas!$H32*Z6+Z30)</f>
        <v>1.458582805</v>
      </c>
      <c r="AA72" s="181">
        <f>AA18/(Formulas!$H32*AA6+AA30)</f>
        <v>1.41193361</v>
      </c>
      <c r="AB72" s="181">
        <f>AB18/(Formulas!$H32*AB6+AB30)</f>
        <v>1.387431702</v>
      </c>
      <c r="AC72" s="181">
        <f>AC18/(Formulas!$H32*AC6+AC30)</f>
        <v>1.341614953</v>
      </c>
      <c r="AD72" s="181">
        <f>AD18/(Formulas!$H32*AD6+AD30)</f>
        <v>1.140106193</v>
      </c>
      <c r="AE72" s="181">
        <f>AE18/(Formulas!$H32*AE6+AE30)</f>
        <v>1.525160388</v>
      </c>
      <c r="AF72" s="181">
        <f>AF18/(Formulas!$H32*AF6+AF30)</f>
        <v>1.387788121</v>
      </c>
      <c r="AG72" s="175"/>
    </row>
    <row r="73">
      <c r="A73" s="26"/>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175"/>
    </row>
    <row r="74">
      <c r="A74" s="193" t="s">
        <v>516</v>
      </c>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175"/>
    </row>
    <row r="75">
      <c r="A75" s="53" t="s">
        <v>407</v>
      </c>
      <c r="B75" s="140">
        <f>B19-(B7*Formulas!$H32)-B31</f>
        <v>0</v>
      </c>
      <c r="C75" s="140">
        <f>C19-(C7*Formulas!$H32)-C31</f>
        <v>0</v>
      </c>
      <c r="D75" s="140">
        <f>D19-(D7*Formulas!$H32)-D31</f>
        <v>0</v>
      </c>
      <c r="E75" s="140">
        <f>E19-(E7*Formulas!$H32)-E31</f>
        <v>0</v>
      </c>
      <c r="F75" s="140">
        <f>F19-(F7*Formulas!$H32)-F31</f>
        <v>0</v>
      </c>
      <c r="G75" s="140">
        <f>G19-(G7*Formulas!$H32)-G31</f>
        <v>-139.0443584</v>
      </c>
      <c r="H75" s="140">
        <f>H19-(H7*Formulas!$H32)-H31</f>
        <v>-248.96</v>
      </c>
      <c r="I75" s="140">
        <f>I19-(I7*Formulas!$H32)-I31</f>
        <v>0</v>
      </c>
      <c r="J75" s="140">
        <f>J19-(J7*Formulas!$H32)-J31</f>
        <v>0</v>
      </c>
      <c r="K75" s="140">
        <f>K19-(K7*Formulas!$H32)-K31</f>
        <v>0</v>
      </c>
      <c r="L75" s="140">
        <f>L19-(L7*Formulas!$H32)-L31</f>
        <v>0</v>
      </c>
      <c r="M75" s="140">
        <f>M19-(M7*Formulas!$H32)-M31</f>
        <v>0</v>
      </c>
      <c r="N75" s="140">
        <f>N19-(N7*Formulas!$H32)-N31</f>
        <v>0</v>
      </c>
      <c r="O75" s="140">
        <f>O19-(O7*Formulas!$H32)-O31</f>
        <v>0</v>
      </c>
      <c r="P75" s="140">
        <f>P19-(P7*Formulas!$H32)-P31</f>
        <v>0</v>
      </c>
      <c r="Q75" s="140">
        <f>Q19-(Q7*Formulas!$H32)-Q31</f>
        <v>-118.2943584</v>
      </c>
      <c r="R75" s="140">
        <f>R19-(R7*Formulas!$H32)-R31</f>
        <v>0</v>
      </c>
      <c r="S75" s="140">
        <f>S19-(S7*Formulas!$H32)-S31</f>
        <v>0</v>
      </c>
      <c r="T75" s="140">
        <f>T19-(T7*Formulas!$H32)-T31</f>
        <v>0</v>
      </c>
      <c r="U75" s="140">
        <f>U19-(U7*Formulas!$H32)-U31</f>
        <v>0</v>
      </c>
      <c r="V75" s="140">
        <f>V19-(V7*Formulas!$H32)-V31</f>
        <v>0</v>
      </c>
      <c r="W75" s="140">
        <f>W19-(W7*Formulas!$H32)-W31</f>
        <v>0</v>
      </c>
      <c r="X75" s="140">
        <f>X19-(X7*Formulas!$H32)-X31</f>
        <v>0</v>
      </c>
      <c r="Y75" s="140">
        <f>Y19-(Y7*Formulas!$H32)-Y31</f>
        <v>0</v>
      </c>
      <c r="Z75" s="140">
        <f>Z19-(Z7*Formulas!$H32)-Z31</f>
        <v>0</v>
      </c>
      <c r="AA75" s="140">
        <f>AA19-(AA7*Formulas!$H32)-AA31</f>
        <v>0</v>
      </c>
      <c r="AB75" s="140">
        <f>AB19-(AB7*Formulas!$H32)-AB31</f>
        <v>0</v>
      </c>
      <c r="AC75" s="140">
        <f>AC19-(AC7*Formulas!$H32)-AC31</f>
        <v>0</v>
      </c>
      <c r="AD75" s="140">
        <f>AD19-(AD7*Formulas!$H32)-AD31</f>
        <v>0</v>
      </c>
      <c r="AE75" s="140">
        <f>AE19-(AE7*Formulas!$H32)-AE31</f>
        <v>0</v>
      </c>
      <c r="AF75" s="140">
        <f>AF19-(AF7*Formulas!$H32)-AF31</f>
        <v>0</v>
      </c>
      <c r="AG75" s="175">
        <f>SUM(B75:AF75)</f>
        <v>-506.2987168</v>
      </c>
    </row>
    <row r="76">
      <c r="A76" s="53" t="s">
        <v>428</v>
      </c>
      <c r="B76" s="178" t="str">
        <f t="shared" ref="B76:AF76" si="18">B19/B31</f>
        <v>#DIV/0!</v>
      </c>
      <c r="C76" s="178" t="str">
        <f t="shared" si="18"/>
        <v>#DIV/0!</v>
      </c>
      <c r="D76" s="178" t="str">
        <f t="shared" si="18"/>
        <v>#DIV/0!</v>
      </c>
      <c r="E76" s="178" t="str">
        <f t="shared" si="18"/>
        <v>#DIV/0!</v>
      </c>
      <c r="F76" s="178" t="str">
        <f t="shared" si="18"/>
        <v>#DIV/0!</v>
      </c>
      <c r="G76" s="178">
        <f t="shared" si="18"/>
        <v>0.9983087021</v>
      </c>
      <c r="H76" s="178">
        <f t="shared" si="18"/>
        <v>0</v>
      </c>
      <c r="I76" s="178" t="str">
        <f t="shared" si="18"/>
        <v>#DIV/0!</v>
      </c>
      <c r="J76" s="178" t="str">
        <f t="shared" si="18"/>
        <v>#DIV/0!</v>
      </c>
      <c r="K76" s="178" t="str">
        <f t="shared" si="18"/>
        <v>#DIV/0!</v>
      </c>
      <c r="L76" s="178" t="str">
        <f t="shared" si="18"/>
        <v>#DIV/0!</v>
      </c>
      <c r="M76" s="178" t="str">
        <f t="shared" si="18"/>
        <v>#DIV/0!</v>
      </c>
      <c r="N76" s="178" t="str">
        <f t="shared" si="18"/>
        <v>#DIV/0!</v>
      </c>
      <c r="O76" s="178" t="str">
        <f t="shared" si="18"/>
        <v>#DIV/0!</v>
      </c>
      <c r="P76" s="178" t="str">
        <f t="shared" si="18"/>
        <v>#DIV/0!</v>
      </c>
      <c r="Q76" s="178" t="str">
        <f t="shared" si="18"/>
        <v>#DIV/0!</v>
      </c>
      <c r="R76" s="178" t="str">
        <f t="shared" si="18"/>
        <v>#DIV/0!</v>
      </c>
      <c r="S76" s="178" t="str">
        <f t="shared" si="18"/>
        <v>#DIV/0!</v>
      </c>
      <c r="T76" s="178" t="str">
        <f t="shared" si="18"/>
        <v>#DIV/0!</v>
      </c>
      <c r="U76" s="178" t="str">
        <f t="shared" si="18"/>
        <v>#DIV/0!</v>
      </c>
      <c r="V76" s="178" t="str">
        <f t="shared" si="18"/>
        <v>#DIV/0!</v>
      </c>
      <c r="W76" s="178" t="str">
        <f t="shared" si="18"/>
        <v>#DIV/0!</v>
      </c>
      <c r="X76" s="178" t="str">
        <f t="shared" si="18"/>
        <v>#DIV/0!</v>
      </c>
      <c r="Y76" s="178" t="str">
        <f t="shared" si="18"/>
        <v>#DIV/0!</v>
      </c>
      <c r="Z76" s="178" t="str">
        <f t="shared" si="18"/>
        <v>#DIV/0!</v>
      </c>
      <c r="AA76" s="178" t="str">
        <f t="shared" si="18"/>
        <v>#DIV/0!</v>
      </c>
      <c r="AB76" s="178" t="str">
        <f t="shared" si="18"/>
        <v>#DIV/0!</v>
      </c>
      <c r="AC76" s="178" t="str">
        <f t="shared" si="18"/>
        <v>#DIV/0!</v>
      </c>
      <c r="AD76" s="178" t="str">
        <f t="shared" si="18"/>
        <v>#DIV/0!</v>
      </c>
      <c r="AE76" s="178" t="str">
        <f t="shared" si="18"/>
        <v>#DIV/0!</v>
      </c>
      <c r="AF76" s="178" t="str">
        <f t="shared" si="18"/>
        <v>#DIV/0!</v>
      </c>
      <c r="AG76" s="175"/>
    </row>
    <row r="77">
      <c r="A77" s="53" t="s">
        <v>437</v>
      </c>
      <c r="B77" s="179" t="str">
        <f t="shared" ref="B77:AF77" si="19">B31/B7</f>
        <v>#DIV/0!</v>
      </c>
      <c r="C77" s="179" t="str">
        <f t="shared" si="19"/>
        <v>#DIV/0!</v>
      </c>
      <c r="D77" s="179" t="str">
        <f t="shared" si="19"/>
        <v>#DIV/0!</v>
      </c>
      <c r="E77" s="179" t="str">
        <f t="shared" si="19"/>
        <v>#DIV/0!</v>
      </c>
      <c r="F77" s="179" t="str">
        <f t="shared" si="19"/>
        <v>#DIV/0!</v>
      </c>
      <c r="G77" s="179">
        <f t="shared" si="19"/>
        <v>248.33</v>
      </c>
      <c r="H77" s="179" t="str">
        <f t="shared" si="19"/>
        <v>#DIV/0!</v>
      </c>
      <c r="I77" s="179" t="str">
        <f t="shared" si="19"/>
        <v>#DIV/0!</v>
      </c>
      <c r="J77" s="179" t="str">
        <f t="shared" si="19"/>
        <v>#DIV/0!</v>
      </c>
      <c r="K77" s="179" t="str">
        <f t="shared" si="19"/>
        <v>#DIV/0!</v>
      </c>
      <c r="L77" s="179" t="str">
        <f t="shared" si="19"/>
        <v>#DIV/0!</v>
      </c>
      <c r="M77" s="179" t="str">
        <f t="shared" si="19"/>
        <v>#DIV/0!</v>
      </c>
      <c r="N77" s="179" t="str">
        <f t="shared" si="19"/>
        <v>#DIV/0!</v>
      </c>
      <c r="O77" s="179" t="str">
        <f t="shared" si="19"/>
        <v>#DIV/0!</v>
      </c>
      <c r="P77" s="179" t="str">
        <f t="shared" si="19"/>
        <v>#DIV/0!</v>
      </c>
      <c r="Q77" s="179">
        <f t="shared" si="19"/>
        <v>0</v>
      </c>
      <c r="R77" s="179" t="str">
        <f t="shared" si="19"/>
        <v>#DIV/0!</v>
      </c>
      <c r="S77" s="179" t="str">
        <f t="shared" si="19"/>
        <v>#DIV/0!</v>
      </c>
      <c r="T77" s="179" t="str">
        <f t="shared" si="19"/>
        <v>#DIV/0!</v>
      </c>
      <c r="U77" s="179" t="str">
        <f t="shared" si="19"/>
        <v>#DIV/0!</v>
      </c>
      <c r="V77" s="179" t="str">
        <f t="shared" si="19"/>
        <v>#DIV/0!</v>
      </c>
      <c r="W77" s="179" t="str">
        <f t="shared" si="19"/>
        <v>#DIV/0!</v>
      </c>
      <c r="X77" s="179" t="str">
        <f t="shared" si="19"/>
        <v>#DIV/0!</v>
      </c>
      <c r="Y77" s="179" t="str">
        <f t="shared" si="19"/>
        <v>#DIV/0!</v>
      </c>
      <c r="Z77" s="179" t="str">
        <f t="shared" si="19"/>
        <v>#DIV/0!</v>
      </c>
      <c r="AA77" s="179" t="str">
        <f t="shared" si="19"/>
        <v>#DIV/0!</v>
      </c>
      <c r="AB77" s="179" t="str">
        <f t="shared" si="19"/>
        <v>#DIV/0!</v>
      </c>
      <c r="AC77" s="179" t="str">
        <f t="shared" si="19"/>
        <v>#DIV/0!</v>
      </c>
      <c r="AD77" s="179" t="str">
        <f t="shared" si="19"/>
        <v>#DIV/0!</v>
      </c>
      <c r="AE77" s="179" t="str">
        <f t="shared" si="19"/>
        <v>#DIV/0!</v>
      </c>
      <c r="AF77" s="179" t="str">
        <f t="shared" si="19"/>
        <v>#DIV/0!</v>
      </c>
      <c r="AG77" s="175"/>
    </row>
    <row r="78">
      <c r="A78" s="202" t="s">
        <v>444</v>
      </c>
      <c r="B78" s="181" t="str">
        <f>B19/(Formulas!$H32*B7+B31)</f>
        <v>#DIV/0!</v>
      </c>
      <c r="C78" s="181" t="str">
        <f>C19/(Formulas!$H32*C7+C31)</f>
        <v>#DIV/0!</v>
      </c>
      <c r="D78" s="181" t="str">
        <f>D19/(Formulas!$H32*D7+D31)</f>
        <v>#DIV/0!</v>
      </c>
      <c r="E78" s="181" t="str">
        <f>E19/(Formulas!$H32*E7+E31)</f>
        <v>#DIV/0!</v>
      </c>
      <c r="F78" s="181" t="str">
        <f>F19/(Formulas!$H32*F7+F31)</f>
        <v>#DIV/0!</v>
      </c>
      <c r="G78" s="181">
        <f>G19/(Formulas!$H32*G7+G31)</f>
        <v>0.6406698739</v>
      </c>
      <c r="H78" s="181">
        <f>H19/(Formulas!$H32*H7+H31)</f>
        <v>0</v>
      </c>
      <c r="I78" s="181" t="str">
        <f>I19/(Formulas!$H32*I7+I31)</f>
        <v>#DIV/0!</v>
      </c>
      <c r="J78" s="181" t="str">
        <f>J19/(Formulas!$H32*J7+J31)</f>
        <v>#DIV/0!</v>
      </c>
      <c r="K78" s="181" t="str">
        <f>K19/(Formulas!$H32*K7+K31)</f>
        <v>#DIV/0!</v>
      </c>
      <c r="L78" s="181" t="str">
        <f>L19/(Formulas!$H32*L7+L31)</f>
        <v>#DIV/0!</v>
      </c>
      <c r="M78" s="181" t="str">
        <f>M19/(Formulas!$H32*M7+M31)</f>
        <v>#DIV/0!</v>
      </c>
      <c r="N78" s="181" t="str">
        <f>N19/(Formulas!$H32*N7+N31)</f>
        <v>#DIV/0!</v>
      </c>
      <c r="O78" s="181" t="str">
        <f>O19/(Formulas!$H32*O7+O31)</f>
        <v>#DIV/0!</v>
      </c>
      <c r="P78" s="181" t="str">
        <f>P19/(Formulas!$H32*P7+P31)</f>
        <v>#DIV/0!</v>
      </c>
      <c r="Q78" s="181">
        <f>Q19/(Formulas!$H32*Q7+Q31)</f>
        <v>0.1466553226</v>
      </c>
      <c r="R78" s="181" t="str">
        <f>R19/(Formulas!$H32*R7+R31)</f>
        <v>#DIV/0!</v>
      </c>
      <c r="S78" s="181" t="str">
        <f>S19/(Formulas!$H32*S7+S31)</f>
        <v>#DIV/0!</v>
      </c>
      <c r="T78" s="181" t="str">
        <f>T19/(Formulas!$H32*T7+T31)</f>
        <v>#DIV/0!</v>
      </c>
      <c r="U78" s="181" t="str">
        <f>U19/(Formulas!$H32*U7+U31)</f>
        <v>#DIV/0!</v>
      </c>
      <c r="V78" s="181" t="str">
        <f>V19/(Formulas!$H32*V7+V31)</f>
        <v>#DIV/0!</v>
      </c>
      <c r="W78" s="181" t="str">
        <f>W19/(Formulas!$H32*W7+W31)</f>
        <v>#DIV/0!</v>
      </c>
      <c r="X78" s="181" t="str">
        <f>X19/(Formulas!$H32*X7+X31)</f>
        <v>#DIV/0!</v>
      </c>
      <c r="Y78" s="181" t="str">
        <f>Y19/(Formulas!$H32*Y7+Y31)</f>
        <v>#DIV/0!</v>
      </c>
      <c r="Z78" s="181" t="str">
        <f>Z19/(Formulas!$H32*Z7+Z31)</f>
        <v>#DIV/0!</v>
      </c>
      <c r="AA78" s="181" t="str">
        <f>AA19/(Formulas!$H32*AA7+AA31)</f>
        <v>#DIV/0!</v>
      </c>
      <c r="AB78" s="181" t="str">
        <f>AB19/(Formulas!$H32*AB7+AB31)</f>
        <v>#DIV/0!</v>
      </c>
      <c r="AC78" s="181" t="str">
        <f>AC19/(Formulas!$H32*AC7+AC31)</f>
        <v>#DIV/0!</v>
      </c>
      <c r="AD78" s="181" t="str">
        <f>AD19/(Formulas!$H32*AD7+AD31)</f>
        <v>#DIV/0!</v>
      </c>
      <c r="AE78" s="181" t="str">
        <f>AE19/(Formulas!$H32*AE7+AE31)</f>
        <v>#DIV/0!</v>
      </c>
      <c r="AF78" s="181" t="str">
        <f>AF19/(Formulas!$H32*AF7+AF31)</f>
        <v>#DIV/0!</v>
      </c>
      <c r="AG78" s="175"/>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175"/>
    </row>
    <row r="80">
      <c r="A80" s="216" t="s">
        <v>570</v>
      </c>
      <c r="B80" s="217"/>
      <c r="C80" s="217"/>
      <c r="D80" s="217"/>
      <c r="E80" s="217"/>
      <c r="F80" s="217"/>
      <c r="G80" s="217"/>
      <c r="H80" s="217"/>
      <c r="I80" s="217"/>
      <c r="J80" s="217"/>
      <c r="K80" s="217"/>
      <c r="L80" s="217"/>
      <c r="M80" s="217"/>
      <c r="N80" s="217"/>
      <c r="O80" s="217"/>
      <c r="P80" s="217"/>
      <c r="Q80" s="217"/>
      <c r="R80" s="217"/>
      <c r="S80" s="217"/>
      <c r="T80" s="217"/>
      <c r="U80" s="217"/>
      <c r="V80" s="217"/>
      <c r="W80" s="217"/>
      <c r="X80" s="217"/>
      <c r="Y80" s="217"/>
      <c r="Z80" s="217"/>
      <c r="AA80" s="217"/>
      <c r="AB80" s="217"/>
      <c r="AC80" s="217"/>
      <c r="AD80" s="217"/>
      <c r="AE80" s="217"/>
      <c r="AF80" s="217"/>
      <c r="AG80" s="175"/>
    </row>
    <row r="81">
      <c r="A81" s="218" t="s">
        <v>407</v>
      </c>
      <c r="B81" s="140">
        <f>B20-(B8*Formulas!$H32)-B32</f>
        <v>299.0969248</v>
      </c>
      <c r="C81" s="140">
        <f>C20-(C8*Formulas!$H32)-C32</f>
        <v>-91.99</v>
      </c>
      <c r="D81" s="140">
        <f>D20-(D8*Formulas!$H32)-D32</f>
        <v>1184.456416</v>
      </c>
      <c r="E81" s="140">
        <f>E20-(E8*Formulas!$H32)-E32</f>
        <v>736.4794911</v>
      </c>
      <c r="F81" s="140">
        <f>F20-(F8*Formulas!$H32)-F32</f>
        <v>866.4251327</v>
      </c>
      <c r="G81" s="140">
        <f>G20-(G8*Formulas!$H32)-G32</f>
        <v>1247.112057</v>
      </c>
      <c r="H81" s="140">
        <f>H20-(H8*Formulas!$H32)-H32</f>
        <v>637.2638495</v>
      </c>
      <c r="I81" s="140">
        <f>I20-(I8*Formulas!$H32)-I32</f>
        <v>497.108208</v>
      </c>
      <c r="J81" s="140">
        <f>J20-(J8*Formulas!$H32)-J32</f>
        <v>106.6512832</v>
      </c>
      <c r="K81" s="140">
        <f>K20-(K8*Formulas!$H32)-K32</f>
        <v>499.408208</v>
      </c>
      <c r="L81" s="140">
        <f>L20-(L8*Formulas!$H32)-L32</f>
        <v>252.7869248</v>
      </c>
      <c r="M81" s="140">
        <f>M20-(M8*Formulas!$H32)-M32</f>
        <v>400.1025664</v>
      </c>
      <c r="N81" s="140">
        <f>N20-(N8*Formulas!$H32)-N32</f>
        <v>396.2425664</v>
      </c>
      <c r="O81" s="140">
        <f>O20-(O8*Formulas!$H32)-O32</f>
        <v>567.758208</v>
      </c>
      <c r="P81" s="140">
        <f>P20-(P8*Formulas!$H32)-P32</f>
        <v>552.668208</v>
      </c>
      <c r="Q81" s="140">
        <f>Q20-(Q8*Formulas!$H32)-Q32</f>
        <v>893.9051327</v>
      </c>
      <c r="R81" s="140">
        <f>R20-(R8*Formulas!$H32)-R32</f>
        <v>309.9569248</v>
      </c>
      <c r="S81" s="140">
        <f>S20-(S8*Formulas!$H32)-S32</f>
        <v>310.1369248</v>
      </c>
      <c r="T81" s="140">
        <f>T20-(T8*Formulas!$H32)-T32</f>
        <v>550.528208</v>
      </c>
      <c r="U81" s="140">
        <f>U20-(U8*Formulas!$H32)-U32</f>
        <v>52.01564159</v>
      </c>
      <c r="V81" s="140">
        <f>V20-(V8*Formulas!$H32)-V32</f>
        <v>457.3625664</v>
      </c>
      <c r="W81" s="140">
        <f>W20-(W8*Formulas!$H32)-W32</f>
        <v>556.068208</v>
      </c>
      <c r="X81" s="140">
        <f>X20-(X8*Formulas!$H32)-X32</f>
        <v>172.2412832</v>
      </c>
      <c r="Y81" s="140">
        <f>Y20-(Y8*Formulas!$H32)-Y32</f>
        <v>405.1825664</v>
      </c>
      <c r="Z81" s="140">
        <f>Z20-(Z8*Formulas!$H32)-Z32</f>
        <v>667.9438495</v>
      </c>
      <c r="AA81" s="140">
        <f>AA20-(AA8*Formulas!$H32)-AA32</f>
        <v>444.1925664</v>
      </c>
      <c r="AB81" s="140">
        <f>AB20-(AB8*Formulas!$H32)-AB32</f>
        <v>558.448208</v>
      </c>
      <c r="AC81" s="140">
        <f>AC20-(AC8*Formulas!$H32)-AC32</f>
        <v>440.1825664</v>
      </c>
      <c r="AD81" s="140">
        <f>AD20-(AD8*Formulas!$H32)-AD32</f>
        <v>443.1225664</v>
      </c>
      <c r="AE81" s="140">
        <f>AE20-(AE8*Formulas!$H32)-AE32</f>
        <v>166.4212832</v>
      </c>
      <c r="AF81" s="140">
        <f>AF20-(AF8*Formulas!$H32)-AF32</f>
        <v>685.4938495</v>
      </c>
      <c r="AG81" s="175">
        <f>SUM(B81:AF81)</f>
        <v>15264.77239</v>
      </c>
    </row>
    <row r="82">
      <c r="A82" s="218" t="s">
        <v>428</v>
      </c>
      <c r="B82" s="178">
        <f t="shared" ref="B82:AF82" si="20">B20/B32</f>
        <v>9.610983982</v>
      </c>
      <c r="C82" s="178">
        <f t="shared" si="20"/>
        <v>0</v>
      </c>
      <c r="D82" s="178">
        <f t="shared" si="20"/>
        <v>29.78723404</v>
      </c>
      <c r="E82" s="178">
        <f t="shared" si="20"/>
        <v>12.00128908</v>
      </c>
      <c r="F82" s="178">
        <f t="shared" si="20"/>
        <v>13.94678202</v>
      </c>
      <c r="G82" s="178">
        <f t="shared" si="20"/>
        <v>18.99753279</v>
      </c>
      <c r="H82" s="178">
        <f t="shared" si="20"/>
        <v>12.56791873</v>
      </c>
      <c r="I82" s="178">
        <f t="shared" si="20"/>
        <v>9.515632825</v>
      </c>
      <c r="J82" s="178">
        <f t="shared" si="20"/>
        <v>3.592167454</v>
      </c>
      <c r="K82" s="178">
        <f t="shared" si="20"/>
        <v>9.674838147</v>
      </c>
      <c r="L82" s="178">
        <f t="shared" si="20"/>
        <v>6.169785063</v>
      </c>
      <c r="M82" s="178">
        <f t="shared" si="20"/>
        <v>9.725776965</v>
      </c>
      <c r="N82" s="178">
        <f t="shared" si="20"/>
        <v>9.394313968</v>
      </c>
      <c r="O82" s="178">
        <f t="shared" si="20"/>
        <v>19.24189815</v>
      </c>
      <c r="P82" s="178">
        <f t="shared" si="20"/>
        <v>15.79384871</v>
      </c>
      <c r="Q82" s="178">
        <f t="shared" si="20"/>
        <v>17.01039169</v>
      </c>
      <c r="R82" s="178">
        <f t="shared" si="20"/>
        <v>11.05722599</v>
      </c>
      <c r="S82" s="178">
        <f t="shared" si="20"/>
        <v>11.0848729</v>
      </c>
      <c r="T82" s="178">
        <f t="shared" si="20"/>
        <v>15.40243196</v>
      </c>
      <c r="U82" s="178">
        <f t="shared" si="20"/>
        <v>3.529723992</v>
      </c>
      <c r="V82" s="178">
        <f t="shared" si="20"/>
        <v>20.40659762</v>
      </c>
      <c r="W82" s="178">
        <f t="shared" si="20"/>
        <v>16.45835911</v>
      </c>
      <c r="X82" s="178">
        <f t="shared" si="20"/>
        <v>6.447703309</v>
      </c>
      <c r="Y82" s="178">
        <f t="shared" si="20"/>
        <v>10.1993865</v>
      </c>
      <c r="Z82" s="178">
        <f t="shared" si="20"/>
        <v>16.5714879</v>
      </c>
      <c r="AA82" s="178">
        <f t="shared" si="20"/>
        <v>16.29153269</v>
      </c>
      <c r="AB82" s="178">
        <f t="shared" si="20"/>
        <v>16.95779676</v>
      </c>
      <c r="AC82" s="178">
        <f t="shared" si="20"/>
        <v>15.3491056</v>
      </c>
      <c r="AD82" s="178">
        <f t="shared" si="20"/>
        <v>16.02892437</v>
      </c>
      <c r="AE82" s="178">
        <f t="shared" si="20"/>
        <v>6.022868788</v>
      </c>
      <c r="AF82" s="178">
        <f t="shared" si="20"/>
        <v>20.26409345</v>
      </c>
      <c r="AG82" s="175"/>
    </row>
    <row r="83">
      <c r="A83" s="218" t="s">
        <v>437</v>
      </c>
      <c r="B83" s="179">
        <f t="shared" ref="B83:AF83" si="21">B32/B8</f>
        <v>27.67666667</v>
      </c>
      <c r="C83" s="179" t="str">
        <f t="shared" si="21"/>
        <v>#DIV/0!</v>
      </c>
      <c r="D83" s="179">
        <f t="shared" si="21"/>
        <v>8.93</v>
      </c>
      <c r="E83" s="179">
        <f t="shared" si="21"/>
        <v>22.16428571</v>
      </c>
      <c r="F83" s="179">
        <f t="shared" si="21"/>
        <v>19.0725</v>
      </c>
      <c r="G83" s="179">
        <f t="shared" si="21"/>
        <v>14.00181818</v>
      </c>
      <c r="H83" s="179">
        <f t="shared" si="21"/>
        <v>21.165</v>
      </c>
      <c r="I83" s="179">
        <f t="shared" si="21"/>
        <v>27.954</v>
      </c>
      <c r="J83" s="179">
        <f t="shared" si="21"/>
        <v>74.05</v>
      </c>
      <c r="K83" s="179">
        <f t="shared" si="21"/>
        <v>27.494</v>
      </c>
      <c r="L83" s="179">
        <f t="shared" si="21"/>
        <v>43.11333333</v>
      </c>
      <c r="M83" s="179">
        <f t="shared" si="21"/>
        <v>27.35</v>
      </c>
      <c r="N83" s="179">
        <f t="shared" si="21"/>
        <v>28.315</v>
      </c>
      <c r="O83" s="179">
        <f t="shared" si="21"/>
        <v>13.824</v>
      </c>
      <c r="P83" s="179">
        <f t="shared" si="21"/>
        <v>16.842</v>
      </c>
      <c r="Q83" s="179">
        <f t="shared" si="21"/>
        <v>15.6375</v>
      </c>
      <c r="R83" s="179">
        <f t="shared" si="21"/>
        <v>24.05666667</v>
      </c>
      <c r="S83" s="179">
        <f t="shared" si="21"/>
        <v>23.99666667</v>
      </c>
      <c r="T83" s="179">
        <f t="shared" si="21"/>
        <v>17.27</v>
      </c>
      <c r="U83" s="179">
        <f t="shared" si="21"/>
        <v>75.36</v>
      </c>
      <c r="V83" s="179">
        <f t="shared" si="21"/>
        <v>13.035</v>
      </c>
      <c r="W83" s="179">
        <f t="shared" si="21"/>
        <v>16.162</v>
      </c>
      <c r="X83" s="179">
        <f t="shared" si="21"/>
        <v>41.255</v>
      </c>
      <c r="Y83" s="179">
        <f t="shared" si="21"/>
        <v>26.08</v>
      </c>
      <c r="Z83" s="179">
        <f t="shared" si="21"/>
        <v>16.05166667</v>
      </c>
      <c r="AA83" s="179">
        <f t="shared" si="21"/>
        <v>16.3275</v>
      </c>
      <c r="AB83" s="179">
        <f t="shared" si="21"/>
        <v>15.686</v>
      </c>
      <c r="AC83" s="179">
        <f t="shared" si="21"/>
        <v>17.33</v>
      </c>
      <c r="AD83" s="179">
        <f t="shared" si="21"/>
        <v>16.595</v>
      </c>
      <c r="AE83" s="179">
        <f t="shared" si="21"/>
        <v>44.165</v>
      </c>
      <c r="AF83" s="179">
        <f t="shared" si="21"/>
        <v>13.12666667</v>
      </c>
      <c r="AG83" s="175"/>
    </row>
    <row r="84">
      <c r="A84" s="225" t="s">
        <v>444</v>
      </c>
      <c r="B84" s="181">
        <f>B20/(Formulas!$H32*B8+B32)</f>
        <v>1.599509082</v>
      </c>
      <c r="C84" s="181">
        <f>C20/(Formulas!$H32*C8+C32)</f>
        <v>0</v>
      </c>
      <c r="D84" s="181">
        <f>D20/(Formulas!$H32*D8+D32)</f>
        <v>1.802725469</v>
      </c>
      <c r="E84" s="181">
        <f>E20/(Formulas!$H32*E8+E32)</f>
        <v>1.654345687</v>
      </c>
      <c r="F84" s="181">
        <f>F20/(Formulas!$H32*F8+F32)</f>
        <v>1.686780591</v>
      </c>
      <c r="G84" s="181">
        <f>G20/(Formulas!$H32*G8+G32)</f>
        <v>1.742820307</v>
      </c>
      <c r="H84" s="181">
        <f>H20/(Formulas!$H32*H8+H32)</f>
        <v>1.664691583</v>
      </c>
      <c r="I84" s="181">
        <f>I20/(Formulas!$H32*I8+I32)</f>
        <v>1.596846088</v>
      </c>
      <c r="J84" s="181">
        <f>J20/(Formulas!$H32*J8+J32)</f>
        <v>1.250738462</v>
      </c>
      <c r="K84" s="181">
        <f>K20/(Formulas!$H32*K8+K32)</f>
        <v>1.601267931</v>
      </c>
      <c r="L84" s="181">
        <f>L20/(Formulas!$H32*L8+L32)</f>
        <v>1.46364795</v>
      </c>
      <c r="M84" s="181">
        <f>M20/(Formulas!$H32*M8+M32)</f>
        <v>1.602657197</v>
      </c>
      <c r="N84" s="181">
        <f>N20/(Formulas!$H32*N8+N32)</f>
        <v>1.593392969</v>
      </c>
      <c r="O84" s="181">
        <f>O20/(Formulas!$H32*O8+O32)</f>
        <v>1.744853161</v>
      </c>
      <c r="P84" s="181">
        <f>P20/(Formulas!$H32*P8+P32)</f>
        <v>1.710981094</v>
      </c>
      <c r="Q84" s="181">
        <f>Q20/(Formulas!$H32*Q8+Q32)</f>
        <v>1.724340694</v>
      </c>
      <c r="R84" s="181">
        <f>R20/(Formulas!$H32*R8+R32)</f>
        <v>1.635101573</v>
      </c>
      <c r="S84" s="181">
        <f>S20/(Formulas!$H32*S8+S32)</f>
        <v>1.635704854</v>
      </c>
      <c r="T84" s="181">
        <f>T20/(Formulas!$H32*T8+T32)</f>
        <v>1.706283683</v>
      </c>
      <c r="U84" s="181">
        <f>U20/(Formulas!$H32*U8+U32)</f>
        <v>1.243081513</v>
      </c>
      <c r="V84" s="181">
        <f>V20/(Formulas!$H32*V8+V32)</f>
        <v>1.753930669</v>
      </c>
      <c r="W84" s="181">
        <f>W20/(Formulas!$H32*W8+W32)</f>
        <v>1.718497694</v>
      </c>
      <c r="X84" s="181">
        <f>X20/(Formulas!$H32*X8+X32)</f>
        <v>1.478768895</v>
      </c>
      <c r="Y84" s="181">
        <f>Y20/(Formulas!$H32*Y8+Y32)</f>
        <v>1.615014943</v>
      </c>
      <c r="Z84" s="181">
        <f>Z20/(Formulas!$H32*Z8+Z32)</f>
        <v>1.719723531</v>
      </c>
      <c r="AA84" s="181">
        <f>AA20/(Formulas!$H32*AA8+AA32)</f>
        <v>1.716662212</v>
      </c>
      <c r="AB84" s="181">
        <f>AB20/(Formulas!$H32*AB8+AB32)</f>
        <v>1.723798731</v>
      </c>
      <c r="AC84" s="181">
        <f>AC20/(Formulas!$H32*AC8+AC32)</f>
        <v>1.705627228</v>
      </c>
      <c r="AD84" s="181">
        <f>AD20/(Formulas!$H32*AD8+AD32)</f>
        <v>1.713703772</v>
      </c>
      <c r="AE84" s="181">
        <f>AE20/(Formulas!$H32*AE8+AE32)</f>
        <v>1.455226947</v>
      </c>
      <c r="AF84" s="181">
        <f>AF20/(Formulas!$H32*AF8+AF32)</f>
        <v>1.752871191</v>
      </c>
      <c r="AG84" s="175"/>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175"/>
    </row>
    <row r="86">
      <c r="A86" s="229" t="s">
        <v>113</v>
      </c>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175"/>
    </row>
    <row r="87">
      <c r="A87" s="230" t="s">
        <v>407</v>
      </c>
      <c r="B87" s="140">
        <f>B21-(B9*Formulas!$H32)-B33</f>
        <v>0</v>
      </c>
      <c r="C87" s="140">
        <f>C21-(C9*Formulas!$H32)-C33</f>
        <v>0</v>
      </c>
      <c r="D87" s="140">
        <f>D21-(D9*Formulas!$H32)-D33</f>
        <v>0</v>
      </c>
      <c r="E87" s="140">
        <f>E21-(E9*Formulas!$H32)-E33</f>
        <v>0</v>
      </c>
      <c r="F87" s="140">
        <f>F21-(F9*Formulas!$H32)-F33</f>
        <v>0</v>
      </c>
      <c r="G87" s="140">
        <f>G21-(G9*Formulas!$H32)-G33</f>
        <v>0</v>
      </c>
      <c r="H87" s="140">
        <f>H21-(H9*Formulas!$H32)-H33</f>
        <v>0</v>
      </c>
      <c r="I87" s="140">
        <f>I21-(I9*Formulas!$H32)-I33</f>
        <v>0</v>
      </c>
      <c r="J87" s="140">
        <f>J21-(J9*Formulas!$H32)-J33</f>
        <v>0</v>
      </c>
      <c r="K87" s="140">
        <f>K21-(K9*Formulas!$H32)-K33</f>
        <v>0</v>
      </c>
      <c r="L87" s="140">
        <f>L21-(L9*Formulas!$H32)-L33</f>
        <v>0</v>
      </c>
      <c r="M87" s="140">
        <f>M21-(M9*Formulas!$H32)-M33</f>
        <v>0</v>
      </c>
      <c r="N87" s="140">
        <f>N21-(N9*Formulas!$H32)-N33</f>
        <v>0</v>
      </c>
      <c r="O87" s="140">
        <f>O21-(O9*Formulas!$H32)-O33</f>
        <v>0</v>
      </c>
      <c r="P87" s="140">
        <f>P21-(P9*Formulas!$H32)-P33</f>
        <v>0</v>
      </c>
      <c r="Q87" s="140">
        <f>Q21-(Q9*Formulas!$H32)-Q33</f>
        <v>0</v>
      </c>
      <c r="R87" s="140">
        <f>R21-(R9*Formulas!$H32)-R33</f>
        <v>0</v>
      </c>
      <c r="S87" s="140">
        <f>S21-(S9*Formulas!$H32)-S33</f>
        <v>0</v>
      </c>
      <c r="T87" s="140">
        <f>T21-(T9*Formulas!$H32)-T33</f>
        <v>0</v>
      </c>
      <c r="U87" s="140">
        <f>U21-(U9*Formulas!$H32)-U33</f>
        <v>0</v>
      </c>
      <c r="V87" s="140">
        <f>V21-(V9*Formulas!$H32)-V33</f>
        <v>0</v>
      </c>
      <c r="W87" s="140">
        <f>W21-(W9*Formulas!$H32)-W33</f>
        <v>0</v>
      </c>
      <c r="X87" s="140">
        <f>X21-(X9*Formulas!$H32)-X33</f>
        <v>0</v>
      </c>
      <c r="Y87" s="140">
        <f>Y21-(Y9*Formulas!$H32)-Y33</f>
        <v>0</v>
      </c>
      <c r="Z87" s="140">
        <f>Z21-(Z9*Formulas!$H32)-Z33</f>
        <v>0</v>
      </c>
      <c r="AA87" s="140">
        <f>AA21-(AA9*Formulas!$H32)-AA33</f>
        <v>0</v>
      </c>
      <c r="AB87" s="140">
        <f>AB21-(AB9*Formulas!$H32)-AB33</f>
        <v>0</v>
      </c>
      <c r="AC87" s="140">
        <f>AC21-(AC9*Formulas!$H32)-AC33</f>
        <v>0</v>
      </c>
      <c r="AD87" s="140">
        <f>AD21-(AD9*Formulas!$H32)-AD33</f>
        <v>0</v>
      </c>
      <c r="AE87" s="140">
        <f>AE21-(AE9*Formulas!$H32)-AE33</f>
        <v>0</v>
      </c>
      <c r="AF87" s="140">
        <f>AF21-(AF9*Formulas!$H32)-AF33</f>
        <v>0</v>
      </c>
      <c r="AG87" s="175">
        <f>SUM(B87:AE87)</f>
        <v>0</v>
      </c>
    </row>
    <row r="88">
      <c r="A88" s="230" t="s">
        <v>428</v>
      </c>
      <c r="B88" s="178" t="str">
        <f t="shared" ref="B88:AF88" si="22">B21/B33</f>
        <v>#DIV/0!</v>
      </c>
      <c r="C88" s="178" t="str">
        <f t="shared" si="22"/>
        <v>#DIV/0!</v>
      </c>
      <c r="D88" s="178" t="str">
        <f t="shared" si="22"/>
        <v>#DIV/0!</v>
      </c>
      <c r="E88" s="178" t="str">
        <f t="shared" si="22"/>
        <v>#DIV/0!</v>
      </c>
      <c r="F88" s="178" t="str">
        <f t="shared" si="22"/>
        <v>#DIV/0!</v>
      </c>
      <c r="G88" s="178" t="str">
        <f t="shared" si="22"/>
        <v>#DIV/0!</v>
      </c>
      <c r="H88" s="178" t="str">
        <f t="shared" si="22"/>
        <v>#DIV/0!</v>
      </c>
      <c r="I88" s="178" t="str">
        <f t="shared" si="22"/>
        <v>#DIV/0!</v>
      </c>
      <c r="J88" s="178" t="str">
        <f t="shared" si="22"/>
        <v>#DIV/0!</v>
      </c>
      <c r="K88" s="178" t="str">
        <f t="shared" si="22"/>
        <v>#DIV/0!</v>
      </c>
      <c r="L88" s="178" t="str">
        <f t="shared" si="22"/>
        <v>#DIV/0!</v>
      </c>
      <c r="M88" s="178" t="str">
        <f t="shared" si="22"/>
        <v>#DIV/0!</v>
      </c>
      <c r="N88" s="178" t="str">
        <f t="shared" si="22"/>
        <v>#DIV/0!</v>
      </c>
      <c r="O88" s="178" t="str">
        <f t="shared" si="22"/>
        <v>#DIV/0!</v>
      </c>
      <c r="P88" s="178" t="str">
        <f t="shared" si="22"/>
        <v>#DIV/0!</v>
      </c>
      <c r="Q88" s="178" t="str">
        <f t="shared" si="22"/>
        <v>#DIV/0!</v>
      </c>
      <c r="R88" s="178" t="str">
        <f t="shared" si="22"/>
        <v>#DIV/0!</v>
      </c>
      <c r="S88" s="178" t="str">
        <f t="shared" si="22"/>
        <v>#DIV/0!</v>
      </c>
      <c r="T88" s="178" t="str">
        <f t="shared" si="22"/>
        <v>#DIV/0!</v>
      </c>
      <c r="U88" s="178" t="str">
        <f t="shared" si="22"/>
        <v>#DIV/0!</v>
      </c>
      <c r="V88" s="178" t="str">
        <f t="shared" si="22"/>
        <v>#DIV/0!</v>
      </c>
      <c r="W88" s="178" t="str">
        <f t="shared" si="22"/>
        <v>#DIV/0!</v>
      </c>
      <c r="X88" s="178" t="str">
        <f t="shared" si="22"/>
        <v>#DIV/0!</v>
      </c>
      <c r="Y88" s="178" t="str">
        <f t="shared" si="22"/>
        <v>#DIV/0!</v>
      </c>
      <c r="Z88" s="178" t="str">
        <f t="shared" si="22"/>
        <v>#DIV/0!</v>
      </c>
      <c r="AA88" s="178" t="str">
        <f t="shared" si="22"/>
        <v>#DIV/0!</v>
      </c>
      <c r="AB88" s="178" t="str">
        <f t="shared" si="22"/>
        <v>#DIV/0!</v>
      </c>
      <c r="AC88" s="178" t="str">
        <f t="shared" si="22"/>
        <v>#DIV/0!</v>
      </c>
      <c r="AD88" s="178" t="str">
        <f t="shared" si="22"/>
        <v>#DIV/0!</v>
      </c>
      <c r="AE88" s="178" t="str">
        <f t="shared" si="22"/>
        <v>#DIV/0!</v>
      </c>
      <c r="AF88" s="178" t="str">
        <f t="shared" si="22"/>
        <v>#DIV/0!</v>
      </c>
      <c r="AG88" s="175"/>
    </row>
    <row r="89">
      <c r="A89" s="230" t="s">
        <v>437</v>
      </c>
      <c r="B89" s="179" t="str">
        <f t="shared" ref="B89:AF89" si="23">B33/B9</f>
        <v>#DIV/0!</v>
      </c>
      <c r="C89" s="179" t="str">
        <f t="shared" si="23"/>
        <v>#DIV/0!</v>
      </c>
      <c r="D89" s="179" t="str">
        <f t="shared" si="23"/>
        <v>#DIV/0!</v>
      </c>
      <c r="E89" s="179" t="str">
        <f t="shared" si="23"/>
        <v>#DIV/0!</v>
      </c>
      <c r="F89" s="179" t="str">
        <f t="shared" si="23"/>
        <v>#DIV/0!</v>
      </c>
      <c r="G89" s="179" t="str">
        <f t="shared" si="23"/>
        <v>#DIV/0!</v>
      </c>
      <c r="H89" s="179" t="str">
        <f t="shared" si="23"/>
        <v>#DIV/0!</v>
      </c>
      <c r="I89" s="179" t="str">
        <f t="shared" si="23"/>
        <v>#DIV/0!</v>
      </c>
      <c r="J89" s="179" t="str">
        <f t="shared" si="23"/>
        <v>#DIV/0!</v>
      </c>
      <c r="K89" s="179" t="str">
        <f t="shared" si="23"/>
        <v>#DIV/0!</v>
      </c>
      <c r="L89" s="179" t="str">
        <f t="shared" si="23"/>
        <v>#DIV/0!</v>
      </c>
      <c r="M89" s="179" t="str">
        <f t="shared" si="23"/>
        <v>#DIV/0!</v>
      </c>
      <c r="N89" s="179" t="str">
        <f t="shared" si="23"/>
        <v>#DIV/0!</v>
      </c>
      <c r="O89" s="179" t="str">
        <f t="shared" si="23"/>
        <v>#DIV/0!</v>
      </c>
      <c r="P89" s="179" t="str">
        <f t="shared" si="23"/>
        <v>#DIV/0!</v>
      </c>
      <c r="Q89" s="179" t="str">
        <f t="shared" si="23"/>
        <v>#DIV/0!</v>
      </c>
      <c r="R89" s="179" t="str">
        <f t="shared" si="23"/>
        <v>#DIV/0!</v>
      </c>
      <c r="S89" s="179" t="str">
        <f t="shared" si="23"/>
        <v>#DIV/0!</v>
      </c>
      <c r="T89" s="179" t="str">
        <f t="shared" si="23"/>
        <v>#DIV/0!</v>
      </c>
      <c r="U89" s="179" t="str">
        <f t="shared" si="23"/>
        <v>#DIV/0!</v>
      </c>
      <c r="V89" s="179" t="str">
        <f t="shared" si="23"/>
        <v>#DIV/0!</v>
      </c>
      <c r="W89" s="179" t="str">
        <f t="shared" si="23"/>
        <v>#DIV/0!</v>
      </c>
      <c r="X89" s="179" t="str">
        <f t="shared" si="23"/>
        <v>#DIV/0!</v>
      </c>
      <c r="Y89" s="179" t="str">
        <f t="shared" si="23"/>
        <v>#DIV/0!</v>
      </c>
      <c r="Z89" s="179" t="str">
        <f t="shared" si="23"/>
        <v>#DIV/0!</v>
      </c>
      <c r="AA89" s="179" t="str">
        <f t="shared" si="23"/>
        <v>#DIV/0!</v>
      </c>
      <c r="AB89" s="179" t="str">
        <f t="shared" si="23"/>
        <v>#DIV/0!</v>
      </c>
      <c r="AC89" s="179" t="str">
        <f t="shared" si="23"/>
        <v>#DIV/0!</v>
      </c>
      <c r="AD89" s="179" t="str">
        <f t="shared" si="23"/>
        <v>#DIV/0!</v>
      </c>
      <c r="AE89" s="179" t="str">
        <f t="shared" si="23"/>
        <v>#DIV/0!</v>
      </c>
      <c r="AF89" s="179" t="str">
        <f t="shared" si="23"/>
        <v>#DIV/0!</v>
      </c>
      <c r="AG89" s="175"/>
    </row>
    <row r="90">
      <c r="A90" s="238" t="s">
        <v>444</v>
      </c>
      <c r="B90" s="181" t="str">
        <f>B21/(Formulas!$H32*B9+B33)</f>
        <v>#DIV/0!</v>
      </c>
      <c r="C90" s="181" t="str">
        <f>C21/(Formulas!$H32*C9+C33)</f>
        <v>#DIV/0!</v>
      </c>
      <c r="D90" s="181" t="str">
        <f>D21/(Formulas!$H32*D9+D33)</f>
        <v>#DIV/0!</v>
      </c>
      <c r="E90" s="181" t="str">
        <f>E21/(Formulas!$H32*E9+E33)</f>
        <v>#DIV/0!</v>
      </c>
      <c r="F90" s="181" t="str">
        <f>F21/(Formulas!$H32*F9+F33)</f>
        <v>#DIV/0!</v>
      </c>
      <c r="G90" s="181" t="str">
        <f>G21/(Formulas!$H32*G9+G33)</f>
        <v>#DIV/0!</v>
      </c>
      <c r="H90" s="181" t="str">
        <f>H21/(Formulas!$H32*H9+H33)</f>
        <v>#DIV/0!</v>
      </c>
      <c r="I90" s="181" t="str">
        <f>I21/(Formulas!$H32*I9+I33)</f>
        <v>#DIV/0!</v>
      </c>
      <c r="J90" s="181" t="str">
        <f>J21/(Formulas!$H32*J9+J33)</f>
        <v>#DIV/0!</v>
      </c>
      <c r="K90" s="181" t="str">
        <f>K21/(Formulas!$H32*K9+K33)</f>
        <v>#DIV/0!</v>
      </c>
      <c r="L90" s="181" t="str">
        <f>L21/(Formulas!$H32*L9+L33)</f>
        <v>#DIV/0!</v>
      </c>
      <c r="M90" s="181" t="str">
        <f>M21/(Formulas!$H32*M9+M33)</f>
        <v>#DIV/0!</v>
      </c>
      <c r="N90" s="181" t="str">
        <f>N21/(Formulas!$H32*N9+N33)</f>
        <v>#DIV/0!</v>
      </c>
      <c r="O90" s="181" t="str">
        <f>O21/(Formulas!$H32*O9+O33)</f>
        <v>#DIV/0!</v>
      </c>
      <c r="P90" s="181" t="str">
        <f>P21/(Formulas!$H32*P9+P33)</f>
        <v>#DIV/0!</v>
      </c>
      <c r="Q90" s="181" t="str">
        <f>Q21/(Formulas!$H32*Q9+Q33)</f>
        <v>#DIV/0!</v>
      </c>
      <c r="R90" s="181" t="str">
        <f>R21/(Formulas!$H32*R9+R33)</f>
        <v>#DIV/0!</v>
      </c>
      <c r="S90" s="181" t="str">
        <f>S21/(Formulas!$H32*S9+S33)</f>
        <v>#DIV/0!</v>
      </c>
      <c r="T90" s="181" t="str">
        <f>T21/(Formulas!$H32*T9+T33)</f>
        <v>#DIV/0!</v>
      </c>
      <c r="U90" s="181" t="str">
        <f>U21/(Formulas!$H32*U9+U33)</f>
        <v>#DIV/0!</v>
      </c>
      <c r="V90" s="181" t="str">
        <f>V21/(Formulas!$H32*V9+V33)</f>
        <v>#DIV/0!</v>
      </c>
      <c r="W90" s="181" t="str">
        <f>W21/(Formulas!$H32*W9+W33)</f>
        <v>#DIV/0!</v>
      </c>
      <c r="X90" s="181" t="str">
        <f>X21/(Formulas!$H32*X9+X33)</f>
        <v>#DIV/0!</v>
      </c>
      <c r="Y90" s="181" t="str">
        <f>Y21/(Formulas!$H32*Y9+Y33)</f>
        <v>#DIV/0!</v>
      </c>
      <c r="Z90" s="181" t="str">
        <f>Z21/(Formulas!$H32*Z9+Z33)</f>
        <v>#DIV/0!</v>
      </c>
      <c r="AA90" s="181" t="str">
        <f>AA21/(Formulas!$H32*AA9+AA33)</f>
        <v>#DIV/0!</v>
      </c>
      <c r="AB90" s="181" t="str">
        <f>AB21/(Formulas!$H32*AB9+AB33)</f>
        <v>#DIV/0!</v>
      </c>
      <c r="AC90" s="181" t="str">
        <f>AC21/(Formulas!$H32*AC9+AC33)</f>
        <v>#DIV/0!</v>
      </c>
      <c r="AD90" s="181" t="str">
        <f>AD21/(Formulas!$H32*AD9+AD33)</f>
        <v>#DIV/0!</v>
      </c>
      <c r="AE90" s="181" t="str">
        <f>AE21/(Formulas!$H32*AE9+AE33)</f>
        <v>#DIV/0!</v>
      </c>
      <c r="AF90" s="181" t="str">
        <f>AF21/(Formulas!$H32*AF9+AF33)</f>
        <v>#DIV/0!</v>
      </c>
      <c r="AG90" s="175"/>
    </row>
    <row r="91">
      <c r="A91" s="26"/>
      <c r="B91" s="20"/>
      <c r="C91" s="20"/>
      <c r="D91" s="20"/>
      <c r="E91" s="20"/>
      <c r="F91" s="20"/>
      <c r="G91" s="20"/>
      <c r="H91" s="20"/>
      <c r="I91" s="20"/>
      <c r="J91" s="20"/>
      <c r="K91" s="20"/>
      <c r="L91" s="20"/>
      <c r="M91" s="20"/>
      <c r="N91" s="20"/>
      <c r="O91" s="20"/>
      <c r="P91" s="20"/>
      <c r="Q91" s="20"/>
      <c r="R91" s="140"/>
      <c r="S91" s="20"/>
      <c r="T91" s="20"/>
      <c r="U91" s="20"/>
      <c r="V91" s="20"/>
      <c r="W91" s="20"/>
      <c r="X91" s="20"/>
      <c r="Y91" s="20"/>
      <c r="Z91" s="20"/>
      <c r="AA91" s="20"/>
      <c r="AB91" s="20"/>
      <c r="AC91" s="20"/>
      <c r="AD91" s="20"/>
      <c r="AE91" s="20"/>
      <c r="AF91" s="20"/>
      <c r="AG91" s="175"/>
    </row>
    <row r="92">
      <c r="A92" s="239" t="s">
        <v>678</v>
      </c>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175"/>
    </row>
    <row r="93">
      <c r="A93" s="240" t="s">
        <v>407</v>
      </c>
      <c r="B93" s="241"/>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1"/>
      <c r="AA93" s="241"/>
      <c r="AB93" s="241"/>
      <c r="AC93" s="241"/>
      <c r="AD93" s="241"/>
      <c r="AE93" s="241"/>
      <c r="AF93" s="241"/>
      <c r="AG93" s="175">
        <f>SUM(B93:AE93)</f>
        <v>0</v>
      </c>
    </row>
    <row r="94">
      <c r="A94" s="240" t="s">
        <v>428</v>
      </c>
      <c r="B94" s="241"/>
      <c r="C94" s="241"/>
      <c r="D94" s="241"/>
      <c r="E94" s="241"/>
      <c r="F94" s="241"/>
      <c r="G94" s="241"/>
      <c r="H94" s="241"/>
      <c r="I94" s="241"/>
      <c r="J94" s="241"/>
      <c r="K94" s="241"/>
      <c r="L94" s="241"/>
      <c r="M94" s="241"/>
      <c r="N94" s="241"/>
      <c r="O94" s="241"/>
      <c r="P94" s="241"/>
      <c r="Q94" s="241"/>
      <c r="R94" s="241"/>
      <c r="S94" s="241"/>
      <c r="T94" s="241"/>
      <c r="U94" s="241"/>
      <c r="V94" s="241"/>
      <c r="W94" s="241"/>
      <c r="X94" s="241"/>
      <c r="Y94" s="241"/>
      <c r="Z94" s="241"/>
      <c r="AA94" s="241"/>
      <c r="AB94" s="241"/>
      <c r="AC94" s="241"/>
      <c r="AD94" s="241"/>
      <c r="AE94" s="241"/>
      <c r="AF94" s="241"/>
      <c r="AG94" s="175"/>
    </row>
    <row r="95">
      <c r="A95" s="240" t="s">
        <v>437</v>
      </c>
      <c r="B95" s="241"/>
      <c r="C95" s="241"/>
      <c r="D95" s="241"/>
      <c r="E95" s="241"/>
      <c r="F95" s="241"/>
      <c r="G95" s="241"/>
      <c r="H95" s="241"/>
      <c r="I95" s="241"/>
      <c r="J95" s="241"/>
      <c r="K95" s="241"/>
      <c r="L95" s="241"/>
      <c r="M95" s="241"/>
      <c r="N95" s="241"/>
      <c r="O95" s="241"/>
      <c r="P95" s="241"/>
      <c r="Q95" s="241"/>
      <c r="R95" s="241"/>
      <c r="S95" s="241"/>
      <c r="T95" s="241"/>
      <c r="U95" s="241"/>
      <c r="V95" s="241"/>
      <c r="W95" s="241"/>
      <c r="X95" s="241"/>
      <c r="Y95" s="241"/>
      <c r="Z95" s="241"/>
      <c r="AA95" s="241"/>
      <c r="AB95" s="241"/>
      <c r="AC95" s="241"/>
      <c r="AD95" s="241"/>
      <c r="AE95" s="241"/>
      <c r="AF95" s="241"/>
      <c r="AG95" s="175"/>
    </row>
    <row r="96">
      <c r="A96" s="243" t="s">
        <v>444</v>
      </c>
      <c r="B96" s="241"/>
      <c r="C96" s="241"/>
      <c r="D96" s="241"/>
      <c r="E96" s="241"/>
      <c r="F96" s="241"/>
      <c r="G96" s="241"/>
      <c r="H96" s="241"/>
      <c r="I96" s="241"/>
      <c r="J96" s="241"/>
      <c r="K96" s="241"/>
      <c r="L96" s="241"/>
      <c r="M96" s="241"/>
      <c r="N96" s="241"/>
      <c r="O96" s="241"/>
      <c r="P96" s="241"/>
      <c r="Q96" s="241"/>
      <c r="R96" s="241"/>
      <c r="S96" s="241"/>
      <c r="T96" s="241"/>
      <c r="U96" s="241"/>
      <c r="V96" s="241"/>
      <c r="W96" s="241"/>
      <c r="X96" s="241"/>
      <c r="Y96" s="241"/>
      <c r="Z96" s="241"/>
      <c r="AA96" s="241"/>
      <c r="AB96" s="241"/>
      <c r="AC96" s="241"/>
      <c r="AD96" s="241"/>
      <c r="AE96" s="241"/>
      <c r="AF96" s="241"/>
      <c r="AG96" s="175"/>
    </row>
    <row r="97">
      <c r="A97" s="26"/>
      <c r="B97" s="217"/>
      <c r="C97" s="217"/>
      <c r="D97" s="217"/>
      <c r="E97" s="217"/>
      <c r="F97" s="217"/>
      <c r="G97" s="217"/>
      <c r="H97" s="217"/>
      <c r="I97" s="217"/>
      <c r="J97" s="217"/>
      <c r="K97" s="217"/>
      <c r="L97" s="217"/>
      <c r="M97" s="217"/>
      <c r="N97" s="217"/>
      <c r="O97" s="217"/>
      <c r="P97" s="217"/>
      <c r="Q97" s="217"/>
      <c r="R97" s="217"/>
      <c r="S97" s="217"/>
      <c r="T97" s="217"/>
      <c r="U97" s="217"/>
      <c r="V97" s="217"/>
      <c r="W97" s="217"/>
      <c r="X97" s="217"/>
      <c r="Y97" s="217"/>
      <c r="Z97" s="217"/>
      <c r="AA97" s="217"/>
      <c r="AB97" s="217"/>
      <c r="AC97" s="217"/>
      <c r="AD97" s="217"/>
      <c r="AE97" s="217"/>
      <c r="AF97" s="217"/>
      <c r="AG97" s="175"/>
    </row>
    <row r="98">
      <c r="A98" s="225" t="s">
        <v>694</v>
      </c>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175"/>
    </row>
    <row r="99">
      <c r="A99" s="245" t="s">
        <v>407</v>
      </c>
      <c r="B99" s="241"/>
      <c r="C99" s="241"/>
      <c r="D99" s="241"/>
      <c r="E99" s="241"/>
      <c r="F99" s="241"/>
      <c r="G99" s="241"/>
      <c r="H99" s="241"/>
      <c r="I99" s="241"/>
      <c r="J99" s="241"/>
      <c r="K99" s="241"/>
      <c r="L99" s="241"/>
      <c r="M99" s="241"/>
      <c r="N99" s="241"/>
      <c r="O99" s="241"/>
      <c r="P99" s="241"/>
      <c r="Q99" s="241"/>
      <c r="R99" s="241"/>
      <c r="S99" s="241"/>
      <c r="T99" s="241"/>
      <c r="U99" s="241"/>
      <c r="V99" s="241"/>
      <c r="W99" s="241"/>
      <c r="X99" s="241"/>
      <c r="Y99" s="241"/>
      <c r="Z99" s="241"/>
      <c r="AA99" s="241"/>
      <c r="AB99" s="241"/>
      <c r="AC99" s="241"/>
      <c r="AD99" s="241"/>
      <c r="AE99" s="241"/>
      <c r="AF99" s="241"/>
      <c r="AG99" s="175">
        <f>SUM(B99:AE99)</f>
        <v>0</v>
      </c>
    </row>
    <row r="100">
      <c r="A100" s="245" t="s">
        <v>428</v>
      </c>
      <c r="B100" s="246"/>
      <c r="C100" s="246"/>
      <c r="D100" s="246"/>
      <c r="E100" s="246"/>
      <c r="F100" s="246"/>
      <c r="G100" s="246"/>
      <c r="H100" s="246"/>
      <c r="I100" s="246"/>
      <c r="J100" s="246"/>
      <c r="K100" s="246"/>
      <c r="L100" s="246"/>
      <c r="M100" s="246"/>
      <c r="N100" s="246"/>
      <c r="O100" s="246"/>
      <c r="P100" s="246"/>
      <c r="Q100" s="246"/>
      <c r="R100" s="246"/>
      <c r="S100" s="246"/>
      <c r="T100" s="246"/>
      <c r="U100" s="246"/>
      <c r="V100" s="246"/>
      <c r="W100" s="246"/>
      <c r="X100" s="246"/>
      <c r="Y100" s="246"/>
      <c r="Z100" s="246"/>
      <c r="AA100" s="246"/>
      <c r="AB100" s="246"/>
      <c r="AC100" s="246"/>
      <c r="AD100" s="246"/>
      <c r="AE100" s="246"/>
      <c r="AF100" s="246"/>
      <c r="AG100" s="175"/>
    </row>
    <row r="101">
      <c r="A101" s="245" t="s">
        <v>437</v>
      </c>
      <c r="B101" s="248"/>
      <c r="C101" s="248"/>
      <c r="D101" s="248"/>
      <c r="E101" s="248"/>
      <c r="F101" s="248"/>
      <c r="G101" s="248"/>
      <c r="H101" s="248"/>
      <c r="I101" s="248"/>
      <c r="J101" s="248"/>
      <c r="K101" s="248"/>
      <c r="L101" s="248"/>
      <c r="M101" s="248"/>
      <c r="N101" s="248"/>
      <c r="O101" s="248"/>
      <c r="P101" s="248"/>
      <c r="Q101" s="248"/>
      <c r="R101" s="248"/>
      <c r="S101" s="248"/>
      <c r="T101" s="248"/>
      <c r="U101" s="248"/>
      <c r="V101" s="248"/>
      <c r="W101" s="248"/>
      <c r="X101" s="248"/>
      <c r="Y101" s="248"/>
      <c r="Z101" s="248"/>
      <c r="AA101" s="248"/>
      <c r="AB101" s="248"/>
      <c r="AC101" s="248"/>
      <c r="AD101" s="248"/>
      <c r="AE101" s="248"/>
      <c r="AF101" s="248"/>
      <c r="AG101" s="175"/>
    </row>
    <row r="102">
      <c r="A102" s="249" t="s">
        <v>444</v>
      </c>
      <c r="B102" s="246"/>
      <c r="C102" s="246"/>
      <c r="D102" s="246"/>
      <c r="E102" s="246"/>
      <c r="F102" s="246"/>
      <c r="G102" s="246"/>
      <c r="H102" s="246"/>
      <c r="I102" s="246"/>
      <c r="J102" s="246"/>
      <c r="K102" s="246"/>
      <c r="L102" s="246"/>
      <c r="M102" s="246"/>
      <c r="N102" s="246"/>
      <c r="O102" s="246"/>
      <c r="P102" s="246"/>
      <c r="Q102" s="246"/>
      <c r="R102" s="246"/>
      <c r="S102" s="246"/>
      <c r="T102" s="246"/>
      <c r="U102" s="246"/>
      <c r="V102" s="246"/>
      <c r="W102" s="246"/>
      <c r="X102" s="246"/>
      <c r="Y102" s="246"/>
      <c r="Z102" s="246"/>
      <c r="AA102" s="246"/>
      <c r="AB102" s="246"/>
      <c r="AC102" s="246"/>
      <c r="AD102" s="246"/>
      <c r="AE102" s="246"/>
      <c r="AF102" s="246"/>
      <c r="AG102" s="175"/>
    </row>
    <row r="103">
      <c r="A103" s="26"/>
      <c r="B103" s="250"/>
      <c r="C103" s="250"/>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50"/>
      <c r="Z103" s="250"/>
      <c r="AA103" s="250"/>
      <c r="AB103" s="250"/>
      <c r="AC103" s="250"/>
      <c r="AD103" s="250"/>
      <c r="AE103" s="250"/>
      <c r="AF103" s="250"/>
      <c r="AG103" s="175"/>
    </row>
    <row r="104">
      <c r="A104" s="253" t="s">
        <v>711</v>
      </c>
      <c r="B104" s="217"/>
      <c r="C104" s="217"/>
      <c r="D104" s="217"/>
      <c r="E104" s="217"/>
      <c r="F104" s="217"/>
      <c r="G104" s="217"/>
      <c r="H104" s="217"/>
      <c r="I104" s="217"/>
      <c r="J104" s="217"/>
      <c r="K104" s="217"/>
      <c r="L104" s="217"/>
      <c r="M104" s="217"/>
      <c r="N104" s="217"/>
      <c r="O104" s="217"/>
      <c r="P104" s="217"/>
      <c r="Q104" s="217"/>
      <c r="R104" s="217"/>
      <c r="S104" s="217"/>
      <c r="T104" s="217"/>
      <c r="U104" s="217"/>
      <c r="V104" s="217"/>
      <c r="W104" s="217"/>
      <c r="X104" s="217"/>
      <c r="Y104" s="217"/>
      <c r="Z104" s="217"/>
      <c r="AA104" s="217"/>
      <c r="AB104" s="217"/>
      <c r="AC104" s="217"/>
      <c r="AD104" s="217"/>
      <c r="AE104" s="217"/>
      <c r="AF104" s="217"/>
      <c r="AG104" s="175"/>
    </row>
    <row r="105">
      <c r="A105" s="186" t="s">
        <v>407</v>
      </c>
      <c r="B105" s="241"/>
      <c r="C105" s="241"/>
      <c r="D105" s="241"/>
      <c r="E105" s="241"/>
      <c r="F105" s="241"/>
      <c r="G105" s="241"/>
      <c r="H105" s="241"/>
      <c r="I105" s="241"/>
      <c r="J105" s="241"/>
      <c r="K105" s="241"/>
      <c r="L105" s="241"/>
      <c r="M105" s="241"/>
      <c r="N105" s="241"/>
      <c r="O105" s="241"/>
      <c r="P105" s="241"/>
      <c r="Q105" s="241"/>
      <c r="R105" s="241"/>
      <c r="S105" s="241"/>
      <c r="T105" s="241"/>
      <c r="U105" s="241"/>
      <c r="V105" s="241"/>
      <c r="W105" s="241"/>
      <c r="X105" s="241"/>
      <c r="Y105" s="241"/>
      <c r="Z105" s="241"/>
      <c r="AA105" s="241"/>
      <c r="AB105" s="241"/>
      <c r="AC105" s="241"/>
      <c r="AD105" s="241"/>
      <c r="AE105" s="241"/>
      <c r="AF105" s="241"/>
      <c r="AG105" s="175">
        <f>SUM(B105:AE105)</f>
        <v>0</v>
      </c>
    </row>
    <row r="106">
      <c r="A106" s="186" t="s">
        <v>428</v>
      </c>
      <c r="B106" s="246"/>
      <c r="C106" s="246"/>
      <c r="D106" s="246"/>
      <c r="E106" s="246"/>
      <c r="F106" s="246"/>
      <c r="G106" s="246"/>
      <c r="H106" s="246"/>
      <c r="I106" s="246"/>
      <c r="J106" s="246"/>
      <c r="K106" s="246"/>
      <c r="L106" s="246"/>
      <c r="M106" s="246"/>
      <c r="N106" s="246"/>
      <c r="O106" s="246"/>
      <c r="P106" s="246"/>
      <c r="Q106" s="246"/>
      <c r="R106" s="246"/>
      <c r="S106" s="246"/>
      <c r="T106" s="246"/>
      <c r="U106" s="246"/>
      <c r="V106" s="246"/>
      <c r="W106" s="246"/>
      <c r="X106" s="246"/>
      <c r="Y106" s="246"/>
      <c r="Z106" s="246"/>
      <c r="AA106" s="246"/>
      <c r="AB106" s="246"/>
      <c r="AC106" s="246"/>
      <c r="AD106" s="246"/>
      <c r="AE106" s="246"/>
      <c r="AF106" s="246"/>
      <c r="AG106" s="175"/>
    </row>
    <row r="107">
      <c r="A107" s="186" t="s">
        <v>437</v>
      </c>
      <c r="B107" s="248"/>
      <c r="C107" s="248"/>
      <c r="D107" s="248"/>
      <c r="E107" s="248"/>
      <c r="F107" s="248"/>
      <c r="G107" s="248"/>
      <c r="H107" s="248"/>
      <c r="I107" s="248"/>
      <c r="J107" s="248"/>
      <c r="K107" s="248"/>
      <c r="L107" s="248"/>
      <c r="M107" s="248"/>
      <c r="N107" s="248"/>
      <c r="O107" s="248"/>
      <c r="P107" s="248"/>
      <c r="Q107" s="248"/>
      <c r="R107" s="248"/>
      <c r="S107" s="248"/>
      <c r="T107" s="248"/>
      <c r="U107" s="248"/>
      <c r="V107" s="248"/>
      <c r="W107" s="248"/>
      <c r="X107" s="248"/>
      <c r="Y107" s="248"/>
      <c r="Z107" s="248"/>
      <c r="AA107" s="248"/>
      <c r="AB107" s="248"/>
      <c r="AC107" s="248"/>
      <c r="AD107" s="248"/>
      <c r="AE107" s="248"/>
      <c r="AF107" s="248"/>
      <c r="AG107" s="175"/>
    </row>
    <row r="108">
      <c r="A108" s="192" t="s">
        <v>444</v>
      </c>
      <c r="B108" s="246"/>
      <c r="C108" s="246"/>
      <c r="D108" s="246"/>
      <c r="E108" s="246"/>
      <c r="F108" s="246"/>
      <c r="G108" s="246"/>
      <c r="H108" s="246"/>
      <c r="I108" s="246"/>
      <c r="J108" s="246"/>
      <c r="K108" s="246"/>
      <c r="L108" s="246"/>
      <c r="M108" s="246"/>
      <c r="N108" s="246"/>
      <c r="O108" s="246"/>
      <c r="P108" s="246"/>
      <c r="Q108" s="246"/>
      <c r="R108" s="246"/>
      <c r="S108" s="246"/>
      <c r="T108" s="246"/>
      <c r="U108" s="246"/>
      <c r="V108" s="246"/>
      <c r="W108" s="246"/>
      <c r="X108" s="246"/>
      <c r="Y108" s="246"/>
      <c r="Z108" s="246"/>
      <c r="AA108" s="246"/>
      <c r="AB108" s="246"/>
      <c r="AC108" s="246"/>
      <c r="AD108" s="246"/>
      <c r="AE108" s="246"/>
      <c r="AF108" s="246"/>
      <c r="AG108" s="175"/>
    </row>
    <row r="109">
      <c r="A109" s="255"/>
      <c r="B109" s="217"/>
      <c r="C109" s="217"/>
      <c r="D109" s="217"/>
      <c r="E109" s="217"/>
      <c r="F109" s="217"/>
      <c r="G109" s="217"/>
      <c r="H109" s="217"/>
      <c r="I109" s="217"/>
      <c r="J109" s="217"/>
      <c r="K109" s="217"/>
      <c r="L109" s="217"/>
      <c r="M109" s="217"/>
      <c r="N109" s="217"/>
      <c r="O109" s="217"/>
      <c r="P109" s="217"/>
      <c r="Q109" s="217"/>
      <c r="R109" s="217"/>
      <c r="S109" s="217"/>
      <c r="T109" s="217"/>
      <c r="U109" s="217"/>
      <c r="V109" s="217"/>
      <c r="W109" s="217"/>
      <c r="X109" s="217"/>
      <c r="Y109" s="217"/>
      <c r="Z109" s="217"/>
      <c r="AA109" s="217"/>
      <c r="AB109" s="217"/>
      <c r="AC109" s="217"/>
      <c r="AD109" s="217"/>
      <c r="AE109" s="217"/>
      <c r="AF109" s="217"/>
      <c r="AG109" s="175"/>
    </row>
    <row r="110">
      <c r="A110" s="255"/>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7"/>
      <c r="X110" s="217"/>
      <c r="Y110" s="217"/>
      <c r="Z110" s="217"/>
      <c r="AA110" s="217"/>
      <c r="AB110" s="217"/>
      <c r="AC110" s="217"/>
      <c r="AD110" s="217"/>
      <c r="AE110" s="217"/>
      <c r="AF110" s="217"/>
      <c r="AG110" s="175"/>
    </row>
    <row r="111">
      <c r="A111" s="256" t="s">
        <v>725</v>
      </c>
      <c r="B111" s="217"/>
      <c r="C111" s="217"/>
      <c r="D111" s="217"/>
      <c r="E111" s="217"/>
      <c r="F111" s="217"/>
      <c r="G111" s="217"/>
      <c r="H111" s="217"/>
      <c r="I111" s="217"/>
      <c r="J111" s="217"/>
      <c r="K111" s="217"/>
      <c r="L111" s="217"/>
      <c r="M111" s="217"/>
      <c r="N111" s="217"/>
      <c r="O111" s="217"/>
      <c r="P111" s="217"/>
      <c r="Q111" s="217"/>
      <c r="R111" s="217"/>
      <c r="S111" s="217"/>
      <c r="T111" s="217"/>
      <c r="U111" s="217"/>
      <c r="V111" s="217"/>
      <c r="W111" s="217"/>
      <c r="X111" s="217"/>
      <c r="Y111" s="217"/>
      <c r="Z111" s="217"/>
      <c r="AA111" s="217"/>
      <c r="AB111" s="217"/>
      <c r="AC111" s="217"/>
      <c r="AD111" s="217"/>
      <c r="AE111" s="217"/>
      <c r="AF111" s="217"/>
      <c r="AG111" s="175"/>
    </row>
    <row r="112">
      <c r="A112" s="183" t="s">
        <v>407</v>
      </c>
      <c r="B112" s="140">
        <f>B25-(B13*Formulas!$H32)</f>
        <v>358.1048893</v>
      </c>
      <c r="C112" s="140">
        <f>C25-(C13*Formulas!$H32)</f>
        <v>-335.7148673</v>
      </c>
      <c r="D112" s="140">
        <f>D25-(D13*Formulas!$H32)</f>
        <v>-388.4653761</v>
      </c>
      <c r="E112" s="140">
        <f>E25-(E13*Formulas!$H32)</f>
        <v>-225.171748</v>
      </c>
      <c r="F112" s="140">
        <f>F25-(F13*Formulas!$H32)</f>
        <v>604.1369468</v>
      </c>
      <c r="G112" s="140">
        <f>G25-(G13*Formulas!$H32)</f>
        <v>-455.1897345</v>
      </c>
      <c r="H112" s="140">
        <f>H25-(H13*Formulas!$H32)</f>
        <v>319.6464159</v>
      </c>
      <c r="I112" s="140">
        <f>I25-(I13*Formulas!$H32)</f>
        <v>-72.21845137</v>
      </c>
      <c r="J112" s="140">
        <f>J25-(J13*Formulas!$H32)</f>
        <v>288.5720575</v>
      </c>
      <c r="K112" s="140">
        <f>K25-(K13*Formulas!$H32)</f>
        <v>-1213.22531</v>
      </c>
      <c r="L112" s="140">
        <f>L25-(L13*Formulas!$H32)</f>
        <v>1093.92823</v>
      </c>
      <c r="M112" s="140">
        <f>M25-(M13*Formulas!$H32)</f>
        <v>339.4538495</v>
      </c>
      <c r="N112" s="140">
        <f>N25-(N13*Formulas!$H32)</f>
        <v>630.7476991</v>
      </c>
      <c r="O112" s="140">
        <f>O25-(O13*Formulas!$H32)</f>
        <v>-41.07615046</v>
      </c>
      <c r="P112" s="140">
        <f>P25-(P13*Formulas!$H32)</f>
        <v>1996.712057</v>
      </c>
      <c r="Q112" s="140">
        <f>Q25-(Q13*Formulas!$H32)</f>
        <v>1190.895133</v>
      </c>
      <c r="R112" s="140">
        <f>R25-(R13*Formulas!$H32)</f>
        <v>1555.832057</v>
      </c>
      <c r="S112" s="140">
        <f>S25-(S13*Formulas!$H32)</f>
        <v>173.3794911</v>
      </c>
      <c r="T112" s="140">
        <f>T25-(T13*Formulas!$H32)</f>
        <v>187.2694911</v>
      </c>
      <c r="U112" s="140">
        <f>U25-(U13*Formulas!$H32)</f>
        <v>301.0025664</v>
      </c>
      <c r="V112" s="140">
        <f>V25-(V13*Formulas!$H32)</f>
        <v>208.9069248</v>
      </c>
      <c r="W112" s="140">
        <f>W25-(W13*Formulas!$H32)</f>
        <v>135.7720575</v>
      </c>
      <c r="X112" s="140">
        <f>X25-(X13*Formulas!$H32)</f>
        <v>197.3638495</v>
      </c>
      <c r="Y112" s="140">
        <f>Y25-(Y13*Formulas!$H32)</f>
        <v>30.80077432</v>
      </c>
      <c r="Z112" s="140">
        <f>Z25-(Z13*Formulas!$H32)</f>
        <v>381.838208</v>
      </c>
      <c r="AA112" s="140">
        <f>AA25-(AA13*Formulas!$H32)</f>
        <v>420.9494911</v>
      </c>
      <c r="AB112" s="140">
        <f>AB25-(AB13*Formulas!$H32)</f>
        <v>764.0164159</v>
      </c>
      <c r="AC112" s="140">
        <f>AC25-(AC13*Formulas!$H32)</f>
        <v>593.4538495</v>
      </c>
      <c r="AD112" s="140">
        <f>AD25-(AD13*Formulas!$H32)</f>
        <v>519.5394911</v>
      </c>
      <c r="AE112" s="140">
        <f>AE25-(AE13*Formulas!$H32)</f>
        <v>142.348208</v>
      </c>
      <c r="AF112" s="140">
        <f>AF25-(AF13*Formulas!$H32)</f>
        <v>703.6694911</v>
      </c>
      <c r="AG112" s="175">
        <f>SUM(B112:AF112)</f>
        <v>10407.27801</v>
      </c>
    </row>
    <row r="113">
      <c r="A113" s="183" t="s">
        <v>428</v>
      </c>
      <c r="B113" s="246"/>
      <c r="C113" s="246"/>
      <c r="D113" s="246"/>
      <c r="E113" s="246"/>
      <c r="F113" s="246"/>
      <c r="G113" s="246"/>
      <c r="H113" s="246"/>
      <c r="I113" s="246"/>
      <c r="J113" s="246"/>
      <c r="K113" s="246"/>
      <c r="L113" s="246"/>
      <c r="M113" s="246"/>
      <c r="N113" s="246"/>
      <c r="O113" s="246"/>
      <c r="P113" s="246"/>
      <c r="Q113" s="246"/>
      <c r="R113" s="246"/>
      <c r="S113" s="246"/>
      <c r="T113" s="246"/>
      <c r="U113" s="246"/>
      <c r="V113" s="246"/>
      <c r="W113" s="246"/>
      <c r="X113" s="246"/>
      <c r="Y113" s="246"/>
      <c r="Z113" s="246"/>
      <c r="AA113" s="246"/>
      <c r="AB113" s="246"/>
      <c r="AC113" s="246"/>
      <c r="AD113" s="246"/>
      <c r="AE113" s="246"/>
      <c r="AF113" s="246"/>
      <c r="AG113" s="175"/>
    </row>
    <row r="114">
      <c r="A114" s="183" t="s">
        <v>437</v>
      </c>
      <c r="B114" s="248"/>
      <c r="C114" s="248"/>
      <c r="D114" s="248"/>
      <c r="E114" s="248"/>
      <c r="F114" s="248"/>
      <c r="G114" s="248"/>
      <c r="H114" s="248"/>
      <c r="I114" s="248"/>
      <c r="J114" s="248"/>
      <c r="K114" s="248"/>
      <c r="L114" s="248"/>
      <c r="M114" s="248"/>
      <c r="N114" s="248"/>
      <c r="O114" s="248"/>
      <c r="P114" s="248"/>
      <c r="Q114" s="248"/>
      <c r="R114" s="248"/>
      <c r="S114" s="248"/>
      <c r="T114" s="248"/>
      <c r="U114" s="248"/>
      <c r="V114" s="248"/>
      <c r="W114" s="248"/>
      <c r="X114" s="248"/>
      <c r="Y114" s="248"/>
      <c r="Z114" s="248"/>
      <c r="AA114" s="248"/>
      <c r="AB114" s="248"/>
      <c r="AC114" s="248"/>
      <c r="AD114" s="248"/>
      <c r="AE114" s="248"/>
      <c r="AF114" s="248"/>
      <c r="AG114" s="175"/>
    </row>
    <row r="115">
      <c r="A115" s="262" t="s">
        <v>444</v>
      </c>
      <c r="B115" s="140">
        <f>B25/(Formulas!$H32*B13)</f>
        <v>1.083331463</v>
      </c>
      <c r="C115" s="140">
        <f>C25/(Formulas!$H32*C13)</f>
        <v>0.6972800532</v>
      </c>
      <c r="D115" s="140">
        <f>D25/(Formulas!$H32*D13)</f>
        <v>0.8131808</v>
      </c>
      <c r="E115" s="140">
        <f>E25/(Formulas!$H32*E13)</f>
        <v>0.9804297552</v>
      </c>
      <c r="F115" s="140">
        <f>F25/(Formulas!$H32*F13)</f>
        <v>1.103763965</v>
      </c>
      <c r="G115" s="140">
        <f>G25/(Formulas!$H32*G13)</f>
        <v>0.7947737415</v>
      </c>
      <c r="H115" s="140">
        <f>H25/(Formulas!$H32*H13)</f>
        <v>1.230584595</v>
      </c>
      <c r="I115" s="140">
        <f>I25/(Formulas!$H32*I13)</f>
        <v>0.971057495</v>
      </c>
      <c r="J115" s="140">
        <f>J25/(Formulas!$H32*J13)</f>
        <v>1.189243966</v>
      </c>
      <c r="K115" s="140">
        <f>K25/(Formulas!$H32*K13)</f>
        <v>0.9336977935</v>
      </c>
      <c r="L115" s="140">
        <f>L25/(Formulas!$H32*L13)</f>
        <v>1.179348027</v>
      </c>
      <c r="M115" s="140">
        <f>M25/(Formulas!$H32*M13)</f>
        <v>1.408121936</v>
      </c>
      <c r="N115" s="140">
        <f>N25/(Formulas!$H32*N13)</f>
        <v>1.379170796</v>
      </c>
      <c r="O115" s="140">
        <f>O25/(Formulas!$H32*O13)</f>
        <v>0.950614559</v>
      </c>
      <c r="P115" s="140">
        <f>P25/(Formulas!$H32*P13)</f>
        <v>2.309432772</v>
      </c>
      <c r="Q115" s="140">
        <f>Q25/(Formulas!$H32*Q13)</f>
        <v>2.073850897</v>
      </c>
      <c r="R115" s="140">
        <f>R25/(Formulas!$H32*R13)</f>
        <v>2.020306096</v>
      </c>
      <c r="S115" s="140">
        <f>S25/(Formulas!$H32*S13)</f>
        <v>1.178673496</v>
      </c>
      <c r="T115" s="140">
        <f>T25/(Formulas!$H32*T13)</f>
        <v>1.192987616</v>
      </c>
      <c r="U115" s="140">
        <f>U25/(Formulas!$H32*U13)</f>
        <v>1.54283852</v>
      </c>
      <c r="V115" s="140">
        <f>V25/(Formulas!$H32*V13)</f>
        <v>1.502333373</v>
      </c>
      <c r="W115" s="140">
        <f>W25/(Formulas!$H32*W13)</f>
        <v>1.089038568</v>
      </c>
      <c r="X115" s="140">
        <f>X25/(Formulas!$H32*X13)</f>
        <v>1.237288564</v>
      </c>
      <c r="Y115" s="140">
        <f>Y25/(Formulas!$H32*Y13)</f>
        <v>1.02468764</v>
      </c>
      <c r="Z115" s="140">
        <f>Z25/(Formulas!$H32*Z13)</f>
        <v>1.550896267</v>
      </c>
      <c r="AA115" s="140">
        <f>AA25/(Formulas!$H32*AA13)</f>
        <v>1.433802849</v>
      </c>
      <c r="AB115" s="140">
        <f>AB25/(Formulas!$H32*AB13)</f>
        <v>1.551141534</v>
      </c>
      <c r="AC115" s="140">
        <f>AC25/(Formulas!$H32*AC13)</f>
        <v>1.713503572</v>
      </c>
      <c r="AD115" s="140">
        <f>AD25/(Formulas!$H32*AD13)</f>
        <v>1.535403216</v>
      </c>
      <c r="AE115" s="140">
        <f>AE25/(Formulas!$H32*AE13)</f>
        <v>1.205372576</v>
      </c>
      <c r="AF115" s="140">
        <f>AF25/(Formulas!$H32*AF13)</f>
        <v>1.725155479</v>
      </c>
      <c r="AG115" s="175"/>
    </row>
    <row r="116">
      <c r="A116" s="255"/>
      <c r="B116" s="217"/>
      <c r="C116" s="217"/>
      <c r="D116" s="217"/>
      <c r="E116" s="217"/>
      <c r="F116" s="217"/>
      <c r="G116" s="217"/>
      <c r="H116" s="217"/>
      <c r="I116" s="217"/>
      <c r="J116" s="217"/>
      <c r="K116" s="217"/>
      <c r="L116" s="217"/>
      <c r="M116" s="217"/>
      <c r="N116" s="217"/>
      <c r="O116" s="217"/>
      <c r="P116" s="217"/>
      <c r="Q116" s="217"/>
      <c r="R116" s="217"/>
      <c r="S116" s="217"/>
      <c r="T116" s="217"/>
      <c r="U116" s="217"/>
      <c r="V116" s="217"/>
      <c r="W116" s="217"/>
      <c r="X116" s="217"/>
      <c r="Y116" s="217"/>
      <c r="Z116" s="217"/>
      <c r="AA116" s="217"/>
      <c r="AB116" s="217"/>
      <c r="AC116" s="217"/>
      <c r="AD116" s="217"/>
      <c r="AE116" s="217"/>
      <c r="AF116" s="217"/>
      <c r="AG116" s="167"/>
    </row>
    <row r="117">
      <c r="A117" s="272" t="s">
        <v>769</v>
      </c>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c r="AA117" s="171"/>
      <c r="AB117" s="171"/>
      <c r="AC117" s="171"/>
      <c r="AD117" s="171"/>
      <c r="AE117" s="171"/>
      <c r="AF117" s="171"/>
      <c r="AG117" s="172"/>
    </row>
    <row r="118">
      <c r="A118" s="26"/>
      <c r="B118" s="273"/>
      <c r="C118" s="273"/>
      <c r="D118" s="273"/>
      <c r="E118" s="273"/>
      <c r="F118" s="273"/>
      <c r="G118" s="273"/>
      <c r="H118" s="273"/>
      <c r="I118" s="273"/>
      <c r="J118" s="273"/>
      <c r="K118" s="273"/>
      <c r="L118" s="273"/>
      <c r="M118" s="273"/>
      <c r="N118" s="273"/>
      <c r="O118" s="273"/>
      <c r="P118" s="273"/>
      <c r="Q118" s="273"/>
      <c r="R118" s="273"/>
      <c r="S118" s="273"/>
      <c r="T118" s="273"/>
      <c r="U118" s="273"/>
      <c r="V118" s="273"/>
      <c r="W118" s="273"/>
      <c r="X118" s="273"/>
      <c r="Y118" s="273"/>
      <c r="Z118" s="273"/>
      <c r="AA118" s="273"/>
      <c r="AB118" s="273"/>
      <c r="AC118" s="273"/>
      <c r="AD118" s="273"/>
      <c r="AE118" s="273"/>
      <c r="AF118" s="273"/>
      <c r="AG118" s="10"/>
    </row>
    <row r="119">
      <c r="A119" s="274" t="s">
        <v>131</v>
      </c>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10"/>
    </row>
    <row r="120">
      <c r="A120" s="276" t="s">
        <v>777</v>
      </c>
      <c r="B120" s="140">
        <f>Sales!B9</f>
        <v>34095.88</v>
      </c>
      <c r="C120" s="140">
        <f>Sales!C9</f>
        <v>31641.32</v>
      </c>
      <c r="D120" s="140">
        <f>Sales!D9</f>
        <v>21298.63</v>
      </c>
      <c r="E120" s="140">
        <f>Sales!E9</f>
        <v>88938.99</v>
      </c>
      <c r="F120" s="140">
        <f>Sales!F9</f>
        <v>77859.14</v>
      </c>
      <c r="G120" s="140">
        <f>Sales!G9</f>
        <v>71302.37</v>
      </c>
      <c r="H120" s="140">
        <f>Sales!H9</f>
        <v>67401.38</v>
      </c>
      <c r="I120" s="140">
        <f>Sales!I9</f>
        <v>45352.29</v>
      </c>
      <c r="J120" s="140">
        <f>Sales!J9</f>
        <v>42090.23</v>
      </c>
      <c r="K120" s="140">
        <f>Sales!K9</f>
        <v>54110.75</v>
      </c>
      <c r="L120" s="140">
        <f>Sales!L9</f>
        <v>37408.2</v>
      </c>
      <c r="M120" s="140">
        <f>Sales!M9</f>
        <v>26654.04</v>
      </c>
      <c r="N120" s="140">
        <f>Sales!N9</f>
        <v>35680.11</v>
      </c>
      <c r="O120" s="140">
        <f>Sales!O9</f>
        <v>32029.59</v>
      </c>
      <c r="P120" s="140">
        <f>Sales!P9</f>
        <v>41439.96</v>
      </c>
      <c r="Q120" s="140">
        <f>Sales!Q9</f>
        <v>33693.94</v>
      </c>
      <c r="R120" s="140">
        <f>Sales!R9</f>
        <v>34955.95</v>
      </c>
      <c r="S120" s="140">
        <f>Sales!S9</f>
        <v>28882.73</v>
      </c>
      <c r="T120" s="140">
        <f>Sales!T9</f>
        <v>34351.04</v>
      </c>
      <c r="U120" s="140">
        <f>Sales!U9</f>
        <v>35450.41</v>
      </c>
      <c r="V120" s="140">
        <f>Sales!V9</f>
        <v>41523.18</v>
      </c>
      <c r="W120" s="140">
        <f>Sales!W9</f>
        <v>36775.13</v>
      </c>
      <c r="X120" s="140">
        <f>Sales!X9</f>
        <v>33385.99</v>
      </c>
      <c r="Y120" s="140">
        <f>Sales!Y9</f>
        <v>38224.82</v>
      </c>
      <c r="Z120" s="140">
        <f>Sales!Z9</f>
        <v>37011.21</v>
      </c>
      <c r="AA120" s="140">
        <f>Sales!AA9</f>
        <v>29926.52</v>
      </c>
      <c r="AB120" s="140">
        <f>Sales!AB9</f>
        <v>39472.04</v>
      </c>
      <c r="AC120" s="140">
        <f>Sales!AC9</f>
        <v>39334.25</v>
      </c>
      <c r="AD120" s="140">
        <f>Sales!AD9</f>
        <v>41568.81</v>
      </c>
      <c r="AE120" s="140">
        <f>Sales!AE9</f>
        <v>38837.36</v>
      </c>
      <c r="AF120" s="140">
        <f>Sales!AF9</f>
        <v>39688.03</v>
      </c>
      <c r="AG120" s="77"/>
    </row>
    <row r="121">
      <c r="A121" s="276" t="s">
        <v>788</v>
      </c>
      <c r="B121" s="278">
        <f t="shared" ref="B121:AF121" si="24">SUM(B120)</f>
        <v>34095.88</v>
      </c>
      <c r="C121" s="278">
        <f t="shared" si="24"/>
        <v>31641.32</v>
      </c>
      <c r="D121" s="278">
        <f t="shared" si="24"/>
        <v>21298.63</v>
      </c>
      <c r="E121" s="278">
        <f t="shared" si="24"/>
        <v>88938.99</v>
      </c>
      <c r="F121" s="278">
        <f t="shared" si="24"/>
        <v>77859.14</v>
      </c>
      <c r="G121" s="278">
        <f t="shared" si="24"/>
        <v>71302.37</v>
      </c>
      <c r="H121" s="278">
        <f t="shared" si="24"/>
        <v>67401.38</v>
      </c>
      <c r="I121" s="278">
        <f t="shared" si="24"/>
        <v>45352.29</v>
      </c>
      <c r="J121" s="278">
        <f t="shared" si="24"/>
        <v>42090.23</v>
      </c>
      <c r="K121" s="278">
        <f t="shared" si="24"/>
        <v>54110.75</v>
      </c>
      <c r="L121" s="278">
        <f t="shared" si="24"/>
        <v>37408.2</v>
      </c>
      <c r="M121" s="278">
        <f t="shared" si="24"/>
        <v>26654.04</v>
      </c>
      <c r="N121" s="278">
        <f t="shared" si="24"/>
        <v>35680.11</v>
      </c>
      <c r="O121" s="278">
        <f t="shared" si="24"/>
        <v>32029.59</v>
      </c>
      <c r="P121" s="278">
        <f t="shared" si="24"/>
        <v>41439.96</v>
      </c>
      <c r="Q121" s="278">
        <f t="shared" si="24"/>
        <v>33693.94</v>
      </c>
      <c r="R121" s="278">
        <f t="shared" si="24"/>
        <v>34955.95</v>
      </c>
      <c r="S121" s="278">
        <f t="shared" si="24"/>
        <v>28882.73</v>
      </c>
      <c r="T121" s="278">
        <f t="shared" si="24"/>
        <v>34351.04</v>
      </c>
      <c r="U121" s="278">
        <f t="shared" si="24"/>
        <v>35450.41</v>
      </c>
      <c r="V121" s="278">
        <f t="shared" si="24"/>
        <v>41523.18</v>
      </c>
      <c r="W121" s="278">
        <f t="shared" si="24"/>
        <v>36775.13</v>
      </c>
      <c r="X121" s="278">
        <f t="shared" si="24"/>
        <v>33385.99</v>
      </c>
      <c r="Y121" s="278">
        <f t="shared" si="24"/>
        <v>38224.82</v>
      </c>
      <c r="Z121" s="278">
        <f t="shared" si="24"/>
        <v>37011.21</v>
      </c>
      <c r="AA121" s="278">
        <f t="shared" si="24"/>
        <v>29926.52</v>
      </c>
      <c r="AB121" s="278">
        <f t="shared" si="24"/>
        <v>39472.04</v>
      </c>
      <c r="AC121" s="278">
        <f t="shared" si="24"/>
        <v>39334.25</v>
      </c>
      <c r="AD121" s="278">
        <f t="shared" si="24"/>
        <v>41568.81</v>
      </c>
      <c r="AE121" s="278">
        <f t="shared" si="24"/>
        <v>38837.36</v>
      </c>
      <c r="AF121" s="278">
        <f t="shared" si="24"/>
        <v>39688.03</v>
      </c>
      <c r="AG121" s="175">
        <f>SUM(B121:AF121)</f>
        <v>1290384.29</v>
      </c>
    </row>
    <row r="122">
      <c r="A122" s="26"/>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82"/>
    </row>
    <row r="123">
      <c r="A123" s="274" t="s">
        <v>87</v>
      </c>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82"/>
    </row>
    <row r="124">
      <c r="A124" s="284" t="s">
        <v>796</v>
      </c>
      <c r="B124" s="285">
        <f>Sales!B11</f>
        <v>184</v>
      </c>
      <c r="C124" s="287">
        <f>Sales!C11</f>
        <v>174</v>
      </c>
      <c r="D124" s="287">
        <f>Sales!D11</f>
        <v>136</v>
      </c>
      <c r="E124" s="287">
        <f>Sales!E11</f>
        <v>372</v>
      </c>
      <c r="F124" s="287">
        <f>Sales!F11</f>
        <v>314</v>
      </c>
      <c r="G124" s="287">
        <f>Sales!G11</f>
        <v>283</v>
      </c>
      <c r="H124" s="287">
        <f>Sales!H11</f>
        <v>262</v>
      </c>
      <c r="I124" s="287">
        <f>Sales!I11</f>
        <v>212</v>
      </c>
      <c r="J124" s="287">
        <f>Sales!J11</f>
        <v>178</v>
      </c>
      <c r="K124" s="287">
        <f>Sales!K11</f>
        <v>289</v>
      </c>
      <c r="L124" s="287">
        <f>Sales!L11</f>
        <v>171</v>
      </c>
      <c r="M124" s="287">
        <f>Sales!M11</f>
        <v>113</v>
      </c>
      <c r="N124" s="287">
        <f>Sales!N11</f>
        <v>144</v>
      </c>
      <c r="O124" s="287">
        <f>Sales!O11</f>
        <v>136</v>
      </c>
      <c r="P124" s="287">
        <f>Sales!P11</f>
        <v>176</v>
      </c>
      <c r="Q124" s="287">
        <f>Sales!Q11</f>
        <v>146</v>
      </c>
      <c r="R124" s="287">
        <f>Sales!R11</f>
        <v>184</v>
      </c>
      <c r="S124" s="287">
        <f>Sales!S11</f>
        <v>119</v>
      </c>
      <c r="T124" s="287">
        <f>Sales!T11</f>
        <v>138</v>
      </c>
      <c r="U124" s="287">
        <f>Sales!U11</f>
        <v>133</v>
      </c>
      <c r="V124" s="287">
        <f>Sales!V11</f>
        <v>158</v>
      </c>
      <c r="W124" s="287">
        <f>Sales!W11</f>
        <v>157</v>
      </c>
      <c r="X124" s="287">
        <f>Sales!X11</f>
        <v>127</v>
      </c>
      <c r="Y124" s="287">
        <f>Sales!Y11</f>
        <v>152</v>
      </c>
      <c r="Z124" s="287">
        <f>Sales!Z11</f>
        <v>141</v>
      </c>
      <c r="AA124" s="289">
        <f>Sales!AA11</f>
        <v>112</v>
      </c>
      <c r="AB124" s="287">
        <f>Sales!AB11</f>
        <v>145</v>
      </c>
      <c r="AC124" s="287">
        <f>Sales!AC11</f>
        <v>156</v>
      </c>
      <c r="AD124" s="287">
        <f>Sales!AD11</f>
        <v>164</v>
      </c>
      <c r="AE124" s="287">
        <f>Sales!AE11</f>
        <v>135</v>
      </c>
      <c r="AF124" s="287">
        <f>Sales!AF11</f>
        <v>140</v>
      </c>
      <c r="AG124" s="290"/>
    </row>
    <row r="125">
      <c r="A125" s="284" t="s">
        <v>808</v>
      </c>
      <c r="B125" s="291">
        <f t="shared" ref="B125:AF125" si="25">SUM(B124)</f>
        <v>184</v>
      </c>
      <c r="C125" s="292">
        <f t="shared" si="25"/>
        <v>174</v>
      </c>
      <c r="D125" s="292">
        <f t="shared" si="25"/>
        <v>136</v>
      </c>
      <c r="E125" s="292">
        <f t="shared" si="25"/>
        <v>372</v>
      </c>
      <c r="F125" s="292">
        <f t="shared" si="25"/>
        <v>314</v>
      </c>
      <c r="G125" s="292">
        <f t="shared" si="25"/>
        <v>283</v>
      </c>
      <c r="H125" s="292">
        <f t="shared" si="25"/>
        <v>262</v>
      </c>
      <c r="I125" s="292">
        <f t="shared" si="25"/>
        <v>212</v>
      </c>
      <c r="J125" s="292">
        <f t="shared" si="25"/>
        <v>178</v>
      </c>
      <c r="K125" s="292">
        <f t="shared" si="25"/>
        <v>289</v>
      </c>
      <c r="L125" s="292">
        <f t="shared" si="25"/>
        <v>171</v>
      </c>
      <c r="M125" s="292">
        <f t="shared" si="25"/>
        <v>113</v>
      </c>
      <c r="N125" s="292">
        <f t="shared" si="25"/>
        <v>144</v>
      </c>
      <c r="O125" s="292">
        <f t="shared" si="25"/>
        <v>136</v>
      </c>
      <c r="P125" s="292">
        <f t="shared" si="25"/>
        <v>176</v>
      </c>
      <c r="Q125" s="292">
        <f t="shared" si="25"/>
        <v>146</v>
      </c>
      <c r="R125" s="292">
        <f t="shared" si="25"/>
        <v>184</v>
      </c>
      <c r="S125" s="292">
        <f t="shared" si="25"/>
        <v>119</v>
      </c>
      <c r="T125" s="292">
        <f t="shared" si="25"/>
        <v>138</v>
      </c>
      <c r="U125" s="292">
        <f t="shared" si="25"/>
        <v>133</v>
      </c>
      <c r="V125" s="292">
        <f t="shared" si="25"/>
        <v>158</v>
      </c>
      <c r="W125" s="292">
        <f t="shared" si="25"/>
        <v>157</v>
      </c>
      <c r="X125" s="292">
        <f t="shared" si="25"/>
        <v>127</v>
      </c>
      <c r="Y125" s="292">
        <f t="shared" si="25"/>
        <v>152</v>
      </c>
      <c r="Z125" s="292">
        <f t="shared" si="25"/>
        <v>141</v>
      </c>
      <c r="AA125" s="292">
        <f t="shared" si="25"/>
        <v>112</v>
      </c>
      <c r="AB125" s="292">
        <f t="shared" si="25"/>
        <v>145</v>
      </c>
      <c r="AC125" s="292">
        <f t="shared" si="25"/>
        <v>156</v>
      </c>
      <c r="AD125" s="292">
        <f t="shared" si="25"/>
        <v>164</v>
      </c>
      <c r="AE125" s="292">
        <f t="shared" si="25"/>
        <v>135</v>
      </c>
      <c r="AF125" s="292">
        <f t="shared" si="25"/>
        <v>140</v>
      </c>
      <c r="AG125" s="290">
        <f>SUM(B125:AF125)</f>
        <v>5451</v>
      </c>
    </row>
    <row r="126">
      <c r="A126" s="26"/>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82"/>
    </row>
    <row r="127">
      <c r="A127" s="274" t="s">
        <v>818</v>
      </c>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82"/>
    </row>
    <row r="128">
      <c r="A128" s="295" t="s">
        <v>822</v>
      </c>
      <c r="B128" s="296">
        <v>33116.0</v>
      </c>
      <c r="C128" s="297">
        <v>28683.97</v>
      </c>
      <c r="D128" s="298">
        <v>20056.0</v>
      </c>
      <c r="E128" s="298">
        <v>81876.0</v>
      </c>
      <c r="F128" s="298">
        <v>72158.0</v>
      </c>
      <c r="G128" s="298">
        <v>69239.8</v>
      </c>
      <c r="H128" s="298">
        <v>62424.0</v>
      </c>
      <c r="I128" s="299">
        <v>42719.0</v>
      </c>
      <c r="J128" s="300">
        <v>38700.0</v>
      </c>
      <c r="K128" s="300">
        <v>53478.0</v>
      </c>
      <c r="L128" s="298">
        <v>35575.0</v>
      </c>
      <c r="M128" s="298">
        <v>25536.0</v>
      </c>
      <c r="N128" s="298">
        <v>32398.0</v>
      </c>
      <c r="O128" s="298">
        <v>28847.0</v>
      </c>
      <c r="P128" s="298">
        <v>37589.0</v>
      </c>
      <c r="Q128" s="298">
        <v>30432.0</v>
      </c>
      <c r="R128" s="298">
        <v>32197.15</v>
      </c>
      <c r="S128" s="298">
        <v>27136.0</v>
      </c>
      <c r="T128" s="298">
        <v>31428.0</v>
      </c>
      <c r="U128" s="301">
        <v>31884.0</v>
      </c>
      <c r="V128" s="298">
        <v>37350.0</v>
      </c>
      <c r="W128" s="298">
        <v>33298.0</v>
      </c>
      <c r="X128" s="298">
        <v>30110.0</v>
      </c>
      <c r="Y128" s="301">
        <v>34954.34</v>
      </c>
      <c r="Z128" s="298">
        <v>34191.0</v>
      </c>
      <c r="AA128" s="298">
        <v>27951.0</v>
      </c>
      <c r="AB128" s="298">
        <v>36035.0</v>
      </c>
      <c r="AC128" s="298">
        <v>35499.0</v>
      </c>
      <c r="AD128" s="298">
        <v>37986.0</v>
      </c>
      <c r="AE128" s="298">
        <v>35567.0</v>
      </c>
      <c r="AF128" s="298">
        <v>36219.0</v>
      </c>
      <c r="AG128" s="77">
        <f t="shared" ref="AG128:AG131" si="26">SUM(B128:AF128)</f>
        <v>1194633.26</v>
      </c>
    </row>
    <row r="129">
      <c r="A129" s="295" t="s">
        <v>826</v>
      </c>
      <c r="B129" s="296">
        <v>3667.0</v>
      </c>
      <c r="C129" s="297">
        <v>3175.0</v>
      </c>
      <c r="D129" s="298">
        <v>1789.8</v>
      </c>
      <c r="E129" s="298">
        <v>8179.7</v>
      </c>
      <c r="F129" s="298">
        <v>7460.0</v>
      </c>
      <c r="G129" s="298">
        <v>6095.8</v>
      </c>
      <c r="H129" s="298">
        <v>5930.0</v>
      </c>
      <c r="I129" s="298">
        <v>4231.9</v>
      </c>
      <c r="J129" s="298">
        <v>3640.3</v>
      </c>
      <c r="K129" s="298">
        <v>5596.5</v>
      </c>
      <c r="L129" s="298">
        <v>3518.2</v>
      </c>
      <c r="M129" s="298">
        <v>1762.6</v>
      </c>
      <c r="N129" s="298">
        <v>3157.1</v>
      </c>
      <c r="O129" s="298">
        <v>2414.7</v>
      </c>
      <c r="P129" s="298">
        <v>3507.8</v>
      </c>
      <c r="Q129" s="301">
        <v>3039.0</v>
      </c>
      <c r="R129" s="298">
        <v>2615.94</v>
      </c>
      <c r="S129" s="298">
        <v>1938.0</v>
      </c>
      <c r="T129" s="298">
        <v>2750.0</v>
      </c>
      <c r="U129" s="301">
        <v>2908.0</v>
      </c>
      <c r="V129" s="298">
        <v>2832.9</v>
      </c>
      <c r="W129" s="298">
        <v>3337.5</v>
      </c>
      <c r="X129" s="298">
        <v>2723.0</v>
      </c>
      <c r="Y129" s="298">
        <v>3200.77</v>
      </c>
      <c r="Z129" s="298">
        <v>2348.0</v>
      </c>
      <c r="AA129" s="298">
        <v>1510.0</v>
      </c>
      <c r="AB129" s="298">
        <v>2344.0</v>
      </c>
      <c r="AC129" s="298">
        <v>3252.0</v>
      </c>
      <c r="AD129" s="298">
        <v>2808.0</v>
      </c>
      <c r="AE129" s="298">
        <v>2891.1</v>
      </c>
      <c r="AF129" s="298">
        <v>3565.0</v>
      </c>
      <c r="AG129" s="77">
        <f t="shared" si="26"/>
        <v>108189.61</v>
      </c>
    </row>
    <row r="130">
      <c r="A130" s="302" t="s">
        <v>833</v>
      </c>
      <c r="B130" s="296">
        <v>1796.03</v>
      </c>
      <c r="C130" s="297">
        <v>1637.18</v>
      </c>
      <c r="D130" s="298">
        <v>758.68</v>
      </c>
      <c r="E130" s="298">
        <v>4570.44</v>
      </c>
      <c r="F130" s="298">
        <v>4210.18</v>
      </c>
      <c r="G130" s="298">
        <v>3494.74</v>
      </c>
      <c r="H130" s="298">
        <v>3288.54</v>
      </c>
      <c r="I130" s="298">
        <v>2145.9</v>
      </c>
      <c r="J130" s="298">
        <v>1796.27</v>
      </c>
      <c r="K130" s="298">
        <v>2656.99</v>
      </c>
      <c r="L130" s="298">
        <v>1893.59</v>
      </c>
      <c r="M130" s="298">
        <v>1098.34</v>
      </c>
      <c r="N130" s="298">
        <v>1896.0</v>
      </c>
      <c r="O130" s="298">
        <v>1402.43</v>
      </c>
      <c r="P130" s="298">
        <v>2120.56</v>
      </c>
      <c r="Q130" s="298">
        <v>1447.34</v>
      </c>
      <c r="R130" s="298">
        <v>995.2</v>
      </c>
      <c r="S130" s="298">
        <v>855.04</v>
      </c>
      <c r="T130" s="298">
        <v>1417.67</v>
      </c>
      <c r="U130" s="298">
        <v>1746.04</v>
      </c>
      <c r="V130" s="298">
        <v>1462.93</v>
      </c>
      <c r="W130" s="298">
        <v>1612.42</v>
      </c>
      <c r="X130" s="298">
        <v>1541.64</v>
      </c>
      <c r="Y130" s="298">
        <v>1811.33</v>
      </c>
      <c r="Z130" s="298">
        <v>1237.92</v>
      </c>
      <c r="AA130" s="298">
        <v>77.31</v>
      </c>
      <c r="AB130" s="298">
        <v>1390.32</v>
      </c>
      <c r="AC130" s="298">
        <v>1624.77</v>
      </c>
      <c r="AD130" s="298">
        <v>1494.58</v>
      </c>
      <c r="AE130" s="298">
        <v>1782.17</v>
      </c>
      <c r="AF130" s="298">
        <v>2063.53</v>
      </c>
      <c r="AG130" s="77">
        <f t="shared" si="26"/>
        <v>57326.08</v>
      </c>
    </row>
    <row r="131">
      <c r="A131" s="303" t="s">
        <v>834</v>
      </c>
      <c r="B131" s="304">
        <f t="shared" ref="B131:AF131" si="27">SUM(B128:B130)</f>
        <v>38579.03</v>
      </c>
      <c r="C131" s="304">
        <f t="shared" si="27"/>
        <v>33496.15</v>
      </c>
      <c r="D131" s="304">
        <f t="shared" si="27"/>
        <v>22604.48</v>
      </c>
      <c r="E131" s="304">
        <f t="shared" si="27"/>
        <v>94626.14</v>
      </c>
      <c r="F131" s="304">
        <f t="shared" si="27"/>
        <v>83828.18</v>
      </c>
      <c r="G131" s="304">
        <f t="shared" si="27"/>
        <v>78830.34</v>
      </c>
      <c r="H131" s="304">
        <f t="shared" si="27"/>
        <v>71642.54</v>
      </c>
      <c r="I131" s="304">
        <f t="shared" si="27"/>
        <v>49096.8</v>
      </c>
      <c r="J131" s="304">
        <f t="shared" si="27"/>
        <v>44136.57</v>
      </c>
      <c r="K131" s="304">
        <f t="shared" si="27"/>
        <v>61731.49</v>
      </c>
      <c r="L131" s="304">
        <f t="shared" si="27"/>
        <v>40986.79</v>
      </c>
      <c r="M131" s="304">
        <f t="shared" si="27"/>
        <v>28396.94</v>
      </c>
      <c r="N131" s="304">
        <f t="shared" si="27"/>
        <v>37451.1</v>
      </c>
      <c r="O131" s="304">
        <f t="shared" si="27"/>
        <v>32664.13</v>
      </c>
      <c r="P131" s="304">
        <f t="shared" si="27"/>
        <v>43217.36</v>
      </c>
      <c r="Q131" s="304">
        <f t="shared" si="27"/>
        <v>34918.34</v>
      </c>
      <c r="R131" s="304">
        <f t="shared" si="27"/>
        <v>35808.29</v>
      </c>
      <c r="S131" s="304">
        <f t="shared" si="27"/>
        <v>29929.04</v>
      </c>
      <c r="T131" s="304">
        <f t="shared" si="27"/>
        <v>35595.67</v>
      </c>
      <c r="U131" s="304">
        <f t="shared" si="27"/>
        <v>36538.04</v>
      </c>
      <c r="V131" s="304">
        <f t="shared" si="27"/>
        <v>41645.83</v>
      </c>
      <c r="W131" s="304">
        <f t="shared" si="27"/>
        <v>38247.92</v>
      </c>
      <c r="X131" s="304">
        <f t="shared" si="27"/>
        <v>34374.64</v>
      </c>
      <c r="Y131" s="304">
        <f t="shared" si="27"/>
        <v>39966.44</v>
      </c>
      <c r="Z131" s="304">
        <f t="shared" si="27"/>
        <v>37776.92</v>
      </c>
      <c r="AA131" s="304">
        <f t="shared" si="27"/>
        <v>29538.31</v>
      </c>
      <c r="AB131" s="304">
        <f t="shared" si="27"/>
        <v>39769.32</v>
      </c>
      <c r="AC131" s="304">
        <f t="shared" si="27"/>
        <v>40375.77</v>
      </c>
      <c r="AD131" s="304">
        <f t="shared" si="27"/>
        <v>42288.58</v>
      </c>
      <c r="AE131" s="304">
        <f t="shared" si="27"/>
        <v>40240.27</v>
      </c>
      <c r="AF131" s="304">
        <f t="shared" si="27"/>
        <v>41847.53</v>
      </c>
      <c r="AG131" s="77">
        <f t="shared" si="26"/>
        <v>1360148.95</v>
      </c>
    </row>
    <row r="132">
      <c r="A132" s="26"/>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82"/>
    </row>
    <row r="133">
      <c r="A133" s="274" t="s">
        <v>848</v>
      </c>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82"/>
    </row>
    <row r="134">
      <c r="A134" s="306" t="s">
        <v>788</v>
      </c>
      <c r="B134" s="307">
        <v>34095.88</v>
      </c>
      <c r="C134" s="308">
        <v>31641.32</v>
      </c>
      <c r="D134" s="309">
        <v>21284.63</v>
      </c>
      <c r="E134" s="309">
        <v>88864.63</v>
      </c>
      <c r="F134" s="309">
        <v>77660.14</v>
      </c>
      <c r="G134" s="309">
        <v>71601.37</v>
      </c>
      <c r="H134" s="309">
        <v>67423.31</v>
      </c>
      <c r="I134" s="309">
        <v>45277.91</v>
      </c>
      <c r="J134" s="309">
        <v>42473.89</v>
      </c>
      <c r="K134" s="309">
        <v>54110.75</v>
      </c>
      <c r="L134" s="309">
        <v>37408.2</v>
      </c>
      <c r="M134" s="309">
        <v>26764.29</v>
      </c>
      <c r="N134" s="309">
        <v>35680.11</v>
      </c>
      <c r="O134" s="309">
        <v>31638.02</v>
      </c>
      <c r="P134" s="309">
        <v>41439.96</v>
      </c>
      <c r="Q134" s="309">
        <v>33185.06</v>
      </c>
      <c r="R134" s="309">
        <v>26443.15</v>
      </c>
      <c r="S134" s="309">
        <v>29272.66</v>
      </c>
      <c r="T134" s="309">
        <v>34351.04</v>
      </c>
      <c r="U134" s="309">
        <v>35450.41</v>
      </c>
      <c r="V134" s="309">
        <v>41523.18</v>
      </c>
      <c r="W134" s="309">
        <v>36857.71</v>
      </c>
      <c r="X134" s="309">
        <v>33146.75</v>
      </c>
      <c r="Y134" s="309">
        <v>36195.41</v>
      </c>
      <c r="Z134" s="309">
        <v>36155.37</v>
      </c>
      <c r="AA134" s="309">
        <v>30670.62</v>
      </c>
      <c r="AB134" s="309">
        <v>39472.04</v>
      </c>
      <c r="AC134" s="309">
        <v>39334.25</v>
      </c>
      <c r="AD134" s="309">
        <v>41568.81</v>
      </c>
      <c r="AE134" s="309">
        <v>38837.36</v>
      </c>
      <c r="AF134" s="309">
        <v>39688.03</v>
      </c>
      <c r="AG134" s="77">
        <f t="shared" ref="AG134:AG135" si="28">SUM(B134:AF134)</f>
        <v>1279516.26</v>
      </c>
    </row>
    <row r="135">
      <c r="A135" s="306" t="s">
        <v>808</v>
      </c>
      <c r="B135" s="310">
        <v>188.0</v>
      </c>
      <c r="C135" s="311">
        <v>178.0</v>
      </c>
      <c r="D135" s="312">
        <v>172.0</v>
      </c>
      <c r="E135" s="312">
        <v>399.0</v>
      </c>
      <c r="F135" s="312">
        <v>327.0</v>
      </c>
      <c r="G135" s="312">
        <v>323.0</v>
      </c>
      <c r="H135" s="312">
        <v>278.0</v>
      </c>
      <c r="I135" s="312">
        <v>229.0</v>
      </c>
      <c r="J135" s="312">
        <v>209.0</v>
      </c>
      <c r="K135" s="312">
        <v>324.0</v>
      </c>
      <c r="L135" s="312">
        <v>184.0</v>
      </c>
      <c r="M135" s="312">
        <v>135.0</v>
      </c>
      <c r="N135" s="312">
        <v>167.0</v>
      </c>
      <c r="O135" s="312">
        <v>159.0</v>
      </c>
      <c r="P135" s="312">
        <v>187.0</v>
      </c>
      <c r="Q135" s="312">
        <v>168.0</v>
      </c>
      <c r="R135" s="312">
        <v>200.0</v>
      </c>
      <c r="S135" s="312">
        <v>172.0</v>
      </c>
      <c r="T135" s="312">
        <v>186.0</v>
      </c>
      <c r="U135" s="312">
        <v>186.0</v>
      </c>
      <c r="V135" s="312">
        <v>207.0</v>
      </c>
      <c r="W135" s="312">
        <v>177.0</v>
      </c>
      <c r="X135" s="312">
        <v>152.0</v>
      </c>
      <c r="Y135" s="312">
        <v>151.0</v>
      </c>
      <c r="Z135" s="312">
        <v>186.0</v>
      </c>
      <c r="AA135" s="313">
        <v>178.0</v>
      </c>
      <c r="AB135" s="312">
        <v>202.0</v>
      </c>
      <c r="AC135" s="312">
        <v>186.0</v>
      </c>
      <c r="AD135" s="312">
        <v>205.0</v>
      </c>
      <c r="AE135" s="312">
        <v>160.0</v>
      </c>
      <c r="AF135" s="312">
        <v>159.0</v>
      </c>
      <c r="AG135" s="290">
        <f t="shared" si="28"/>
        <v>6334</v>
      </c>
    </row>
    <row r="136">
      <c r="A136" s="26"/>
      <c r="B136" s="20"/>
      <c r="C136" s="20"/>
      <c r="D136" s="20"/>
      <c r="E136" s="21" t="s">
        <v>166</v>
      </c>
      <c r="F136" s="20"/>
      <c r="G136" s="21" t="s">
        <v>166</v>
      </c>
      <c r="H136" s="20"/>
      <c r="I136" s="21" t="s">
        <v>166</v>
      </c>
      <c r="J136" s="20"/>
      <c r="K136" s="20"/>
      <c r="L136" s="20"/>
      <c r="M136" s="20"/>
      <c r="N136" s="20"/>
      <c r="O136" s="20"/>
      <c r="P136" s="20"/>
      <c r="Q136" s="20"/>
      <c r="R136" s="20"/>
      <c r="S136" s="20"/>
      <c r="U136" s="20"/>
      <c r="V136" s="20"/>
      <c r="W136" s="20"/>
      <c r="X136" s="20"/>
      <c r="Y136" s="20"/>
      <c r="Z136" s="20"/>
      <c r="AA136" s="20"/>
      <c r="AB136" s="20"/>
      <c r="AC136" s="20"/>
      <c r="AD136" s="20"/>
      <c r="AE136" s="20"/>
      <c r="AF136" s="20"/>
      <c r="AG136" s="282"/>
    </row>
    <row r="137">
      <c r="A137" s="229" t="s">
        <v>861</v>
      </c>
      <c r="B137" s="314"/>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1" t="s">
        <v>166</v>
      </c>
      <c r="AG137" s="282"/>
    </row>
    <row r="138">
      <c r="A138" s="245" t="s">
        <v>43</v>
      </c>
      <c r="B138" s="315">
        <v>91.0</v>
      </c>
      <c r="C138" s="316">
        <v>79.0</v>
      </c>
      <c r="D138" s="314">
        <f>49-20</f>
        <v>29</v>
      </c>
      <c r="E138" s="314">
        <f>16+262-16</f>
        <v>262</v>
      </c>
      <c r="F138" s="314">
        <v>226.0</v>
      </c>
      <c r="G138" s="314">
        <f>108-14</f>
        <v>94</v>
      </c>
      <c r="H138" s="314">
        <v>40.0</v>
      </c>
      <c r="I138" s="289">
        <f>49-21</f>
        <v>28</v>
      </c>
      <c r="J138" s="289">
        <v>35.0</v>
      </c>
      <c r="K138" s="289">
        <v>61.0</v>
      </c>
      <c r="L138" s="289">
        <v>36.0</v>
      </c>
      <c r="M138" s="289">
        <v>20.0</v>
      </c>
      <c r="N138" s="289">
        <v>25.0</v>
      </c>
      <c r="O138" s="289">
        <v>19.0</v>
      </c>
      <c r="P138" s="289">
        <v>28.0</v>
      </c>
      <c r="Q138" s="289">
        <v>18.0</v>
      </c>
      <c r="R138" s="289">
        <f>109-47</f>
        <v>62</v>
      </c>
      <c r="S138" s="21">
        <v>28.0</v>
      </c>
      <c r="T138" s="21">
        <v>31.0</v>
      </c>
      <c r="U138" s="21">
        <v>26.0</v>
      </c>
      <c r="V138" s="21">
        <v>34.0</v>
      </c>
      <c r="W138" s="21">
        <v>36.0</v>
      </c>
      <c r="X138" s="21">
        <v>33.0</v>
      </c>
      <c r="Y138" s="21">
        <f>100-64</f>
        <v>36</v>
      </c>
      <c r="Z138" s="317">
        <v>26.0</v>
      </c>
      <c r="AA138" s="21">
        <v>34.0</v>
      </c>
      <c r="AB138" s="21">
        <v>33.0</v>
      </c>
      <c r="AC138" s="317">
        <v>40.0</v>
      </c>
      <c r="AD138" s="21">
        <v>29.0</v>
      </c>
      <c r="AE138" s="21">
        <v>28.0</v>
      </c>
      <c r="AF138" s="21">
        <f>158-116</f>
        <v>42</v>
      </c>
      <c r="AG138" s="290">
        <f t="shared" ref="AG138:AG140" si="29">SUM(B138:AF138)</f>
        <v>1609</v>
      </c>
    </row>
    <row r="139">
      <c r="A139" s="245" t="s">
        <v>47</v>
      </c>
      <c r="B139" s="318">
        <v>6.0</v>
      </c>
      <c r="C139" s="316">
        <v>3.0</v>
      </c>
      <c r="D139" s="314">
        <v>5.0</v>
      </c>
      <c r="E139" s="314">
        <v>3.0</v>
      </c>
      <c r="F139" s="314">
        <v>2.0</v>
      </c>
      <c r="G139" s="314">
        <v>106.0</v>
      </c>
      <c r="H139" s="314">
        <v>152.0</v>
      </c>
      <c r="I139" s="289">
        <v>101.0</v>
      </c>
      <c r="J139" s="289">
        <v>87.0</v>
      </c>
      <c r="K139" s="289">
        <v>99.0</v>
      </c>
      <c r="L139" s="289">
        <v>77.0</v>
      </c>
      <c r="M139" s="289">
        <v>59.0</v>
      </c>
      <c r="N139" s="289">
        <v>76.0</v>
      </c>
      <c r="O139" s="289">
        <v>68.0</v>
      </c>
      <c r="P139" s="289">
        <v>87.0</v>
      </c>
      <c r="Q139" s="289">
        <v>75.0</v>
      </c>
      <c r="R139" s="289">
        <f>51+2</f>
        <v>53</v>
      </c>
      <c r="S139" s="21">
        <v>60.0</v>
      </c>
      <c r="T139" s="21">
        <v>74.0</v>
      </c>
      <c r="U139" s="21">
        <v>77.0</v>
      </c>
      <c r="V139" s="21">
        <v>88.0</v>
      </c>
      <c r="W139" s="21">
        <v>72.0</v>
      </c>
      <c r="X139" s="21">
        <v>65.0</v>
      </c>
      <c r="Y139" s="21">
        <v>80.0</v>
      </c>
      <c r="Z139" s="319">
        <v>84.0</v>
      </c>
      <c r="AA139" s="21">
        <v>57.0</v>
      </c>
      <c r="AB139" s="21">
        <v>84.0</v>
      </c>
      <c r="AC139" s="21">
        <v>78.0</v>
      </c>
      <c r="AD139" s="21">
        <v>90.0</v>
      </c>
      <c r="AE139" s="21">
        <v>90.0</v>
      </c>
      <c r="AF139" s="21">
        <v>89.0</v>
      </c>
      <c r="AG139" s="290">
        <f t="shared" si="29"/>
        <v>2147</v>
      </c>
    </row>
    <row r="140">
      <c r="A140" s="320" t="s">
        <v>871</v>
      </c>
      <c r="B140" s="321">
        <f t="shared" ref="B140:AF140" si="30">SUM(B138:B139)</f>
        <v>97</v>
      </c>
      <c r="C140" s="321">
        <f t="shared" si="30"/>
        <v>82</v>
      </c>
      <c r="D140" s="321">
        <f t="shared" si="30"/>
        <v>34</v>
      </c>
      <c r="E140" s="321">
        <f t="shared" si="30"/>
        <v>265</v>
      </c>
      <c r="F140" s="321">
        <f t="shared" si="30"/>
        <v>228</v>
      </c>
      <c r="G140" s="321">
        <f t="shared" si="30"/>
        <v>200</v>
      </c>
      <c r="H140" s="321">
        <f t="shared" si="30"/>
        <v>192</v>
      </c>
      <c r="I140" s="321">
        <f t="shared" si="30"/>
        <v>129</v>
      </c>
      <c r="J140" s="321">
        <f t="shared" si="30"/>
        <v>122</v>
      </c>
      <c r="K140" s="321">
        <f t="shared" si="30"/>
        <v>160</v>
      </c>
      <c r="L140" s="321">
        <f t="shared" si="30"/>
        <v>113</v>
      </c>
      <c r="M140" s="321">
        <f t="shared" si="30"/>
        <v>79</v>
      </c>
      <c r="N140" s="321">
        <f t="shared" si="30"/>
        <v>101</v>
      </c>
      <c r="O140" s="321">
        <f t="shared" si="30"/>
        <v>87</v>
      </c>
      <c r="P140" s="321">
        <f t="shared" si="30"/>
        <v>115</v>
      </c>
      <c r="Q140" s="321">
        <f t="shared" si="30"/>
        <v>93</v>
      </c>
      <c r="R140" s="321">
        <f t="shared" si="30"/>
        <v>115</v>
      </c>
      <c r="S140" s="321">
        <f t="shared" si="30"/>
        <v>88</v>
      </c>
      <c r="T140" s="321">
        <f t="shared" si="30"/>
        <v>105</v>
      </c>
      <c r="U140" s="321">
        <f t="shared" si="30"/>
        <v>103</v>
      </c>
      <c r="V140" s="321">
        <f t="shared" si="30"/>
        <v>122</v>
      </c>
      <c r="W140" s="321">
        <f t="shared" si="30"/>
        <v>108</v>
      </c>
      <c r="X140" s="321">
        <f t="shared" si="30"/>
        <v>98</v>
      </c>
      <c r="Y140" s="321">
        <f t="shared" si="30"/>
        <v>116</v>
      </c>
      <c r="Z140" s="321">
        <f t="shared" si="30"/>
        <v>110</v>
      </c>
      <c r="AA140" s="321">
        <f t="shared" si="30"/>
        <v>91</v>
      </c>
      <c r="AB140" s="321">
        <f t="shared" si="30"/>
        <v>117</v>
      </c>
      <c r="AC140" s="321">
        <f t="shared" si="30"/>
        <v>118</v>
      </c>
      <c r="AD140" s="321">
        <f t="shared" si="30"/>
        <v>119</v>
      </c>
      <c r="AE140" s="321">
        <f t="shared" si="30"/>
        <v>118</v>
      </c>
      <c r="AF140" s="321">
        <f t="shared" si="30"/>
        <v>131</v>
      </c>
      <c r="AG140" s="290">
        <f t="shared" si="29"/>
        <v>3756</v>
      </c>
    </row>
    <row r="141">
      <c r="A141" s="26"/>
      <c r="B141" s="322"/>
      <c r="C141" s="322"/>
      <c r="D141" s="322"/>
      <c r="E141" s="322"/>
      <c r="F141" s="322"/>
      <c r="G141" s="322"/>
      <c r="H141" s="322"/>
      <c r="I141" s="322"/>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323"/>
    </row>
    <row r="142">
      <c r="A142" s="245" t="s">
        <v>53</v>
      </c>
      <c r="B142" s="318">
        <v>75.0</v>
      </c>
      <c r="C142" s="316">
        <v>69.0</v>
      </c>
      <c r="D142" s="314">
        <v>54.0</v>
      </c>
      <c r="E142" s="314">
        <v>157.0</v>
      </c>
      <c r="F142" s="314">
        <v>128.0</v>
      </c>
      <c r="G142" s="314">
        <v>115.0</v>
      </c>
      <c r="H142" s="314">
        <v>132.0</v>
      </c>
      <c r="I142" s="289">
        <v>87.0</v>
      </c>
      <c r="J142" s="289">
        <v>87.0</v>
      </c>
      <c r="K142" s="289">
        <v>109.0</v>
      </c>
      <c r="L142" s="289">
        <v>63.0</v>
      </c>
      <c r="M142" s="289">
        <v>44.0</v>
      </c>
      <c r="N142" s="289">
        <v>68.0</v>
      </c>
      <c r="O142" s="289">
        <v>59.0</v>
      </c>
      <c r="P142" s="289">
        <v>80.0</v>
      </c>
      <c r="Q142" s="289">
        <v>58.0</v>
      </c>
      <c r="R142" s="289">
        <v>60.0</v>
      </c>
      <c r="S142" s="21">
        <v>51.0</v>
      </c>
      <c r="T142" s="21">
        <v>50.0</v>
      </c>
      <c r="U142" s="21">
        <v>45.0</v>
      </c>
      <c r="V142" s="21">
        <v>80.0</v>
      </c>
      <c r="W142" s="21">
        <v>42.0</v>
      </c>
      <c r="X142" s="21">
        <v>48.0</v>
      </c>
      <c r="Y142" s="21">
        <v>53.0</v>
      </c>
      <c r="Z142" s="319">
        <v>47.0</v>
      </c>
      <c r="AA142" s="21">
        <v>55.0</v>
      </c>
      <c r="AB142" s="21">
        <v>70.0</v>
      </c>
      <c r="AC142" s="324">
        <v>57.0</v>
      </c>
      <c r="AD142" s="21">
        <v>64.0</v>
      </c>
      <c r="AE142" s="21">
        <v>55.0</v>
      </c>
      <c r="AF142" s="21">
        <v>64.0</v>
      </c>
      <c r="AG142" s="290">
        <f t="shared" ref="AG142:AG147" si="31">SUM(B142:AF142)</f>
        <v>2226</v>
      </c>
    </row>
    <row r="143">
      <c r="A143" s="245" t="s">
        <v>55</v>
      </c>
      <c r="B143" s="318">
        <v>0.0</v>
      </c>
      <c r="C143" s="316">
        <v>0.0</v>
      </c>
      <c r="D143" s="314">
        <v>0.0</v>
      </c>
      <c r="E143" s="314">
        <v>1.0</v>
      </c>
      <c r="F143" s="314">
        <v>0.0</v>
      </c>
      <c r="G143" s="314">
        <v>0.0</v>
      </c>
      <c r="H143" s="314">
        <v>0.0</v>
      </c>
      <c r="I143" s="314">
        <v>0.0</v>
      </c>
      <c r="J143" s="314">
        <v>0.0</v>
      </c>
      <c r="K143" s="314">
        <v>0.0</v>
      </c>
      <c r="L143" s="314">
        <v>0.0</v>
      </c>
      <c r="M143" s="289">
        <v>1.0</v>
      </c>
      <c r="N143" s="289">
        <v>0.0</v>
      </c>
      <c r="O143" s="289">
        <v>1.0</v>
      </c>
      <c r="P143" s="289">
        <v>0.0</v>
      </c>
      <c r="Q143" s="289">
        <v>0.0</v>
      </c>
      <c r="R143" s="289">
        <v>5.0</v>
      </c>
      <c r="S143" s="289">
        <v>0.0</v>
      </c>
      <c r="T143" s="289">
        <v>0.0</v>
      </c>
      <c r="U143" s="21">
        <v>0.0</v>
      </c>
      <c r="V143" s="21">
        <v>0.0</v>
      </c>
      <c r="W143" s="21">
        <v>0.0</v>
      </c>
      <c r="X143" s="21">
        <v>0.0</v>
      </c>
      <c r="Y143" s="21">
        <v>0.0</v>
      </c>
      <c r="Z143" s="21">
        <v>0.0</v>
      </c>
      <c r="AA143" s="21">
        <v>1.0</v>
      </c>
      <c r="AB143" s="21">
        <v>0.0</v>
      </c>
      <c r="AC143" s="21">
        <v>0.0</v>
      </c>
      <c r="AD143" s="21">
        <v>0.0</v>
      </c>
      <c r="AE143" s="21">
        <v>0.0</v>
      </c>
      <c r="AF143" s="21">
        <v>0.0</v>
      </c>
      <c r="AG143" s="290">
        <f t="shared" si="31"/>
        <v>9</v>
      </c>
    </row>
    <row r="144">
      <c r="A144" s="245" t="s">
        <v>58</v>
      </c>
      <c r="B144" s="318">
        <v>119.0</v>
      </c>
      <c r="C144" s="316">
        <v>103.0</v>
      </c>
      <c r="D144" s="314">
        <f>73-1</f>
        <v>72</v>
      </c>
      <c r="E144" s="314">
        <v>292.0</v>
      </c>
      <c r="F144" s="314">
        <v>248.0</v>
      </c>
      <c r="G144" s="314">
        <v>219.0</v>
      </c>
      <c r="H144" s="314">
        <f>212+1</f>
        <v>213</v>
      </c>
      <c r="I144" s="289">
        <v>144.0</v>
      </c>
      <c r="J144" s="289">
        <v>134.0</v>
      </c>
      <c r="K144" s="289">
        <v>188.0</v>
      </c>
      <c r="L144" s="289">
        <v>137.0</v>
      </c>
      <c r="M144" s="289">
        <v>90.0</v>
      </c>
      <c r="N144" s="289">
        <v>117.0</v>
      </c>
      <c r="O144" s="289">
        <v>95.0</v>
      </c>
      <c r="P144" s="289">
        <v>131.0</v>
      </c>
      <c r="Q144" s="289">
        <v>101.0</v>
      </c>
      <c r="R144" s="289">
        <f>94+9+5</f>
        <v>108</v>
      </c>
      <c r="S144" s="21">
        <v>100.0</v>
      </c>
      <c r="T144" s="21">
        <v>118.0</v>
      </c>
      <c r="U144" s="21">
        <v>114.0</v>
      </c>
      <c r="V144" s="21">
        <v>137.0</v>
      </c>
      <c r="W144" s="21">
        <v>126.0</v>
      </c>
      <c r="X144" s="21">
        <v>104.0</v>
      </c>
      <c r="Y144" s="21">
        <f>124-1</f>
        <v>123</v>
      </c>
      <c r="Z144" s="317">
        <v>121.0</v>
      </c>
      <c r="AA144" s="325">
        <v>92.0</v>
      </c>
      <c r="AB144" s="21">
        <v>127.0</v>
      </c>
      <c r="AC144" s="325">
        <v>127.0</v>
      </c>
      <c r="AD144" s="21">
        <v>131.0</v>
      </c>
      <c r="AE144" s="314">
        <v>122.0</v>
      </c>
      <c r="AF144" s="314">
        <f>129-1</f>
        <v>128</v>
      </c>
      <c r="AG144" s="290">
        <f t="shared" si="31"/>
        <v>4181</v>
      </c>
    </row>
    <row r="145">
      <c r="A145" s="245" t="s">
        <v>59</v>
      </c>
      <c r="B145" s="318">
        <v>59.0</v>
      </c>
      <c r="C145" s="316">
        <v>42.0</v>
      </c>
      <c r="D145" s="314">
        <v>34.0</v>
      </c>
      <c r="E145" s="314">
        <v>121.0</v>
      </c>
      <c r="F145" s="314">
        <v>100.0</v>
      </c>
      <c r="G145" s="314">
        <f>95-1</f>
        <v>94</v>
      </c>
      <c r="H145" s="314">
        <v>88.0</v>
      </c>
      <c r="I145" s="314">
        <v>68.0</v>
      </c>
      <c r="J145" s="314">
        <v>60.0</v>
      </c>
      <c r="K145" s="314">
        <v>84.0</v>
      </c>
      <c r="L145" s="314">
        <v>54.0</v>
      </c>
      <c r="M145" s="314">
        <v>30.0</v>
      </c>
      <c r="N145" s="314">
        <v>50.0</v>
      </c>
      <c r="O145" s="314">
        <v>47.0</v>
      </c>
      <c r="P145" s="314">
        <v>52.0</v>
      </c>
      <c r="Q145" s="314">
        <v>47.0</v>
      </c>
      <c r="R145" s="314">
        <f>32-1</f>
        <v>31</v>
      </c>
      <c r="S145" s="314">
        <v>41.0</v>
      </c>
      <c r="T145" s="314">
        <v>46.0</v>
      </c>
      <c r="U145" s="314">
        <v>37.0</v>
      </c>
      <c r="V145" s="314">
        <v>57.0</v>
      </c>
      <c r="W145" s="314">
        <v>43.0</v>
      </c>
      <c r="X145" s="314">
        <v>36.0</v>
      </c>
      <c r="Y145" s="314">
        <v>38.0</v>
      </c>
      <c r="Z145" s="326">
        <v>33.0</v>
      </c>
      <c r="AA145" s="314">
        <v>37.0</v>
      </c>
      <c r="AB145" s="314">
        <v>58.0</v>
      </c>
      <c r="AC145" s="325">
        <v>46.0</v>
      </c>
      <c r="AD145" s="314">
        <v>53.0</v>
      </c>
      <c r="AE145" s="314">
        <v>36.0</v>
      </c>
      <c r="AF145" s="314">
        <v>47.0</v>
      </c>
      <c r="AG145" s="290">
        <f t="shared" si="31"/>
        <v>1669</v>
      </c>
    </row>
    <row r="146">
      <c r="A146" s="245" t="s">
        <v>891</v>
      </c>
      <c r="B146" s="318">
        <v>119.0</v>
      </c>
      <c r="C146" s="316">
        <v>110.0</v>
      </c>
      <c r="D146" s="314">
        <f>71+17-4</f>
        <v>84</v>
      </c>
      <c r="E146" s="314">
        <v>279.0</v>
      </c>
      <c r="F146" s="314">
        <v>222.0</v>
      </c>
      <c r="G146" s="314">
        <f>121-15</f>
        <v>106</v>
      </c>
      <c r="H146" s="314">
        <v>53.0</v>
      </c>
      <c r="I146" s="314">
        <f>56-3</f>
        <v>53</v>
      </c>
      <c r="J146" s="314">
        <v>35.0</v>
      </c>
      <c r="K146" s="314">
        <v>100.0</v>
      </c>
      <c r="L146" s="314">
        <v>44.0</v>
      </c>
      <c r="M146" s="314">
        <v>15.0</v>
      </c>
      <c r="N146" s="314">
        <v>33.0</v>
      </c>
      <c r="O146" s="314">
        <v>26.0</v>
      </c>
      <c r="P146" s="314">
        <v>36.0</v>
      </c>
      <c r="Q146" s="314">
        <v>27.0</v>
      </c>
      <c r="R146" s="314">
        <f>67-14</f>
        <v>53</v>
      </c>
      <c r="S146" s="314">
        <v>18.0</v>
      </c>
      <c r="T146" s="314">
        <v>17.0</v>
      </c>
      <c r="U146" s="314">
        <v>23.0</v>
      </c>
      <c r="V146" s="314">
        <v>26.0</v>
      </c>
      <c r="W146" s="314">
        <v>34.0</v>
      </c>
      <c r="X146" s="314">
        <v>21.0</v>
      </c>
      <c r="Y146" s="314">
        <f>49-24</f>
        <v>25</v>
      </c>
      <c r="Z146" s="314">
        <v>21.0</v>
      </c>
      <c r="AA146" s="21">
        <v>16.0</v>
      </c>
      <c r="AB146" s="314">
        <v>22.0</v>
      </c>
      <c r="AC146" s="325">
        <v>30.0</v>
      </c>
      <c r="AD146" s="314">
        <v>28.0</v>
      </c>
      <c r="AE146" s="314">
        <v>22.0</v>
      </c>
      <c r="AF146" s="314">
        <f>61-46</f>
        <v>15</v>
      </c>
      <c r="AG146" s="290">
        <f t="shared" si="31"/>
        <v>1713</v>
      </c>
    </row>
    <row r="147">
      <c r="A147" s="320" t="s">
        <v>126</v>
      </c>
      <c r="B147" s="321">
        <f t="shared" ref="B147:AF147" si="32">SUM(B142:B146)</f>
        <v>372</v>
      </c>
      <c r="C147" s="321">
        <f t="shared" si="32"/>
        <v>324</v>
      </c>
      <c r="D147" s="321">
        <f t="shared" si="32"/>
        <v>244</v>
      </c>
      <c r="E147" s="321">
        <f t="shared" si="32"/>
        <v>850</v>
      </c>
      <c r="F147" s="321">
        <f t="shared" si="32"/>
        <v>698</v>
      </c>
      <c r="G147" s="321">
        <f t="shared" si="32"/>
        <v>534</v>
      </c>
      <c r="H147" s="321">
        <f t="shared" si="32"/>
        <v>486</v>
      </c>
      <c r="I147" s="321">
        <f t="shared" si="32"/>
        <v>352</v>
      </c>
      <c r="J147" s="321">
        <f t="shared" si="32"/>
        <v>316</v>
      </c>
      <c r="K147" s="321">
        <f t="shared" si="32"/>
        <v>481</v>
      </c>
      <c r="L147" s="321">
        <f t="shared" si="32"/>
        <v>298</v>
      </c>
      <c r="M147" s="321">
        <f t="shared" si="32"/>
        <v>180</v>
      </c>
      <c r="N147" s="321">
        <f t="shared" si="32"/>
        <v>268</v>
      </c>
      <c r="O147" s="321">
        <f t="shared" si="32"/>
        <v>228</v>
      </c>
      <c r="P147" s="321">
        <f t="shared" si="32"/>
        <v>299</v>
      </c>
      <c r="Q147" s="321">
        <f t="shared" si="32"/>
        <v>233</v>
      </c>
      <c r="R147" s="321">
        <f t="shared" si="32"/>
        <v>257</v>
      </c>
      <c r="S147" s="321">
        <f t="shared" si="32"/>
        <v>210</v>
      </c>
      <c r="T147" s="321">
        <f t="shared" si="32"/>
        <v>231</v>
      </c>
      <c r="U147" s="321">
        <f t="shared" si="32"/>
        <v>219</v>
      </c>
      <c r="V147" s="321">
        <f t="shared" si="32"/>
        <v>300</v>
      </c>
      <c r="W147" s="321">
        <f t="shared" si="32"/>
        <v>245</v>
      </c>
      <c r="X147" s="321">
        <f t="shared" si="32"/>
        <v>209</v>
      </c>
      <c r="Y147" s="321">
        <f t="shared" si="32"/>
        <v>239</v>
      </c>
      <c r="Z147" s="321">
        <f t="shared" si="32"/>
        <v>222</v>
      </c>
      <c r="AA147" s="321">
        <f t="shared" si="32"/>
        <v>201</v>
      </c>
      <c r="AB147" s="321">
        <f t="shared" si="32"/>
        <v>277</v>
      </c>
      <c r="AC147" s="321">
        <f t="shared" si="32"/>
        <v>260</v>
      </c>
      <c r="AD147" s="321">
        <f t="shared" si="32"/>
        <v>276</v>
      </c>
      <c r="AE147" s="321">
        <f t="shared" si="32"/>
        <v>235</v>
      </c>
      <c r="AF147" s="321">
        <f t="shared" si="32"/>
        <v>254</v>
      </c>
      <c r="AG147" s="290">
        <f t="shared" si="31"/>
        <v>9798</v>
      </c>
    </row>
    <row r="148">
      <c r="A148" s="328"/>
      <c r="AG148" s="290"/>
    </row>
    <row r="149">
      <c r="A149" s="245" t="s">
        <v>60</v>
      </c>
      <c r="B149" s="329"/>
      <c r="C149" s="329"/>
      <c r="D149" s="329"/>
      <c r="E149" s="329"/>
      <c r="F149" s="329"/>
      <c r="G149" s="329"/>
      <c r="H149" s="329"/>
      <c r="I149" s="329"/>
      <c r="J149" s="329"/>
      <c r="K149" s="329"/>
      <c r="L149" s="329"/>
      <c r="M149" s="329"/>
      <c r="N149" s="329"/>
      <c r="O149" s="329"/>
      <c r="P149" s="329"/>
      <c r="Q149" s="329"/>
      <c r="R149" s="329"/>
      <c r="S149" s="329"/>
      <c r="T149" s="329"/>
      <c r="U149" s="329"/>
      <c r="V149" s="329"/>
      <c r="W149" s="329"/>
      <c r="X149" s="329"/>
      <c r="Y149" s="329"/>
      <c r="Z149" s="329"/>
      <c r="AA149" s="329"/>
      <c r="AB149" s="329"/>
      <c r="AC149" s="329"/>
      <c r="AD149" s="329"/>
      <c r="AE149" s="329"/>
      <c r="AF149" s="329"/>
      <c r="AG149" s="290">
        <f t="shared" ref="AG149:AG151" si="33">SUM(B149:AF149)</f>
        <v>0</v>
      </c>
    </row>
    <row r="150">
      <c r="A150" s="245" t="s">
        <v>61</v>
      </c>
      <c r="B150" s="329"/>
      <c r="C150" s="329"/>
      <c r="D150" s="329"/>
      <c r="E150" s="329"/>
      <c r="F150" s="329"/>
      <c r="G150" s="329"/>
      <c r="H150" s="329"/>
      <c r="I150" s="329"/>
      <c r="J150" s="329"/>
      <c r="K150" s="329"/>
      <c r="L150" s="329"/>
      <c r="M150" s="329"/>
      <c r="N150" s="329"/>
      <c r="O150" s="329"/>
      <c r="P150" s="329"/>
      <c r="Q150" s="329"/>
      <c r="R150" s="329"/>
      <c r="S150" s="329"/>
      <c r="T150" s="329"/>
      <c r="U150" s="329"/>
      <c r="V150" s="329"/>
      <c r="W150" s="329"/>
      <c r="X150" s="329"/>
      <c r="Y150" s="329"/>
      <c r="Z150" s="329"/>
      <c r="AA150" s="329"/>
      <c r="AB150" s="329"/>
      <c r="AC150" s="329"/>
      <c r="AD150" s="329"/>
      <c r="AE150" s="329"/>
      <c r="AF150" s="329"/>
      <c r="AG150" s="290">
        <f t="shared" si="33"/>
        <v>0</v>
      </c>
    </row>
    <row r="151">
      <c r="A151" s="320" t="s">
        <v>126</v>
      </c>
      <c r="B151" s="321">
        <f t="shared" ref="B151:AF151" si="34">SUM(B149:B150)</f>
        <v>0</v>
      </c>
      <c r="C151" s="321">
        <f t="shared" si="34"/>
        <v>0</v>
      </c>
      <c r="D151" s="321">
        <f t="shared" si="34"/>
        <v>0</v>
      </c>
      <c r="E151" s="321">
        <f t="shared" si="34"/>
        <v>0</v>
      </c>
      <c r="F151" s="321">
        <f t="shared" si="34"/>
        <v>0</v>
      </c>
      <c r="G151" s="321">
        <f t="shared" si="34"/>
        <v>0</v>
      </c>
      <c r="H151" s="321">
        <f t="shared" si="34"/>
        <v>0</v>
      </c>
      <c r="I151" s="321">
        <f t="shared" si="34"/>
        <v>0</v>
      </c>
      <c r="J151" s="321">
        <f t="shared" si="34"/>
        <v>0</v>
      </c>
      <c r="K151" s="321">
        <f t="shared" si="34"/>
        <v>0</v>
      </c>
      <c r="L151" s="321">
        <f t="shared" si="34"/>
        <v>0</v>
      </c>
      <c r="M151" s="321">
        <f t="shared" si="34"/>
        <v>0</v>
      </c>
      <c r="N151" s="321">
        <f t="shared" si="34"/>
        <v>0</v>
      </c>
      <c r="O151" s="321">
        <f t="shared" si="34"/>
        <v>0</v>
      </c>
      <c r="P151" s="321">
        <f t="shared" si="34"/>
        <v>0</v>
      </c>
      <c r="Q151" s="321">
        <f t="shared" si="34"/>
        <v>0</v>
      </c>
      <c r="R151" s="321">
        <f t="shared" si="34"/>
        <v>0</v>
      </c>
      <c r="S151" s="321">
        <f t="shared" si="34"/>
        <v>0</v>
      </c>
      <c r="T151" s="321">
        <f t="shared" si="34"/>
        <v>0</v>
      </c>
      <c r="U151" s="321">
        <f t="shared" si="34"/>
        <v>0</v>
      </c>
      <c r="V151" s="321">
        <f t="shared" si="34"/>
        <v>0</v>
      </c>
      <c r="W151" s="321">
        <f t="shared" si="34"/>
        <v>0</v>
      </c>
      <c r="X151" s="321">
        <f t="shared" si="34"/>
        <v>0</v>
      </c>
      <c r="Y151" s="321">
        <f t="shared" si="34"/>
        <v>0</v>
      </c>
      <c r="Z151" s="321">
        <f t="shared" si="34"/>
        <v>0</v>
      </c>
      <c r="AA151" s="321">
        <f t="shared" si="34"/>
        <v>0</v>
      </c>
      <c r="AB151" s="321">
        <f t="shared" si="34"/>
        <v>0</v>
      </c>
      <c r="AC151" s="321">
        <f t="shared" si="34"/>
        <v>0</v>
      </c>
      <c r="AD151" s="321">
        <f t="shared" si="34"/>
        <v>0</v>
      </c>
      <c r="AE151" s="321">
        <f t="shared" si="34"/>
        <v>0</v>
      </c>
      <c r="AF151" s="321">
        <f t="shared" si="34"/>
        <v>0</v>
      </c>
      <c r="AG151" s="290">
        <f t="shared" si="33"/>
        <v>0</v>
      </c>
    </row>
    <row r="152">
      <c r="A152" s="328"/>
      <c r="AG152" s="290"/>
    </row>
    <row r="153">
      <c r="A153" s="245" t="s">
        <v>910</v>
      </c>
      <c r="B153" s="330"/>
      <c r="C153" s="330"/>
      <c r="D153" s="330"/>
      <c r="E153" s="330"/>
      <c r="F153" s="330"/>
      <c r="G153" s="330"/>
      <c r="H153" s="330"/>
      <c r="I153" s="330"/>
      <c r="J153" s="330"/>
      <c r="K153" s="330"/>
      <c r="L153" s="330"/>
      <c r="M153" s="330"/>
      <c r="N153" s="330"/>
      <c r="O153" s="330"/>
      <c r="P153" s="330"/>
      <c r="Q153" s="330"/>
      <c r="R153" s="330"/>
      <c r="S153" s="330"/>
      <c r="T153" s="330"/>
      <c r="U153" s="330"/>
      <c r="V153" s="330"/>
      <c r="W153" s="330"/>
      <c r="X153" s="330"/>
      <c r="Y153" s="330"/>
      <c r="Z153" s="330"/>
      <c r="AA153" s="330"/>
      <c r="AB153" s="330"/>
      <c r="AC153" s="330"/>
      <c r="AD153" s="330"/>
      <c r="AE153" s="330"/>
      <c r="AF153" s="330"/>
      <c r="AG153" s="290">
        <f t="shared" ref="AG153:AG155" si="35">SUM(B153:AF153)</f>
        <v>0</v>
      </c>
    </row>
    <row r="154">
      <c r="A154" s="245" t="s">
        <v>914</v>
      </c>
      <c r="B154" s="330"/>
      <c r="C154" s="330"/>
      <c r="D154" s="330"/>
      <c r="E154" s="330"/>
      <c r="F154" s="330"/>
      <c r="G154" s="330"/>
      <c r="H154" s="330"/>
      <c r="I154" s="330"/>
      <c r="J154" s="330"/>
      <c r="K154" s="330"/>
      <c r="L154" s="330"/>
      <c r="M154" s="330"/>
      <c r="N154" s="330"/>
      <c r="O154" s="330"/>
      <c r="P154" s="330"/>
      <c r="Q154" s="330"/>
      <c r="R154" s="330"/>
      <c r="S154" s="330"/>
      <c r="T154" s="330"/>
      <c r="U154" s="330"/>
      <c r="V154" s="330"/>
      <c r="W154" s="330"/>
      <c r="X154" s="330"/>
      <c r="Y154" s="330"/>
      <c r="Z154" s="330"/>
      <c r="AA154" s="330"/>
      <c r="AB154" s="330"/>
      <c r="AC154" s="330"/>
      <c r="AD154" s="330"/>
      <c r="AE154" s="330"/>
      <c r="AF154" s="330"/>
      <c r="AG154" s="290">
        <f t="shared" si="35"/>
        <v>0</v>
      </c>
    </row>
    <row r="155">
      <c r="A155" s="320" t="s">
        <v>126</v>
      </c>
      <c r="B155" s="331">
        <f t="shared" ref="B155:AF155" si="36">SUM(B153:B154)</f>
        <v>0</v>
      </c>
      <c r="C155" s="331">
        <f t="shared" si="36"/>
        <v>0</v>
      </c>
      <c r="D155" s="331">
        <f t="shared" si="36"/>
        <v>0</v>
      </c>
      <c r="E155" s="331">
        <f t="shared" si="36"/>
        <v>0</v>
      </c>
      <c r="F155" s="331">
        <f t="shared" si="36"/>
        <v>0</v>
      </c>
      <c r="G155" s="331">
        <f t="shared" si="36"/>
        <v>0</v>
      </c>
      <c r="H155" s="331">
        <f t="shared" si="36"/>
        <v>0</v>
      </c>
      <c r="I155" s="331">
        <f t="shared" si="36"/>
        <v>0</v>
      </c>
      <c r="J155" s="331">
        <f t="shared" si="36"/>
        <v>0</v>
      </c>
      <c r="K155" s="331">
        <f t="shared" si="36"/>
        <v>0</v>
      </c>
      <c r="L155" s="331">
        <f t="shared" si="36"/>
        <v>0</v>
      </c>
      <c r="M155" s="331">
        <f t="shared" si="36"/>
        <v>0</v>
      </c>
      <c r="N155" s="331">
        <f t="shared" si="36"/>
        <v>0</v>
      </c>
      <c r="O155" s="331">
        <f t="shared" si="36"/>
        <v>0</v>
      </c>
      <c r="P155" s="331">
        <f t="shared" si="36"/>
        <v>0</v>
      </c>
      <c r="Q155" s="331">
        <f t="shared" si="36"/>
        <v>0</v>
      </c>
      <c r="R155" s="331">
        <f t="shared" si="36"/>
        <v>0</v>
      </c>
      <c r="S155" s="331">
        <f t="shared" si="36"/>
        <v>0</v>
      </c>
      <c r="T155" s="331">
        <f t="shared" si="36"/>
        <v>0</v>
      </c>
      <c r="U155" s="331">
        <f t="shared" si="36"/>
        <v>0</v>
      </c>
      <c r="V155" s="331">
        <f t="shared" si="36"/>
        <v>0</v>
      </c>
      <c r="W155" s="331">
        <f t="shared" si="36"/>
        <v>0</v>
      </c>
      <c r="X155" s="331">
        <f t="shared" si="36"/>
        <v>0</v>
      </c>
      <c r="Y155" s="331">
        <f t="shared" si="36"/>
        <v>0</v>
      </c>
      <c r="Z155" s="331">
        <f t="shared" si="36"/>
        <v>0</v>
      </c>
      <c r="AA155" s="331">
        <f t="shared" si="36"/>
        <v>0</v>
      </c>
      <c r="AB155" s="331">
        <f t="shared" si="36"/>
        <v>0</v>
      </c>
      <c r="AC155" s="331">
        <f t="shared" si="36"/>
        <v>0</v>
      </c>
      <c r="AD155" s="331">
        <f t="shared" si="36"/>
        <v>0</v>
      </c>
      <c r="AE155" s="331">
        <f t="shared" si="36"/>
        <v>0</v>
      </c>
      <c r="AF155" s="331">
        <f t="shared" si="36"/>
        <v>0</v>
      </c>
      <c r="AG155" s="290">
        <f t="shared" si="35"/>
        <v>0</v>
      </c>
    </row>
    <row r="156">
      <c r="A156" s="328"/>
      <c r="AG156" s="290"/>
    </row>
    <row r="157">
      <c r="A157" s="245" t="s">
        <v>928</v>
      </c>
      <c r="B157" s="314">
        <v>1.0</v>
      </c>
      <c r="C157" s="314">
        <v>1.0</v>
      </c>
      <c r="D157" s="314">
        <v>0.0</v>
      </c>
      <c r="E157" s="314">
        <v>4.0</v>
      </c>
      <c r="F157" s="314">
        <v>7.0</v>
      </c>
      <c r="G157" s="314">
        <v>9.0</v>
      </c>
      <c r="H157" s="314">
        <v>6.0</v>
      </c>
      <c r="I157" s="314">
        <v>2.0</v>
      </c>
      <c r="J157" s="332">
        <v>2.0</v>
      </c>
      <c r="K157" s="314">
        <v>2.0</v>
      </c>
      <c r="L157" s="314">
        <v>0.0</v>
      </c>
      <c r="M157" s="314">
        <v>4.0</v>
      </c>
      <c r="N157" s="314">
        <v>1.0</v>
      </c>
      <c r="O157" s="314">
        <v>2.0</v>
      </c>
      <c r="P157" s="314">
        <v>4.0</v>
      </c>
      <c r="Q157" s="314">
        <v>2.0</v>
      </c>
      <c r="R157" s="314">
        <v>1.0</v>
      </c>
      <c r="S157" s="314">
        <v>1.0</v>
      </c>
      <c r="T157" s="314">
        <v>1.0</v>
      </c>
      <c r="U157" s="314">
        <v>3.0</v>
      </c>
      <c r="V157" s="314">
        <v>0.0</v>
      </c>
      <c r="W157" s="314">
        <v>2.0</v>
      </c>
      <c r="X157" s="314">
        <v>3.0</v>
      </c>
      <c r="Y157" s="314">
        <v>4.0</v>
      </c>
      <c r="Z157" s="314">
        <v>2.0</v>
      </c>
      <c r="AA157" s="314">
        <v>4.0</v>
      </c>
      <c r="AB157" s="314">
        <v>2.0</v>
      </c>
      <c r="AC157" s="314">
        <v>1.0</v>
      </c>
      <c r="AD157" s="314">
        <v>5.0</v>
      </c>
      <c r="AE157" s="314">
        <v>1.0</v>
      </c>
      <c r="AF157" s="314">
        <v>1.0</v>
      </c>
      <c r="AG157" s="290">
        <f t="shared" ref="AG157:AG158" si="38">SUM(B157:AF157)</f>
        <v>78</v>
      </c>
    </row>
    <row r="158">
      <c r="A158" s="320" t="s">
        <v>126</v>
      </c>
      <c r="B158" s="331">
        <f t="shared" ref="B158:AF158" si="37">B157</f>
        <v>1</v>
      </c>
      <c r="C158" s="331">
        <f t="shared" si="37"/>
        <v>1</v>
      </c>
      <c r="D158" s="331">
        <f t="shared" si="37"/>
        <v>0</v>
      </c>
      <c r="E158" s="331">
        <f t="shared" si="37"/>
        <v>4</v>
      </c>
      <c r="F158" s="331">
        <f t="shared" si="37"/>
        <v>7</v>
      </c>
      <c r="G158" s="331">
        <f t="shared" si="37"/>
        <v>9</v>
      </c>
      <c r="H158" s="331">
        <f t="shared" si="37"/>
        <v>6</v>
      </c>
      <c r="I158" s="331">
        <f t="shared" si="37"/>
        <v>2</v>
      </c>
      <c r="J158" s="331">
        <f t="shared" si="37"/>
        <v>2</v>
      </c>
      <c r="K158" s="331">
        <f t="shared" si="37"/>
        <v>2</v>
      </c>
      <c r="L158" s="331">
        <f t="shared" si="37"/>
        <v>0</v>
      </c>
      <c r="M158" s="331">
        <f t="shared" si="37"/>
        <v>4</v>
      </c>
      <c r="N158" s="331">
        <f t="shared" si="37"/>
        <v>1</v>
      </c>
      <c r="O158" s="331">
        <f t="shared" si="37"/>
        <v>2</v>
      </c>
      <c r="P158" s="331">
        <f t="shared" si="37"/>
        <v>4</v>
      </c>
      <c r="Q158" s="331">
        <f t="shared" si="37"/>
        <v>2</v>
      </c>
      <c r="R158" s="331">
        <f t="shared" si="37"/>
        <v>1</v>
      </c>
      <c r="S158" s="331">
        <f t="shared" si="37"/>
        <v>1</v>
      </c>
      <c r="T158" s="331">
        <f t="shared" si="37"/>
        <v>1</v>
      </c>
      <c r="U158" s="331">
        <f t="shared" si="37"/>
        <v>3</v>
      </c>
      <c r="V158" s="331">
        <f t="shared" si="37"/>
        <v>0</v>
      </c>
      <c r="W158" s="331">
        <f t="shared" si="37"/>
        <v>2</v>
      </c>
      <c r="X158" s="331">
        <f t="shared" si="37"/>
        <v>3</v>
      </c>
      <c r="Y158" s="331">
        <f t="shared" si="37"/>
        <v>4</v>
      </c>
      <c r="Z158" s="331">
        <f t="shared" si="37"/>
        <v>2</v>
      </c>
      <c r="AA158" s="331">
        <f t="shared" si="37"/>
        <v>4</v>
      </c>
      <c r="AB158" s="331">
        <f t="shared" si="37"/>
        <v>2</v>
      </c>
      <c r="AC158" s="331">
        <f t="shared" si="37"/>
        <v>1</v>
      </c>
      <c r="AD158" s="331">
        <f t="shared" si="37"/>
        <v>5</v>
      </c>
      <c r="AE158" s="331">
        <f t="shared" si="37"/>
        <v>1</v>
      </c>
      <c r="AF158" s="331">
        <f t="shared" si="37"/>
        <v>1</v>
      </c>
      <c r="AG158" s="290">
        <f t="shared" si="38"/>
        <v>78</v>
      </c>
    </row>
    <row r="159">
      <c r="A159" s="328"/>
      <c r="AG159" s="290"/>
    </row>
    <row r="160">
      <c r="A160" s="274" t="s">
        <v>937</v>
      </c>
      <c r="B160" s="335"/>
      <c r="C160" s="335"/>
      <c r="D160" s="335"/>
      <c r="E160" s="335"/>
      <c r="F160" s="335"/>
      <c r="G160" s="335"/>
      <c r="H160" s="335"/>
      <c r="I160" s="335"/>
      <c r="J160" s="335"/>
      <c r="K160" s="335"/>
      <c r="L160" s="335"/>
      <c r="M160" s="335"/>
      <c r="N160" s="335"/>
      <c r="O160" s="335"/>
      <c r="P160" s="335"/>
      <c r="Q160" s="335"/>
      <c r="R160" s="335"/>
      <c r="S160" s="335"/>
      <c r="T160" s="335"/>
      <c r="U160" s="335"/>
      <c r="V160" s="335"/>
      <c r="W160" s="335"/>
      <c r="X160" s="335"/>
      <c r="Y160" s="335"/>
      <c r="Z160" s="335"/>
      <c r="AA160" s="335"/>
      <c r="AB160" s="335"/>
      <c r="AC160" s="335"/>
      <c r="AD160" s="335"/>
      <c r="AE160" s="335"/>
      <c r="AF160" s="336"/>
      <c r="AG160" s="290">
        <f t="shared" ref="AG160:AG163" si="39">SUM(B160:AF160)</f>
        <v>0</v>
      </c>
    </row>
    <row r="161">
      <c r="A161" s="249" t="s">
        <v>43</v>
      </c>
      <c r="B161" s="314">
        <v>79.0</v>
      </c>
      <c r="C161" s="314">
        <v>69.0</v>
      </c>
      <c r="D161" s="314">
        <v>40.0</v>
      </c>
      <c r="E161" s="314">
        <v>226.0</v>
      </c>
      <c r="F161" s="314">
        <v>208.0</v>
      </c>
      <c r="G161" s="314">
        <v>93.0</v>
      </c>
      <c r="H161" s="314">
        <v>38.0</v>
      </c>
      <c r="I161" s="314">
        <v>26.0</v>
      </c>
      <c r="J161" s="314">
        <v>33.0</v>
      </c>
      <c r="K161" s="314">
        <v>48.0</v>
      </c>
      <c r="L161" s="314">
        <v>32.0</v>
      </c>
      <c r="M161" s="314">
        <v>19.0</v>
      </c>
      <c r="N161" s="314">
        <v>24.0</v>
      </c>
      <c r="O161" s="314">
        <v>19.0</v>
      </c>
      <c r="P161" s="314">
        <v>26.0</v>
      </c>
      <c r="Q161" s="314">
        <v>16.0</v>
      </c>
      <c r="R161" s="314">
        <v>57.0</v>
      </c>
      <c r="S161" s="314">
        <v>26.0</v>
      </c>
      <c r="T161" s="314">
        <v>29.0</v>
      </c>
      <c r="U161" s="314">
        <v>23.0</v>
      </c>
      <c r="V161" s="314">
        <v>31.0</v>
      </c>
      <c r="W161" s="314">
        <v>33.0</v>
      </c>
      <c r="X161" s="314">
        <v>29.0</v>
      </c>
      <c r="Y161" s="314">
        <v>34.0</v>
      </c>
      <c r="Z161" s="314">
        <v>25.0</v>
      </c>
      <c r="AA161" s="314">
        <v>28.0</v>
      </c>
      <c r="AB161" s="314">
        <v>32.0</v>
      </c>
      <c r="AC161" s="314">
        <v>36.0</v>
      </c>
      <c r="AD161" s="314">
        <v>28.0</v>
      </c>
      <c r="AE161" s="314">
        <v>28.0</v>
      </c>
      <c r="AF161" s="337">
        <v>33.0</v>
      </c>
      <c r="AG161" s="290">
        <f t="shared" si="39"/>
        <v>1468</v>
      </c>
    </row>
    <row r="162">
      <c r="A162" s="249" t="s">
        <v>47</v>
      </c>
      <c r="B162" s="314">
        <v>5.0</v>
      </c>
      <c r="C162" s="314">
        <v>3.0</v>
      </c>
      <c r="D162" s="314">
        <v>5.0</v>
      </c>
      <c r="E162" s="314">
        <v>2.0</v>
      </c>
      <c r="F162" s="314">
        <v>1.0</v>
      </c>
      <c r="G162" s="314">
        <v>96.0</v>
      </c>
      <c r="H162" s="314">
        <v>138.0</v>
      </c>
      <c r="I162" s="314">
        <v>93.0</v>
      </c>
      <c r="J162" s="314">
        <v>84.0</v>
      </c>
      <c r="K162" s="314">
        <v>65.0</v>
      </c>
      <c r="L162" s="314">
        <v>64.0</v>
      </c>
      <c r="M162" s="314">
        <v>54.0</v>
      </c>
      <c r="N162" s="314">
        <v>67.0</v>
      </c>
      <c r="O162" s="314">
        <v>66.0</v>
      </c>
      <c r="P162" s="314">
        <v>79.0</v>
      </c>
      <c r="Q162" s="314">
        <v>64.0</v>
      </c>
      <c r="R162" s="338">
        <v>49.0</v>
      </c>
      <c r="S162" s="314">
        <v>51.0</v>
      </c>
      <c r="T162" s="314">
        <v>70.0</v>
      </c>
      <c r="U162" s="314">
        <v>67.0</v>
      </c>
      <c r="V162" s="314">
        <v>80.0</v>
      </c>
      <c r="W162" s="314">
        <v>67.0</v>
      </c>
      <c r="X162" s="314">
        <v>55.0</v>
      </c>
      <c r="Y162" s="314">
        <v>69.0</v>
      </c>
      <c r="Z162" s="314">
        <v>80.0</v>
      </c>
      <c r="AA162" s="314">
        <v>51.0</v>
      </c>
      <c r="AB162" s="314">
        <v>77.0</v>
      </c>
      <c r="AC162" s="314">
        <v>75.0</v>
      </c>
      <c r="AD162" s="314">
        <v>86.0</v>
      </c>
      <c r="AE162" s="314">
        <v>88.0</v>
      </c>
      <c r="AF162" s="337">
        <v>80.0</v>
      </c>
      <c r="AG162" s="290">
        <f t="shared" si="39"/>
        <v>1931</v>
      </c>
    </row>
    <row r="163">
      <c r="A163" s="340" t="s">
        <v>871</v>
      </c>
      <c r="B163" s="321">
        <f t="shared" ref="B163:AF163" si="40">SUM(B161:B162)</f>
        <v>84</v>
      </c>
      <c r="C163" s="321">
        <f t="shared" si="40"/>
        <v>72</v>
      </c>
      <c r="D163" s="321">
        <f t="shared" si="40"/>
        <v>45</v>
      </c>
      <c r="E163" s="321">
        <f t="shared" si="40"/>
        <v>228</v>
      </c>
      <c r="F163" s="321">
        <f t="shared" si="40"/>
        <v>209</v>
      </c>
      <c r="G163" s="321">
        <f t="shared" si="40"/>
        <v>189</v>
      </c>
      <c r="H163" s="321">
        <f t="shared" si="40"/>
        <v>176</v>
      </c>
      <c r="I163" s="321">
        <f t="shared" si="40"/>
        <v>119</v>
      </c>
      <c r="J163" s="321">
        <f t="shared" si="40"/>
        <v>117</v>
      </c>
      <c r="K163" s="321">
        <f t="shared" si="40"/>
        <v>113</v>
      </c>
      <c r="L163" s="321">
        <f t="shared" si="40"/>
        <v>96</v>
      </c>
      <c r="M163" s="321">
        <f t="shared" si="40"/>
        <v>73</v>
      </c>
      <c r="N163" s="321">
        <f t="shared" si="40"/>
        <v>91</v>
      </c>
      <c r="O163" s="321">
        <f t="shared" si="40"/>
        <v>85</v>
      </c>
      <c r="P163" s="321">
        <f t="shared" si="40"/>
        <v>105</v>
      </c>
      <c r="Q163" s="321">
        <f t="shared" si="40"/>
        <v>80</v>
      </c>
      <c r="R163" s="321">
        <f t="shared" si="40"/>
        <v>106</v>
      </c>
      <c r="S163" s="321">
        <f t="shared" si="40"/>
        <v>77</v>
      </c>
      <c r="T163" s="321">
        <f t="shared" si="40"/>
        <v>99</v>
      </c>
      <c r="U163" s="321">
        <f t="shared" si="40"/>
        <v>90</v>
      </c>
      <c r="V163" s="321">
        <f t="shared" si="40"/>
        <v>111</v>
      </c>
      <c r="W163" s="321">
        <f t="shared" si="40"/>
        <v>100</v>
      </c>
      <c r="X163" s="321">
        <f t="shared" si="40"/>
        <v>84</v>
      </c>
      <c r="Y163" s="321">
        <f t="shared" si="40"/>
        <v>103</v>
      </c>
      <c r="Z163" s="321">
        <f t="shared" si="40"/>
        <v>105</v>
      </c>
      <c r="AA163" s="321">
        <f t="shared" si="40"/>
        <v>79</v>
      </c>
      <c r="AB163" s="321">
        <f t="shared" si="40"/>
        <v>109</v>
      </c>
      <c r="AC163" s="321">
        <f t="shared" si="40"/>
        <v>111</v>
      </c>
      <c r="AD163" s="321">
        <f t="shared" si="40"/>
        <v>114</v>
      </c>
      <c r="AE163" s="321">
        <f t="shared" si="40"/>
        <v>116</v>
      </c>
      <c r="AF163" s="343">
        <f t="shared" si="40"/>
        <v>113</v>
      </c>
      <c r="AG163" s="290">
        <f t="shared" si="39"/>
        <v>3399</v>
      </c>
    </row>
    <row r="164">
      <c r="A164" s="336"/>
      <c r="B164" s="335"/>
      <c r="C164" s="335"/>
      <c r="D164" s="335"/>
      <c r="E164" s="335"/>
      <c r="F164" s="335"/>
      <c r="G164" s="335"/>
      <c r="H164" s="335"/>
      <c r="I164" s="335"/>
      <c r="J164" s="335"/>
      <c r="K164" s="335"/>
      <c r="L164" s="335"/>
      <c r="M164" s="335"/>
      <c r="N164" s="335"/>
      <c r="O164" s="335"/>
      <c r="P164" s="335"/>
      <c r="Q164" s="335"/>
      <c r="R164" s="335"/>
      <c r="S164" s="335"/>
      <c r="T164" s="335"/>
      <c r="U164" s="335"/>
      <c r="V164" s="335"/>
      <c r="W164" s="335"/>
      <c r="X164" s="335"/>
      <c r="Y164" s="335"/>
      <c r="Z164" s="335"/>
      <c r="AA164" s="335"/>
      <c r="AB164" s="335"/>
      <c r="AC164" s="335"/>
      <c r="AD164" s="335"/>
      <c r="AE164" s="335"/>
      <c r="AF164" s="336"/>
      <c r="AG164" s="344"/>
    </row>
    <row r="165">
      <c r="A165" s="249" t="s">
        <v>53</v>
      </c>
      <c r="B165" s="314">
        <v>57.0</v>
      </c>
      <c r="C165" s="314">
        <v>49.0</v>
      </c>
      <c r="D165" s="314">
        <v>33.0</v>
      </c>
      <c r="E165" s="314">
        <v>119.0</v>
      </c>
      <c r="F165" s="314">
        <v>107.0</v>
      </c>
      <c r="G165" s="314">
        <v>99.0</v>
      </c>
      <c r="H165" s="314">
        <v>106.0</v>
      </c>
      <c r="I165" s="314">
        <v>67.0</v>
      </c>
      <c r="J165" s="314">
        <v>78.0</v>
      </c>
      <c r="K165" s="314">
        <v>59.0</v>
      </c>
      <c r="L165" s="314">
        <v>45.0</v>
      </c>
      <c r="M165" s="314">
        <v>38.0</v>
      </c>
      <c r="N165" s="314">
        <v>55.0</v>
      </c>
      <c r="O165" s="314">
        <v>47.0</v>
      </c>
      <c r="P165" s="314">
        <v>68.0</v>
      </c>
      <c r="Q165" s="314">
        <v>45.0</v>
      </c>
      <c r="R165" s="314">
        <v>47.0</v>
      </c>
      <c r="S165" s="314">
        <v>37.0</v>
      </c>
      <c r="T165" s="314">
        <v>41.0</v>
      </c>
      <c r="U165" s="314">
        <v>37.0</v>
      </c>
      <c r="V165" s="314">
        <v>66.0</v>
      </c>
      <c r="W165" s="314">
        <v>37.0</v>
      </c>
      <c r="X165" s="314">
        <v>40.0</v>
      </c>
      <c r="Y165" s="314">
        <v>44.0</v>
      </c>
      <c r="Z165" s="314">
        <v>41.0</v>
      </c>
      <c r="AA165" s="314">
        <v>45.0</v>
      </c>
      <c r="AB165" s="314">
        <v>61.0</v>
      </c>
      <c r="AC165" s="314">
        <v>48.0</v>
      </c>
      <c r="AD165" s="314">
        <v>52.0</v>
      </c>
      <c r="AE165" s="314">
        <v>51.0</v>
      </c>
      <c r="AF165" s="337">
        <v>55.0</v>
      </c>
      <c r="AG165" s="290">
        <f>SUM(B165:AF165)</f>
        <v>1774</v>
      </c>
    </row>
    <row r="166">
      <c r="A166" s="249" t="s">
        <v>55</v>
      </c>
      <c r="B166" s="314">
        <v>0.0</v>
      </c>
      <c r="C166" s="314">
        <v>0.0</v>
      </c>
      <c r="D166" s="314">
        <v>0.0</v>
      </c>
      <c r="E166" s="314">
        <v>1.0</v>
      </c>
      <c r="F166" s="314">
        <v>0.0</v>
      </c>
      <c r="G166" s="314">
        <v>0.0</v>
      </c>
      <c r="H166" s="314">
        <v>0.0</v>
      </c>
      <c r="I166" s="314">
        <v>0.0</v>
      </c>
      <c r="J166" s="314">
        <v>0.0</v>
      </c>
      <c r="K166" s="314">
        <v>0.0</v>
      </c>
      <c r="L166" s="314">
        <v>0.0</v>
      </c>
      <c r="M166" s="314">
        <v>0.0</v>
      </c>
      <c r="N166" s="314">
        <v>0.0</v>
      </c>
      <c r="O166" s="314">
        <v>0.0</v>
      </c>
      <c r="P166" s="347">
        <v>0.0</v>
      </c>
      <c r="Q166" s="314">
        <v>0.0</v>
      </c>
      <c r="R166" s="314">
        <v>5.0</v>
      </c>
      <c r="S166" s="314">
        <v>0.0</v>
      </c>
      <c r="T166" s="314">
        <v>0.0</v>
      </c>
      <c r="U166" s="314">
        <v>0.0</v>
      </c>
      <c r="V166" s="314">
        <v>0.0</v>
      </c>
      <c r="W166" s="314">
        <v>0.0</v>
      </c>
      <c r="X166" s="314">
        <v>0.0</v>
      </c>
      <c r="Y166" s="314">
        <v>0.0</v>
      </c>
      <c r="Z166" s="314">
        <v>0.0</v>
      </c>
      <c r="AA166" s="314">
        <v>0.0</v>
      </c>
      <c r="AB166" s="314">
        <v>0.0</v>
      </c>
      <c r="AC166" s="314">
        <v>0.0</v>
      </c>
      <c r="AD166" s="314">
        <v>0.0</v>
      </c>
      <c r="AE166" s="314">
        <v>0.0</v>
      </c>
      <c r="AF166" s="337">
        <v>0.0</v>
      </c>
      <c r="AG166" s="344">
        <f t="shared" ref="AG166:AG168" si="41">sum(B166:AF166)</f>
        <v>6</v>
      </c>
    </row>
    <row r="167">
      <c r="A167" s="249" t="s">
        <v>58</v>
      </c>
      <c r="B167" s="314">
        <v>95.0</v>
      </c>
      <c r="C167" s="314">
        <v>82.0</v>
      </c>
      <c r="D167" s="314">
        <v>55.0</v>
      </c>
      <c r="E167" s="314">
        <v>242.0</v>
      </c>
      <c r="F167" s="314">
        <v>219.0</v>
      </c>
      <c r="G167" s="314">
        <v>199.0</v>
      </c>
      <c r="H167" s="314">
        <v>189.0</v>
      </c>
      <c r="I167" s="314">
        <v>123.0</v>
      </c>
      <c r="J167" s="314">
        <v>123.0</v>
      </c>
      <c r="K167" s="314">
        <v>124.0</v>
      </c>
      <c r="L167" s="314">
        <v>107.0</v>
      </c>
      <c r="M167" s="314">
        <v>80.0</v>
      </c>
      <c r="N167" s="314">
        <v>95.0</v>
      </c>
      <c r="O167" s="314">
        <v>88.0</v>
      </c>
      <c r="P167" s="314">
        <v>114.0</v>
      </c>
      <c r="Q167" s="314">
        <v>83.0</v>
      </c>
      <c r="R167" s="314">
        <v>88.0</v>
      </c>
      <c r="S167" s="314">
        <v>85.0</v>
      </c>
      <c r="T167" s="314">
        <v>104.0</v>
      </c>
      <c r="U167" s="314">
        <v>95.0</v>
      </c>
      <c r="V167" s="314">
        <v>118.0</v>
      </c>
      <c r="W167" s="314">
        <v>105.0</v>
      </c>
      <c r="X167" s="314">
        <v>89.0</v>
      </c>
      <c r="Y167" s="314">
        <v>99.0</v>
      </c>
      <c r="Z167" s="314">
        <v>110.0</v>
      </c>
      <c r="AA167" s="314">
        <v>81.0</v>
      </c>
      <c r="AB167" s="314">
        <v>115.0</v>
      </c>
      <c r="AC167" s="314">
        <v>112.0</v>
      </c>
      <c r="AD167" s="314">
        <v>120.0</v>
      </c>
      <c r="AE167" s="314">
        <v>116.0</v>
      </c>
      <c r="AF167" s="337">
        <v>117.0</v>
      </c>
      <c r="AG167" s="344">
        <f t="shared" si="41"/>
        <v>3572</v>
      </c>
    </row>
    <row r="168">
      <c r="A168" s="249" t="s">
        <v>59</v>
      </c>
      <c r="B168" s="314">
        <v>39.0</v>
      </c>
      <c r="C168" s="314">
        <v>28.0</v>
      </c>
      <c r="D168" s="314">
        <v>22.0</v>
      </c>
      <c r="E168" s="314">
        <v>83.0</v>
      </c>
      <c r="F168" s="314">
        <v>81.0</v>
      </c>
      <c r="G168" s="314">
        <v>82.0</v>
      </c>
      <c r="H168" s="314">
        <v>69.0</v>
      </c>
      <c r="I168" s="314">
        <v>48.0</v>
      </c>
      <c r="J168" s="314">
        <v>52.0</v>
      </c>
      <c r="K168" s="347">
        <v>44.0</v>
      </c>
      <c r="L168" s="314">
        <v>33.0</v>
      </c>
      <c r="M168" s="314">
        <v>23.0</v>
      </c>
      <c r="N168" s="314">
        <v>37.0</v>
      </c>
      <c r="O168" s="314">
        <v>35.0</v>
      </c>
      <c r="P168" s="314">
        <v>43.0</v>
      </c>
      <c r="Q168" s="314">
        <v>33.0</v>
      </c>
      <c r="R168" s="314">
        <v>20.0</v>
      </c>
      <c r="S168" s="314">
        <v>28.0</v>
      </c>
      <c r="T168" s="314">
        <v>31.0</v>
      </c>
      <c r="U168" s="314">
        <v>30.0</v>
      </c>
      <c r="V168" s="314">
        <v>43.0</v>
      </c>
      <c r="W168" s="314">
        <v>28.0</v>
      </c>
      <c r="X168" s="314">
        <v>24.0</v>
      </c>
      <c r="Y168" s="314">
        <v>30.0</v>
      </c>
      <c r="Z168" s="314">
        <v>27.0</v>
      </c>
      <c r="AA168" s="314">
        <v>30.0</v>
      </c>
      <c r="AB168" s="314">
        <v>49.0</v>
      </c>
      <c r="AC168" s="314">
        <v>34.0</v>
      </c>
      <c r="AD168" s="314">
        <v>47.0</v>
      </c>
      <c r="AE168" s="314">
        <v>31.0</v>
      </c>
      <c r="AF168" s="337">
        <v>40.0</v>
      </c>
      <c r="AG168" s="344">
        <f t="shared" si="41"/>
        <v>1244</v>
      </c>
    </row>
    <row r="169">
      <c r="A169" s="249" t="s">
        <v>891</v>
      </c>
      <c r="B169" s="314">
        <v>87.0</v>
      </c>
      <c r="C169" s="314">
        <v>78.0</v>
      </c>
      <c r="D169" s="314">
        <v>60.0</v>
      </c>
      <c r="E169" s="314">
        <v>213.0</v>
      </c>
      <c r="F169" s="314">
        <v>180.0</v>
      </c>
      <c r="G169" s="314">
        <v>82.0</v>
      </c>
      <c r="H169" s="314">
        <v>31.0</v>
      </c>
      <c r="I169" s="314">
        <v>27.0</v>
      </c>
      <c r="J169" s="314">
        <v>22.0</v>
      </c>
      <c r="K169" s="314">
        <v>35.0</v>
      </c>
      <c r="L169" s="314">
        <v>17.0</v>
      </c>
      <c r="M169" s="314">
        <v>9.0</v>
      </c>
      <c r="N169" s="314">
        <v>22.0</v>
      </c>
      <c r="O169" s="314">
        <v>13.0</v>
      </c>
      <c r="P169" s="314">
        <v>25.0</v>
      </c>
      <c r="Q169" s="314">
        <v>13.0</v>
      </c>
      <c r="R169" s="314">
        <v>36.0</v>
      </c>
      <c r="S169" s="314">
        <v>13.0</v>
      </c>
      <c r="T169" s="314">
        <v>8.0</v>
      </c>
      <c r="U169" s="314">
        <v>16.0</v>
      </c>
      <c r="V169" s="314">
        <v>18.0</v>
      </c>
      <c r="W169" s="314">
        <v>21.0</v>
      </c>
      <c r="X169" s="314">
        <v>14.0</v>
      </c>
      <c r="Y169" s="314">
        <v>17.0</v>
      </c>
      <c r="Z169" s="314">
        <v>8.0</v>
      </c>
      <c r="AA169" s="314">
        <v>9.0</v>
      </c>
      <c r="AB169" s="314">
        <v>16.0</v>
      </c>
      <c r="AC169" s="314">
        <v>16.0</v>
      </c>
      <c r="AD169" s="314">
        <v>19.0</v>
      </c>
      <c r="AE169" s="314">
        <v>13.0</v>
      </c>
      <c r="AF169" s="337">
        <v>6.0</v>
      </c>
      <c r="AG169" s="344">
        <f>SUM(B169:AF169)</f>
        <v>1144</v>
      </c>
    </row>
    <row r="170">
      <c r="A170" s="340" t="s">
        <v>126</v>
      </c>
      <c r="B170" s="321">
        <f t="shared" ref="B170:AF170" si="42">SUM(B165:B169)</f>
        <v>278</v>
      </c>
      <c r="C170" s="321">
        <f t="shared" si="42"/>
        <v>237</v>
      </c>
      <c r="D170" s="321">
        <f t="shared" si="42"/>
        <v>170</v>
      </c>
      <c r="E170" s="321">
        <f t="shared" si="42"/>
        <v>658</v>
      </c>
      <c r="F170" s="321">
        <f t="shared" si="42"/>
        <v>587</v>
      </c>
      <c r="G170" s="321">
        <f t="shared" si="42"/>
        <v>462</v>
      </c>
      <c r="H170" s="321">
        <f t="shared" si="42"/>
        <v>395</v>
      </c>
      <c r="I170" s="321">
        <f t="shared" si="42"/>
        <v>265</v>
      </c>
      <c r="J170" s="321">
        <f t="shared" si="42"/>
        <v>275</v>
      </c>
      <c r="K170" s="321">
        <f t="shared" si="42"/>
        <v>262</v>
      </c>
      <c r="L170" s="321">
        <f t="shared" si="42"/>
        <v>202</v>
      </c>
      <c r="M170" s="321">
        <f t="shared" si="42"/>
        <v>150</v>
      </c>
      <c r="N170" s="321">
        <f t="shared" si="42"/>
        <v>209</v>
      </c>
      <c r="O170" s="321">
        <f t="shared" si="42"/>
        <v>183</v>
      </c>
      <c r="P170" s="321">
        <f t="shared" si="42"/>
        <v>250</v>
      </c>
      <c r="Q170" s="321">
        <f t="shared" si="42"/>
        <v>174</v>
      </c>
      <c r="R170" s="321">
        <f t="shared" si="42"/>
        <v>196</v>
      </c>
      <c r="S170" s="321">
        <f t="shared" si="42"/>
        <v>163</v>
      </c>
      <c r="T170" s="321">
        <f t="shared" si="42"/>
        <v>184</v>
      </c>
      <c r="U170" s="321">
        <f t="shared" si="42"/>
        <v>178</v>
      </c>
      <c r="V170" s="321">
        <f t="shared" si="42"/>
        <v>245</v>
      </c>
      <c r="W170" s="321">
        <f t="shared" si="42"/>
        <v>191</v>
      </c>
      <c r="X170" s="321">
        <f t="shared" si="42"/>
        <v>167</v>
      </c>
      <c r="Y170" s="321">
        <f t="shared" si="42"/>
        <v>190</v>
      </c>
      <c r="Z170" s="321">
        <f t="shared" si="42"/>
        <v>186</v>
      </c>
      <c r="AA170" s="321">
        <f t="shared" si="42"/>
        <v>165</v>
      </c>
      <c r="AB170" s="321">
        <f t="shared" si="42"/>
        <v>241</v>
      </c>
      <c r="AC170" s="321">
        <f t="shared" si="42"/>
        <v>210</v>
      </c>
      <c r="AD170" s="321">
        <f t="shared" si="42"/>
        <v>238</v>
      </c>
      <c r="AE170" s="321">
        <f t="shared" si="42"/>
        <v>211</v>
      </c>
      <c r="AF170" s="343">
        <f t="shared" si="42"/>
        <v>218</v>
      </c>
      <c r="AG170" s="344">
        <f>sum(B170:AF170)</f>
        <v>7740</v>
      </c>
    </row>
    <row r="171">
      <c r="A171" s="336"/>
      <c r="B171" s="335"/>
      <c r="C171" s="335"/>
      <c r="D171" s="335"/>
      <c r="E171" s="335"/>
      <c r="F171" s="335"/>
      <c r="G171" s="335"/>
      <c r="H171" s="335"/>
      <c r="I171" s="335"/>
      <c r="J171" s="335"/>
      <c r="K171" s="335"/>
      <c r="L171" s="335"/>
      <c r="M171" s="335"/>
      <c r="N171" s="335"/>
      <c r="O171" s="335"/>
      <c r="P171" s="335"/>
      <c r="Q171" s="335"/>
      <c r="R171" s="335"/>
      <c r="S171" s="335"/>
      <c r="T171" s="335"/>
      <c r="U171" s="335"/>
      <c r="V171" s="335"/>
      <c r="W171" s="335"/>
      <c r="X171" s="335"/>
      <c r="Y171" s="335"/>
      <c r="Z171" s="335"/>
      <c r="AA171" s="335"/>
      <c r="AB171" s="335"/>
      <c r="AC171" s="335"/>
      <c r="AD171" s="335"/>
      <c r="AE171" s="335"/>
      <c r="AF171" s="336"/>
      <c r="AG171" s="344"/>
    </row>
    <row r="172">
      <c r="A172" s="274" t="s">
        <v>981</v>
      </c>
      <c r="B172" s="335"/>
      <c r="C172" s="335"/>
      <c r="D172" s="335"/>
      <c r="E172" s="335"/>
      <c r="F172" s="335"/>
      <c r="G172" s="335"/>
      <c r="H172" s="335"/>
      <c r="I172" s="335"/>
      <c r="J172" s="335"/>
      <c r="K172" s="335"/>
      <c r="L172" s="335"/>
      <c r="M172" s="335"/>
      <c r="N172" s="335"/>
      <c r="O172" s="335"/>
      <c r="P172" s="335"/>
      <c r="Q172" s="335"/>
      <c r="R172" s="335"/>
      <c r="S172" s="335"/>
      <c r="T172" s="335"/>
      <c r="U172" s="335"/>
      <c r="V172" s="335"/>
      <c r="W172" s="335"/>
      <c r="X172" s="335"/>
      <c r="Y172" s="335"/>
      <c r="Z172" s="335"/>
      <c r="AA172" s="335"/>
      <c r="AB172" s="335"/>
      <c r="AC172" s="335"/>
      <c r="AD172" s="335"/>
      <c r="AE172" s="335"/>
      <c r="AF172" s="336"/>
      <c r="AG172" s="344">
        <f t="shared" ref="AG172:AG175" si="43">sum(B172:AF172)</f>
        <v>0</v>
      </c>
    </row>
    <row r="173">
      <c r="A173" s="249" t="s">
        <v>43</v>
      </c>
      <c r="B173" s="314">
        <v>12.0</v>
      </c>
      <c r="C173" s="314">
        <v>10.0</v>
      </c>
      <c r="D173" s="314">
        <v>28.0</v>
      </c>
      <c r="E173" s="314">
        <v>52.0</v>
      </c>
      <c r="F173" s="314">
        <v>18.0</v>
      </c>
      <c r="G173" s="314">
        <v>1.0</v>
      </c>
      <c r="H173" s="314">
        <v>2.0</v>
      </c>
      <c r="I173" s="314">
        <v>2.0</v>
      </c>
      <c r="J173" s="314">
        <v>2.0</v>
      </c>
      <c r="K173" s="314">
        <v>13.0</v>
      </c>
      <c r="L173" s="314">
        <v>4.0</v>
      </c>
      <c r="M173" s="314">
        <v>1.0</v>
      </c>
      <c r="N173" s="314">
        <v>1.0</v>
      </c>
      <c r="O173" s="314">
        <v>0.0</v>
      </c>
      <c r="P173" s="314">
        <v>2.0</v>
      </c>
      <c r="Q173" s="314">
        <v>2.0</v>
      </c>
      <c r="R173" s="314">
        <v>3.0</v>
      </c>
      <c r="S173" s="314">
        <v>2.0</v>
      </c>
      <c r="T173" s="314">
        <v>2.0</v>
      </c>
      <c r="U173" s="314">
        <v>3.0</v>
      </c>
      <c r="V173" s="314">
        <v>3.0</v>
      </c>
      <c r="W173" s="314">
        <v>3.0</v>
      </c>
      <c r="X173" s="314">
        <v>4.0</v>
      </c>
      <c r="Y173" s="314">
        <v>2.0</v>
      </c>
      <c r="Z173" s="314">
        <v>1.0</v>
      </c>
      <c r="AA173" s="314">
        <v>6.0</v>
      </c>
      <c r="AB173" s="314">
        <v>1.0</v>
      </c>
      <c r="AC173" s="314">
        <v>4.0</v>
      </c>
      <c r="AD173" s="314">
        <v>1.0</v>
      </c>
      <c r="AE173" s="314">
        <v>0.0</v>
      </c>
      <c r="AF173" s="337">
        <v>0.0</v>
      </c>
      <c r="AG173" s="344">
        <f t="shared" si="43"/>
        <v>185</v>
      </c>
    </row>
    <row r="174">
      <c r="A174" s="249" t="s">
        <v>47</v>
      </c>
      <c r="B174" s="314">
        <v>1.0</v>
      </c>
      <c r="C174" s="314">
        <v>0.0</v>
      </c>
      <c r="D174" s="314">
        <v>0.0</v>
      </c>
      <c r="E174" s="314">
        <v>1.0</v>
      </c>
      <c r="F174" s="314">
        <v>1.0</v>
      </c>
      <c r="G174" s="314">
        <v>10.0</v>
      </c>
      <c r="H174" s="314">
        <v>14.0</v>
      </c>
      <c r="I174" s="314">
        <v>8.0</v>
      </c>
      <c r="J174" s="314">
        <v>3.0</v>
      </c>
      <c r="K174" s="314">
        <v>34.0</v>
      </c>
      <c r="L174" s="314">
        <v>13.0</v>
      </c>
      <c r="M174" s="314">
        <v>5.0</v>
      </c>
      <c r="N174" s="314">
        <v>9.0</v>
      </c>
      <c r="O174" s="314">
        <v>2.0</v>
      </c>
      <c r="P174" s="314">
        <v>8.0</v>
      </c>
      <c r="Q174" s="314">
        <v>10.0</v>
      </c>
      <c r="R174" s="314">
        <v>4.0</v>
      </c>
      <c r="S174" s="314">
        <v>9.0</v>
      </c>
      <c r="T174" s="314">
        <v>4.0</v>
      </c>
      <c r="U174" s="314">
        <v>10.0</v>
      </c>
      <c r="V174" s="314">
        <v>8.0</v>
      </c>
      <c r="W174" s="314">
        <v>5.0</v>
      </c>
      <c r="X174" s="314">
        <v>10.0</v>
      </c>
      <c r="Y174" s="314">
        <v>11.0</v>
      </c>
      <c r="Z174" s="314">
        <v>4.0</v>
      </c>
      <c r="AA174" s="314">
        <v>6.0</v>
      </c>
      <c r="AB174" s="314">
        <v>7.0</v>
      </c>
      <c r="AC174" s="314">
        <v>3.0</v>
      </c>
      <c r="AD174" s="314">
        <v>4.0</v>
      </c>
      <c r="AE174" s="314">
        <v>2.0</v>
      </c>
      <c r="AF174" s="337">
        <v>9.0</v>
      </c>
      <c r="AG174" s="344">
        <f t="shared" si="43"/>
        <v>215</v>
      </c>
    </row>
    <row r="175">
      <c r="A175" s="340" t="s">
        <v>871</v>
      </c>
      <c r="B175" s="321">
        <f t="shared" ref="B175:AF175" si="44">SUM(B173:B174)</f>
        <v>13</v>
      </c>
      <c r="C175" s="321">
        <f t="shared" si="44"/>
        <v>10</v>
      </c>
      <c r="D175" s="321">
        <f t="shared" si="44"/>
        <v>28</v>
      </c>
      <c r="E175" s="321">
        <f t="shared" si="44"/>
        <v>53</v>
      </c>
      <c r="F175" s="321">
        <f t="shared" si="44"/>
        <v>19</v>
      </c>
      <c r="G175" s="321">
        <f t="shared" si="44"/>
        <v>11</v>
      </c>
      <c r="H175" s="321">
        <f t="shared" si="44"/>
        <v>16</v>
      </c>
      <c r="I175" s="321">
        <f t="shared" si="44"/>
        <v>10</v>
      </c>
      <c r="J175" s="321">
        <f t="shared" si="44"/>
        <v>5</v>
      </c>
      <c r="K175" s="321">
        <f t="shared" si="44"/>
        <v>47</v>
      </c>
      <c r="L175" s="321">
        <f t="shared" si="44"/>
        <v>17</v>
      </c>
      <c r="M175" s="321">
        <f t="shared" si="44"/>
        <v>6</v>
      </c>
      <c r="N175" s="321">
        <f t="shared" si="44"/>
        <v>10</v>
      </c>
      <c r="O175" s="321">
        <f t="shared" si="44"/>
        <v>2</v>
      </c>
      <c r="P175" s="321">
        <f t="shared" si="44"/>
        <v>10</v>
      </c>
      <c r="Q175" s="321">
        <f t="shared" si="44"/>
        <v>12</v>
      </c>
      <c r="R175" s="321">
        <f t="shared" si="44"/>
        <v>7</v>
      </c>
      <c r="S175" s="321">
        <f t="shared" si="44"/>
        <v>11</v>
      </c>
      <c r="T175" s="321">
        <f t="shared" si="44"/>
        <v>6</v>
      </c>
      <c r="U175" s="321">
        <f t="shared" si="44"/>
        <v>13</v>
      </c>
      <c r="V175" s="321">
        <f t="shared" si="44"/>
        <v>11</v>
      </c>
      <c r="W175" s="321">
        <f t="shared" si="44"/>
        <v>8</v>
      </c>
      <c r="X175" s="321">
        <f t="shared" si="44"/>
        <v>14</v>
      </c>
      <c r="Y175" s="321">
        <f t="shared" si="44"/>
        <v>13</v>
      </c>
      <c r="Z175" s="321">
        <f t="shared" si="44"/>
        <v>5</v>
      </c>
      <c r="AA175" s="321">
        <f t="shared" si="44"/>
        <v>12</v>
      </c>
      <c r="AB175" s="321">
        <f t="shared" si="44"/>
        <v>8</v>
      </c>
      <c r="AC175" s="321">
        <f t="shared" si="44"/>
        <v>7</v>
      </c>
      <c r="AD175" s="321">
        <f t="shared" si="44"/>
        <v>5</v>
      </c>
      <c r="AE175" s="321">
        <f t="shared" si="44"/>
        <v>2</v>
      </c>
      <c r="AF175" s="343">
        <f t="shared" si="44"/>
        <v>9</v>
      </c>
      <c r="AG175" s="344">
        <f t="shared" si="43"/>
        <v>400</v>
      </c>
    </row>
    <row r="176">
      <c r="A176" s="336"/>
      <c r="B176" s="335"/>
      <c r="C176" s="335"/>
      <c r="D176" s="335"/>
      <c r="E176" s="335"/>
      <c r="F176" s="335"/>
      <c r="G176" s="335"/>
      <c r="H176" s="335"/>
      <c r="I176" s="335"/>
      <c r="J176" s="335"/>
      <c r="K176" s="335"/>
      <c r="L176" s="335"/>
      <c r="M176" s="335"/>
      <c r="N176" s="335"/>
      <c r="O176" s="335"/>
      <c r="P176" s="335"/>
      <c r="Q176" s="335"/>
      <c r="R176" s="335"/>
      <c r="S176" s="335"/>
      <c r="T176" s="335"/>
      <c r="U176" s="335"/>
      <c r="V176" s="335"/>
      <c r="W176" s="335"/>
      <c r="X176" s="335"/>
      <c r="Y176" s="335"/>
      <c r="Z176" s="335"/>
      <c r="AA176" s="335"/>
      <c r="AB176" s="335"/>
      <c r="AC176" s="335"/>
      <c r="AD176" s="335"/>
      <c r="AE176" s="335"/>
      <c r="AF176" s="336"/>
      <c r="AG176" s="344"/>
    </row>
    <row r="177">
      <c r="A177" s="249" t="s">
        <v>53</v>
      </c>
      <c r="B177" s="314">
        <v>18.0</v>
      </c>
      <c r="C177" s="314">
        <v>20.0</v>
      </c>
      <c r="D177" s="314">
        <v>21.0</v>
      </c>
      <c r="E177" s="314">
        <v>38.0</v>
      </c>
      <c r="F177" s="314">
        <v>21.0</v>
      </c>
      <c r="G177" s="314">
        <v>16.0</v>
      </c>
      <c r="H177" s="314">
        <v>26.0</v>
      </c>
      <c r="I177" s="314">
        <v>20.0</v>
      </c>
      <c r="J177" s="314">
        <v>9.0</v>
      </c>
      <c r="K177" s="314">
        <v>50.0</v>
      </c>
      <c r="L177" s="314">
        <v>18.0</v>
      </c>
      <c r="M177" s="314">
        <v>6.0</v>
      </c>
      <c r="N177" s="314">
        <v>13.0</v>
      </c>
      <c r="O177" s="314">
        <v>11.0</v>
      </c>
      <c r="P177" s="314">
        <v>12.0</v>
      </c>
      <c r="Q177" s="314">
        <v>13.0</v>
      </c>
      <c r="R177" s="314">
        <v>12.0</v>
      </c>
      <c r="S177" s="314">
        <v>14.0</v>
      </c>
      <c r="T177" s="314">
        <v>9.0</v>
      </c>
      <c r="U177" s="314">
        <v>8.0</v>
      </c>
      <c r="V177" s="314">
        <v>14.0</v>
      </c>
      <c r="W177" s="314">
        <v>5.0</v>
      </c>
      <c r="X177" s="314">
        <v>8.0</v>
      </c>
      <c r="Y177" s="314">
        <v>9.0</v>
      </c>
      <c r="Z177" s="314">
        <v>6.0</v>
      </c>
      <c r="AA177" s="314">
        <v>10.0</v>
      </c>
      <c r="AB177" s="314">
        <v>9.0</v>
      </c>
      <c r="AC177" s="314">
        <v>9.0</v>
      </c>
      <c r="AD177" s="314">
        <v>12.0</v>
      </c>
      <c r="AE177" s="314">
        <v>4.0</v>
      </c>
      <c r="AF177" s="337">
        <v>9.0</v>
      </c>
      <c r="AG177" s="344">
        <f t="shared" ref="AG177:AG182" si="45">sum(B177:AF177)</f>
        <v>450</v>
      </c>
    </row>
    <row r="178">
      <c r="A178" s="249" t="s">
        <v>55</v>
      </c>
      <c r="B178" s="314">
        <v>0.0</v>
      </c>
      <c r="C178" s="314">
        <v>0.0</v>
      </c>
      <c r="D178" s="314">
        <v>0.0</v>
      </c>
      <c r="E178" s="314">
        <v>0.0</v>
      </c>
      <c r="F178" s="314">
        <v>0.0</v>
      </c>
      <c r="G178" s="314">
        <v>0.0</v>
      </c>
      <c r="H178" s="314">
        <v>0.0</v>
      </c>
      <c r="I178" s="314">
        <v>0.0</v>
      </c>
      <c r="J178" s="314">
        <v>0.0</v>
      </c>
      <c r="K178" s="314">
        <v>0.0</v>
      </c>
      <c r="L178" s="314">
        <v>0.0</v>
      </c>
      <c r="M178" s="314">
        <v>1.0</v>
      </c>
      <c r="N178" s="314">
        <v>0.0</v>
      </c>
      <c r="O178" s="314">
        <v>0.0</v>
      </c>
      <c r="P178" s="347">
        <v>0.0</v>
      </c>
      <c r="Q178" s="314">
        <v>0.0</v>
      </c>
      <c r="R178" s="314">
        <v>0.0</v>
      </c>
      <c r="S178" s="314">
        <v>0.0</v>
      </c>
      <c r="T178" s="314">
        <v>0.0</v>
      </c>
      <c r="U178" s="314">
        <v>0.0</v>
      </c>
      <c r="V178" s="314">
        <v>0.0</v>
      </c>
      <c r="W178" s="314">
        <v>0.0</v>
      </c>
      <c r="X178" s="314">
        <v>0.0</v>
      </c>
      <c r="Y178" s="314">
        <v>0.0</v>
      </c>
      <c r="Z178" s="314">
        <v>0.0</v>
      </c>
      <c r="AA178" s="314">
        <v>1.0</v>
      </c>
      <c r="AB178" s="314">
        <v>0.0</v>
      </c>
      <c r="AC178" s="314">
        <v>0.0</v>
      </c>
      <c r="AD178" s="314">
        <v>0.0</v>
      </c>
      <c r="AE178" s="314">
        <v>0.0</v>
      </c>
      <c r="AF178" s="337">
        <v>0.0</v>
      </c>
      <c r="AG178" s="344">
        <f t="shared" si="45"/>
        <v>2</v>
      </c>
    </row>
    <row r="179">
      <c r="A179" s="249" t="s">
        <v>58</v>
      </c>
      <c r="B179" s="314">
        <v>24.0</v>
      </c>
      <c r="C179" s="314">
        <v>21.0</v>
      </c>
      <c r="D179" s="314">
        <v>18.0</v>
      </c>
      <c r="E179" s="314">
        <v>50.0</v>
      </c>
      <c r="F179" s="314">
        <v>29.0</v>
      </c>
      <c r="G179" s="314">
        <v>20.0</v>
      </c>
      <c r="H179" s="314">
        <v>24.0</v>
      </c>
      <c r="I179" s="314">
        <v>21.0</v>
      </c>
      <c r="J179" s="314">
        <v>11.0</v>
      </c>
      <c r="K179" s="314">
        <v>64.0</v>
      </c>
      <c r="L179" s="314">
        <v>30.0</v>
      </c>
      <c r="M179" s="314">
        <v>10.0</v>
      </c>
      <c r="N179" s="314">
        <v>22.0</v>
      </c>
      <c r="O179" s="314">
        <v>7.0</v>
      </c>
      <c r="P179" s="314">
        <v>17.0</v>
      </c>
      <c r="Q179" s="314">
        <v>17.0</v>
      </c>
      <c r="R179" s="314">
        <v>19.0</v>
      </c>
      <c r="S179" s="314">
        <v>15.0</v>
      </c>
      <c r="T179" s="314">
        <v>14.0</v>
      </c>
      <c r="U179" s="314">
        <v>19.0</v>
      </c>
      <c r="V179" s="314">
        <v>19.0</v>
      </c>
      <c r="W179" s="314">
        <v>21.0</v>
      </c>
      <c r="X179" s="314">
        <v>15.0</v>
      </c>
      <c r="Y179" s="314">
        <v>24.0</v>
      </c>
      <c r="Z179" s="314">
        <v>11.0</v>
      </c>
      <c r="AA179" s="314">
        <v>11.0</v>
      </c>
      <c r="AB179" s="314">
        <v>12.0</v>
      </c>
      <c r="AC179" s="314">
        <v>15.0</v>
      </c>
      <c r="AD179" s="314">
        <v>11.0</v>
      </c>
      <c r="AE179" s="314">
        <v>6.0</v>
      </c>
      <c r="AF179" s="337">
        <v>11.0</v>
      </c>
      <c r="AG179" s="344">
        <f t="shared" si="45"/>
        <v>608</v>
      </c>
    </row>
    <row r="180">
      <c r="A180" s="249" t="s">
        <v>59</v>
      </c>
      <c r="B180" s="314">
        <v>20.0</v>
      </c>
      <c r="C180" s="314">
        <v>14.0</v>
      </c>
      <c r="D180" s="314">
        <v>12.0</v>
      </c>
      <c r="E180" s="314">
        <v>38.0</v>
      </c>
      <c r="F180" s="314">
        <v>19.0</v>
      </c>
      <c r="G180" s="314">
        <v>14.0</v>
      </c>
      <c r="H180" s="314">
        <v>19.0</v>
      </c>
      <c r="I180" s="314">
        <v>20.0</v>
      </c>
      <c r="J180" s="314">
        <v>8.0</v>
      </c>
      <c r="K180" s="314">
        <v>40.0</v>
      </c>
      <c r="L180" s="314">
        <v>21.0</v>
      </c>
      <c r="M180" s="314">
        <v>7.0</v>
      </c>
      <c r="N180" s="314">
        <v>13.0</v>
      </c>
      <c r="O180" s="314">
        <v>12.0</v>
      </c>
      <c r="P180" s="314">
        <v>9.0</v>
      </c>
      <c r="Q180" s="314">
        <v>14.0</v>
      </c>
      <c r="R180" s="314">
        <v>11.0</v>
      </c>
      <c r="S180" s="314">
        <v>13.0</v>
      </c>
      <c r="T180" s="314">
        <v>15.0</v>
      </c>
      <c r="U180" s="314">
        <v>7.0</v>
      </c>
      <c r="V180" s="314">
        <v>14.0</v>
      </c>
      <c r="W180" s="314">
        <v>15.0</v>
      </c>
      <c r="X180" s="314">
        <v>12.0</v>
      </c>
      <c r="Y180" s="314">
        <v>8.0</v>
      </c>
      <c r="Z180" s="314">
        <v>6.0</v>
      </c>
      <c r="AA180" s="314">
        <v>7.0</v>
      </c>
      <c r="AB180" s="314">
        <v>9.0</v>
      </c>
      <c r="AC180" s="314">
        <v>12.0</v>
      </c>
      <c r="AD180" s="314">
        <v>6.0</v>
      </c>
      <c r="AE180" s="314">
        <v>5.0</v>
      </c>
      <c r="AF180" s="337">
        <v>7.0</v>
      </c>
      <c r="AG180" s="344">
        <f t="shared" si="45"/>
        <v>427</v>
      </c>
    </row>
    <row r="181">
      <c r="A181" s="249" t="s">
        <v>891</v>
      </c>
      <c r="B181" s="314">
        <v>32.0</v>
      </c>
      <c r="C181" s="314">
        <v>32.0</v>
      </c>
      <c r="D181" s="314">
        <v>24.0</v>
      </c>
      <c r="E181" s="314">
        <v>66.0</v>
      </c>
      <c r="F181" s="314">
        <v>42.0</v>
      </c>
      <c r="G181" s="314">
        <v>24.0</v>
      </c>
      <c r="H181" s="314">
        <v>22.0</v>
      </c>
      <c r="I181" s="314">
        <v>26.0</v>
      </c>
      <c r="J181" s="314">
        <v>13.0</v>
      </c>
      <c r="K181" s="314">
        <v>65.0</v>
      </c>
      <c r="L181" s="314">
        <v>27.0</v>
      </c>
      <c r="M181" s="314">
        <v>6.0</v>
      </c>
      <c r="N181" s="314">
        <v>11.0</v>
      </c>
      <c r="O181" s="314">
        <v>13.0</v>
      </c>
      <c r="P181" s="314">
        <v>11.0</v>
      </c>
      <c r="Q181" s="314">
        <v>14.0</v>
      </c>
      <c r="R181" s="314">
        <v>16.0</v>
      </c>
      <c r="S181" s="314">
        <v>5.0</v>
      </c>
      <c r="T181" s="314">
        <v>9.0</v>
      </c>
      <c r="U181" s="314">
        <v>7.0</v>
      </c>
      <c r="V181" s="314">
        <v>8.0</v>
      </c>
      <c r="W181" s="314">
        <v>13.0</v>
      </c>
      <c r="X181" s="314">
        <v>7.0</v>
      </c>
      <c r="Y181" s="314">
        <v>7.0</v>
      </c>
      <c r="Z181" s="314">
        <v>13.0</v>
      </c>
      <c r="AA181" s="314">
        <v>7.0</v>
      </c>
      <c r="AB181" s="314">
        <v>6.0</v>
      </c>
      <c r="AC181" s="314">
        <v>14.0</v>
      </c>
      <c r="AD181" s="314">
        <v>9.0</v>
      </c>
      <c r="AE181" s="314">
        <v>9.0</v>
      </c>
      <c r="AF181" s="337">
        <v>9.0</v>
      </c>
      <c r="AG181" s="344">
        <f t="shared" si="45"/>
        <v>567</v>
      </c>
    </row>
    <row r="182">
      <c r="A182" s="340" t="s">
        <v>126</v>
      </c>
      <c r="B182" s="321">
        <f t="shared" ref="B182:AF182" si="46">SUM(B177:B181)</f>
        <v>94</v>
      </c>
      <c r="C182" s="321">
        <f t="shared" si="46"/>
        <v>87</v>
      </c>
      <c r="D182" s="321">
        <f t="shared" si="46"/>
        <v>75</v>
      </c>
      <c r="E182" s="321">
        <f t="shared" si="46"/>
        <v>192</v>
      </c>
      <c r="F182" s="321">
        <f t="shared" si="46"/>
        <v>111</v>
      </c>
      <c r="G182" s="321">
        <f t="shared" si="46"/>
        <v>74</v>
      </c>
      <c r="H182" s="321">
        <f t="shared" si="46"/>
        <v>91</v>
      </c>
      <c r="I182" s="321">
        <f t="shared" si="46"/>
        <v>87</v>
      </c>
      <c r="J182" s="321">
        <f t="shared" si="46"/>
        <v>41</v>
      </c>
      <c r="K182" s="321">
        <f t="shared" si="46"/>
        <v>219</v>
      </c>
      <c r="L182" s="321">
        <f t="shared" si="46"/>
        <v>96</v>
      </c>
      <c r="M182" s="321">
        <f t="shared" si="46"/>
        <v>30</v>
      </c>
      <c r="N182" s="321">
        <f t="shared" si="46"/>
        <v>59</v>
      </c>
      <c r="O182" s="321">
        <f t="shared" si="46"/>
        <v>43</v>
      </c>
      <c r="P182" s="321">
        <f t="shared" si="46"/>
        <v>49</v>
      </c>
      <c r="Q182" s="321">
        <f t="shared" si="46"/>
        <v>58</v>
      </c>
      <c r="R182" s="321">
        <f t="shared" si="46"/>
        <v>58</v>
      </c>
      <c r="S182" s="321">
        <f t="shared" si="46"/>
        <v>47</v>
      </c>
      <c r="T182" s="321">
        <f t="shared" si="46"/>
        <v>47</v>
      </c>
      <c r="U182" s="321">
        <f t="shared" si="46"/>
        <v>41</v>
      </c>
      <c r="V182" s="321">
        <f t="shared" si="46"/>
        <v>55</v>
      </c>
      <c r="W182" s="321">
        <f t="shared" si="46"/>
        <v>54</v>
      </c>
      <c r="X182" s="321">
        <f t="shared" si="46"/>
        <v>42</v>
      </c>
      <c r="Y182" s="321">
        <f t="shared" si="46"/>
        <v>48</v>
      </c>
      <c r="Z182" s="321">
        <f t="shared" si="46"/>
        <v>36</v>
      </c>
      <c r="AA182" s="321">
        <f t="shared" si="46"/>
        <v>36</v>
      </c>
      <c r="AB182" s="321">
        <f t="shared" si="46"/>
        <v>36</v>
      </c>
      <c r="AC182" s="321">
        <f t="shared" si="46"/>
        <v>50</v>
      </c>
      <c r="AD182" s="321">
        <f t="shared" si="46"/>
        <v>38</v>
      </c>
      <c r="AE182" s="321">
        <f t="shared" si="46"/>
        <v>24</v>
      </c>
      <c r="AF182" s="343">
        <f t="shared" si="46"/>
        <v>36</v>
      </c>
      <c r="AG182" s="344">
        <f t="shared" si="45"/>
        <v>2054</v>
      </c>
    </row>
    <row r="183">
      <c r="A183" s="328"/>
      <c r="AG183" s="290"/>
    </row>
    <row r="184">
      <c r="A184" s="229" t="s">
        <v>1019</v>
      </c>
      <c r="B184" s="314"/>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90"/>
    </row>
    <row r="185">
      <c r="A185" s="245" t="s">
        <v>43</v>
      </c>
      <c r="B185" s="352">
        <f t="shared" ref="B185:C185" si="47">B138-B287</f>
        <v>90</v>
      </c>
      <c r="C185" s="352">
        <f t="shared" si="47"/>
        <v>76</v>
      </c>
      <c r="D185" s="347">
        <v>68.0</v>
      </c>
      <c r="E185" s="352">
        <f t="shared" ref="E185:AF185" si="48">E138-E287</f>
        <v>251</v>
      </c>
      <c r="F185" s="352">
        <f t="shared" si="48"/>
        <v>226</v>
      </c>
      <c r="G185" s="352">
        <f t="shared" si="48"/>
        <v>77</v>
      </c>
      <c r="H185" s="352">
        <f t="shared" si="48"/>
        <v>32</v>
      </c>
      <c r="I185" s="352">
        <f t="shared" si="48"/>
        <v>23</v>
      </c>
      <c r="J185" s="352">
        <f t="shared" si="48"/>
        <v>16</v>
      </c>
      <c r="K185" s="352">
        <f t="shared" si="48"/>
        <v>28</v>
      </c>
      <c r="L185" s="352">
        <f t="shared" si="48"/>
        <v>23</v>
      </c>
      <c r="M185" s="352">
        <f t="shared" si="48"/>
        <v>6</v>
      </c>
      <c r="N185" s="352">
        <f t="shared" si="48"/>
        <v>14</v>
      </c>
      <c r="O185" s="352">
        <f t="shared" si="48"/>
        <v>12</v>
      </c>
      <c r="P185" s="352">
        <f t="shared" si="48"/>
        <v>25</v>
      </c>
      <c r="Q185" s="352">
        <f t="shared" si="48"/>
        <v>11</v>
      </c>
      <c r="R185" s="352">
        <f t="shared" si="48"/>
        <v>53</v>
      </c>
      <c r="S185" s="352">
        <f t="shared" si="48"/>
        <v>19</v>
      </c>
      <c r="T185" s="352">
        <f t="shared" si="48"/>
        <v>28</v>
      </c>
      <c r="U185" s="352">
        <f t="shared" si="48"/>
        <v>18</v>
      </c>
      <c r="V185" s="352">
        <f t="shared" si="48"/>
        <v>29</v>
      </c>
      <c r="W185" s="352">
        <f t="shared" si="48"/>
        <v>35</v>
      </c>
      <c r="X185" s="352">
        <f t="shared" si="48"/>
        <v>29</v>
      </c>
      <c r="Y185" s="352">
        <f t="shared" si="48"/>
        <v>35</v>
      </c>
      <c r="Z185" s="353">
        <f t="shared" si="48"/>
        <v>17</v>
      </c>
      <c r="AA185" s="352">
        <f t="shared" si="48"/>
        <v>28</v>
      </c>
      <c r="AB185" s="352">
        <f t="shared" si="48"/>
        <v>23</v>
      </c>
      <c r="AC185" s="353">
        <f t="shared" si="48"/>
        <v>33</v>
      </c>
      <c r="AD185" s="352">
        <f t="shared" si="48"/>
        <v>27</v>
      </c>
      <c r="AE185" s="352">
        <f t="shared" si="48"/>
        <v>21</v>
      </c>
      <c r="AF185" s="352">
        <f t="shared" si="48"/>
        <v>38</v>
      </c>
      <c r="AG185" s="290">
        <f t="shared" ref="AG185:AG187" si="50">SUM(B185:AF185)</f>
        <v>1411</v>
      </c>
    </row>
    <row r="186">
      <c r="A186" s="245" t="s">
        <v>47</v>
      </c>
      <c r="B186" s="316">
        <f t="shared" ref="B186:AF186" si="49">B139-B288</f>
        <v>6</v>
      </c>
      <c r="C186" s="316">
        <f t="shared" si="49"/>
        <v>3</v>
      </c>
      <c r="D186" s="316">
        <f t="shared" si="49"/>
        <v>5</v>
      </c>
      <c r="E186" s="316">
        <f t="shared" si="49"/>
        <v>-2</v>
      </c>
      <c r="F186" s="316">
        <f t="shared" si="49"/>
        <v>2</v>
      </c>
      <c r="G186" s="316">
        <f t="shared" si="49"/>
        <v>103</v>
      </c>
      <c r="H186" s="316">
        <f t="shared" si="49"/>
        <v>149</v>
      </c>
      <c r="I186" s="316">
        <f t="shared" si="49"/>
        <v>98</v>
      </c>
      <c r="J186" s="316">
        <f t="shared" si="49"/>
        <v>87</v>
      </c>
      <c r="K186" s="316">
        <f t="shared" si="49"/>
        <v>85</v>
      </c>
      <c r="L186" s="316">
        <f t="shared" si="49"/>
        <v>70</v>
      </c>
      <c r="M186" s="316">
        <f t="shared" si="49"/>
        <v>56</v>
      </c>
      <c r="N186" s="316">
        <f t="shared" si="49"/>
        <v>75</v>
      </c>
      <c r="O186" s="316">
        <f t="shared" si="49"/>
        <v>66</v>
      </c>
      <c r="P186" s="316">
        <f t="shared" si="49"/>
        <v>85</v>
      </c>
      <c r="Q186" s="316">
        <f t="shared" si="49"/>
        <v>73</v>
      </c>
      <c r="R186" s="316">
        <f t="shared" si="49"/>
        <v>49</v>
      </c>
      <c r="S186" s="316">
        <f t="shared" si="49"/>
        <v>58</v>
      </c>
      <c r="T186" s="316">
        <f t="shared" si="49"/>
        <v>73</v>
      </c>
      <c r="U186" s="316">
        <f t="shared" si="49"/>
        <v>72</v>
      </c>
      <c r="V186" s="316">
        <f t="shared" si="49"/>
        <v>85</v>
      </c>
      <c r="W186" s="316">
        <f t="shared" si="49"/>
        <v>72</v>
      </c>
      <c r="X186" s="316">
        <f t="shared" si="49"/>
        <v>63</v>
      </c>
      <c r="Y186" s="316">
        <f t="shared" si="49"/>
        <v>80</v>
      </c>
      <c r="Z186" s="316">
        <f t="shared" si="49"/>
        <v>81</v>
      </c>
      <c r="AA186" s="316">
        <f t="shared" si="49"/>
        <v>55</v>
      </c>
      <c r="AB186" s="316">
        <f t="shared" si="49"/>
        <v>81</v>
      </c>
      <c r="AC186" s="316">
        <f t="shared" si="49"/>
        <v>76</v>
      </c>
      <c r="AD186" s="316">
        <f t="shared" si="49"/>
        <v>90</v>
      </c>
      <c r="AE186" s="316">
        <f t="shared" si="49"/>
        <v>88</v>
      </c>
      <c r="AF186" s="316">
        <f t="shared" si="49"/>
        <v>87</v>
      </c>
      <c r="AG186" s="290">
        <f t="shared" si="50"/>
        <v>2071</v>
      </c>
    </row>
    <row r="187">
      <c r="A187" s="320" t="s">
        <v>871</v>
      </c>
      <c r="B187" s="321">
        <f t="shared" ref="B187:AF187" si="51">SUM(B185:B186)</f>
        <v>96</v>
      </c>
      <c r="C187" s="321">
        <f t="shared" si="51"/>
        <v>79</v>
      </c>
      <c r="D187" s="321">
        <f t="shared" si="51"/>
        <v>73</v>
      </c>
      <c r="E187" s="321">
        <f t="shared" si="51"/>
        <v>249</v>
      </c>
      <c r="F187" s="321">
        <f t="shared" si="51"/>
        <v>228</v>
      </c>
      <c r="G187" s="321">
        <f t="shared" si="51"/>
        <v>180</v>
      </c>
      <c r="H187" s="321">
        <f t="shared" si="51"/>
        <v>181</v>
      </c>
      <c r="I187" s="321">
        <f t="shared" si="51"/>
        <v>121</v>
      </c>
      <c r="J187" s="321">
        <f t="shared" si="51"/>
        <v>103</v>
      </c>
      <c r="K187" s="321">
        <f t="shared" si="51"/>
        <v>113</v>
      </c>
      <c r="L187" s="321">
        <f t="shared" si="51"/>
        <v>93</v>
      </c>
      <c r="M187" s="321">
        <f t="shared" si="51"/>
        <v>62</v>
      </c>
      <c r="N187" s="321">
        <f t="shared" si="51"/>
        <v>89</v>
      </c>
      <c r="O187" s="321">
        <f t="shared" si="51"/>
        <v>78</v>
      </c>
      <c r="P187" s="321">
        <f t="shared" si="51"/>
        <v>110</v>
      </c>
      <c r="Q187" s="321">
        <f t="shared" si="51"/>
        <v>84</v>
      </c>
      <c r="R187" s="321">
        <f t="shared" si="51"/>
        <v>102</v>
      </c>
      <c r="S187" s="321">
        <f t="shared" si="51"/>
        <v>77</v>
      </c>
      <c r="T187" s="321">
        <f t="shared" si="51"/>
        <v>101</v>
      </c>
      <c r="U187" s="321">
        <f t="shared" si="51"/>
        <v>90</v>
      </c>
      <c r="V187" s="321">
        <f t="shared" si="51"/>
        <v>114</v>
      </c>
      <c r="W187" s="321">
        <f t="shared" si="51"/>
        <v>107</v>
      </c>
      <c r="X187" s="321">
        <f t="shared" si="51"/>
        <v>92</v>
      </c>
      <c r="Y187" s="321">
        <f t="shared" si="51"/>
        <v>115</v>
      </c>
      <c r="Z187" s="321">
        <f t="shared" si="51"/>
        <v>98</v>
      </c>
      <c r="AA187" s="321">
        <f t="shared" si="51"/>
        <v>83</v>
      </c>
      <c r="AB187" s="321">
        <f t="shared" si="51"/>
        <v>104</v>
      </c>
      <c r="AC187" s="321">
        <f t="shared" si="51"/>
        <v>109</v>
      </c>
      <c r="AD187" s="321">
        <f t="shared" si="51"/>
        <v>117</v>
      </c>
      <c r="AE187" s="321">
        <f t="shared" si="51"/>
        <v>109</v>
      </c>
      <c r="AF187" s="321">
        <f t="shared" si="51"/>
        <v>125</v>
      </c>
      <c r="AG187" s="290">
        <f t="shared" si="50"/>
        <v>3482</v>
      </c>
    </row>
    <row r="188">
      <c r="A188" s="26"/>
      <c r="B188" s="322"/>
      <c r="C188" s="322"/>
      <c r="D188" s="322"/>
      <c r="E188" s="322"/>
      <c r="F188" s="322"/>
      <c r="G188" s="322"/>
      <c r="H188" s="322"/>
      <c r="I188" s="322"/>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90"/>
    </row>
    <row r="189">
      <c r="A189" s="245" t="s">
        <v>53</v>
      </c>
      <c r="B189" s="316">
        <f t="shared" ref="B189:AF189" si="52">B142-(B290+B297+B304)</f>
        <v>75</v>
      </c>
      <c r="C189" s="316">
        <f t="shared" si="52"/>
        <v>69</v>
      </c>
      <c r="D189" s="316">
        <f t="shared" si="52"/>
        <v>53</v>
      </c>
      <c r="E189" s="316">
        <f t="shared" si="52"/>
        <v>149</v>
      </c>
      <c r="F189" s="316">
        <f t="shared" si="52"/>
        <v>127</v>
      </c>
      <c r="G189" s="316">
        <f t="shared" si="52"/>
        <v>106</v>
      </c>
      <c r="H189" s="316">
        <f t="shared" si="52"/>
        <v>127</v>
      </c>
      <c r="I189" s="316">
        <f t="shared" si="52"/>
        <v>81</v>
      </c>
      <c r="J189" s="316">
        <f t="shared" si="52"/>
        <v>78</v>
      </c>
      <c r="K189" s="316">
        <f t="shared" si="52"/>
        <v>95</v>
      </c>
      <c r="L189" s="316">
        <f t="shared" si="52"/>
        <v>59</v>
      </c>
      <c r="M189" s="316">
        <f t="shared" si="52"/>
        <v>39</v>
      </c>
      <c r="N189" s="316">
        <f t="shared" si="52"/>
        <v>59</v>
      </c>
      <c r="O189" s="316">
        <f t="shared" si="52"/>
        <v>55</v>
      </c>
      <c r="P189" s="316">
        <f t="shared" si="52"/>
        <v>79</v>
      </c>
      <c r="Q189" s="316">
        <f t="shared" si="52"/>
        <v>51</v>
      </c>
      <c r="R189" s="316">
        <f t="shared" si="52"/>
        <v>49</v>
      </c>
      <c r="S189" s="316">
        <f t="shared" si="52"/>
        <v>45</v>
      </c>
      <c r="T189" s="316">
        <f t="shared" si="52"/>
        <v>46</v>
      </c>
      <c r="U189" s="316">
        <f t="shared" si="52"/>
        <v>43</v>
      </c>
      <c r="V189" s="316">
        <f t="shared" si="52"/>
        <v>76</v>
      </c>
      <c r="W189" s="316">
        <f t="shared" si="52"/>
        <v>40</v>
      </c>
      <c r="X189" s="316">
        <f t="shared" si="52"/>
        <v>45</v>
      </c>
      <c r="Y189" s="316">
        <f t="shared" si="52"/>
        <v>53</v>
      </c>
      <c r="Z189" s="316">
        <f t="shared" si="52"/>
        <v>44</v>
      </c>
      <c r="AA189" s="316">
        <f t="shared" si="52"/>
        <v>53</v>
      </c>
      <c r="AB189" s="316">
        <f t="shared" si="52"/>
        <v>65</v>
      </c>
      <c r="AC189" s="316">
        <f t="shared" si="52"/>
        <v>51</v>
      </c>
      <c r="AD189" s="316">
        <f t="shared" si="52"/>
        <v>64</v>
      </c>
      <c r="AE189" s="316">
        <f t="shared" si="52"/>
        <v>50</v>
      </c>
      <c r="AF189" s="316">
        <f t="shared" si="52"/>
        <v>59</v>
      </c>
      <c r="AG189" s="290">
        <f t="shared" ref="AG189:AG194" si="54">SUM(B189:AF189)</f>
        <v>2085</v>
      </c>
    </row>
    <row r="190">
      <c r="A190" s="245" t="s">
        <v>55</v>
      </c>
      <c r="B190" s="316">
        <f t="shared" ref="B190:AF190" si="53">B143-(B291+B298+B305)</f>
        <v>0</v>
      </c>
      <c r="C190" s="316">
        <f t="shared" si="53"/>
        <v>0</v>
      </c>
      <c r="D190" s="316">
        <f t="shared" si="53"/>
        <v>-2</v>
      </c>
      <c r="E190" s="316">
        <f t="shared" si="53"/>
        <v>0</v>
      </c>
      <c r="F190" s="316">
        <f t="shared" si="53"/>
        <v>0</v>
      </c>
      <c r="G190" s="316">
        <f t="shared" si="53"/>
        <v>-3</v>
      </c>
      <c r="H190" s="316">
        <f t="shared" si="53"/>
        <v>0</v>
      </c>
      <c r="I190" s="316">
        <f t="shared" si="53"/>
        <v>0</v>
      </c>
      <c r="J190" s="316">
        <f t="shared" si="53"/>
        <v>-1</v>
      </c>
      <c r="K190" s="316">
        <f t="shared" si="53"/>
        <v>-5</v>
      </c>
      <c r="L190" s="316">
        <f t="shared" si="53"/>
        <v>-1</v>
      </c>
      <c r="M190" s="316">
        <f t="shared" si="53"/>
        <v>-1</v>
      </c>
      <c r="N190" s="316">
        <f t="shared" si="53"/>
        <v>0</v>
      </c>
      <c r="O190" s="316">
        <f t="shared" si="53"/>
        <v>1</v>
      </c>
      <c r="P190" s="316">
        <f t="shared" si="53"/>
        <v>-1</v>
      </c>
      <c r="Q190" s="316">
        <f t="shared" si="53"/>
        <v>0</v>
      </c>
      <c r="R190" s="316">
        <f t="shared" si="53"/>
        <v>3</v>
      </c>
      <c r="S190" s="316">
        <f t="shared" si="53"/>
        <v>-1</v>
      </c>
      <c r="T190" s="316">
        <f t="shared" si="53"/>
        <v>-4</v>
      </c>
      <c r="U190" s="316">
        <f t="shared" si="53"/>
        <v>-2</v>
      </c>
      <c r="V190" s="316">
        <f t="shared" si="53"/>
        <v>0</v>
      </c>
      <c r="W190" s="316">
        <f t="shared" si="53"/>
        <v>0</v>
      </c>
      <c r="X190" s="316">
        <f t="shared" si="53"/>
        <v>-9</v>
      </c>
      <c r="Y190" s="316">
        <f t="shared" si="53"/>
        <v>0</v>
      </c>
      <c r="Z190" s="316">
        <f t="shared" si="53"/>
        <v>-1</v>
      </c>
      <c r="AA190" s="316">
        <f t="shared" si="53"/>
        <v>1</v>
      </c>
      <c r="AB190" s="316">
        <f t="shared" si="53"/>
        <v>-2</v>
      </c>
      <c r="AC190" s="316">
        <f t="shared" si="53"/>
        <v>-2</v>
      </c>
      <c r="AD190" s="316">
        <f t="shared" si="53"/>
        <v>0</v>
      </c>
      <c r="AE190" s="316">
        <f t="shared" si="53"/>
        <v>-1</v>
      </c>
      <c r="AF190" s="316">
        <f t="shared" si="53"/>
        <v>0</v>
      </c>
      <c r="AG190" s="290">
        <f t="shared" si="54"/>
        <v>-31</v>
      </c>
    </row>
    <row r="191">
      <c r="A191" s="245" t="s">
        <v>58</v>
      </c>
      <c r="B191" s="316">
        <f t="shared" ref="B191:AF191" si="55">B144-(B292+B299+B306)</f>
        <v>119</v>
      </c>
      <c r="C191" s="316">
        <f t="shared" si="55"/>
        <v>103</v>
      </c>
      <c r="D191" s="316">
        <f t="shared" si="55"/>
        <v>69</v>
      </c>
      <c r="E191" s="316">
        <f t="shared" si="55"/>
        <v>285</v>
      </c>
      <c r="F191" s="316">
        <f t="shared" si="55"/>
        <v>248</v>
      </c>
      <c r="G191" s="316">
        <f t="shared" si="55"/>
        <v>200</v>
      </c>
      <c r="H191" s="316">
        <f t="shared" si="55"/>
        <v>207</v>
      </c>
      <c r="I191" s="316">
        <f t="shared" si="55"/>
        <v>138</v>
      </c>
      <c r="J191" s="316">
        <f t="shared" si="55"/>
        <v>123</v>
      </c>
      <c r="K191" s="316">
        <f t="shared" si="55"/>
        <v>167</v>
      </c>
      <c r="L191" s="316">
        <f t="shared" si="55"/>
        <v>131</v>
      </c>
      <c r="M191" s="316">
        <f t="shared" si="55"/>
        <v>81</v>
      </c>
      <c r="N191" s="316">
        <f t="shared" si="55"/>
        <v>112</v>
      </c>
      <c r="O191" s="316">
        <f t="shared" si="55"/>
        <v>89</v>
      </c>
      <c r="P191" s="316">
        <f t="shared" si="55"/>
        <v>129</v>
      </c>
      <c r="Q191" s="316">
        <f t="shared" si="55"/>
        <v>100</v>
      </c>
      <c r="R191" s="316">
        <f t="shared" si="55"/>
        <v>102</v>
      </c>
      <c r="S191" s="316">
        <f t="shared" si="55"/>
        <v>91</v>
      </c>
      <c r="T191" s="316">
        <f t="shared" si="55"/>
        <v>115</v>
      </c>
      <c r="U191" s="316">
        <f t="shared" si="55"/>
        <v>108</v>
      </c>
      <c r="V191" s="316">
        <f t="shared" si="55"/>
        <v>134</v>
      </c>
      <c r="W191" s="316">
        <f t="shared" si="55"/>
        <v>124</v>
      </c>
      <c r="X191" s="316">
        <f t="shared" si="55"/>
        <v>101</v>
      </c>
      <c r="Y191" s="316">
        <f t="shared" si="55"/>
        <v>123</v>
      </c>
      <c r="Z191" s="316">
        <f t="shared" si="55"/>
        <v>112</v>
      </c>
      <c r="AA191" s="316">
        <f t="shared" si="55"/>
        <v>87</v>
      </c>
      <c r="AB191" s="316">
        <f t="shared" si="55"/>
        <v>118</v>
      </c>
      <c r="AC191" s="316">
        <f t="shared" si="55"/>
        <v>120</v>
      </c>
      <c r="AD191" s="316">
        <f t="shared" si="55"/>
        <v>129</v>
      </c>
      <c r="AE191" s="316">
        <f t="shared" si="55"/>
        <v>115</v>
      </c>
      <c r="AF191" s="316">
        <f t="shared" si="55"/>
        <v>123</v>
      </c>
      <c r="AG191" s="290">
        <f t="shared" si="54"/>
        <v>4003</v>
      </c>
    </row>
    <row r="192">
      <c r="A192" s="245" t="s">
        <v>59</v>
      </c>
      <c r="B192" s="316">
        <f t="shared" ref="B192:AF192" si="56">B145-(B293+B300+B307)</f>
        <v>59</v>
      </c>
      <c r="C192" s="316">
        <f t="shared" si="56"/>
        <v>42</v>
      </c>
      <c r="D192" s="316">
        <f t="shared" si="56"/>
        <v>34</v>
      </c>
      <c r="E192" s="316">
        <f t="shared" si="56"/>
        <v>118</v>
      </c>
      <c r="F192" s="316">
        <f t="shared" si="56"/>
        <v>100</v>
      </c>
      <c r="G192" s="316">
        <f t="shared" si="56"/>
        <v>88</v>
      </c>
      <c r="H192" s="316">
        <f t="shared" si="56"/>
        <v>85</v>
      </c>
      <c r="I192" s="316">
        <f t="shared" si="56"/>
        <v>67</v>
      </c>
      <c r="J192" s="316">
        <f t="shared" si="56"/>
        <v>60</v>
      </c>
      <c r="K192" s="316">
        <f t="shared" si="56"/>
        <v>78</v>
      </c>
      <c r="L192" s="316">
        <f t="shared" si="56"/>
        <v>53</v>
      </c>
      <c r="M192" s="316">
        <f t="shared" si="56"/>
        <v>30</v>
      </c>
      <c r="N192" s="316">
        <f t="shared" si="56"/>
        <v>49</v>
      </c>
      <c r="O192" s="316">
        <f t="shared" si="56"/>
        <v>47</v>
      </c>
      <c r="P192" s="316">
        <f t="shared" si="56"/>
        <v>51</v>
      </c>
      <c r="Q192" s="316">
        <f t="shared" si="56"/>
        <v>47</v>
      </c>
      <c r="R192" s="316">
        <f t="shared" si="56"/>
        <v>29</v>
      </c>
      <c r="S192" s="316">
        <f t="shared" si="56"/>
        <v>38</v>
      </c>
      <c r="T192" s="316">
        <f t="shared" si="56"/>
        <v>42</v>
      </c>
      <c r="U192" s="316">
        <f t="shared" si="56"/>
        <v>36</v>
      </c>
      <c r="V192" s="316">
        <f t="shared" si="56"/>
        <v>57</v>
      </c>
      <c r="W192" s="316">
        <f t="shared" si="56"/>
        <v>42</v>
      </c>
      <c r="X192" s="316">
        <f t="shared" si="56"/>
        <v>33</v>
      </c>
      <c r="Y192" s="316">
        <f t="shared" si="56"/>
        <v>38</v>
      </c>
      <c r="Z192" s="316">
        <f t="shared" si="56"/>
        <v>33</v>
      </c>
      <c r="AA192" s="316">
        <f t="shared" si="56"/>
        <v>36</v>
      </c>
      <c r="AB192" s="316">
        <f t="shared" si="56"/>
        <v>53</v>
      </c>
      <c r="AC192" s="316">
        <f t="shared" si="56"/>
        <v>44</v>
      </c>
      <c r="AD192" s="316">
        <f t="shared" si="56"/>
        <v>53</v>
      </c>
      <c r="AE192" s="316">
        <f t="shared" si="56"/>
        <v>34</v>
      </c>
      <c r="AF192" s="316">
        <f t="shared" si="56"/>
        <v>46</v>
      </c>
      <c r="AG192" s="290">
        <f t="shared" si="54"/>
        <v>1622</v>
      </c>
    </row>
    <row r="193">
      <c r="A193" s="245" t="s">
        <v>891</v>
      </c>
      <c r="B193" s="316">
        <f t="shared" ref="B193:AF193" si="57">B146-(B294+B301+B308)</f>
        <v>119</v>
      </c>
      <c r="C193" s="316">
        <f t="shared" si="57"/>
        <v>110</v>
      </c>
      <c r="D193" s="316">
        <f t="shared" si="57"/>
        <v>83</v>
      </c>
      <c r="E193" s="316">
        <f t="shared" si="57"/>
        <v>276</v>
      </c>
      <c r="F193" s="316">
        <f t="shared" si="57"/>
        <v>222</v>
      </c>
      <c r="G193" s="316">
        <f t="shared" si="57"/>
        <v>94</v>
      </c>
      <c r="H193" s="316">
        <f t="shared" si="57"/>
        <v>50</v>
      </c>
      <c r="I193" s="316">
        <f t="shared" si="57"/>
        <v>51</v>
      </c>
      <c r="J193" s="316">
        <f t="shared" si="57"/>
        <v>30</v>
      </c>
      <c r="K193" s="316">
        <f t="shared" si="57"/>
        <v>87</v>
      </c>
      <c r="L193" s="316">
        <f t="shared" si="57"/>
        <v>39</v>
      </c>
      <c r="M193" s="316">
        <f t="shared" si="57"/>
        <v>10</v>
      </c>
      <c r="N193" s="316">
        <f t="shared" si="57"/>
        <v>28</v>
      </c>
      <c r="O193" s="316">
        <f t="shared" si="57"/>
        <v>22</v>
      </c>
      <c r="P193" s="316">
        <f t="shared" si="57"/>
        <v>35</v>
      </c>
      <c r="Q193" s="316">
        <f t="shared" si="57"/>
        <v>19</v>
      </c>
      <c r="R193" s="316">
        <f t="shared" si="57"/>
        <v>50</v>
      </c>
      <c r="S193" s="316">
        <f t="shared" si="57"/>
        <v>10</v>
      </c>
      <c r="T193" s="316">
        <f t="shared" si="57"/>
        <v>16</v>
      </c>
      <c r="U193" s="316">
        <f t="shared" si="57"/>
        <v>23</v>
      </c>
      <c r="V193" s="316">
        <f t="shared" si="57"/>
        <v>26</v>
      </c>
      <c r="W193" s="316">
        <f t="shared" si="57"/>
        <v>34</v>
      </c>
      <c r="X193" s="316">
        <f t="shared" si="57"/>
        <v>21</v>
      </c>
      <c r="Y193" s="316">
        <f t="shared" si="57"/>
        <v>25</v>
      </c>
      <c r="Z193" s="316">
        <f t="shared" si="57"/>
        <v>19</v>
      </c>
      <c r="AA193" s="316">
        <f t="shared" si="57"/>
        <v>15</v>
      </c>
      <c r="AB193" s="316">
        <f t="shared" si="57"/>
        <v>17</v>
      </c>
      <c r="AC193" s="316">
        <f t="shared" si="57"/>
        <v>27</v>
      </c>
      <c r="AD193" s="316">
        <f t="shared" si="57"/>
        <v>28</v>
      </c>
      <c r="AE193" s="316">
        <f t="shared" si="57"/>
        <v>19</v>
      </c>
      <c r="AF193" s="316">
        <f t="shared" si="57"/>
        <v>14</v>
      </c>
      <c r="AG193" s="290">
        <f t="shared" si="54"/>
        <v>1619</v>
      </c>
    </row>
    <row r="194">
      <c r="A194" s="320" t="s">
        <v>126</v>
      </c>
      <c r="B194" s="321">
        <f t="shared" ref="B194:AF194" si="58">SUM(B189:B193)</f>
        <v>372</v>
      </c>
      <c r="C194" s="321">
        <f t="shared" si="58"/>
        <v>324</v>
      </c>
      <c r="D194" s="321">
        <f t="shared" si="58"/>
        <v>237</v>
      </c>
      <c r="E194" s="321">
        <f t="shared" si="58"/>
        <v>828</v>
      </c>
      <c r="F194" s="321">
        <f t="shared" si="58"/>
        <v>697</v>
      </c>
      <c r="G194" s="321">
        <f t="shared" si="58"/>
        <v>485</v>
      </c>
      <c r="H194" s="321">
        <f t="shared" si="58"/>
        <v>469</v>
      </c>
      <c r="I194" s="321">
        <f t="shared" si="58"/>
        <v>337</v>
      </c>
      <c r="J194" s="321">
        <f t="shared" si="58"/>
        <v>290</v>
      </c>
      <c r="K194" s="321">
        <f t="shared" si="58"/>
        <v>422</v>
      </c>
      <c r="L194" s="321">
        <f t="shared" si="58"/>
        <v>281</v>
      </c>
      <c r="M194" s="321">
        <f t="shared" si="58"/>
        <v>159</v>
      </c>
      <c r="N194" s="321">
        <f t="shared" si="58"/>
        <v>248</v>
      </c>
      <c r="O194" s="321">
        <f t="shared" si="58"/>
        <v>214</v>
      </c>
      <c r="P194" s="321">
        <f t="shared" si="58"/>
        <v>293</v>
      </c>
      <c r="Q194" s="321">
        <f t="shared" si="58"/>
        <v>217</v>
      </c>
      <c r="R194" s="321">
        <f t="shared" si="58"/>
        <v>233</v>
      </c>
      <c r="S194" s="321">
        <f t="shared" si="58"/>
        <v>183</v>
      </c>
      <c r="T194" s="321">
        <f t="shared" si="58"/>
        <v>215</v>
      </c>
      <c r="U194" s="321">
        <f t="shared" si="58"/>
        <v>208</v>
      </c>
      <c r="V194" s="321">
        <f t="shared" si="58"/>
        <v>293</v>
      </c>
      <c r="W194" s="321">
        <f t="shared" si="58"/>
        <v>240</v>
      </c>
      <c r="X194" s="321">
        <f t="shared" si="58"/>
        <v>191</v>
      </c>
      <c r="Y194" s="321">
        <f t="shared" si="58"/>
        <v>239</v>
      </c>
      <c r="Z194" s="321">
        <f t="shared" si="58"/>
        <v>207</v>
      </c>
      <c r="AA194" s="321">
        <f t="shared" si="58"/>
        <v>192</v>
      </c>
      <c r="AB194" s="321">
        <f t="shared" si="58"/>
        <v>251</v>
      </c>
      <c r="AC194" s="321">
        <f t="shared" si="58"/>
        <v>240</v>
      </c>
      <c r="AD194" s="321">
        <f t="shared" si="58"/>
        <v>274</v>
      </c>
      <c r="AE194" s="321">
        <f t="shared" si="58"/>
        <v>217</v>
      </c>
      <c r="AF194" s="321">
        <f t="shared" si="58"/>
        <v>242</v>
      </c>
      <c r="AG194" s="290">
        <f t="shared" si="54"/>
        <v>9298</v>
      </c>
    </row>
    <row r="195">
      <c r="A195" s="328"/>
      <c r="AG195" s="290"/>
    </row>
    <row r="196">
      <c r="A196" s="245" t="s">
        <v>60</v>
      </c>
      <c r="B196" s="329"/>
      <c r="C196" s="329"/>
      <c r="D196" s="329"/>
      <c r="E196" s="329"/>
      <c r="F196" s="329"/>
      <c r="G196" s="329"/>
      <c r="H196" s="329"/>
      <c r="I196" s="329"/>
      <c r="J196" s="329"/>
      <c r="K196" s="329"/>
      <c r="L196" s="329"/>
      <c r="M196" s="329"/>
      <c r="N196" s="329"/>
      <c r="O196" s="329"/>
      <c r="P196" s="329"/>
      <c r="Q196" s="329"/>
      <c r="R196" s="329"/>
      <c r="S196" s="329"/>
      <c r="T196" s="329"/>
      <c r="U196" s="329"/>
      <c r="V196" s="329"/>
      <c r="W196" s="329"/>
      <c r="X196" s="329"/>
      <c r="Y196" s="329"/>
      <c r="Z196" s="329"/>
      <c r="AA196" s="329"/>
      <c r="AB196" s="329"/>
      <c r="AC196" s="329"/>
      <c r="AD196" s="329"/>
      <c r="AE196" s="329"/>
      <c r="AF196" s="329"/>
      <c r="AG196" s="290">
        <f t="shared" ref="AG196:AG198" si="59">SUM(B196:AF196)</f>
        <v>0</v>
      </c>
    </row>
    <row r="197">
      <c r="A197" s="245" t="s">
        <v>61</v>
      </c>
      <c r="B197" s="329"/>
      <c r="C197" s="329"/>
      <c r="D197" s="329"/>
      <c r="E197" s="329"/>
      <c r="F197" s="329"/>
      <c r="G197" s="329"/>
      <c r="H197" s="329"/>
      <c r="I197" s="329"/>
      <c r="J197" s="329"/>
      <c r="K197" s="329"/>
      <c r="L197" s="329"/>
      <c r="M197" s="329"/>
      <c r="N197" s="329"/>
      <c r="O197" s="329"/>
      <c r="P197" s="329"/>
      <c r="Q197" s="329"/>
      <c r="R197" s="329"/>
      <c r="S197" s="329"/>
      <c r="T197" s="329"/>
      <c r="U197" s="329"/>
      <c r="V197" s="329"/>
      <c r="W197" s="329"/>
      <c r="X197" s="329"/>
      <c r="Y197" s="329"/>
      <c r="Z197" s="329"/>
      <c r="AA197" s="329"/>
      <c r="AB197" s="329"/>
      <c r="AC197" s="329"/>
      <c r="AD197" s="329"/>
      <c r="AE197" s="329"/>
      <c r="AF197" s="329"/>
      <c r="AG197" s="290">
        <f t="shared" si="59"/>
        <v>0</v>
      </c>
    </row>
    <row r="198">
      <c r="A198" s="320" t="s">
        <v>126</v>
      </c>
      <c r="B198" s="321">
        <f t="shared" ref="B198:AF198" si="60">SUM(B196:B197)</f>
        <v>0</v>
      </c>
      <c r="C198" s="321">
        <f t="shared" si="60"/>
        <v>0</v>
      </c>
      <c r="D198" s="321">
        <f t="shared" si="60"/>
        <v>0</v>
      </c>
      <c r="E198" s="321">
        <f t="shared" si="60"/>
        <v>0</v>
      </c>
      <c r="F198" s="321">
        <f t="shared" si="60"/>
        <v>0</v>
      </c>
      <c r="G198" s="321">
        <f t="shared" si="60"/>
        <v>0</v>
      </c>
      <c r="H198" s="321">
        <f t="shared" si="60"/>
        <v>0</v>
      </c>
      <c r="I198" s="321">
        <f t="shared" si="60"/>
        <v>0</v>
      </c>
      <c r="J198" s="321">
        <f t="shared" si="60"/>
        <v>0</v>
      </c>
      <c r="K198" s="321">
        <f t="shared" si="60"/>
        <v>0</v>
      </c>
      <c r="L198" s="321">
        <f t="shared" si="60"/>
        <v>0</v>
      </c>
      <c r="M198" s="321">
        <f t="shared" si="60"/>
        <v>0</v>
      </c>
      <c r="N198" s="321">
        <f t="shared" si="60"/>
        <v>0</v>
      </c>
      <c r="O198" s="321">
        <f t="shared" si="60"/>
        <v>0</v>
      </c>
      <c r="P198" s="321">
        <f t="shared" si="60"/>
        <v>0</v>
      </c>
      <c r="Q198" s="321">
        <f t="shared" si="60"/>
        <v>0</v>
      </c>
      <c r="R198" s="321">
        <f t="shared" si="60"/>
        <v>0</v>
      </c>
      <c r="S198" s="321">
        <f t="shared" si="60"/>
        <v>0</v>
      </c>
      <c r="T198" s="321">
        <f t="shared" si="60"/>
        <v>0</v>
      </c>
      <c r="U198" s="321">
        <f t="shared" si="60"/>
        <v>0</v>
      </c>
      <c r="V198" s="321">
        <f t="shared" si="60"/>
        <v>0</v>
      </c>
      <c r="W198" s="321">
        <f t="shared" si="60"/>
        <v>0</v>
      </c>
      <c r="X198" s="321">
        <f t="shared" si="60"/>
        <v>0</v>
      </c>
      <c r="Y198" s="321">
        <f t="shared" si="60"/>
        <v>0</v>
      </c>
      <c r="Z198" s="321">
        <f t="shared" si="60"/>
        <v>0</v>
      </c>
      <c r="AA198" s="321">
        <f t="shared" si="60"/>
        <v>0</v>
      </c>
      <c r="AB198" s="321">
        <f t="shared" si="60"/>
        <v>0</v>
      </c>
      <c r="AC198" s="321">
        <f t="shared" si="60"/>
        <v>0</v>
      </c>
      <c r="AD198" s="321">
        <f t="shared" si="60"/>
        <v>0</v>
      </c>
      <c r="AE198" s="321">
        <f t="shared" si="60"/>
        <v>0</v>
      </c>
      <c r="AF198" s="321">
        <f t="shared" si="60"/>
        <v>0</v>
      </c>
      <c r="AG198" s="290">
        <f t="shared" si="59"/>
        <v>0</v>
      </c>
    </row>
    <row r="199">
      <c r="A199" s="328"/>
      <c r="AG199" s="358"/>
    </row>
    <row r="200">
      <c r="A200" s="245" t="s">
        <v>910</v>
      </c>
      <c r="B200" s="359"/>
      <c r="C200" s="359"/>
      <c r="D200" s="359"/>
      <c r="E200" s="359"/>
      <c r="F200" s="359"/>
      <c r="G200" s="359"/>
      <c r="H200" s="359"/>
      <c r="I200" s="359"/>
      <c r="J200" s="359"/>
      <c r="K200" s="359"/>
      <c r="L200" s="359"/>
      <c r="M200" s="359"/>
      <c r="N200" s="359"/>
      <c r="O200" s="359"/>
      <c r="P200" s="359"/>
      <c r="Q200" s="359"/>
      <c r="R200" s="359"/>
      <c r="S200" s="359"/>
      <c r="T200" s="359"/>
      <c r="U200" s="359"/>
      <c r="V200" s="359"/>
      <c r="W200" s="359"/>
      <c r="X200" s="359"/>
      <c r="Y200" s="359"/>
      <c r="Z200" s="359"/>
      <c r="AA200" s="359"/>
      <c r="AB200" s="359"/>
      <c r="AC200" s="359"/>
      <c r="AD200" s="359"/>
      <c r="AE200" s="359"/>
      <c r="AF200" s="359"/>
      <c r="AG200" s="290">
        <f t="shared" ref="AG200:AG202" si="61">SUM(B200:AF200)</f>
        <v>0</v>
      </c>
    </row>
    <row r="201">
      <c r="A201" s="245" t="s">
        <v>914</v>
      </c>
      <c r="B201" s="359"/>
      <c r="C201" s="359"/>
      <c r="D201" s="359"/>
      <c r="E201" s="359"/>
      <c r="F201" s="359"/>
      <c r="G201" s="359"/>
      <c r="H201" s="359"/>
      <c r="I201" s="359"/>
      <c r="J201" s="359"/>
      <c r="K201" s="359"/>
      <c r="L201" s="359"/>
      <c r="M201" s="359"/>
      <c r="N201" s="359"/>
      <c r="O201" s="359"/>
      <c r="P201" s="359"/>
      <c r="Q201" s="359"/>
      <c r="R201" s="359"/>
      <c r="S201" s="359"/>
      <c r="T201" s="359"/>
      <c r="U201" s="359"/>
      <c r="V201" s="359"/>
      <c r="W201" s="359"/>
      <c r="X201" s="359"/>
      <c r="Y201" s="359"/>
      <c r="Z201" s="359"/>
      <c r="AA201" s="359"/>
      <c r="AB201" s="359"/>
      <c r="AC201" s="359"/>
      <c r="AD201" s="359"/>
      <c r="AE201" s="359"/>
      <c r="AF201" s="359"/>
      <c r="AG201" s="290">
        <f t="shared" si="61"/>
        <v>0</v>
      </c>
    </row>
    <row r="202">
      <c r="A202" s="320" t="s">
        <v>126</v>
      </c>
      <c r="B202" s="331">
        <f t="shared" ref="B202:AF202" si="62">SUM(B200:B201)</f>
        <v>0</v>
      </c>
      <c r="C202" s="331">
        <f t="shared" si="62"/>
        <v>0</v>
      </c>
      <c r="D202" s="331">
        <f t="shared" si="62"/>
        <v>0</v>
      </c>
      <c r="E202" s="331">
        <f t="shared" si="62"/>
        <v>0</v>
      </c>
      <c r="F202" s="331">
        <f t="shared" si="62"/>
        <v>0</v>
      </c>
      <c r="G202" s="331">
        <f t="shared" si="62"/>
        <v>0</v>
      </c>
      <c r="H202" s="331">
        <f t="shared" si="62"/>
        <v>0</v>
      </c>
      <c r="I202" s="331">
        <f t="shared" si="62"/>
        <v>0</v>
      </c>
      <c r="J202" s="331">
        <f t="shared" si="62"/>
        <v>0</v>
      </c>
      <c r="K202" s="331">
        <f t="shared" si="62"/>
        <v>0</v>
      </c>
      <c r="L202" s="331">
        <f t="shared" si="62"/>
        <v>0</v>
      </c>
      <c r="M202" s="331">
        <f t="shared" si="62"/>
        <v>0</v>
      </c>
      <c r="N202" s="331">
        <f t="shared" si="62"/>
        <v>0</v>
      </c>
      <c r="O202" s="331">
        <f t="shared" si="62"/>
        <v>0</v>
      </c>
      <c r="P202" s="331">
        <f t="shared" si="62"/>
        <v>0</v>
      </c>
      <c r="Q202" s="331">
        <f t="shared" si="62"/>
        <v>0</v>
      </c>
      <c r="R202" s="331">
        <f t="shared" si="62"/>
        <v>0</v>
      </c>
      <c r="S202" s="331">
        <f t="shared" si="62"/>
        <v>0</v>
      </c>
      <c r="T202" s="331">
        <f t="shared" si="62"/>
        <v>0</v>
      </c>
      <c r="U202" s="331">
        <f t="shared" si="62"/>
        <v>0</v>
      </c>
      <c r="V202" s="331">
        <f t="shared" si="62"/>
        <v>0</v>
      </c>
      <c r="W202" s="331">
        <f t="shared" si="62"/>
        <v>0</v>
      </c>
      <c r="X202" s="331">
        <f t="shared" si="62"/>
        <v>0</v>
      </c>
      <c r="Y202" s="331">
        <f t="shared" si="62"/>
        <v>0</v>
      </c>
      <c r="Z202" s="331">
        <f t="shared" si="62"/>
        <v>0</v>
      </c>
      <c r="AA202" s="331">
        <f t="shared" si="62"/>
        <v>0</v>
      </c>
      <c r="AB202" s="331">
        <f t="shared" si="62"/>
        <v>0</v>
      </c>
      <c r="AC202" s="331">
        <f t="shared" si="62"/>
        <v>0</v>
      </c>
      <c r="AD202" s="331">
        <f t="shared" si="62"/>
        <v>0</v>
      </c>
      <c r="AE202" s="331">
        <f t="shared" si="62"/>
        <v>0</v>
      </c>
      <c r="AF202" s="331">
        <f t="shared" si="62"/>
        <v>0</v>
      </c>
      <c r="AG202" s="290">
        <f t="shared" si="61"/>
        <v>0</v>
      </c>
    </row>
    <row r="203">
      <c r="A203" s="328"/>
      <c r="B203" s="360"/>
      <c r="AG203" s="358"/>
    </row>
    <row r="204">
      <c r="A204" s="245" t="s">
        <v>928</v>
      </c>
      <c r="B204" s="316">
        <f t="shared" ref="B204:AF204" si="63">B157-B319</f>
        <v>1</v>
      </c>
      <c r="C204" s="316">
        <f t="shared" si="63"/>
        <v>1</v>
      </c>
      <c r="D204" s="316">
        <f t="shared" si="63"/>
        <v>0</v>
      </c>
      <c r="E204" s="316">
        <f t="shared" si="63"/>
        <v>4</v>
      </c>
      <c r="F204" s="316">
        <f t="shared" si="63"/>
        <v>7</v>
      </c>
      <c r="G204" s="316">
        <f t="shared" si="63"/>
        <v>9</v>
      </c>
      <c r="H204" s="316">
        <f t="shared" si="63"/>
        <v>6</v>
      </c>
      <c r="I204" s="316">
        <f t="shared" si="63"/>
        <v>2</v>
      </c>
      <c r="J204" s="316">
        <f t="shared" si="63"/>
        <v>1</v>
      </c>
      <c r="K204" s="316">
        <f t="shared" si="63"/>
        <v>2</v>
      </c>
      <c r="L204" s="316">
        <f t="shared" si="63"/>
        <v>0</v>
      </c>
      <c r="M204" s="316">
        <f t="shared" si="63"/>
        <v>4</v>
      </c>
      <c r="N204" s="316">
        <f t="shared" si="63"/>
        <v>1</v>
      </c>
      <c r="O204" s="316">
        <f t="shared" si="63"/>
        <v>2</v>
      </c>
      <c r="P204" s="316">
        <f t="shared" si="63"/>
        <v>4</v>
      </c>
      <c r="Q204" s="316">
        <f t="shared" si="63"/>
        <v>2</v>
      </c>
      <c r="R204" s="316">
        <f t="shared" si="63"/>
        <v>1</v>
      </c>
      <c r="S204" s="316">
        <f t="shared" si="63"/>
        <v>1</v>
      </c>
      <c r="T204" s="316">
        <f t="shared" si="63"/>
        <v>1</v>
      </c>
      <c r="U204" s="316">
        <f t="shared" si="63"/>
        <v>3</v>
      </c>
      <c r="V204" s="316">
        <f t="shared" si="63"/>
        <v>0</v>
      </c>
      <c r="W204" s="316">
        <f t="shared" si="63"/>
        <v>2</v>
      </c>
      <c r="X204" s="316">
        <f t="shared" si="63"/>
        <v>3</v>
      </c>
      <c r="Y204" s="316">
        <f t="shared" si="63"/>
        <v>4</v>
      </c>
      <c r="Z204" s="316">
        <f t="shared" si="63"/>
        <v>2</v>
      </c>
      <c r="AA204" s="316">
        <f t="shared" si="63"/>
        <v>4</v>
      </c>
      <c r="AB204" s="316">
        <f t="shared" si="63"/>
        <v>2</v>
      </c>
      <c r="AC204" s="316">
        <f t="shared" si="63"/>
        <v>1</v>
      </c>
      <c r="AD204" s="316">
        <f t="shared" si="63"/>
        <v>5</v>
      </c>
      <c r="AE204" s="316">
        <f t="shared" si="63"/>
        <v>1</v>
      </c>
      <c r="AF204" s="316">
        <f t="shared" si="63"/>
        <v>1</v>
      </c>
      <c r="AG204" s="290">
        <f t="shared" ref="AG204:AG205" si="65">SUM(B204:AF204)</f>
        <v>77</v>
      </c>
    </row>
    <row r="205">
      <c r="A205" s="320" t="s">
        <v>126</v>
      </c>
      <c r="B205" s="331">
        <f t="shared" ref="B205:AF205" si="64">B204</f>
        <v>1</v>
      </c>
      <c r="C205" s="331">
        <f t="shared" si="64"/>
        <v>1</v>
      </c>
      <c r="D205" s="331">
        <f t="shared" si="64"/>
        <v>0</v>
      </c>
      <c r="E205" s="331">
        <f t="shared" si="64"/>
        <v>4</v>
      </c>
      <c r="F205" s="331">
        <f t="shared" si="64"/>
        <v>7</v>
      </c>
      <c r="G205" s="331">
        <f t="shared" si="64"/>
        <v>9</v>
      </c>
      <c r="H205" s="331">
        <f t="shared" si="64"/>
        <v>6</v>
      </c>
      <c r="I205" s="331">
        <f t="shared" si="64"/>
        <v>2</v>
      </c>
      <c r="J205" s="331">
        <f t="shared" si="64"/>
        <v>1</v>
      </c>
      <c r="K205" s="331">
        <f t="shared" si="64"/>
        <v>2</v>
      </c>
      <c r="L205" s="331">
        <f t="shared" si="64"/>
        <v>0</v>
      </c>
      <c r="M205" s="331">
        <f t="shared" si="64"/>
        <v>4</v>
      </c>
      <c r="N205" s="331">
        <f t="shared" si="64"/>
        <v>1</v>
      </c>
      <c r="O205" s="331">
        <f t="shared" si="64"/>
        <v>2</v>
      </c>
      <c r="P205" s="331">
        <f t="shared" si="64"/>
        <v>4</v>
      </c>
      <c r="Q205" s="331">
        <f t="shared" si="64"/>
        <v>2</v>
      </c>
      <c r="R205" s="331">
        <f t="shared" si="64"/>
        <v>1</v>
      </c>
      <c r="S205" s="331">
        <f t="shared" si="64"/>
        <v>1</v>
      </c>
      <c r="T205" s="331">
        <f t="shared" si="64"/>
        <v>1</v>
      </c>
      <c r="U205" s="331">
        <f t="shared" si="64"/>
        <v>3</v>
      </c>
      <c r="V205" s="331">
        <f t="shared" si="64"/>
        <v>0</v>
      </c>
      <c r="W205" s="331">
        <f t="shared" si="64"/>
        <v>2</v>
      </c>
      <c r="X205" s="331">
        <f t="shared" si="64"/>
        <v>3</v>
      </c>
      <c r="Y205" s="331">
        <f t="shared" si="64"/>
        <v>4</v>
      </c>
      <c r="Z205" s="331">
        <f t="shared" si="64"/>
        <v>2</v>
      </c>
      <c r="AA205" s="331">
        <f t="shared" si="64"/>
        <v>4</v>
      </c>
      <c r="AB205" s="331">
        <f t="shared" si="64"/>
        <v>2</v>
      </c>
      <c r="AC205" s="331">
        <f t="shared" si="64"/>
        <v>1</v>
      </c>
      <c r="AD205" s="331">
        <f t="shared" si="64"/>
        <v>5</v>
      </c>
      <c r="AE205" s="331">
        <f t="shared" si="64"/>
        <v>1</v>
      </c>
      <c r="AF205" s="331">
        <f t="shared" si="64"/>
        <v>1</v>
      </c>
      <c r="AG205" s="290">
        <f t="shared" si="65"/>
        <v>77</v>
      </c>
    </row>
    <row r="206">
      <c r="A206" s="328"/>
      <c r="AG206" s="358"/>
    </row>
    <row r="207">
      <c r="A207" s="229" t="s">
        <v>1123</v>
      </c>
      <c r="B207" s="217"/>
      <c r="C207" s="217"/>
      <c r="D207" s="217"/>
      <c r="E207" s="217"/>
      <c r="F207" s="217"/>
      <c r="G207" s="217"/>
      <c r="H207" s="217"/>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82"/>
    </row>
    <row r="208">
      <c r="A208" s="367" t="s">
        <v>1124</v>
      </c>
      <c r="B208" s="318">
        <v>86.0</v>
      </c>
      <c r="C208" s="316">
        <v>72.0</v>
      </c>
      <c r="D208" s="369">
        <f>39+15+4</f>
        <v>58</v>
      </c>
      <c r="E208" s="369">
        <f>251+16</f>
        <v>267</v>
      </c>
      <c r="F208" s="369">
        <v>213.0</v>
      </c>
      <c r="G208" s="369">
        <v>86.0</v>
      </c>
      <c r="H208" s="369">
        <v>35.0</v>
      </c>
      <c r="I208" s="369">
        <v>25.0</v>
      </c>
      <c r="J208" s="369">
        <v>34.0</v>
      </c>
      <c r="K208" s="369">
        <v>57.0</v>
      </c>
      <c r="L208" s="369">
        <v>35.0</v>
      </c>
      <c r="M208" s="369">
        <v>20.0</v>
      </c>
      <c r="N208" s="369">
        <v>24.0</v>
      </c>
      <c r="O208" s="369">
        <v>18.0</v>
      </c>
      <c r="P208" s="369">
        <v>24.0</v>
      </c>
      <c r="Q208" s="369">
        <v>17.0</v>
      </c>
      <c r="R208" s="369">
        <v>59.0</v>
      </c>
      <c r="S208" s="369">
        <v>23.0</v>
      </c>
      <c r="T208" s="369">
        <v>25.0</v>
      </c>
      <c r="U208" s="369">
        <v>23.0</v>
      </c>
      <c r="V208" s="369">
        <v>32.0</v>
      </c>
      <c r="W208" s="369">
        <v>28.0</v>
      </c>
      <c r="X208" s="369">
        <v>31.0</v>
      </c>
      <c r="Y208" s="369">
        <v>29.0</v>
      </c>
      <c r="Z208" s="369">
        <v>25.0</v>
      </c>
      <c r="AA208" s="369">
        <v>31.0</v>
      </c>
      <c r="AB208" s="369">
        <v>31.0</v>
      </c>
      <c r="AC208" s="369">
        <v>35.0</v>
      </c>
      <c r="AD208" s="369">
        <v>27.0</v>
      </c>
      <c r="AE208" s="369">
        <v>27.0</v>
      </c>
      <c r="AF208" s="369">
        <v>31.0</v>
      </c>
      <c r="AG208" s="290">
        <f t="shared" ref="AG208:AG215" si="66">SUM(B208:AF208)</f>
        <v>1528</v>
      </c>
    </row>
    <row r="209">
      <c r="A209" s="367" t="s">
        <v>1131</v>
      </c>
      <c r="B209" s="318">
        <v>6.0</v>
      </c>
      <c r="C209" s="316">
        <v>3.0</v>
      </c>
      <c r="D209" s="369">
        <v>5.0</v>
      </c>
      <c r="E209" s="369">
        <v>2.0</v>
      </c>
      <c r="F209" s="369">
        <v>2.0</v>
      </c>
      <c r="G209" s="369">
        <v>93.0</v>
      </c>
      <c r="H209" s="369">
        <v>128.0</v>
      </c>
      <c r="I209" s="369">
        <v>91.0</v>
      </c>
      <c r="J209" s="369">
        <v>76.0</v>
      </c>
      <c r="K209" s="369">
        <v>90.0</v>
      </c>
      <c r="L209" s="369">
        <v>72.0</v>
      </c>
      <c r="M209" s="369">
        <v>57.0</v>
      </c>
      <c r="N209" s="369">
        <v>68.0</v>
      </c>
      <c r="O209" s="369">
        <v>62.0</v>
      </c>
      <c r="P209" s="369">
        <v>79.0</v>
      </c>
      <c r="Q209" s="369">
        <v>63.0</v>
      </c>
      <c r="R209" s="369">
        <v>49.0</v>
      </c>
      <c r="S209" s="369">
        <v>49.0</v>
      </c>
      <c r="T209" s="369">
        <v>68.0</v>
      </c>
      <c r="U209" s="369">
        <v>70.0</v>
      </c>
      <c r="V209" s="369">
        <v>77.0</v>
      </c>
      <c r="W209" s="369">
        <v>62.0</v>
      </c>
      <c r="X209" s="369">
        <v>59.0</v>
      </c>
      <c r="Y209" s="369">
        <v>76.0</v>
      </c>
      <c r="Z209" s="369">
        <v>70.0</v>
      </c>
      <c r="AA209" s="369">
        <v>49.0</v>
      </c>
      <c r="AB209" s="369">
        <v>74.0</v>
      </c>
      <c r="AC209" s="369">
        <v>67.0</v>
      </c>
      <c r="AD209" s="369">
        <v>81.0</v>
      </c>
      <c r="AE209" s="369">
        <v>80.0</v>
      </c>
      <c r="AF209" s="369">
        <v>79.0</v>
      </c>
      <c r="AG209" s="290">
        <f t="shared" si="66"/>
        <v>1907</v>
      </c>
    </row>
    <row r="210">
      <c r="A210" s="367" t="s">
        <v>1132</v>
      </c>
      <c r="B210" s="371">
        <v>5.0</v>
      </c>
      <c r="C210" s="372">
        <v>7.0</v>
      </c>
      <c r="D210" s="369">
        <v>10.0</v>
      </c>
      <c r="E210" s="369">
        <v>11.0</v>
      </c>
      <c r="F210" s="369">
        <v>14.0</v>
      </c>
      <c r="G210" s="369">
        <v>8.0</v>
      </c>
      <c r="H210" s="369">
        <v>5.0</v>
      </c>
      <c r="I210" s="369">
        <v>3.0</v>
      </c>
      <c r="J210" s="369">
        <v>1.0</v>
      </c>
      <c r="K210" s="369">
        <v>4.0</v>
      </c>
      <c r="L210" s="369">
        <v>1.0</v>
      </c>
      <c r="M210" s="369">
        <v>0.0</v>
      </c>
      <c r="N210" s="369">
        <v>1.0</v>
      </c>
      <c r="O210" s="369">
        <v>1.0</v>
      </c>
      <c r="P210" s="369">
        <v>4.0</v>
      </c>
      <c r="Q210" s="369">
        <v>1.0</v>
      </c>
      <c r="R210" s="369">
        <v>1.0</v>
      </c>
      <c r="S210" s="369">
        <v>5.0</v>
      </c>
      <c r="T210" s="369">
        <v>6.0</v>
      </c>
      <c r="U210" s="369">
        <v>3.0</v>
      </c>
      <c r="V210" s="369">
        <v>2.0</v>
      </c>
      <c r="W210" s="369">
        <v>8.0</v>
      </c>
      <c r="X210" s="369">
        <v>2.0</v>
      </c>
      <c r="Y210" s="369">
        <v>7.0</v>
      </c>
      <c r="Z210" s="369">
        <v>1.0</v>
      </c>
      <c r="AA210" s="369">
        <v>3.0</v>
      </c>
      <c r="AB210" s="369">
        <v>2.0</v>
      </c>
      <c r="AC210" s="369">
        <v>5.0</v>
      </c>
      <c r="AD210" s="369">
        <v>2.0</v>
      </c>
      <c r="AE210" s="369">
        <v>1.0</v>
      </c>
      <c r="AF210" s="369">
        <v>2.0</v>
      </c>
      <c r="AG210" s="290">
        <f t="shared" si="66"/>
        <v>126</v>
      </c>
    </row>
    <row r="211">
      <c r="A211" s="367" t="s">
        <v>1139</v>
      </c>
      <c r="B211" s="373"/>
      <c r="C211" s="374"/>
      <c r="D211" s="369">
        <v>0.0</v>
      </c>
      <c r="E211" s="369">
        <v>1.0</v>
      </c>
      <c r="F211" s="369">
        <v>0.0</v>
      </c>
      <c r="G211" s="369">
        <v>12.0</v>
      </c>
      <c r="H211" s="369">
        <v>17.0</v>
      </c>
      <c r="I211" s="369">
        <v>10.0</v>
      </c>
      <c r="J211" s="369">
        <v>11.0</v>
      </c>
      <c r="K211" s="369">
        <v>9.0</v>
      </c>
      <c r="L211" s="369">
        <v>5.0</v>
      </c>
      <c r="M211" s="369">
        <v>2.0</v>
      </c>
      <c r="N211" s="369">
        <v>8.0</v>
      </c>
      <c r="O211" s="369">
        <v>6.0</v>
      </c>
      <c r="P211" s="369">
        <v>8.0</v>
      </c>
      <c r="Q211" s="369">
        <v>11.0</v>
      </c>
      <c r="R211" s="369">
        <v>4.0</v>
      </c>
      <c r="S211" s="369">
        <v>11.0</v>
      </c>
      <c r="T211" s="369">
        <v>6.0</v>
      </c>
      <c r="U211" s="369">
        <v>7.0</v>
      </c>
      <c r="V211" s="369">
        <v>11.0</v>
      </c>
      <c r="W211" s="369">
        <v>10.0</v>
      </c>
      <c r="X211" s="369">
        <v>6.0</v>
      </c>
      <c r="Y211" s="369">
        <v>4.0</v>
      </c>
      <c r="Z211" s="369">
        <v>14.0</v>
      </c>
      <c r="AA211" s="369">
        <v>8.0</v>
      </c>
      <c r="AB211" s="369">
        <v>10.0</v>
      </c>
      <c r="AC211" s="369">
        <v>11.0</v>
      </c>
      <c r="AD211" s="369">
        <v>9.0</v>
      </c>
      <c r="AE211" s="369">
        <v>10.0</v>
      </c>
      <c r="AF211" s="369">
        <v>10.0</v>
      </c>
      <c r="AG211" s="290">
        <f t="shared" si="66"/>
        <v>231</v>
      </c>
    </row>
    <row r="212">
      <c r="A212" s="367" t="s">
        <v>1140</v>
      </c>
      <c r="B212" s="375"/>
      <c r="C212" s="376"/>
      <c r="D212" s="329"/>
      <c r="E212" s="329"/>
      <c r="F212" s="329"/>
      <c r="G212" s="329"/>
      <c r="H212" s="329"/>
      <c r="I212" s="329"/>
      <c r="J212" s="329"/>
      <c r="K212" s="329"/>
      <c r="L212" s="329"/>
      <c r="M212" s="329"/>
      <c r="N212" s="329"/>
      <c r="O212" s="329"/>
      <c r="P212" s="329"/>
      <c r="Q212" s="329"/>
      <c r="R212" s="329"/>
      <c r="S212" s="329"/>
      <c r="T212" s="329"/>
      <c r="U212" s="329"/>
      <c r="V212" s="329"/>
      <c r="W212" s="377">
        <v>0.0</v>
      </c>
      <c r="X212" s="329"/>
      <c r="Y212" s="329"/>
      <c r="Z212" s="329"/>
      <c r="AA212" s="329"/>
      <c r="AB212" s="329"/>
      <c r="AC212" s="329"/>
      <c r="AD212" s="329"/>
      <c r="AE212" s="329"/>
      <c r="AF212" s="329"/>
      <c r="AG212" s="290">
        <f t="shared" si="66"/>
        <v>0</v>
      </c>
    </row>
    <row r="213">
      <c r="A213" s="367" t="s">
        <v>1148</v>
      </c>
      <c r="B213" s="375"/>
      <c r="C213" s="376"/>
      <c r="D213" s="329"/>
      <c r="E213" s="377"/>
      <c r="F213" s="329"/>
      <c r="G213" s="329"/>
      <c r="H213" s="329"/>
      <c r="I213" s="329"/>
      <c r="J213" s="329"/>
      <c r="K213" s="329"/>
      <c r="L213" s="329"/>
      <c r="M213" s="329"/>
      <c r="N213" s="329"/>
      <c r="O213" s="329"/>
      <c r="P213" s="329"/>
      <c r="Q213" s="329"/>
      <c r="R213" s="329"/>
      <c r="S213" s="329"/>
      <c r="T213" s="329"/>
      <c r="U213" s="329"/>
      <c r="V213" s="329"/>
      <c r="W213" s="329"/>
      <c r="X213" s="329"/>
      <c r="Y213" s="329"/>
      <c r="Z213" s="329"/>
      <c r="AA213" s="329"/>
      <c r="AB213" s="329"/>
      <c r="AC213" s="329"/>
      <c r="AD213" s="329"/>
      <c r="AE213" s="329"/>
      <c r="AF213" s="329"/>
      <c r="AG213" s="290">
        <f t="shared" si="66"/>
        <v>0</v>
      </c>
    </row>
    <row r="214">
      <c r="A214" s="378" t="s">
        <v>871</v>
      </c>
      <c r="B214" s="379">
        <f t="shared" ref="B214:B215" si="68">B208+B210+B212</f>
        <v>91</v>
      </c>
      <c r="C214" s="379">
        <f t="shared" ref="C214:AF214" si="67">SUM(C208:C213)</f>
        <v>82</v>
      </c>
      <c r="D214" s="379">
        <f t="shared" si="67"/>
        <v>73</v>
      </c>
      <c r="E214" s="379">
        <f t="shared" si="67"/>
        <v>281</v>
      </c>
      <c r="F214" s="379">
        <f t="shared" si="67"/>
        <v>229</v>
      </c>
      <c r="G214" s="379">
        <f t="shared" si="67"/>
        <v>199</v>
      </c>
      <c r="H214" s="379">
        <f t="shared" si="67"/>
        <v>185</v>
      </c>
      <c r="I214" s="379">
        <f t="shared" si="67"/>
        <v>129</v>
      </c>
      <c r="J214" s="379">
        <f t="shared" si="67"/>
        <v>122</v>
      </c>
      <c r="K214" s="379">
        <f t="shared" si="67"/>
        <v>160</v>
      </c>
      <c r="L214" s="379">
        <f t="shared" si="67"/>
        <v>113</v>
      </c>
      <c r="M214" s="379">
        <f t="shared" si="67"/>
        <v>79</v>
      </c>
      <c r="N214" s="379">
        <f t="shared" si="67"/>
        <v>101</v>
      </c>
      <c r="O214" s="379">
        <f t="shared" si="67"/>
        <v>87</v>
      </c>
      <c r="P214" s="379">
        <f t="shared" si="67"/>
        <v>115</v>
      </c>
      <c r="Q214" s="379">
        <f t="shared" si="67"/>
        <v>92</v>
      </c>
      <c r="R214" s="379">
        <f t="shared" si="67"/>
        <v>113</v>
      </c>
      <c r="S214" s="379">
        <f t="shared" si="67"/>
        <v>88</v>
      </c>
      <c r="T214" s="379">
        <f t="shared" si="67"/>
        <v>105</v>
      </c>
      <c r="U214" s="379">
        <f t="shared" si="67"/>
        <v>103</v>
      </c>
      <c r="V214" s="379">
        <f t="shared" si="67"/>
        <v>122</v>
      </c>
      <c r="W214" s="379">
        <f t="shared" si="67"/>
        <v>108</v>
      </c>
      <c r="X214" s="379">
        <f t="shared" si="67"/>
        <v>98</v>
      </c>
      <c r="Y214" s="379">
        <f t="shared" si="67"/>
        <v>116</v>
      </c>
      <c r="Z214" s="379">
        <f t="shared" si="67"/>
        <v>110</v>
      </c>
      <c r="AA214" s="379">
        <f t="shared" si="67"/>
        <v>91</v>
      </c>
      <c r="AB214" s="379">
        <f t="shared" si="67"/>
        <v>117</v>
      </c>
      <c r="AC214" s="379">
        <f t="shared" si="67"/>
        <v>118</v>
      </c>
      <c r="AD214" s="379">
        <f t="shared" si="67"/>
        <v>119</v>
      </c>
      <c r="AE214" s="379">
        <f t="shared" si="67"/>
        <v>118</v>
      </c>
      <c r="AF214" s="379">
        <f t="shared" si="67"/>
        <v>122</v>
      </c>
      <c r="AG214" s="290">
        <f t="shared" si="66"/>
        <v>3786</v>
      </c>
    </row>
    <row r="215">
      <c r="A215" s="378" t="s">
        <v>1157</v>
      </c>
      <c r="B215" s="379">
        <f t="shared" si="68"/>
        <v>6</v>
      </c>
      <c r="C215" s="379">
        <f t="shared" ref="C215:AF215" si="69">C209+C211+C213</f>
        <v>3</v>
      </c>
      <c r="D215" s="379">
        <f t="shared" si="69"/>
        <v>5</v>
      </c>
      <c r="E215" s="379">
        <f t="shared" si="69"/>
        <v>3</v>
      </c>
      <c r="F215" s="379">
        <f t="shared" si="69"/>
        <v>2</v>
      </c>
      <c r="G215" s="379">
        <f t="shared" si="69"/>
        <v>105</v>
      </c>
      <c r="H215" s="379">
        <f t="shared" si="69"/>
        <v>145</v>
      </c>
      <c r="I215" s="379">
        <f t="shared" si="69"/>
        <v>101</v>
      </c>
      <c r="J215" s="379">
        <f t="shared" si="69"/>
        <v>87</v>
      </c>
      <c r="K215" s="379">
        <f t="shared" si="69"/>
        <v>99</v>
      </c>
      <c r="L215" s="379">
        <f t="shared" si="69"/>
        <v>77</v>
      </c>
      <c r="M215" s="379">
        <f t="shared" si="69"/>
        <v>59</v>
      </c>
      <c r="N215" s="379">
        <f t="shared" si="69"/>
        <v>76</v>
      </c>
      <c r="O215" s="379">
        <f t="shared" si="69"/>
        <v>68</v>
      </c>
      <c r="P215" s="379">
        <f t="shared" si="69"/>
        <v>87</v>
      </c>
      <c r="Q215" s="379">
        <f t="shared" si="69"/>
        <v>74</v>
      </c>
      <c r="R215" s="379">
        <f t="shared" si="69"/>
        <v>53</v>
      </c>
      <c r="S215" s="379">
        <f t="shared" si="69"/>
        <v>60</v>
      </c>
      <c r="T215" s="379">
        <f t="shared" si="69"/>
        <v>74</v>
      </c>
      <c r="U215" s="379">
        <f t="shared" si="69"/>
        <v>77</v>
      </c>
      <c r="V215" s="379">
        <f t="shared" si="69"/>
        <v>88</v>
      </c>
      <c r="W215" s="379">
        <f t="shared" si="69"/>
        <v>72</v>
      </c>
      <c r="X215" s="379">
        <f t="shared" si="69"/>
        <v>65</v>
      </c>
      <c r="Y215" s="379">
        <f t="shared" si="69"/>
        <v>80</v>
      </c>
      <c r="Z215" s="379">
        <f t="shared" si="69"/>
        <v>84</v>
      </c>
      <c r="AA215" s="379">
        <f t="shared" si="69"/>
        <v>57</v>
      </c>
      <c r="AB215" s="379">
        <f t="shared" si="69"/>
        <v>84</v>
      </c>
      <c r="AC215" s="379">
        <f t="shared" si="69"/>
        <v>78</v>
      </c>
      <c r="AD215" s="379">
        <f t="shared" si="69"/>
        <v>90</v>
      </c>
      <c r="AE215" s="379">
        <f t="shared" si="69"/>
        <v>90</v>
      </c>
      <c r="AF215" s="379">
        <f t="shared" si="69"/>
        <v>89</v>
      </c>
      <c r="AG215" s="290">
        <f t="shared" si="66"/>
        <v>2138</v>
      </c>
    </row>
    <row r="216">
      <c r="A216" s="26"/>
      <c r="B216" s="217"/>
      <c r="C216" s="217"/>
      <c r="D216" s="217"/>
      <c r="E216" s="217"/>
      <c r="F216" s="217"/>
      <c r="G216" s="217"/>
      <c r="H216" s="217"/>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90"/>
    </row>
    <row r="217">
      <c r="A217" s="367" t="s">
        <v>1166</v>
      </c>
      <c r="B217" s="318">
        <v>66.0</v>
      </c>
      <c r="C217" s="316">
        <v>58.0</v>
      </c>
      <c r="D217" s="369">
        <v>38.0</v>
      </c>
      <c r="E217" s="369">
        <v>142.0</v>
      </c>
      <c r="F217" s="369">
        <v>115.0</v>
      </c>
      <c r="G217" s="369">
        <v>92.0</v>
      </c>
      <c r="H217" s="369">
        <v>105.0</v>
      </c>
      <c r="I217" s="369">
        <v>75.0</v>
      </c>
      <c r="J217" s="369">
        <v>74.0</v>
      </c>
      <c r="K217" s="369">
        <v>98.0</v>
      </c>
      <c r="L217" s="369">
        <v>56.0</v>
      </c>
      <c r="M217" s="369">
        <v>38.0</v>
      </c>
      <c r="N217" s="369">
        <v>54.0</v>
      </c>
      <c r="O217" s="369">
        <v>48.0</v>
      </c>
      <c r="P217" s="369">
        <v>63.0</v>
      </c>
      <c r="Q217" s="369">
        <v>48.0</v>
      </c>
      <c r="R217" s="369">
        <v>51.0</v>
      </c>
      <c r="S217" s="369">
        <v>41.0</v>
      </c>
      <c r="T217" s="369">
        <v>40.0</v>
      </c>
      <c r="U217" s="21">
        <v>38.0</v>
      </c>
      <c r="V217" s="21">
        <v>61.0</v>
      </c>
      <c r="W217" s="369">
        <v>33.0</v>
      </c>
      <c r="X217" s="369">
        <v>39.0</v>
      </c>
      <c r="Y217" s="369">
        <v>43.0</v>
      </c>
      <c r="Z217" s="369">
        <v>40.0</v>
      </c>
      <c r="AA217" s="369">
        <v>41.0</v>
      </c>
      <c r="AB217" s="369">
        <v>57.0</v>
      </c>
      <c r="AC217" s="369">
        <v>45.0</v>
      </c>
      <c r="AD217" s="369">
        <v>51.0</v>
      </c>
      <c r="AE217" s="369">
        <v>49.0</v>
      </c>
      <c r="AF217" s="369">
        <v>47.0</v>
      </c>
      <c r="AG217" s="290">
        <f t="shared" ref="AG217:AG222" si="70">SUM(B217:AF217)</f>
        <v>1846</v>
      </c>
    </row>
    <row r="218">
      <c r="A218" s="367" t="s">
        <v>1173</v>
      </c>
      <c r="B218" s="318">
        <v>0.0</v>
      </c>
      <c r="C218" s="316">
        <v>0.0</v>
      </c>
      <c r="D218" s="369">
        <v>0.0</v>
      </c>
      <c r="E218" s="369">
        <v>0.0</v>
      </c>
      <c r="F218" s="369">
        <v>0.0</v>
      </c>
      <c r="G218" s="369">
        <v>0.0</v>
      </c>
      <c r="H218" s="369">
        <v>0.0</v>
      </c>
      <c r="I218" s="369">
        <v>0.0</v>
      </c>
      <c r="J218" s="369">
        <v>0.0</v>
      </c>
      <c r="K218" s="369">
        <v>0.0</v>
      </c>
      <c r="L218" s="369">
        <v>0.0</v>
      </c>
      <c r="M218" s="369">
        <v>0.0</v>
      </c>
      <c r="N218" s="369">
        <v>0.0</v>
      </c>
      <c r="O218" s="369">
        <v>0.0</v>
      </c>
      <c r="P218" s="369">
        <v>0.0</v>
      </c>
      <c r="Q218" s="369">
        <v>0.0</v>
      </c>
      <c r="R218" s="369">
        <v>5.0</v>
      </c>
      <c r="S218" s="369">
        <v>0.0</v>
      </c>
      <c r="T218" s="369">
        <v>0.0</v>
      </c>
      <c r="U218" s="21">
        <v>0.0</v>
      </c>
      <c r="V218" s="21">
        <v>0.0</v>
      </c>
      <c r="W218" s="21">
        <v>0.0</v>
      </c>
      <c r="X218" s="21">
        <v>0.0</v>
      </c>
      <c r="Y218" s="369">
        <v>0.0</v>
      </c>
      <c r="Z218" s="369">
        <v>0.0</v>
      </c>
      <c r="AA218" s="369">
        <v>1.0</v>
      </c>
      <c r="AB218" s="369">
        <v>0.0</v>
      </c>
      <c r="AC218" s="369">
        <v>0.0</v>
      </c>
      <c r="AD218" s="369">
        <v>0.0</v>
      </c>
      <c r="AE218" s="369">
        <v>0.0</v>
      </c>
      <c r="AF218" s="369">
        <v>0.0</v>
      </c>
      <c r="AG218" s="290">
        <f t="shared" si="70"/>
        <v>6</v>
      </c>
    </row>
    <row r="219">
      <c r="A219" s="367" t="s">
        <v>1177</v>
      </c>
      <c r="B219" s="318">
        <v>109.0</v>
      </c>
      <c r="C219" s="316">
        <v>88.0</v>
      </c>
      <c r="D219" s="369">
        <v>55.0</v>
      </c>
      <c r="E219" s="369">
        <v>270.0</v>
      </c>
      <c r="F219" s="369">
        <v>231.0</v>
      </c>
      <c r="G219" s="369">
        <v>190.0</v>
      </c>
      <c r="H219" s="369">
        <v>179.0</v>
      </c>
      <c r="I219" s="369">
        <v>129.0</v>
      </c>
      <c r="J219" s="369">
        <v>119.0</v>
      </c>
      <c r="K219" s="369">
        <v>172.0</v>
      </c>
      <c r="L219" s="369">
        <v>127.0</v>
      </c>
      <c r="M219" s="369">
        <v>82.0</v>
      </c>
      <c r="N219" s="369">
        <v>104.0</v>
      </c>
      <c r="O219" s="369">
        <v>86.0</v>
      </c>
      <c r="P219" s="369">
        <v>112.0</v>
      </c>
      <c r="Q219" s="369">
        <v>85.0</v>
      </c>
      <c r="R219" s="369">
        <v>96.0</v>
      </c>
      <c r="S219" s="369">
        <v>83.0</v>
      </c>
      <c r="T219" s="369">
        <v>99.0</v>
      </c>
      <c r="U219" s="21">
        <v>98.0</v>
      </c>
      <c r="V219" s="21">
        <v>117.0</v>
      </c>
      <c r="W219" s="369">
        <v>103.0</v>
      </c>
      <c r="X219" s="369">
        <v>93.0</v>
      </c>
      <c r="Y219" s="369">
        <v>108.0</v>
      </c>
      <c r="Z219" s="369">
        <v>106.0</v>
      </c>
      <c r="AA219" s="369">
        <v>80.0</v>
      </c>
      <c r="AB219" s="369">
        <v>112.0</v>
      </c>
      <c r="AC219" s="369">
        <v>106.0</v>
      </c>
      <c r="AD219" s="369">
        <v>117.0</v>
      </c>
      <c r="AE219" s="369">
        <v>109.0</v>
      </c>
      <c r="AF219" s="369">
        <v>112.0</v>
      </c>
      <c r="AG219" s="290">
        <f t="shared" si="70"/>
        <v>3677</v>
      </c>
    </row>
    <row r="220">
      <c r="A220" s="367" t="s">
        <v>1180</v>
      </c>
      <c r="B220" s="318">
        <v>48.0</v>
      </c>
      <c r="C220" s="316">
        <v>33.0</v>
      </c>
      <c r="D220" s="369">
        <v>23.0</v>
      </c>
      <c r="E220" s="369">
        <v>107.0</v>
      </c>
      <c r="F220" s="369">
        <v>86.0</v>
      </c>
      <c r="G220" s="369">
        <v>75.0</v>
      </c>
      <c r="H220" s="369">
        <v>68.0</v>
      </c>
      <c r="I220" s="369">
        <v>53.0</v>
      </c>
      <c r="J220" s="369">
        <v>50.0</v>
      </c>
      <c r="K220" s="369">
        <v>79.0</v>
      </c>
      <c r="L220" s="369">
        <v>44.0</v>
      </c>
      <c r="M220" s="369">
        <v>25.0</v>
      </c>
      <c r="N220" s="369">
        <v>37.0</v>
      </c>
      <c r="O220" s="369">
        <v>36.0</v>
      </c>
      <c r="P220" s="369">
        <v>39.0</v>
      </c>
      <c r="Q220" s="369">
        <v>34.0</v>
      </c>
      <c r="R220" s="369">
        <v>25.0</v>
      </c>
      <c r="S220" s="369">
        <v>33.0</v>
      </c>
      <c r="T220" s="369">
        <v>33.0</v>
      </c>
      <c r="U220" s="314">
        <v>32.0</v>
      </c>
      <c r="V220" s="314">
        <v>40.0</v>
      </c>
      <c r="W220" s="369">
        <v>32.0</v>
      </c>
      <c r="X220" s="369">
        <v>29.0</v>
      </c>
      <c r="Y220" s="369">
        <v>29.0</v>
      </c>
      <c r="Z220" s="369">
        <v>24.0</v>
      </c>
      <c r="AA220" s="369">
        <v>27.0</v>
      </c>
      <c r="AB220" s="369">
        <v>44.0</v>
      </c>
      <c r="AC220" s="369">
        <v>31.0</v>
      </c>
      <c r="AD220" s="369">
        <v>43.0</v>
      </c>
      <c r="AE220" s="369">
        <v>32.0</v>
      </c>
      <c r="AF220" s="369">
        <v>36.0</v>
      </c>
      <c r="AG220" s="290">
        <f t="shared" si="70"/>
        <v>1327</v>
      </c>
    </row>
    <row r="221">
      <c r="A221" s="367" t="s">
        <v>1184</v>
      </c>
      <c r="B221" s="318">
        <v>105.0</v>
      </c>
      <c r="C221" s="316">
        <v>93.0</v>
      </c>
      <c r="D221" s="369">
        <f>4+67</f>
        <v>71</v>
      </c>
      <c r="E221" s="369">
        <v>263.0</v>
      </c>
      <c r="F221" s="369">
        <v>205.0</v>
      </c>
      <c r="G221" s="369">
        <v>85.0</v>
      </c>
      <c r="H221" s="369">
        <v>43.0</v>
      </c>
      <c r="I221" s="369">
        <v>40.0</v>
      </c>
      <c r="J221" s="369">
        <v>29.0</v>
      </c>
      <c r="K221" s="369">
        <v>97.0</v>
      </c>
      <c r="L221" s="369">
        <v>36.0</v>
      </c>
      <c r="M221" s="369">
        <v>12.0</v>
      </c>
      <c r="N221" s="369">
        <v>29.0</v>
      </c>
      <c r="O221" s="369">
        <v>18.0</v>
      </c>
      <c r="P221" s="369">
        <v>30.0</v>
      </c>
      <c r="Q221" s="369">
        <v>21.0</v>
      </c>
      <c r="R221" s="369">
        <v>48.0</v>
      </c>
      <c r="S221" s="369">
        <v>17.0</v>
      </c>
      <c r="T221" s="369">
        <v>12.0</v>
      </c>
      <c r="U221" s="314">
        <v>16.0</v>
      </c>
      <c r="V221" s="314">
        <v>19.0</v>
      </c>
      <c r="W221" s="369">
        <v>25.0</v>
      </c>
      <c r="X221" s="369">
        <v>18.0</v>
      </c>
      <c r="Y221" s="369">
        <v>21.0</v>
      </c>
      <c r="Z221" s="369">
        <v>18.0</v>
      </c>
      <c r="AA221" s="369">
        <v>12.0</v>
      </c>
      <c r="AB221" s="369">
        <v>19.0</v>
      </c>
      <c r="AC221" s="369">
        <v>23.0</v>
      </c>
      <c r="AD221" s="369">
        <v>22.0</v>
      </c>
      <c r="AE221" s="369">
        <v>17.0</v>
      </c>
      <c r="AF221" s="369">
        <v>10.0</v>
      </c>
      <c r="AG221" s="290">
        <f t="shared" si="70"/>
        <v>1474</v>
      </c>
    </row>
    <row r="222">
      <c r="A222" s="378" t="s">
        <v>1189</v>
      </c>
      <c r="B222" s="379">
        <f t="shared" ref="B222:AF222" si="71">SUM(B217:B221)</f>
        <v>328</v>
      </c>
      <c r="C222" s="379">
        <f t="shared" si="71"/>
        <v>272</v>
      </c>
      <c r="D222" s="379">
        <f t="shared" si="71"/>
        <v>187</v>
      </c>
      <c r="E222" s="379">
        <f t="shared" si="71"/>
        <v>782</v>
      </c>
      <c r="F222" s="379">
        <f t="shared" si="71"/>
        <v>637</v>
      </c>
      <c r="G222" s="379">
        <f t="shared" si="71"/>
        <v>442</v>
      </c>
      <c r="H222" s="379">
        <f t="shared" si="71"/>
        <v>395</v>
      </c>
      <c r="I222" s="379">
        <f t="shared" si="71"/>
        <v>297</v>
      </c>
      <c r="J222" s="379">
        <f t="shared" si="71"/>
        <v>272</v>
      </c>
      <c r="K222" s="379">
        <f t="shared" si="71"/>
        <v>446</v>
      </c>
      <c r="L222" s="379">
        <f t="shared" si="71"/>
        <v>263</v>
      </c>
      <c r="M222" s="379">
        <f t="shared" si="71"/>
        <v>157</v>
      </c>
      <c r="N222" s="379">
        <f t="shared" si="71"/>
        <v>224</v>
      </c>
      <c r="O222" s="379">
        <f t="shared" si="71"/>
        <v>188</v>
      </c>
      <c r="P222" s="379">
        <f t="shared" si="71"/>
        <v>244</v>
      </c>
      <c r="Q222" s="379">
        <f t="shared" si="71"/>
        <v>188</v>
      </c>
      <c r="R222" s="379">
        <f t="shared" si="71"/>
        <v>225</v>
      </c>
      <c r="S222" s="379">
        <f t="shared" si="71"/>
        <v>174</v>
      </c>
      <c r="T222" s="379">
        <f t="shared" si="71"/>
        <v>184</v>
      </c>
      <c r="U222" s="379">
        <f t="shared" si="71"/>
        <v>184</v>
      </c>
      <c r="V222" s="379">
        <f t="shared" si="71"/>
        <v>237</v>
      </c>
      <c r="W222" s="379">
        <f t="shared" si="71"/>
        <v>193</v>
      </c>
      <c r="X222" s="379">
        <f t="shared" si="71"/>
        <v>179</v>
      </c>
      <c r="Y222" s="379">
        <f t="shared" si="71"/>
        <v>201</v>
      </c>
      <c r="Z222" s="379">
        <f t="shared" si="71"/>
        <v>188</v>
      </c>
      <c r="AA222" s="379">
        <f t="shared" si="71"/>
        <v>161</v>
      </c>
      <c r="AB222" s="379">
        <f t="shared" si="71"/>
        <v>232</v>
      </c>
      <c r="AC222" s="379">
        <f t="shared" si="71"/>
        <v>205</v>
      </c>
      <c r="AD222" s="379">
        <f t="shared" si="71"/>
        <v>233</v>
      </c>
      <c r="AE222" s="379">
        <f t="shared" si="71"/>
        <v>207</v>
      </c>
      <c r="AF222" s="379">
        <f t="shared" si="71"/>
        <v>205</v>
      </c>
      <c r="AG222" s="290">
        <f t="shared" si="70"/>
        <v>8330</v>
      </c>
    </row>
    <row r="223">
      <c r="A223" s="26"/>
      <c r="B223" s="217"/>
      <c r="C223" s="217"/>
      <c r="D223" s="217"/>
      <c r="E223" s="217"/>
      <c r="F223" s="217"/>
      <c r="G223" s="217"/>
      <c r="H223" s="217"/>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90"/>
    </row>
    <row r="224">
      <c r="A224" s="367" t="s">
        <v>1194</v>
      </c>
      <c r="B224" s="371">
        <v>9.0</v>
      </c>
      <c r="C224" s="372">
        <v>11.0</v>
      </c>
      <c r="D224" s="369">
        <v>16.0</v>
      </c>
      <c r="E224" s="369">
        <v>15.0</v>
      </c>
      <c r="F224" s="369">
        <v>13.0</v>
      </c>
      <c r="G224" s="369">
        <v>22.0</v>
      </c>
      <c r="H224" s="369">
        <v>22.0</v>
      </c>
      <c r="I224" s="369">
        <v>12.0</v>
      </c>
      <c r="J224" s="369">
        <v>13.0</v>
      </c>
      <c r="K224" s="369">
        <v>11.0</v>
      </c>
      <c r="L224" s="369">
        <v>7.0</v>
      </c>
      <c r="M224" s="369">
        <v>6.0</v>
      </c>
      <c r="N224" s="369">
        <v>14.0</v>
      </c>
      <c r="O224" s="369">
        <v>10.0</v>
      </c>
      <c r="P224" s="369">
        <v>17.0</v>
      </c>
      <c r="Q224" s="369">
        <v>10.0</v>
      </c>
      <c r="R224" s="369">
        <v>8.0</v>
      </c>
      <c r="S224" s="369">
        <v>10.0</v>
      </c>
      <c r="T224" s="316">
        <v>10.0</v>
      </c>
      <c r="U224" s="369">
        <v>7.0</v>
      </c>
      <c r="V224" s="369">
        <v>19.0</v>
      </c>
      <c r="W224" s="369">
        <v>9.0</v>
      </c>
      <c r="X224" s="369">
        <v>9.0</v>
      </c>
      <c r="Y224" s="369">
        <v>10.0</v>
      </c>
      <c r="Z224" s="369">
        <v>8.0</v>
      </c>
      <c r="AA224" s="369">
        <v>15.0</v>
      </c>
      <c r="AB224" s="369">
        <v>13.0</v>
      </c>
      <c r="AC224" s="369">
        <v>12.0</v>
      </c>
      <c r="AD224" s="369">
        <v>13.0</v>
      </c>
      <c r="AE224" s="369">
        <v>6.0</v>
      </c>
      <c r="AF224" s="369">
        <v>17.0</v>
      </c>
      <c r="AG224" s="290">
        <f t="shared" ref="AG224:AG229" si="72">SUM(B224:AF224)</f>
        <v>374</v>
      </c>
    </row>
    <row r="225">
      <c r="A225" s="367" t="s">
        <v>1195</v>
      </c>
      <c r="B225" s="373"/>
      <c r="C225" s="374"/>
      <c r="D225" s="369">
        <v>0.0</v>
      </c>
      <c r="E225" s="369">
        <v>1.0</v>
      </c>
      <c r="F225" s="369">
        <v>0.0</v>
      </c>
      <c r="G225" s="369">
        <v>0.0</v>
      </c>
      <c r="H225" s="369">
        <v>0.0</v>
      </c>
      <c r="I225" s="369">
        <v>0.0</v>
      </c>
      <c r="J225" s="369">
        <v>0.0</v>
      </c>
      <c r="K225" s="369">
        <v>0.0</v>
      </c>
      <c r="L225" s="369">
        <v>0.0</v>
      </c>
      <c r="M225" s="369">
        <v>1.0</v>
      </c>
      <c r="N225" s="369">
        <v>0.0</v>
      </c>
      <c r="O225" s="369">
        <v>0.0</v>
      </c>
      <c r="P225" s="369">
        <v>0.0</v>
      </c>
      <c r="Q225" s="369">
        <v>0.0</v>
      </c>
      <c r="R225" s="369">
        <v>0.0</v>
      </c>
      <c r="S225" s="369">
        <v>0.0</v>
      </c>
      <c r="T225" s="316">
        <v>0.0</v>
      </c>
      <c r="U225" s="369">
        <v>0.0</v>
      </c>
      <c r="V225" s="369">
        <v>0.0</v>
      </c>
      <c r="W225" s="369">
        <v>0.0</v>
      </c>
      <c r="X225" s="21">
        <v>0.0</v>
      </c>
      <c r="Y225" s="21">
        <v>0.0</v>
      </c>
      <c r="Z225" s="21">
        <v>0.0</v>
      </c>
      <c r="AA225" s="21">
        <v>0.0</v>
      </c>
      <c r="AB225" s="369">
        <v>0.0</v>
      </c>
      <c r="AC225" s="369">
        <v>0.0</v>
      </c>
      <c r="AD225" s="369">
        <v>0.0</v>
      </c>
      <c r="AE225" s="369">
        <v>0.0</v>
      </c>
      <c r="AF225" s="369">
        <v>0.0</v>
      </c>
      <c r="AG225" s="290">
        <f t="shared" si="72"/>
        <v>2</v>
      </c>
    </row>
    <row r="226">
      <c r="A226" s="367" t="s">
        <v>1198</v>
      </c>
      <c r="B226" s="371">
        <v>10.0</v>
      </c>
      <c r="C226" s="372">
        <v>15.0</v>
      </c>
      <c r="D226" s="369">
        <v>20.0</v>
      </c>
      <c r="E226" s="369">
        <v>13.0</v>
      </c>
      <c r="F226" s="369">
        <v>17.0</v>
      </c>
      <c r="G226" s="369">
        <v>29.0</v>
      </c>
      <c r="H226" s="369">
        <v>26.0</v>
      </c>
      <c r="I226" s="369">
        <v>15.0</v>
      </c>
      <c r="J226" s="369">
        <v>15.0</v>
      </c>
      <c r="K226" s="369">
        <v>16.0</v>
      </c>
      <c r="L226" s="369">
        <v>10.0</v>
      </c>
      <c r="M226" s="369">
        <v>8.0</v>
      </c>
      <c r="N226" s="369">
        <v>13.0</v>
      </c>
      <c r="O226" s="369">
        <v>9.0</v>
      </c>
      <c r="P226" s="369">
        <v>19.0</v>
      </c>
      <c r="Q226" s="369">
        <v>15.0</v>
      </c>
      <c r="R226" s="369">
        <v>11.0</v>
      </c>
      <c r="S226" s="369">
        <v>17.0</v>
      </c>
      <c r="T226" s="316">
        <v>19.0</v>
      </c>
      <c r="U226" s="369">
        <v>16.0</v>
      </c>
      <c r="V226" s="369">
        <v>20.0</v>
      </c>
      <c r="W226" s="369">
        <v>23.0</v>
      </c>
      <c r="X226" s="369">
        <v>11.0</v>
      </c>
      <c r="Y226" s="369">
        <v>15.0</v>
      </c>
      <c r="Z226" s="369">
        <v>15.0</v>
      </c>
      <c r="AA226" s="369">
        <v>12.0</v>
      </c>
      <c r="AB226" s="369">
        <v>15.0</v>
      </c>
      <c r="AC226" s="369">
        <v>21.0</v>
      </c>
      <c r="AD226" s="369">
        <v>15.0</v>
      </c>
      <c r="AE226" s="369">
        <v>13.0</v>
      </c>
      <c r="AF226" s="369">
        <v>16.0</v>
      </c>
      <c r="AG226" s="290">
        <f t="shared" si="72"/>
        <v>489</v>
      </c>
    </row>
    <row r="227">
      <c r="A227" s="367" t="s">
        <v>1199</v>
      </c>
      <c r="B227" s="371">
        <v>11.0</v>
      </c>
      <c r="C227" s="372">
        <v>9.0</v>
      </c>
      <c r="D227" s="369">
        <v>11.0</v>
      </c>
      <c r="E227" s="369">
        <v>15.0</v>
      </c>
      <c r="F227" s="369">
        <v>14.0</v>
      </c>
      <c r="G227" s="369">
        <v>19.0</v>
      </c>
      <c r="H227" s="369">
        <v>14.0</v>
      </c>
      <c r="I227" s="369">
        <v>15.0</v>
      </c>
      <c r="J227" s="369">
        <v>10.0</v>
      </c>
      <c r="K227" s="369">
        <v>5.0</v>
      </c>
      <c r="L227" s="369">
        <v>10.0</v>
      </c>
      <c r="M227" s="369">
        <v>5.0</v>
      </c>
      <c r="N227" s="369">
        <v>13.0</v>
      </c>
      <c r="O227" s="369">
        <v>11.0</v>
      </c>
      <c r="P227" s="369">
        <v>13.0</v>
      </c>
      <c r="Q227" s="369">
        <v>13.0</v>
      </c>
      <c r="R227" s="369">
        <v>6.0</v>
      </c>
      <c r="S227" s="369">
        <v>8.0</v>
      </c>
      <c r="T227" s="316">
        <v>13.0</v>
      </c>
      <c r="U227" s="369">
        <v>5.0</v>
      </c>
      <c r="V227" s="369">
        <v>17.0</v>
      </c>
      <c r="W227" s="369">
        <v>11.0</v>
      </c>
      <c r="X227" s="369">
        <v>7.0</v>
      </c>
      <c r="Y227" s="369">
        <v>9.0</v>
      </c>
      <c r="Z227" s="369">
        <v>9.0</v>
      </c>
      <c r="AA227" s="369">
        <v>10.0</v>
      </c>
      <c r="AB227" s="369">
        <v>14.0</v>
      </c>
      <c r="AC227" s="369">
        <v>15.0</v>
      </c>
      <c r="AD227" s="369">
        <v>10.0</v>
      </c>
      <c r="AE227" s="369">
        <v>4.0</v>
      </c>
      <c r="AF227" s="369">
        <v>11.0</v>
      </c>
      <c r="AG227" s="290">
        <f t="shared" si="72"/>
        <v>337</v>
      </c>
    </row>
    <row r="228">
      <c r="A228" s="367" t="s">
        <v>1203</v>
      </c>
      <c r="B228" s="371">
        <v>14.0</v>
      </c>
      <c r="C228" s="372">
        <v>17.0</v>
      </c>
      <c r="D228" s="369">
        <v>17.0</v>
      </c>
      <c r="E228" s="369">
        <v>17.0</v>
      </c>
      <c r="F228" s="369">
        <v>18.0</v>
      </c>
      <c r="G228" s="369">
        <v>21.0</v>
      </c>
      <c r="H228" s="369">
        <v>10.0</v>
      </c>
      <c r="I228" s="369">
        <v>13.0</v>
      </c>
      <c r="J228" s="369">
        <v>6.0</v>
      </c>
      <c r="K228" s="369">
        <v>3.0</v>
      </c>
      <c r="L228" s="369">
        <v>8.0</v>
      </c>
      <c r="M228" s="369">
        <v>3.0</v>
      </c>
      <c r="N228" s="369">
        <v>4.0</v>
      </c>
      <c r="O228" s="369">
        <v>8.0</v>
      </c>
      <c r="P228" s="369">
        <v>6.0</v>
      </c>
      <c r="Q228" s="369">
        <v>6.0</v>
      </c>
      <c r="R228" s="369">
        <v>4.0</v>
      </c>
      <c r="S228" s="369">
        <v>1.0</v>
      </c>
      <c r="T228" s="316">
        <v>5.0</v>
      </c>
      <c r="U228" s="369">
        <v>7.0</v>
      </c>
      <c r="V228" s="369">
        <v>7.0</v>
      </c>
      <c r="W228" s="369">
        <v>9.0</v>
      </c>
      <c r="X228" s="369">
        <v>3.0</v>
      </c>
      <c r="Y228" s="369">
        <v>3.0</v>
      </c>
      <c r="Z228" s="369">
        <v>3.0</v>
      </c>
      <c r="AA228" s="369">
        <v>4.0</v>
      </c>
      <c r="AB228" s="369">
        <v>3.0</v>
      </c>
      <c r="AC228" s="369">
        <v>7.0</v>
      </c>
      <c r="AD228" s="369">
        <v>6.0</v>
      </c>
      <c r="AE228" s="369">
        <v>5.0</v>
      </c>
      <c r="AF228" s="369">
        <v>5.0</v>
      </c>
      <c r="AG228" s="290">
        <f t="shared" si="72"/>
        <v>243</v>
      </c>
    </row>
    <row r="229">
      <c r="A229" s="387" t="s">
        <v>1204</v>
      </c>
      <c r="B229" s="379">
        <f t="shared" ref="B229:AF229" si="73">SUM(B224:B228)</f>
        <v>44</v>
      </c>
      <c r="C229" s="379">
        <f t="shared" si="73"/>
        <v>52</v>
      </c>
      <c r="D229" s="379">
        <f t="shared" si="73"/>
        <v>64</v>
      </c>
      <c r="E229" s="379">
        <f t="shared" si="73"/>
        <v>61</v>
      </c>
      <c r="F229" s="379">
        <f t="shared" si="73"/>
        <v>62</v>
      </c>
      <c r="G229" s="379">
        <f t="shared" si="73"/>
        <v>91</v>
      </c>
      <c r="H229" s="379">
        <f t="shared" si="73"/>
        <v>72</v>
      </c>
      <c r="I229" s="379">
        <f t="shared" si="73"/>
        <v>55</v>
      </c>
      <c r="J229" s="379">
        <f t="shared" si="73"/>
        <v>44</v>
      </c>
      <c r="K229" s="379">
        <f t="shared" si="73"/>
        <v>35</v>
      </c>
      <c r="L229" s="379">
        <f t="shared" si="73"/>
        <v>35</v>
      </c>
      <c r="M229" s="379">
        <f t="shared" si="73"/>
        <v>23</v>
      </c>
      <c r="N229" s="379">
        <f t="shared" si="73"/>
        <v>44</v>
      </c>
      <c r="O229" s="379">
        <f t="shared" si="73"/>
        <v>38</v>
      </c>
      <c r="P229" s="379">
        <f t="shared" si="73"/>
        <v>55</v>
      </c>
      <c r="Q229" s="379">
        <f t="shared" si="73"/>
        <v>44</v>
      </c>
      <c r="R229" s="379">
        <f t="shared" si="73"/>
        <v>29</v>
      </c>
      <c r="S229" s="379">
        <f t="shared" si="73"/>
        <v>36</v>
      </c>
      <c r="T229" s="379">
        <f t="shared" si="73"/>
        <v>47</v>
      </c>
      <c r="U229" s="379">
        <f t="shared" si="73"/>
        <v>35</v>
      </c>
      <c r="V229" s="379">
        <f t="shared" si="73"/>
        <v>63</v>
      </c>
      <c r="W229" s="379">
        <f t="shared" si="73"/>
        <v>52</v>
      </c>
      <c r="X229" s="379">
        <f t="shared" si="73"/>
        <v>30</v>
      </c>
      <c r="Y229" s="379">
        <f t="shared" si="73"/>
        <v>37</v>
      </c>
      <c r="Z229" s="379">
        <f t="shared" si="73"/>
        <v>35</v>
      </c>
      <c r="AA229" s="379">
        <f t="shared" si="73"/>
        <v>41</v>
      </c>
      <c r="AB229" s="379">
        <f t="shared" si="73"/>
        <v>45</v>
      </c>
      <c r="AC229" s="379">
        <f t="shared" si="73"/>
        <v>55</v>
      </c>
      <c r="AD229" s="379">
        <f t="shared" si="73"/>
        <v>44</v>
      </c>
      <c r="AE229" s="379">
        <f t="shared" si="73"/>
        <v>28</v>
      </c>
      <c r="AF229" s="379">
        <f t="shared" si="73"/>
        <v>49</v>
      </c>
      <c r="AG229" s="290">
        <f t="shared" si="72"/>
        <v>1445</v>
      </c>
    </row>
    <row r="230">
      <c r="A230" s="26"/>
      <c r="B230" s="217"/>
      <c r="C230" s="217"/>
      <c r="D230" s="217"/>
      <c r="E230" s="217"/>
      <c r="F230" s="217"/>
      <c r="G230" s="217"/>
      <c r="H230" s="217"/>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90"/>
    </row>
    <row r="231">
      <c r="A231" s="367" t="s">
        <v>1211</v>
      </c>
      <c r="B231" s="329"/>
      <c r="C231" s="329"/>
      <c r="D231" s="329"/>
      <c r="E231" s="377"/>
      <c r="F231" s="329"/>
      <c r="G231" s="329"/>
      <c r="H231" s="329"/>
      <c r="I231" s="329"/>
      <c r="J231" s="329"/>
      <c r="K231" s="329"/>
      <c r="L231" s="329"/>
      <c r="M231" s="329"/>
      <c r="N231" s="329"/>
      <c r="O231" s="329"/>
      <c r="P231" s="329"/>
      <c r="Q231" s="329"/>
      <c r="R231" s="329"/>
      <c r="S231" s="329"/>
      <c r="T231" s="329"/>
      <c r="U231" s="329"/>
      <c r="V231" s="329"/>
      <c r="W231" s="329"/>
      <c r="X231" s="329"/>
      <c r="Y231" s="329"/>
      <c r="Z231" s="329"/>
      <c r="AA231" s="329"/>
      <c r="AB231" s="329"/>
      <c r="AC231" s="329"/>
      <c r="AD231" s="329"/>
      <c r="AE231" s="329"/>
      <c r="AF231" s="329"/>
      <c r="AG231" s="290">
        <f t="shared" ref="AG231:AG236" si="74">SUM(B231:AF231)</f>
        <v>0</v>
      </c>
    </row>
    <row r="232">
      <c r="A232" s="367" t="s">
        <v>1218</v>
      </c>
      <c r="B232" s="329"/>
      <c r="C232" s="329"/>
      <c r="D232" s="377"/>
      <c r="E232" s="377"/>
      <c r="F232" s="329"/>
      <c r="G232" s="329"/>
      <c r="H232" s="329"/>
      <c r="I232" s="329"/>
      <c r="J232" s="329"/>
      <c r="K232" s="329"/>
      <c r="L232" s="329"/>
      <c r="M232" s="329"/>
      <c r="N232" s="329"/>
      <c r="O232" s="329"/>
      <c r="P232" s="329"/>
      <c r="Q232" s="329"/>
      <c r="R232" s="329"/>
      <c r="S232" s="329"/>
      <c r="T232" s="329"/>
      <c r="U232" s="329"/>
      <c r="V232" s="329"/>
      <c r="W232" s="329"/>
      <c r="X232" s="329"/>
      <c r="Y232" s="329"/>
      <c r="Z232" s="329"/>
      <c r="AA232" s="329"/>
      <c r="AB232" s="329"/>
      <c r="AC232" s="329"/>
      <c r="AD232" s="329"/>
      <c r="AE232" s="329"/>
      <c r="AF232" s="329"/>
      <c r="AG232" s="290">
        <f t="shared" si="74"/>
        <v>0</v>
      </c>
    </row>
    <row r="233">
      <c r="A233" s="367" t="s">
        <v>1221</v>
      </c>
      <c r="B233" s="329"/>
      <c r="C233" s="329"/>
      <c r="D233" s="329"/>
      <c r="E233" s="377"/>
      <c r="F233" s="329"/>
      <c r="G233" s="329"/>
      <c r="H233" s="329"/>
      <c r="I233" s="329"/>
      <c r="J233" s="329"/>
      <c r="K233" s="329"/>
      <c r="L233" s="329"/>
      <c r="M233" s="329"/>
      <c r="N233" s="329"/>
      <c r="O233" s="329"/>
      <c r="P233" s="329"/>
      <c r="Q233" s="329"/>
      <c r="R233" s="329"/>
      <c r="S233" s="329"/>
      <c r="T233" s="329"/>
      <c r="U233" s="329"/>
      <c r="V233" s="329"/>
      <c r="W233" s="329"/>
      <c r="X233" s="329"/>
      <c r="Y233" s="329"/>
      <c r="Z233" s="329"/>
      <c r="AA233" s="329"/>
      <c r="AB233" s="329"/>
      <c r="AC233" s="329"/>
      <c r="AD233" s="329"/>
      <c r="AE233" s="329"/>
      <c r="AF233" s="329"/>
      <c r="AG233" s="290">
        <f t="shared" si="74"/>
        <v>0</v>
      </c>
    </row>
    <row r="234">
      <c r="A234" s="367" t="s">
        <v>1223</v>
      </c>
      <c r="B234" s="329"/>
      <c r="C234" s="329"/>
      <c r="D234" s="329"/>
      <c r="E234" s="329"/>
      <c r="F234" s="329"/>
      <c r="G234" s="329"/>
      <c r="H234" s="329"/>
      <c r="I234" s="329"/>
      <c r="J234" s="329"/>
      <c r="K234" s="329"/>
      <c r="L234" s="329"/>
      <c r="M234" s="329"/>
      <c r="N234" s="329"/>
      <c r="O234" s="329"/>
      <c r="P234" s="329"/>
      <c r="Q234" s="329"/>
      <c r="R234" s="329"/>
      <c r="S234" s="329"/>
      <c r="T234" s="329"/>
      <c r="U234" s="329"/>
      <c r="V234" s="329"/>
      <c r="W234" s="329"/>
      <c r="X234" s="329"/>
      <c r="Y234" s="329"/>
      <c r="Z234" s="329"/>
      <c r="AA234" s="329"/>
      <c r="AB234" s="329"/>
      <c r="AC234" s="329"/>
      <c r="AD234" s="329"/>
      <c r="AE234" s="329"/>
      <c r="AF234" s="329"/>
      <c r="AG234" s="290">
        <f t="shared" si="74"/>
        <v>0</v>
      </c>
    </row>
    <row r="235">
      <c r="A235" s="367" t="s">
        <v>1230</v>
      </c>
      <c r="B235" s="329"/>
      <c r="C235" s="329"/>
      <c r="D235" s="329"/>
      <c r="E235" s="329"/>
      <c r="F235" s="329"/>
      <c r="G235" s="329"/>
      <c r="H235" s="329"/>
      <c r="I235" s="329"/>
      <c r="J235" s="329"/>
      <c r="K235" s="329"/>
      <c r="L235" s="329"/>
      <c r="M235" s="329"/>
      <c r="N235" s="329"/>
      <c r="O235" s="329"/>
      <c r="P235" s="329"/>
      <c r="Q235" s="329"/>
      <c r="R235" s="329"/>
      <c r="S235" s="329"/>
      <c r="T235" s="329"/>
      <c r="U235" s="329"/>
      <c r="V235" s="329"/>
      <c r="W235" s="329"/>
      <c r="X235" s="329"/>
      <c r="Y235" s="329"/>
      <c r="Z235" s="329"/>
      <c r="AA235" s="329"/>
      <c r="AB235" s="329"/>
      <c r="AC235" s="329"/>
      <c r="AD235" s="329"/>
      <c r="AE235" s="329"/>
      <c r="AF235" s="329"/>
      <c r="AG235" s="290">
        <f t="shared" si="74"/>
        <v>0</v>
      </c>
    </row>
    <row r="236">
      <c r="A236" s="387" t="s">
        <v>1231</v>
      </c>
      <c r="B236" s="379">
        <f t="shared" ref="B236:N236" si="75">SUM(B231:B234)</f>
        <v>0</v>
      </c>
      <c r="C236" s="379">
        <f t="shared" si="75"/>
        <v>0</v>
      </c>
      <c r="D236" s="379">
        <f t="shared" si="75"/>
        <v>0</v>
      </c>
      <c r="E236" s="379">
        <f t="shared" si="75"/>
        <v>0</v>
      </c>
      <c r="F236" s="379">
        <f t="shared" si="75"/>
        <v>0</v>
      </c>
      <c r="G236" s="379">
        <f t="shared" si="75"/>
        <v>0</v>
      </c>
      <c r="H236" s="379">
        <f t="shared" si="75"/>
        <v>0</v>
      </c>
      <c r="I236" s="379">
        <f t="shared" si="75"/>
        <v>0</v>
      </c>
      <c r="J236" s="379">
        <f t="shared" si="75"/>
        <v>0</v>
      </c>
      <c r="K236" s="379">
        <f t="shared" si="75"/>
        <v>0</v>
      </c>
      <c r="L236" s="379">
        <f t="shared" si="75"/>
        <v>0</v>
      </c>
      <c r="M236" s="379">
        <f t="shared" si="75"/>
        <v>0</v>
      </c>
      <c r="N236" s="379">
        <f t="shared" si="75"/>
        <v>0</v>
      </c>
      <c r="O236" s="379">
        <f>SUM(O231:O235)</f>
        <v>0</v>
      </c>
      <c r="P236" s="379">
        <f t="shared" ref="P236:R236" si="76">SUM(P231:P234)</f>
        <v>0</v>
      </c>
      <c r="Q236" s="379">
        <f t="shared" si="76"/>
        <v>0</v>
      </c>
      <c r="R236" s="379">
        <f t="shared" si="76"/>
        <v>0</v>
      </c>
      <c r="S236" s="379">
        <f>SUM(S231:S235)</f>
        <v>0</v>
      </c>
      <c r="T236" s="379">
        <f t="shared" ref="T236:Y236" si="77">SUM(T231:T234)</f>
        <v>0</v>
      </c>
      <c r="U236" s="379">
        <f t="shared" si="77"/>
        <v>0</v>
      </c>
      <c r="V236" s="379">
        <f t="shared" si="77"/>
        <v>0</v>
      </c>
      <c r="W236" s="379">
        <f t="shared" si="77"/>
        <v>0</v>
      </c>
      <c r="X236" s="379">
        <f t="shared" si="77"/>
        <v>0</v>
      </c>
      <c r="Y236" s="379">
        <f t="shared" si="77"/>
        <v>0</v>
      </c>
      <c r="Z236" s="379">
        <f>SUM(Z231:Z235)</f>
        <v>0</v>
      </c>
      <c r="AA236" s="379">
        <f t="shared" ref="AA236:AF236" si="78">SUM(AA231:AA234)</f>
        <v>0</v>
      </c>
      <c r="AB236" s="379">
        <f t="shared" si="78"/>
        <v>0</v>
      </c>
      <c r="AC236" s="379">
        <f t="shared" si="78"/>
        <v>0</v>
      </c>
      <c r="AD236" s="379">
        <f t="shared" si="78"/>
        <v>0</v>
      </c>
      <c r="AE236" s="379">
        <f t="shared" si="78"/>
        <v>0</v>
      </c>
      <c r="AF236" s="379">
        <f t="shared" si="78"/>
        <v>0</v>
      </c>
      <c r="AG236" s="290">
        <f t="shared" si="74"/>
        <v>0</v>
      </c>
    </row>
    <row r="237">
      <c r="A237" s="26"/>
      <c r="B237" s="217"/>
      <c r="C237" s="217"/>
      <c r="D237" s="217"/>
      <c r="E237" s="217"/>
      <c r="F237" s="217"/>
      <c r="G237" s="217"/>
      <c r="H237" s="217"/>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90"/>
    </row>
    <row r="238">
      <c r="A238" s="229" t="s">
        <v>1238</v>
      </c>
      <c r="B238" s="217"/>
      <c r="C238" s="217"/>
      <c r="D238" s="217"/>
      <c r="E238" s="217"/>
      <c r="F238" s="217"/>
      <c r="G238" s="217"/>
      <c r="H238" s="217"/>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90"/>
    </row>
    <row r="239">
      <c r="A239" s="367" t="s">
        <v>1124</v>
      </c>
      <c r="B239" s="390">
        <v>16099.1</v>
      </c>
      <c r="C239" s="391">
        <v>14112.66</v>
      </c>
      <c r="D239" s="392">
        <v>7530.82</v>
      </c>
      <c r="E239" s="392">
        <v>47343.46</v>
      </c>
      <c r="F239" s="392">
        <v>40641.99</v>
      </c>
      <c r="G239" s="392">
        <v>17799.5</v>
      </c>
      <c r="H239" s="392">
        <v>7326.7</v>
      </c>
      <c r="I239" s="392">
        <v>4935.16</v>
      </c>
      <c r="J239" s="392">
        <v>6936.96</v>
      </c>
      <c r="K239" s="392">
        <v>10937.46</v>
      </c>
      <c r="L239" s="392">
        <v>6781.4</v>
      </c>
      <c r="M239" s="392">
        <v>4242.89</v>
      </c>
      <c r="N239" s="392">
        <v>5100.18</v>
      </c>
      <c r="O239" s="392">
        <v>3775.07</v>
      </c>
      <c r="P239" s="392">
        <v>5206.82</v>
      </c>
      <c r="Q239" s="392">
        <v>3590.18</v>
      </c>
      <c r="R239" s="392">
        <v>10458.59</v>
      </c>
      <c r="S239" s="392">
        <v>4860.18</v>
      </c>
      <c r="T239" s="392">
        <v>5300.21</v>
      </c>
      <c r="U239" s="392">
        <v>4911.45</v>
      </c>
      <c r="V239" s="392">
        <v>6692.42</v>
      </c>
      <c r="W239" s="392">
        <v>6132.73</v>
      </c>
      <c r="X239" s="392">
        <v>6603.33</v>
      </c>
      <c r="Y239" s="392">
        <v>5395.07</v>
      </c>
      <c r="Z239" s="392">
        <v>5267.76</v>
      </c>
      <c r="AA239" s="392">
        <v>6238.15</v>
      </c>
      <c r="AB239" s="392">
        <v>6451.47</v>
      </c>
      <c r="AC239" s="392">
        <v>7397.96</v>
      </c>
      <c r="AD239" s="392">
        <v>5964.99</v>
      </c>
      <c r="AE239" s="392">
        <v>5674.23</v>
      </c>
      <c r="AF239" s="392">
        <v>6440.84</v>
      </c>
      <c r="AG239" s="394">
        <f t="shared" ref="AG239:AG246" si="79">SUM(B239:AF239)</f>
        <v>296149.73</v>
      </c>
    </row>
    <row r="240">
      <c r="A240" s="367" t="s">
        <v>1131</v>
      </c>
      <c r="B240" s="390">
        <v>0.0</v>
      </c>
      <c r="C240" s="391">
        <v>291.04</v>
      </c>
      <c r="D240" s="392">
        <v>269.0</v>
      </c>
      <c r="E240" s="392">
        <v>0.0</v>
      </c>
      <c r="F240" s="392">
        <v>538.0</v>
      </c>
      <c r="G240" s="392">
        <v>27449.36</v>
      </c>
      <c r="H240" s="392">
        <v>36880.67</v>
      </c>
      <c r="I240" s="392">
        <v>24082.89</v>
      </c>
      <c r="J240" s="392">
        <v>21076.28</v>
      </c>
      <c r="K240" s="392">
        <v>22959.81</v>
      </c>
      <c r="L240" s="392">
        <v>19161.69</v>
      </c>
      <c r="M240" s="392">
        <v>15283.76</v>
      </c>
      <c r="N240" s="392">
        <v>18926.13</v>
      </c>
      <c r="O240" s="392">
        <v>17244.28</v>
      </c>
      <c r="P240" s="392">
        <v>22029.21</v>
      </c>
      <c r="Q240" s="392">
        <v>17647.37</v>
      </c>
      <c r="R240" s="392">
        <v>13488.83</v>
      </c>
      <c r="S240" s="392">
        <v>13525.77</v>
      </c>
      <c r="T240" s="392">
        <v>18770.13</v>
      </c>
      <c r="U240" s="392">
        <v>20021.13</v>
      </c>
      <c r="V240" s="392">
        <v>22009.66</v>
      </c>
      <c r="W240" s="392">
        <v>17452.67</v>
      </c>
      <c r="X240" s="392">
        <v>16778.32</v>
      </c>
      <c r="Y240" s="392">
        <v>21762.02</v>
      </c>
      <c r="Z240" s="392">
        <v>19438.23</v>
      </c>
      <c r="AA240" s="392">
        <v>13535.27</v>
      </c>
      <c r="AB240" s="392">
        <v>20844.36</v>
      </c>
      <c r="AC240" s="392">
        <v>18901.06</v>
      </c>
      <c r="AD240" s="392">
        <v>22778.87</v>
      </c>
      <c r="AE240" s="392">
        <v>22478.09</v>
      </c>
      <c r="AF240" s="392">
        <v>22315.74</v>
      </c>
      <c r="AG240" s="394">
        <f t="shared" si="79"/>
        <v>527939.64</v>
      </c>
    </row>
    <row r="241">
      <c r="A241" s="367" t="s">
        <v>1132</v>
      </c>
      <c r="B241" s="396">
        <v>995.0</v>
      </c>
      <c r="C241" s="397">
        <v>1393.0</v>
      </c>
      <c r="D241" s="392">
        <v>1990.0</v>
      </c>
      <c r="E241" s="392">
        <v>2189.0</v>
      </c>
      <c r="F241" s="392">
        <v>2786.0</v>
      </c>
      <c r="G241" s="392">
        <v>1592.0</v>
      </c>
      <c r="H241" s="392">
        <v>935.3</v>
      </c>
      <c r="I241" s="392">
        <v>597.0</v>
      </c>
      <c r="J241" s="392">
        <v>199.0</v>
      </c>
      <c r="K241" s="392">
        <v>796.0</v>
      </c>
      <c r="L241" s="392">
        <v>199.0</v>
      </c>
      <c r="M241" s="392">
        <v>0.0</v>
      </c>
      <c r="N241" s="392">
        <v>199.0</v>
      </c>
      <c r="O241" s="392">
        <v>199.0</v>
      </c>
      <c r="P241" s="392">
        <v>796.0</v>
      </c>
      <c r="Q241" s="392">
        <v>199.0</v>
      </c>
      <c r="R241" s="392">
        <v>199.0</v>
      </c>
      <c r="S241" s="392">
        <v>995.0</v>
      </c>
      <c r="T241" s="392">
        <v>1194.0</v>
      </c>
      <c r="U241" s="392">
        <v>597.0</v>
      </c>
      <c r="V241" s="392">
        <v>398.0</v>
      </c>
      <c r="W241" s="392">
        <v>1582.0</v>
      </c>
      <c r="X241" s="392">
        <v>398.0</v>
      </c>
      <c r="Y241" s="392">
        <v>1383.0</v>
      </c>
      <c r="Z241" s="392">
        <v>199.0</v>
      </c>
      <c r="AA241" s="392">
        <v>587.0</v>
      </c>
      <c r="AB241" s="392">
        <v>398.0</v>
      </c>
      <c r="AC241" s="392">
        <v>995.0</v>
      </c>
      <c r="AD241" s="392">
        <v>398.0</v>
      </c>
      <c r="AE241" s="392">
        <v>199.0</v>
      </c>
      <c r="AF241" s="392">
        <v>398.0</v>
      </c>
      <c r="AG241" s="394">
        <f t="shared" si="79"/>
        <v>24984.3</v>
      </c>
    </row>
    <row r="242">
      <c r="A242" s="367" t="s">
        <v>1139</v>
      </c>
      <c r="B242" s="392">
        <v>0.0</v>
      </c>
      <c r="C242" s="392">
        <v>0.0</v>
      </c>
      <c r="D242" s="392">
        <v>0.0</v>
      </c>
      <c r="E242" s="392">
        <v>269.0</v>
      </c>
      <c r="F242" s="392">
        <v>0.0</v>
      </c>
      <c r="G242" s="392">
        <v>3228.0</v>
      </c>
      <c r="H242" s="392">
        <v>4573.0</v>
      </c>
      <c r="I242" s="392">
        <v>2690.0</v>
      </c>
      <c r="J242" s="392">
        <v>2959.0</v>
      </c>
      <c r="K242" s="392">
        <v>2259.6</v>
      </c>
      <c r="L242" s="392">
        <v>1345.0</v>
      </c>
      <c r="M242" s="392">
        <v>538.0</v>
      </c>
      <c r="N242" s="392">
        <v>2152.0</v>
      </c>
      <c r="O242" s="392">
        <v>1614.0</v>
      </c>
      <c r="P242" s="392">
        <v>2152.0</v>
      </c>
      <c r="Q242" s="392">
        <v>2922.1</v>
      </c>
      <c r="R242" s="392">
        <v>1076.0</v>
      </c>
      <c r="S242" s="392">
        <v>2959.0</v>
      </c>
      <c r="T242" s="392">
        <v>1614.0</v>
      </c>
      <c r="U242" s="392">
        <v>1883.0</v>
      </c>
      <c r="V242" s="392">
        <v>2949.0</v>
      </c>
      <c r="W242" s="392">
        <v>2653.1</v>
      </c>
      <c r="X242" s="392">
        <v>1614.0</v>
      </c>
      <c r="Y242" s="392">
        <v>1076.0</v>
      </c>
      <c r="Z242" s="392">
        <v>3766.0</v>
      </c>
      <c r="AA242" s="392">
        <v>2152.0</v>
      </c>
      <c r="AB242" s="392">
        <v>2680.0</v>
      </c>
      <c r="AC242" s="392">
        <v>2939.0</v>
      </c>
      <c r="AD242" s="392">
        <v>2421.0</v>
      </c>
      <c r="AE242" s="392">
        <v>2690.0</v>
      </c>
      <c r="AF242" s="392">
        <v>2670.0</v>
      </c>
      <c r="AG242" s="394">
        <f t="shared" si="79"/>
        <v>61843.8</v>
      </c>
    </row>
    <row r="243">
      <c r="A243" s="367" t="s">
        <v>1140</v>
      </c>
      <c r="B243" s="398"/>
      <c r="C243" s="398"/>
      <c r="D243" s="398"/>
      <c r="E243" s="398"/>
      <c r="F243" s="398"/>
      <c r="G243" s="398"/>
      <c r="H243" s="398"/>
      <c r="I243" s="398"/>
      <c r="J243" s="398"/>
      <c r="K243" s="398"/>
      <c r="L243" s="398"/>
      <c r="M243" s="398"/>
      <c r="N243" s="398"/>
      <c r="O243" s="329"/>
      <c r="P243" s="329"/>
      <c r="Q243" s="398"/>
      <c r="R243" s="398"/>
      <c r="S243" s="398"/>
      <c r="T243" s="398"/>
      <c r="U243" s="398"/>
      <c r="V243" s="398"/>
      <c r="W243" s="398"/>
      <c r="X243" s="398"/>
      <c r="Y243" s="398"/>
      <c r="Z243" s="329"/>
      <c r="AA243" s="398"/>
      <c r="AB243" s="398"/>
      <c r="AC243" s="398"/>
      <c r="AD243" s="398"/>
      <c r="AE243" s="398"/>
      <c r="AF243" s="398"/>
      <c r="AG243" s="394">
        <f t="shared" si="79"/>
        <v>0</v>
      </c>
    </row>
    <row r="244">
      <c r="A244" s="367" t="s">
        <v>1148</v>
      </c>
      <c r="B244" s="398"/>
      <c r="C244" s="398"/>
      <c r="D244" s="398"/>
      <c r="E244" s="59"/>
      <c r="F244" s="398"/>
      <c r="G244" s="398"/>
      <c r="H244" s="398"/>
      <c r="I244" s="398"/>
      <c r="J244" s="398"/>
      <c r="K244" s="398"/>
      <c r="L244" s="398"/>
      <c r="M244" s="398"/>
      <c r="N244" s="398"/>
      <c r="O244" s="398"/>
      <c r="P244" s="398"/>
      <c r="Q244" s="398"/>
      <c r="R244" s="398"/>
      <c r="S244" s="398"/>
      <c r="T244" s="398"/>
      <c r="U244" s="398"/>
      <c r="V244" s="398"/>
      <c r="W244" s="329"/>
      <c r="X244" s="398"/>
      <c r="Y244" s="398"/>
      <c r="Z244" s="398"/>
      <c r="AA244" s="398"/>
      <c r="AB244" s="398"/>
      <c r="AC244" s="398"/>
      <c r="AD244" s="329"/>
      <c r="AE244" s="398"/>
      <c r="AF244" s="398"/>
      <c r="AG244" s="394">
        <f t="shared" si="79"/>
        <v>0</v>
      </c>
    </row>
    <row r="245">
      <c r="A245" s="378" t="s">
        <v>871</v>
      </c>
      <c r="B245" s="399">
        <f t="shared" ref="B245:AF245" si="80">B239+B241+B243</f>
        <v>17094.1</v>
      </c>
      <c r="C245" s="399">
        <f t="shared" si="80"/>
        <v>15505.66</v>
      </c>
      <c r="D245" s="399">
        <f t="shared" si="80"/>
        <v>9520.82</v>
      </c>
      <c r="E245" s="399">
        <f t="shared" si="80"/>
        <v>49532.46</v>
      </c>
      <c r="F245" s="399">
        <f t="shared" si="80"/>
        <v>43427.99</v>
      </c>
      <c r="G245" s="399">
        <f t="shared" si="80"/>
        <v>19391.5</v>
      </c>
      <c r="H245" s="399">
        <f t="shared" si="80"/>
        <v>8262</v>
      </c>
      <c r="I245" s="399">
        <f t="shared" si="80"/>
        <v>5532.16</v>
      </c>
      <c r="J245" s="399">
        <f t="shared" si="80"/>
        <v>7135.96</v>
      </c>
      <c r="K245" s="399">
        <f t="shared" si="80"/>
        <v>11733.46</v>
      </c>
      <c r="L245" s="399">
        <f t="shared" si="80"/>
        <v>6980.4</v>
      </c>
      <c r="M245" s="399">
        <f t="shared" si="80"/>
        <v>4242.89</v>
      </c>
      <c r="N245" s="399">
        <f t="shared" si="80"/>
        <v>5299.18</v>
      </c>
      <c r="O245" s="399">
        <f t="shared" si="80"/>
        <v>3974.07</v>
      </c>
      <c r="P245" s="399">
        <f t="shared" si="80"/>
        <v>6002.82</v>
      </c>
      <c r="Q245" s="399">
        <f t="shared" si="80"/>
        <v>3789.18</v>
      </c>
      <c r="R245" s="399">
        <f t="shared" si="80"/>
        <v>10657.59</v>
      </c>
      <c r="S245" s="399">
        <f t="shared" si="80"/>
        <v>5855.18</v>
      </c>
      <c r="T245" s="399">
        <f t="shared" si="80"/>
        <v>6494.21</v>
      </c>
      <c r="U245" s="399">
        <f t="shared" si="80"/>
        <v>5508.45</v>
      </c>
      <c r="V245" s="399">
        <f t="shared" si="80"/>
        <v>7090.42</v>
      </c>
      <c r="W245" s="399">
        <f t="shared" si="80"/>
        <v>7714.73</v>
      </c>
      <c r="X245" s="399">
        <f t="shared" si="80"/>
        <v>7001.33</v>
      </c>
      <c r="Y245" s="399">
        <f t="shared" si="80"/>
        <v>6778.07</v>
      </c>
      <c r="Z245" s="399">
        <f t="shared" si="80"/>
        <v>5466.76</v>
      </c>
      <c r="AA245" s="399">
        <f t="shared" si="80"/>
        <v>6825.15</v>
      </c>
      <c r="AB245" s="399">
        <f t="shared" si="80"/>
        <v>6849.47</v>
      </c>
      <c r="AC245" s="399">
        <f t="shared" si="80"/>
        <v>8392.96</v>
      </c>
      <c r="AD245" s="399">
        <f t="shared" si="80"/>
        <v>6362.99</v>
      </c>
      <c r="AE245" s="399">
        <f t="shared" si="80"/>
        <v>5873.23</v>
      </c>
      <c r="AF245" s="399">
        <f t="shared" si="80"/>
        <v>6838.84</v>
      </c>
      <c r="AG245" s="394">
        <f t="shared" si="79"/>
        <v>321134.03</v>
      </c>
    </row>
    <row r="246">
      <c r="A246" s="378" t="s">
        <v>1264</v>
      </c>
      <c r="B246" s="399">
        <f t="shared" ref="B246:AF246" si="81">B240+B242+B244</f>
        <v>0</v>
      </c>
      <c r="C246" s="399">
        <f t="shared" si="81"/>
        <v>291.04</v>
      </c>
      <c r="D246" s="399">
        <f t="shared" si="81"/>
        <v>269</v>
      </c>
      <c r="E246" s="399">
        <f t="shared" si="81"/>
        <v>269</v>
      </c>
      <c r="F246" s="399">
        <f t="shared" si="81"/>
        <v>538</v>
      </c>
      <c r="G246" s="399">
        <f t="shared" si="81"/>
        <v>30677.36</v>
      </c>
      <c r="H246" s="399">
        <f t="shared" si="81"/>
        <v>41453.67</v>
      </c>
      <c r="I246" s="399">
        <f t="shared" si="81"/>
        <v>26772.89</v>
      </c>
      <c r="J246" s="399">
        <f t="shared" si="81"/>
        <v>24035.28</v>
      </c>
      <c r="K246" s="399">
        <f t="shared" si="81"/>
        <v>25219.41</v>
      </c>
      <c r="L246" s="399">
        <f t="shared" si="81"/>
        <v>20506.69</v>
      </c>
      <c r="M246" s="399">
        <f t="shared" si="81"/>
        <v>15821.76</v>
      </c>
      <c r="N246" s="399">
        <f t="shared" si="81"/>
        <v>21078.13</v>
      </c>
      <c r="O246" s="399">
        <f t="shared" si="81"/>
        <v>18858.28</v>
      </c>
      <c r="P246" s="399">
        <f t="shared" si="81"/>
        <v>24181.21</v>
      </c>
      <c r="Q246" s="399">
        <f t="shared" si="81"/>
        <v>20569.47</v>
      </c>
      <c r="R246" s="399">
        <f t="shared" si="81"/>
        <v>14564.83</v>
      </c>
      <c r="S246" s="399">
        <f t="shared" si="81"/>
        <v>16484.77</v>
      </c>
      <c r="T246" s="399">
        <f t="shared" si="81"/>
        <v>20384.13</v>
      </c>
      <c r="U246" s="399">
        <f t="shared" si="81"/>
        <v>21904.13</v>
      </c>
      <c r="V246" s="399">
        <f t="shared" si="81"/>
        <v>24958.66</v>
      </c>
      <c r="W246" s="399">
        <f t="shared" si="81"/>
        <v>20105.77</v>
      </c>
      <c r="X246" s="399">
        <f t="shared" si="81"/>
        <v>18392.32</v>
      </c>
      <c r="Y246" s="399">
        <f t="shared" si="81"/>
        <v>22838.02</v>
      </c>
      <c r="Z246" s="399">
        <f t="shared" si="81"/>
        <v>23204.23</v>
      </c>
      <c r="AA246" s="399">
        <f t="shared" si="81"/>
        <v>15687.27</v>
      </c>
      <c r="AB246" s="399">
        <f t="shared" si="81"/>
        <v>23524.36</v>
      </c>
      <c r="AC246" s="399">
        <f t="shared" si="81"/>
        <v>21840.06</v>
      </c>
      <c r="AD246" s="399">
        <f t="shared" si="81"/>
        <v>25199.87</v>
      </c>
      <c r="AE246" s="399">
        <f t="shared" si="81"/>
        <v>25168.09</v>
      </c>
      <c r="AF246" s="399">
        <f t="shared" si="81"/>
        <v>24985.74</v>
      </c>
      <c r="AG246" s="394">
        <f t="shared" si="79"/>
        <v>589783.44</v>
      </c>
    </row>
    <row r="247">
      <c r="A247" s="26"/>
      <c r="B247" s="406"/>
      <c r="C247" s="406"/>
      <c r="D247" s="406"/>
      <c r="E247" s="406"/>
      <c r="F247" s="406"/>
      <c r="G247" s="406"/>
      <c r="H247" s="406"/>
      <c r="I247" s="406"/>
      <c r="J247" s="406"/>
      <c r="K247" s="406"/>
      <c r="L247" s="406"/>
      <c r="M247" s="406"/>
      <c r="N247" s="406"/>
      <c r="O247" s="406"/>
      <c r="P247" s="406"/>
      <c r="Q247" s="406"/>
      <c r="R247" s="406"/>
      <c r="S247" s="406"/>
      <c r="T247" s="406"/>
      <c r="U247" s="406"/>
      <c r="V247" s="406"/>
      <c r="W247" s="406"/>
      <c r="X247" s="406"/>
      <c r="Y247" s="406"/>
      <c r="Z247" s="406"/>
      <c r="AA247" s="406"/>
      <c r="AB247" s="406"/>
      <c r="AC247" s="406"/>
      <c r="AD247" s="406"/>
      <c r="AE247" s="406"/>
      <c r="AF247" s="406"/>
      <c r="AG247" s="394"/>
    </row>
    <row r="248">
      <c r="A248" s="367" t="s">
        <v>1166</v>
      </c>
      <c r="B248" s="390">
        <v>1526.4</v>
      </c>
      <c r="C248" s="391">
        <v>1355.56</v>
      </c>
      <c r="D248" s="392">
        <v>912.0</v>
      </c>
      <c r="E248" s="392">
        <v>3169.6</v>
      </c>
      <c r="F248" s="392">
        <v>2626.66</v>
      </c>
      <c r="G248" s="392">
        <v>2743.37</v>
      </c>
      <c r="H248" s="392">
        <v>2748.36</v>
      </c>
      <c r="I248" s="392">
        <v>1802.99</v>
      </c>
      <c r="J248" s="392">
        <v>1839.39</v>
      </c>
      <c r="K248" s="392">
        <v>2155.71</v>
      </c>
      <c r="L248" s="407">
        <v>1321.4</v>
      </c>
      <c r="M248" s="392">
        <v>945.2</v>
      </c>
      <c r="N248" s="392">
        <v>1382.62</v>
      </c>
      <c r="O248" s="392">
        <v>1199.77</v>
      </c>
      <c r="P248" s="392">
        <v>1556.7</v>
      </c>
      <c r="Q248" s="392">
        <v>1217.65</v>
      </c>
      <c r="R248" s="392">
        <v>1215.16</v>
      </c>
      <c r="S248" s="392">
        <v>1032.87</v>
      </c>
      <c r="T248" s="392">
        <v>953.59</v>
      </c>
      <c r="U248" s="392">
        <v>975.26</v>
      </c>
      <c r="V248" s="392">
        <v>1523.47</v>
      </c>
      <c r="W248" s="392">
        <v>779.15</v>
      </c>
      <c r="X248" s="392">
        <v>985.49</v>
      </c>
      <c r="Y248" s="392">
        <v>1049.53</v>
      </c>
      <c r="Z248" s="392">
        <v>1001.89</v>
      </c>
      <c r="AA248" s="392">
        <v>960.0</v>
      </c>
      <c r="AB248" s="392">
        <v>1408.09</v>
      </c>
      <c r="AC248" s="392">
        <v>1150.86</v>
      </c>
      <c r="AD248" s="392">
        <v>1247.06</v>
      </c>
      <c r="AE248" s="392">
        <v>1247.03</v>
      </c>
      <c r="AF248" s="392">
        <v>1194.76</v>
      </c>
      <c r="AG248" s="394">
        <f t="shared" ref="AG248:AG253" si="82">SUM(B248:AF248)</f>
        <v>45227.59</v>
      </c>
    </row>
    <row r="249">
      <c r="A249" s="367" t="s">
        <v>1173</v>
      </c>
      <c r="B249" s="408"/>
      <c r="C249" s="409"/>
      <c r="D249" s="392">
        <v>0.0</v>
      </c>
      <c r="E249" s="392">
        <v>0.0</v>
      </c>
      <c r="F249" s="392">
        <v>0.0</v>
      </c>
      <c r="G249" s="392">
        <v>0.0</v>
      </c>
      <c r="H249" s="392">
        <v>0.0</v>
      </c>
      <c r="I249" s="392">
        <v>0.0</v>
      </c>
      <c r="J249" s="392">
        <v>0.0</v>
      </c>
      <c r="K249" s="392">
        <v>0.0</v>
      </c>
      <c r="L249" s="392">
        <v>0.0</v>
      </c>
      <c r="M249" s="392">
        <v>0.0</v>
      </c>
      <c r="N249" s="392">
        <v>0.0</v>
      </c>
      <c r="O249" s="392">
        <v>0.0</v>
      </c>
      <c r="P249" s="392">
        <v>0.0</v>
      </c>
      <c r="Q249" s="392">
        <v>0.0</v>
      </c>
      <c r="R249" s="392">
        <v>90.6</v>
      </c>
      <c r="S249" s="392">
        <v>0.0</v>
      </c>
      <c r="T249" s="392">
        <v>0.0</v>
      </c>
      <c r="U249" s="392">
        <v>0.0</v>
      </c>
      <c r="V249" s="392">
        <v>0.0</v>
      </c>
      <c r="W249" s="392">
        <v>0.0</v>
      </c>
      <c r="X249" s="392">
        <v>0.0</v>
      </c>
      <c r="Y249" s="392">
        <v>0.0</v>
      </c>
      <c r="Z249" s="392">
        <v>0.0</v>
      </c>
      <c r="AA249" s="392">
        <v>24.0</v>
      </c>
      <c r="AB249" s="392">
        <v>0.0</v>
      </c>
      <c r="AC249" s="392">
        <v>0.0</v>
      </c>
      <c r="AD249" s="392">
        <v>0.0</v>
      </c>
      <c r="AE249" s="392">
        <v>0.0</v>
      </c>
      <c r="AF249" s="392">
        <v>0.0</v>
      </c>
      <c r="AG249" s="394">
        <f t="shared" si="82"/>
        <v>114.6</v>
      </c>
    </row>
    <row r="250">
      <c r="A250" s="367" t="s">
        <v>1177</v>
      </c>
      <c r="B250" s="390">
        <v>222.6</v>
      </c>
      <c r="C250" s="391">
        <v>210.0</v>
      </c>
      <c r="D250" s="392">
        <v>168.0</v>
      </c>
      <c r="E250" s="392">
        <v>337.4</v>
      </c>
      <c r="F250" s="392">
        <v>207.74</v>
      </c>
      <c r="G250" s="392">
        <v>162.19</v>
      </c>
      <c r="H250" s="392">
        <v>232.79</v>
      </c>
      <c r="I250" s="392">
        <v>209.89</v>
      </c>
      <c r="J250" s="392">
        <v>177.77</v>
      </c>
      <c r="K250" s="392">
        <v>286.0</v>
      </c>
      <c r="L250" s="407">
        <v>281.12</v>
      </c>
      <c r="M250" s="392">
        <v>89.69</v>
      </c>
      <c r="N250" s="392">
        <v>208.66</v>
      </c>
      <c r="O250" s="392">
        <v>118.36</v>
      </c>
      <c r="P250" s="392">
        <v>162.67</v>
      </c>
      <c r="Q250" s="392">
        <v>104.84</v>
      </c>
      <c r="R250" s="392">
        <v>368.35</v>
      </c>
      <c r="S250" s="392">
        <v>178.56</v>
      </c>
      <c r="T250" s="392">
        <v>89.96</v>
      </c>
      <c r="U250" s="410">
        <v>103.36</v>
      </c>
      <c r="V250" s="392">
        <v>120.67</v>
      </c>
      <c r="W250" s="392">
        <v>238.62</v>
      </c>
      <c r="X250" s="392">
        <v>90.95</v>
      </c>
      <c r="Y250" s="392">
        <v>161.66</v>
      </c>
      <c r="Z250" s="392">
        <v>150.03</v>
      </c>
      <c r="AA250" s="411">
        <v>74.19</v>
      </c>
      <c r="AB250" s="392">
        <v>104.42</v>
      </c>
      <c r="AC250" s="392">
        <v>74.95</v>
      </c>
      <c r="AD250" s="392">
        <v>160.59</v>
      </c>
      <c r="AE250" s="392">
        <v>30.07</v>
      </c>
      <c r="AF250" s="392">
        <v>45.0</v>
      </c>
      <c r="AG250" s="394">
        <f t="shared" si="82"/>
        <v>5171.1</v>
      </c>
    </row>
    <row r="251">
      <c r="A251" s="367" t="s">
        <v>1180</v>
      </c>
      <c r="B251" s="390">
        <v>992.2</v>
      </c>
      <c r="C251" s="391">
        <v>726.0</v>
      </c>
      <c r="D251" s="392">
        <v>492.8</v>
      </c>
      <c r="E251" s="392">
        <v>2131.54</v>
      </c>
      <c r="F251" s="392">
        <v>1746.43</v>
      </c>
      <c r="G251" s="392">
        <v>1606.7</v>
      </c>
      <c r="H251" s="392">
        <v>1728.0</v>
      </c>
      <c r="I251" s="392">
        <v>1203.37</v>
      </c>
      <c r="J251" s="392">
        <v>1158.74</v>
      </c>
      <c r="K251" s="392">
        <v>1574.77</v>
      </c>
      <c r="L251" s="407">
        <v>948.12</v>
      </c>
      <c r="M251" s="392">
        <v>580.62</v>
      </c>
      <c r="N251" s="392">
        <v>869.86</v>
      </c>
      <c r="O251" s="392">
        <v>832.45</v>
      </c>
      <c r="P251" s="392">
        <v>894.01</v>
      </c>
      <c r="Q251" s="392">
        <v>792.0</v>
      </c>
      <c r="R251" s="392">
        <v>555.61</v>
      </c>
      <c r="S251" s="392">
        <v>750.85</v>
      </c>
      <c r="T251" s="392">
        <v>752.46</v>
      </c>
      <c r="U251" s="300">
        <v>704.0</v>
      </c>
      <c r="V251" s="300">
        <v>934.78</v>
      </c>
      <c r="W251" s="392">
        <v>701.65</v>
      </c>
      <c r="X251" s="392">
        <v>625.87</v>
      </c>
      <c r="Y251" s="392">
        <v>657.23</v>
      </c>
      <c r="Z251" s="392">
        <v>559.07</v>
      </c>
      <c r="AA251" s="392">
        <v>590.11</v>
      </c>
      <c r="AB251" s="392">
        <v>1022.47</v>
      </c>
      <c r="AC251" s="392">
        <v>717.82</v>
      </c>
      <c r="AD251" s="392">
        <v>957.87</v>
      </c>
      <c r="AE251" s="392">
        <v>745.36</v>
      </c>
      <c r="AF251" s="392">
        <v>835.44</v>
      </c>
      <c r="AG251" s="394">
        <f t="shared" si="82"/>
        <v>29388.2</v>
      </c>
    </row>
    <row r="252">
      <c r="A252" s="367" t="s">
        <v>1184</v>
      </c>
      <c r="B252" s="390">
        <v>6965.0</v>
      </c>
      <c r="C252" s="391">
        <v>6385.24</v>
      </c>
      <c r="D252" s="392">
        <v>4601.48</v>
      </c>
      <c r="E252" s="392">
        <v>16974.0</v>
      </c>
      <c r="F252" s="392">
        <v>13598.58</v>
      </c>
      <c r="G252" s="392">
        <v>6380.24</v>
      </c>
      <c r="H252" s="392">
        <v>3158.63</v>
      </c>
      <c r="I252" s="392">
        <v>2880.94</v>
      </c>
      <c r="J252" s="392">
        <v>1994.27</v>
      </c>
      <c r="K252" s="392">
        <v>5527.64</v>
      </c>
      <c r="L252" s="407">
        <v>2309.44</v>
      </c>
      <c r="M252" s="392">
        <v>822.98</v>
      </c>
      <c r="N252" s="392">
        <v>2044.47</v>
      </c>
      <c r="O252" s="392">
        <v>1329.58</v>
      </c>
      <c r="P252" s="392">
        <v>2176.08</v>
      </c>
      <c r="Q252" s="392">
        <v>1419.85</v>
      </c>
      <c r="R252" s="392">
        <v>3188.38</v>
      </c>
      <c r="S252" s="392">
        <v>1189.68</v>
      </c>
      <c r="T252" s="392">
        <v>814.67</v>
      </c>
      <c r="U252" s="300">
        <v>1188.95</v>
      </c>
      <c r="V252" s="300">
        <v>1431.99</v>
      </c>
      <c r="W252" s="392">
        <v>1665.07</v>
      </c>
      <c r="X252" s="392">
        <v>1323.8</v>
      </c>
      <c r="Y252" s="392">
        <v>1385.17</v>
      </c>
      <c r="Z252" s="392">
        <v>1267.31</v>
      </c>
      <c r="AA252" s="392">
        <v>804.86</v>
      </c>
      <c r="AB252" s="392">
        <v>1412.74</v>
      </c>
      <c r="AC252" s="392">
        <v>1705.65</v>
      </c>
      <c r="AD252" s="392">
        <v>1483.89</v>
      </c>
      <c r="AE252" s="392">
        <v>1270.78</v>
      </c>
      <c r="AF252" s="392">
        <v>744.8</v>
      </c>
      <c r="AG252" s="394">
        <f t="shared" si="82"/>
        <v>99446.16</v>
      </c>
    </row>
    <row r="253">
      <c r="A253" s="412" t="s">
        <v>126</v>
      </c>
      <c r="B253" s="399">
        <f t="shared" ref="B253:K253" si="83">SUM(B248:B252)</f>
        <v>9706.2</v>
      </c>
      <c r="C253" s="399">
        <f t="shared" si="83"/>
        <v>8676.8</v>
      </c>
      <c r="D253" s="399">
        <f t="shared" si="83"/>
        <v>6174.28</v>
      </c>
      <c r="E253" s="399">
        <f t="shared" si="83"/>
        <v>22612.54</v>
      </c>
      <c r="F253" s="399">
        <f t="shared" si="83"/>
        <v>18179.41</v>
      </c>
      <c r="G253" s="399">
        <f t="shared" si="83"/>
        <v>10892.5</v>
      </c>
      <c r="H253" s="399">
        <f t="shared" si="83"/>
        <v>7867.78</v>
      </c>
      <c r="I253" s="399">
        <f t="shared" si="83"/>
        <v>6097.19</v>
      </c>
      <c r="J253" s="399">
        <f t="shared" si="83"/>
        <v>5170.17</v>
      </c>
      <c r="K253" s="399">
        <f t="shared" si="83"/>
        <v>9544.12</v>
      </c>
      <c r="L253" s="399">
        <f>SUM(L255:L259)</f>
        <v>1004</v>
      </c>
      <c r="M253" s="399">
        <f t="shared" ref="M253:AF253" si="84">SUM(M248:M252)</f>
        <v>2438.49</v>
      </c>
      <c r="N253" s="399">
        <f t="shared" si="84"/>
        <v>4505.61</v>
      </c>
      <c r="O253" s="399">
        <f t="shared" si="84"/>
        <v>3480.16</v>
      </c>
      <c r="P253" s="399">
        <f t="shared" si="84"/>
        <v>4789.46</v>
      </c>
      <c r="Q253" s="399">
        <f t="shared" si="84"/>
        <v>3534.34</v>
      </c>
      <c r="R253" s="399">
        <f t="shared" si="84"/>
        <v>5418.1</v>
      </c>
      <c r="S253" s="399">
        <f t="shared" si="84"/>
        <v>3151.96</v>
      </c>
      <c r="T253" s="399">
        <f t="shared" si="84"/>
        <v>2610.68</v>
      </c>
      <c r="U253" s="399">
        <f t="shared" si="84"/>
        <v>2971.57</v>
      </c>
      <c r="V253" s="399">
        <f t="shared" si="84"/>
        <v>4010.91</v>
      </c>
      <c r="W253" s="399">
        <f t="shared" si="84"/>
        <v>3384.49</v>
      </c>
      <c r="X253" s="399">
        <f t="shared" si="84"/>
        <v>3026.11</v>
      </c>
      <c r="Y253" s="399">
        <f t="shared" si="84"/>
        <v>3253.59</v>
      </c>
      <c r="Z253" s="399">
        <f t="shared" si="84"/>
        <v>2978.3</v>
      </c>
      <c r="AA253" s="399">
        <f t="shared" si="84"/>
        <v>2453.16</v>
      </c>
      <c r="AB253" s="399">
        <f t="shared" si="84"/>
        <v>3947.72</v>
      </c>
      <c r="AC253" s="399">
        <f t="shared" si="84"/>
        <v>3649.28</v>
      </c>
      <c r="AD253" s="399">
        <f t="shared" si="84"/>
        <v>3849.41</v>
      </c>
      <c r="AE253" s="399">
        <f t="shared" si="84"/>
        <v>3293.24</v>
      </c>
      <c r="AF253" s="399">
        <f t="shared" si="84"/>
        <v>2820</v>
      </c>
      <c r="AG253" s="394">
        <f t="shared" si="82"/>
        <v>175491.57</v>
      </c>
    </row>
    <row r="254">
      <c r="A254" s="26"/>
      <c r="B254" s="406"/>
      <c r="C254" s="406"/>
      <c r="D254" s="406"/>
      <c r="E254" s="406"/>
      <c r="F254" s="406"/>
      <c r="G254" s="406"/>
      <c r="H254" s="406"/>
      <c r="I254" s="406"/>
      <c r="J254" s="406"/>
      <c r="K254" s="406"/>
      <c r="L254" s="406"/>
      <c r="M254" s="406"/>
      <c r="N254" s="406"/>
      <c r="O254" s="406"/>
      <c r="P254" s="406"/>
      <c r="Q254" s="406"/>
      <c r="R254" s="406"/>
      <c r="S254" s="406"/>
      <c r="T254" s="406"/>
      <c r="U254" s="406"/>
      <c r="V254" s="406"/>
      <c r="W254" s="406"/>
      <c r="X254" s="406"/>
      <c r="Y254" s="406"/>
      <c r="Z254" s="406"/>
      <c r="AA254" s="406"/>
      <c r="AB254" s="406"/>
      <c r="AC254" s="406"/>
      <c r="AD254" s="406"/>
      <c r="AE254" s="406"/>
      <c r="AF254" s="406"/>
      <c r="AG254" s="394"/>
    </row>
    <row r="255">
      <c r="A255" s="367" t="s">
        <v>1194</v>
      </c>
      <c r="B255" s="396">
        <v>216.0</v>
      </c>
      <c r="C255" s="397">
        <v>264.0</v>
      </c>
      <c r="D255" s="392">
        <v>384.0</v>
      </c>
      <c r="E255" s="392">
        <v>336.0</v>
      </c>
      <c r="F255" s="392">
        <v>312.0</v>
      </c>
      <c r="G255" s="392">
        <v>528.0</v>
      </c>
      <c r="H255" s="392">
        <v>528.0</v>
      </c>
      <c r="I255" s="392">
        <v>288.0</v>
      </c>
      <c r="J255" s="392">
        <v>312.0</v>
      </c>
      <c r="K255" s="392">
        <v>264.0</v>
      </c>
      <c r="L255" s="392">
        <v>168.0</v>
      </c>
      <c r="M255" s="392">
        <v>144.0</v>
      </c>
      <c r="N255" s="392">
        <v>336.0</v>
      </c>
      <c r="O255" s="392">
        <v>240.0</v>
      </c>
      <c r="P255" s="392">
        <v>408.0</v>
      </c>
      <c r="Q255" s="392">
        <v>240.0</v>
      </c>
      <c r="R255" s="392">
        <v>192.0</v>
      </c>
      <c r="S255" s="392">
        <v>240.0</v>
      </c>
      <c r="T255" s="391">
        <v>240.0</v>
      </c>
      <c r="U255" s="392">
        <v>168.0</v>
      </c>
      <c r="V255" s="392">
        <v>456.0</v>
      </c>
      <c r="W255" s="392">
        <v>216.0</v>
      </c>
      <c r="X255" s="392">
        <v>216.0</v>
      </c>
      <c r="Y255" s="392">
        <v>240.0</v>
      </c>
      <c r="Z255" s="392">
        <v>192.0</v>
      </c>
      <c r="AA255" s="392">
        <v>360.0</v>
      </c>
      <c r="AB255" s="392">
        <v>312.0</v>
      </c>
      <c r="AC255" s="392">
        <v>288.0</v>
      </c>
      <c r="AD255" s="392">
        <v>312.0</v>
      </c>
      <c r="AE255" s="392">
        <v>144.0</v>
      </c>
      <c r="AF255" s="392">
        <v>408.0</v>
      </c>
      <c r="AG255" s="394">
        <f t="shared" ref="AG255:AG260" si="85">SUM(B255:AF255)</f>
        <v>8952</v>
      </c>
    </row>
    <row r="256">
      <c r="A256" s="367" t="s">
        <v>1195</v>
      </c>
      <c r="B256" s="408"/>
      <c r="C256" s="409"/>
      <c r="D256" s="410">
        <v>0.0</v>
      </c>
      <c r="E256" s="410">
        <v>24.0</v>
      </c>
      <c r="F256" s="410">
        <v>0.0</v>
      </c>
      <c r="G256" s="410">
        <v>0.0</v>
      </c>
      <c r="H256" s="410">
        <v>0.0</v>
      </c>
      <c r="I256" s="410">
        <v>0.0</v>
      </c>
      <c r="J256" s="410">
        <v>0.0</v>
      </c>
      <c r="K256" s="410">
        <v>0.0</v>
      </c>
      <c r="L256" s="392">
        <v>0.0</v>
      </c>
      <c r="M256" s="410">
        <v>0.0</v>
      </c>
      <c r="N256" s="410">
        <v>0.0</v>
      </c>
      <c r="O256" s="410">
        <v>0.0</v>
      </c>
      <c r="P256" s="410">
        <v>0.0</v>
      </c>
      <c r="Q256" s="410">
        <v>0.0</v>
      </c>
      <c r="R256" s="410">
        <v>0.0</v>
      </c>
      <c r="S256" s="410">
        <v>0.0</v>
      </c>
      <c r="T256" s="391">
        <v>0.0</v>
      </c>
      <c r="U256" s="410">
        <v>0.0</v>
      </c>
      <c r="V256" s="410">
        <v>0.0</v>
      </c>
      <c r="W256" s="410">
        <v>0.0</v>
      </c>
      <c r="X256" s="392">
        <v>0.0</v>
      </c>
      <c r="Y256" s="392">
        <v>0.0</v>
      </c>
      <c r="Z256" s="392">
        <v>0.0</v>
      </c>
      <c r="AA256" s="392">
        <v>0.0</v>
      </c>
      <c r="AB256" s="410">
        <v>0.0</v>
      </c>
      <c r="AC256" s="410">
        <v>0.0</v>
      </c>
      <c r="AD256" s="410">
        <v>0.0</v>
      </c>
      <c r="AE256" s="410">
        <v>0.0</v>
      </c>
      <c r="AF256" s="410">
        <v>0.0</v>
      </c>
      <c r="AG256" s="394">
        <f t="shared" si="85"/>
        <v>24</v>
      </c>
    </row>
    <row r="257">
      <c r="A257" s="367" t="s">
        <v>1198</v>
      </c>
      <c r="B257" s="396">
        <v>70.0</v>
      </c>
      <c r="C257" s="397">
        <v>112.0</v>
      </c>
      <c r="D257" s="392">
        <v>126.0</v>
      </c>
      <c r="E257" s="392">
        <v>28.0</v>
      </c>
      <c r="F257" s="392">
        <v>42.0</v>
      </c>
      <c r="G257" s="392">
        <v>126.0</v>
      </c>
      <c r="H257" s="392">
        <v>56.0</v>
      </c>
      <c r="I257" s="392">
        <v>28.0</v>
      </c>
      <c r="J257" s="392">
        <v>42.0</v>
      </c>
      <c r="K257" s="392">
        <v>42.0</v>
      </c>
      <c r="L257" s="392">
        <v>56.0</v>
      </c>
      <c r="M257" s="392">
        <v>84.0</v>
      </c>
      <c r="N257" s="392">
        <v>56.0</v>
      </c>
      <c r="O257" s="392">
        <v>28.0</v>
      </c>
      <c r="P257" s="392">
        <v>112.0</v>
      </c>
      <c r="Q257" s="392">
        <v>42.0</v>
      </c>
      <c r="R257" s="392">
        <v>84.0</v>
      </c>
      <c r="S257" s="392">
        <v>14.0</v>
      </c>
      <c r="T257" s="391">
        <v>98.0</v>
      </c>
      <c r="U257" s="392">
        <v>112.0</v>
      </c>
      <c r="V257" s="392">
        <v>98.0</v>
      </c>
      <c r="W257" s="392">
        <v>56.0</v>
      </c>
      <c r="X257" s="392">
        <v>56.0</v>
      </c>
      <c r="Y257" s="392">
        <v>56.0</v>
      </c>
      <c r="Z257" s="392">
        <v>0.0</v>
      </c>
      <c r="AA257" s="392">
        <v>14.0</v>
      </c>
      <c r="AB257" s="392">
        <v>42.0</v>
      </c>
      <c r="AC257" s="392">
        <v>84.0</v>
      </c>
      <c r="AD257" s="392">
        <v>42.0</v>
      </c>
      <c r="AE257" s="392">
        <v>28.0</v>
      </c>
      <c r="AF257" s="392">
        <v>42.0</v>
      </c>
      <c r="AG257" s="394">
        <f t="shared" si="85"/>
        <v>1876</v>
      </c>
    </row>
    <row r="258">
      <c r="A258" s="367" t="s">
        <v>1199</v>
      </c>
      <c r="B258" s="396">
        <v>242.0</v>
      </c>
      <c r="C258" s="397">
        <v>187.0</v>
      </c>
      <c r="D258" s="392">
        <v>236.5</v>
      </c>
      <c r="E258" s="392">
        <v>302.5</v>
      </c>
      <c r="F258" s="392">
        <v>297.0</v>
      </c>
      <c r="G258" s="392">
        <v>418.0</v>
      </c>
      <c r="H258" s="392">
        <v>308.0</v>
      </c>
      <c r="I258" s="392">
        <v>324.5</v>
      </c>
      <c r="J258" s="392">
        <v>220.0</v>
      </c>
      <c r="K258" s="392">
        <v>110.0</v>
      </c>
      <c r="L258" s="392">
        <v>220.0</v>
      </c>
      <c r="M258" s="392">
        <v>110.0</v>
      </c>
      <c r="N258" s="392">
        <v>275.0</v>
      </c>
      <c r="O258" s="392">
        <v>242.0</v>
      </c>
      <c r="P258" s="392">
        <v>286.0</v>
      </c>
      <c r="Q258" s="392">
        <v>264.0</v>
      </c>
      <c r="R258" s="392">
        <v>132.0</v>
      </c>
      <c r="S258" s="392">
        <v>159.5</v>
      </c>
      <c r="T258" s="391">
        <v>286.0</v>
      </c>
      <c r="U258" s="392">
        <v>110.0</v>
      </c>
      <c r="V258" s="392">
        <v>368.5</v>
      </c>
      <c r="W258" s="392">
        <v>242.0</v>
      </c>
      <c r="X258" s="392">
        <v>154.0</v>
      </c>
      <c r="Y258" s="392">
        <v>198.0</v>
      </c>
      <c r="Z258" s="392">
        <v>187.0</v>
      </c>
      <c r="AA258" s="392">
        <v>220.0</v>
      </c>
      <c r="AB258" s="392">
        <v>308.0</v>
      </c>
      <c r="AC258" s="392">
        <v>330.0</v>
      </c>
      <c r="AD258" s="392">
        <v>220.0</v>
      </c>
      <c r="AE258" s="392">
        <v>82.5</v>
      </c>
      <c r="AF258" s="392">
        <v>236.5</v>
      </c>
      <c r="AG258" s="394">
        <f t="shared" si="85"/>
        <v>7276.5</v>
      </c>
    </row>
    <row r="259">
      <c r="A259" s="367" t="s">
        <v>1203</v>
      </c>
      <c r="B259" s="396">
        <v>980.0</v>
      </c>
      <c r="C259" s="397">
        <v>1190.0</v>
      </c>
      <c r="D259" s="392">
        <v>1190.0</v>
      </c>
      <c r="E259" s="392">
        <v>1176.0</v>
      </c>
      <c r="F259" s="392">
        <v>1260.0</v>
      </c>
      <c r="G259" s="392">
        <v>1470.0</v>
      </c>
      <c r="H259" s="392">
        <v>700.0</v>
      </c>
      <c r="I259" s="392">
        <v>910.0</v>
      </c>
      <c r="J259" s="392">
        <v>420.0</v>
      </c>
      <c r="K259" s="392">
        <v>210.0</v>
      </c>
      <c r="L259" s="392">
        <v>560.0</v>
      </c>
      <c r="M259" s="392">
        <v>210.0</v>
      </c>
      <c r="N259" s="392">
        <v>280.0</v>
      </c>
      <c r="O259" s="392">
        <v>560.0</v>
      </c>
      <c r="P259" s="392">
        <v>420.0</v>
      </c>
      <c r="Q259" s="392">
        <v>420.0</v>
      </c>
      <c r="R259" s="392">
        <v>280.0</v>
      </c>
      <c r="S259" s="392">
        <v>70.0</v>
      </c>
      <c r="T259" s="391">
        <v>350.0</v>
      </c>
      <c r="U259" s="392">
        <v>490.0</v>
      </c>
      <c r="V259" s="392">
        <v>490.0</v>
      </c>
      <c r="W259" s="392">
        <v>630.0</v>
      </c>
      <c r="X259" s="392">
        <v>210.0</v>
      </c>
      <c r="Y259" s="392">
        <v>210.0</v>
      </c>
      <c r="Z259" s="392">
        <v>210.0</v>
      </c>
      <c r="AA259" s="392">
        <v>280.0</v>
      </c>
      <c r="AB259" s="392">
        <v>210.0</v>
      </c>
      <c r="AC259" s="392">
        <v>490.0</v>
      </c>
      <c r="AD259" s="392">
        <v>420.0</v>
      </c>
      <c r="AE259" s="392">
        <v>350.0</v>
      </c>
      <c r="AF259" s="392">
        <v>350.0</v>
      </c>
      <c r="AG259" s="394">
        <f t="shared" si="85"/>
        <v>16996</v>
      </c>
    </row>
    <row r="260">
      <c r="A260" s="412" t="s">
        <v>126</v>
      </c>
      <c r="B260" s="399">
        <f t="shared" ref="B260:AF260" si="86">SUM(B255:B259)</f>
        <v>1508</v>
      </c>
      <c r="C260" s="399">
        <f t="shared" si="86"/>
        <v>1753</v>
      </c>
      <c r="D260" s="399">
        <f t="shared" si="86"/>
        <v>1936.5</v>
      </c>
      <c r="E260" s="399">
        <f t="shared" si="86"/>
        <v>1866.5</v>
      </c>
      <c r="F260" s="399">
        <f t="shared" si="86"/>
        <v>1911</v>
      </c>
      <c r="G260" s="399">
        <f t="shared" si="86"/>
        <v>2542</v>
      </c>
      <c r="H260" s="399">
        <f t="shared" si="86"/>
        <v>1592</v>
      </c>
      <c r="I260" s="399">
        <f t="shared" si="86"/>
        <v>1550.5</v>
      </c>
      <c r="J260" s="399">
        <f t="shared" si="86"/>
        <v>994</v>
      </c>
      <c r="K260" s="399">
        <f t="shared" si="86"/>
        <v>626</v>
      </c>
      <c r="L260" s="399">
        <f t="shared" si="86"/>
        <v>1004</v>
      </c>
      <c r="M260" s="399">
        <f t="shared" si="86"/>
        <v>548</v>
      </c>
      <c r="N260" s="399">
        <f t="shared" si="86"/>
        <v>947</v>
      </c>
      <c r="O260" s="399">
        <f t="shared" si="86"/>
        <v>1070</v>
      </c>
      <c r="P260" s="399">
        <f t="shared" si="86"/>
        <v>1226</v>
      </c>
      <c r="Q260" s="399">
        <f t="shared" si="86"/>
        <v>966</v>
      </c>
      <c r="R260" s="399">
        <f t="shared" si="86"/>
        <v>688</v>
      </c>
      <c r="S260" s="399">
        <f t="shared" si="86"/>
        <v>483.5</v>
      </c>
      <c r="T260" s="399">
        <f t="shared" si="86"/>
        <v>974</v>
      </c>
      <c r="U260" s="399">
        <f t="shared" si="86"/>
        <v>880</v>
      </c>
      <c r="V260" s="399">
        <f t="shared" si="86"/>
        <v>1412.5</v>
      </c>
      <c r="W260" s="399">
        <f t="shared" si="86"/>
        <v>1144</v>
      </c>
      <c r="X260" s="399">
        <f t="shared" si="86"/>
        <v>636</v>
      </c>
      <c r="Y260" s="399">
        <f t="shared" si="86"/>
        <v>704</v>
      </c>
      <c r="Z260" s="399">
        <f t="shared" si="86"/>
        <v>589</v>
      </c>
      <c r="AA260" s="399">
        <f t="shared" si="86"/>
        <v>874</v>
      </c>
      <c r="AB260" s="399">
        <f t="shared" si="86"/>
        <v>872</v>
      </c>
      <c r="AC260" s="399">
        <f t="shared" si="86"/>
        <v>1192</v>
      </c>
      <c r="AD260" s="399">
        <f t="shared" si="86"/>
        <v>994</v>
      </c>
      <c r="AE260" s="399">
        <f t="shared" si="86"/>
        <v>604.5</v>
      </c>
      <c r="AF260" s="399">
        <f t="shared" si="86"/>
        <v>1036.5</v>
      </c>
      <c r="AG260" s="394">
        <f t="shared" si="85"/>
        <v>35124.5</v>
      </c>
    </row>
    <row r="261">
      <c r="A261" s="26"/>
      <c r="B261" s="406"/>
      <c r="C261" s="406"/>
      <c r="D261" s="406"/>
      <c r="E261" s="406"/>
      <c r="F261" s="406"/>
      <c r="G261" s="406"/>
      <c r="H261" s="406"/>
      <c r="I261" s="406"/>
      <c r="J261" s="406"/>
      <c r="K261" s="406"/>
      <c r="L261" s="406"/>
      <c r="M261" s="406"/>
      <c r="N261" s="406"/>
      <c r="O261" s="406"/>
      <c r="P261" s="406"/>
      <c r="Q261" s="406"/>
      <c r="R261" s="406"/>
      <c r="S261" s="406"/>
      <c r="T261" s="406"/>
      <c r="U261" s="406"/>
      <c r="V261" s="406"/>
      <c r="W261" s="406"/>
      <c r="X261" s="406"/>
      <c r="Y261" s="406"/>
      <c r="Z261" s="406"/>
      <c r="AA261" s="406"/>
      <c r="AB261" s="406"/>
      <c r="AC261" s="406"/>
      <c r="AD261" s="406"/>
      <c r="AE261" s="406"/>
      <c r="AF261" s="406"/>
      <c r="AG261" s="394"/>
    </row>
    <row r="262">
      <c r="A262" s="367" t="s">
        <v>1211</v>
      </c>
      <c r="B262" s="398"/>
      <c r="C262" s="398"/>
      <c r="D262" s="398"/>
      <c r="E262" s="59"/>
      <c r="F262" s="398"/>
      <c r="G262" s="398"/>
      <c r="H262" s="398"/>
      <c r="I262" s="398"/>
      <c r="J262" s="398"/>
      <c r="K262" s="398"/>
      <c r="L262" s="398"/>
      <c r="M262" s="398"/>
      <c r="N262" s="398"/>
      <c r="O262" s="329"/>
      <c r="P262" s="398"/>
      <c r="Q262" s="398"/>
      <c r="R262" s="398"/>
      <c r="S262" s="398"/>
      <c r="T262" s="398"/>
      <c r="U262" s="398"/>
      <c r="V262" s="398"/>
      <c r="W262" s="398"/>
      <c r="X262" s="398"/>
      <c r="Y262" s="398"/>
      <c r="Z262" s="329"/>
      <c r="AA262" s="398"/>
      <c r="AB262" s="398"/>
      <c r="AC262" s="398"/>
      <c r="AD262" s="398"/>
      <c r="AE262" s="398"/>
      <c r="AF262" s="398"/>
      <c r="AG262" s="394">
        <f t="shared" ref="AG262:AG267" si="87">SUM(B262:AF262)</f>
        <v>0</v>
      </c>
    </row>
    <row r="263">
      <c r="A263" s="367" t="s">
        <v>1218</v>
      </c>
      <c r="B263" s="398"/>
      <c r="C263" s="398"/>
      <c r="D263" s="59"/>
      <c r="E263" s="59"/>
      <c r="F263" s="398"/>
      <c r="G263" s="398"/>
      <c r="H263" s="398"/>
      <c r="I263" s="398"/>
      <c r="J263" s="398"/>
      <c r="K263" s="398"/>
      <c r="L263" s="398"/>
      <c r="M263" s="398"/>
      <c r="N263" s="398"/>
      <c r="O263" s="329"/>
      <c r="P263" s="398"/>
      <c r="Q263" s="398"/>
      <c r="R263" s="398"/>
      <c r="S263" s="398"/>
      <c r="T263" s="398"/>
      <c r="U263" s="398"/>
      <c r="V263" s="398"/>
      <c r="W263" s="398"/>
      <c r="X263" s="398"/>
      <c r="Y263" s="398"/>
      <c r="Z263" s="398"/>
      <c r="AA263" s="398"/>
      <c r="AB263" s="398"/>
      <c r="AC263" s="398"/>
      <c r="AD263" s="398"/>
      <c r="AE263" s="398"/>
      <c r="AF263" s="398"/>
      <c r="AG263" s="394">
        <f t="shared" si="87"/>
        <v>0</v>
      </c>
    </row>
    <row r="264">
      <c r="A264" s="367" t="s">
        <v>1221</v>
      </c>
      <c r="B264" s="398"/>
      <c r="C264" s="398"/>
      <c r="D264" s="398"/>
      <c r="E264" s="59"/>
      <c r="F264" s="398"/>
      <c r="G264" s="398"/>
      <c r="H264" s="398"/>
      <c r="I264" s="398"/>
      <c r="J264" s="398"/>
      <c r="K264" s="398"/>
      <c r="L264" s="398"/>
      <c r="M264" s="398"/>
      <c r="N264" s="398"/>
      <c r="O264" s="329"/>
      <c r="P264" s="398"/>
      <c r="Q264" s="398"/>
      <c r="R264" s="398"/>
      <c r="S264" s="398"/>
      <c r="T264" s="398"/>
      <c r="U264" s="398"/>
      <c r="V264" s="398"/>
      <c r="W264" s="398"/>
      <c r="X264" s="398"/>
      <c r="Y264" s="398"/>
      <c r="Z264" s="398"/>
      <c r="AA264" s="398"/>
      <c r="AB264" s="398"/>
      <c r="AC264" s="398"/>
      <c r="AD264" s="398"/>
      <c r="AE264" s="398"/>
      <c r="AF264" s="398"/>
      <c r="AG264" s="394">
        <f t="shared" si="87"/>
        <v>0</v>
      </c>
    </row>
    <row r="265">
      <c r="A265" s="367" t="s">
        <v>1223</v>
      </c>
      <c r="B265" s="398"/>
      <c r="C265" s="398"/>
      <c r="D265" s="398"/>
      <c r="E265" s="398"/>
      <c r="F265" s="398"/>
      <c r="G265" s="398"/>
      <c r="H265" s="398"/>
      <c r="I265" s="398"/>
      <c r="J265" s="398"/>
      <c r="K265" s="398"/>
      <c r="L265" s="398"/>
      <c r="M265" s="398"/>
      <c r="N265" s="398"/>
      <c r="O265" s="329"/>
      <c r="P265" s="398"/>
      <c r="Q265" s="329"/>
      <c r="R265" s="398"/>
      <c r="S265" s="398"/>
      <c r="T265" s="398"/>
      <c r="U265" s="398"/>
      <c r="V265" s="398"/>
      <c r="W265" s="398"/>
      <c r="X265" s="398"/>
      <c r="Y265" s="398"/>
      <c r="Z265" s="329"/>
      <c r="AA265" s="398"/>
      <c r="AB265" s="398"/>
      <c r="AC265" s="398"/>
      <c r="AD265" s="398"/>
      <c r="AE265" s="398"/>
      <c r="AF265" s="398"/>
      <c r="AG265" s="394">
        <f t="shared" si="87"/>
        <v>0</v>
      </c>
    </row>
    <row r="266">
      <c r="A266" s="367" t="s">
        <v>1230</v>
      </c>
      <c r="B266" s="398"/>
      <c r="C266" s="398"/>
      <c r="D266" s="398"/>
      <c r="E266" s="398"/>
      <c r="F266" s="398"/>
      <c r="G266" s="398"/>
      <c r="H266" s="398"/>
      <c r="I266" s="398"/>
      <c r="J266" s="398"/>
      <c r="K266" s="398"/>
      <c r="L266" s="398"/>
      <c r="M266" s="398"/>
      <c r="N266" s="398"/>
      <c r="O266" s="329"/>
      <c r="P266" s="398"/>
      <c r="Q266" s="398"/>
      <c r="R266" s="398"/>
      <c r="S266" s="398"/>
      <c r="T266" s="398"/>
      <c r="U266" s="398"/>
      <c r="V266" s="398"/>
      <c r="W266" s="398"/>
      <c r="X266" s="398"/>
      <c r="Y266" s="398"/>
      <c r="Z266" s="329"/>
      <c r="AA266" s="398"/>
      <c r="AB266" s="398"/>
      <c r="AC266" s="398"/>
      <c r="AD266" s="398"/>
      <c r="AE266" s="398"/>
      <c r="AF266" s="398"/>
      <c r="AG266" s="394">
        <f t="shared" si="87"/>
        <v>0</v>
      </c>
    </row>
    <row r="267">
      <c r="A267" s="412" t="s">
        <v>126</v>
      </c>
      <c r="B267" s="399">
        <f t="shared" ref="B267:AF267" si="88">SUM(B262:B266)</f>
        <v>0</v>
      </c>
      <c r="C267" s="399">
        <f t="shared" si="88"/>
        <v>0</v>
      </c>
      <c r="D267" s="399">
        <f t="shared" si="88"/>
        <v>0</v>
      </c>
      <c r="E267" s="399">
        <f t="shared" si="88"/>
        <v>0</v>
      </c>
      <c r="F267" s="399">
        <f t="shared" si="88"/>
        <v>0</v>
      </c>
      <c r="G267" s="399">
        <f t="shared" si="88"/>
        <v>0</v>
      </c>
      <c r="H267" s="399">
        <f t="shared" si="88"/>
        <v>0</v>
      </c>
      <c r="I267" s="399">
        <f t="shared" si="88"/>
        <v>0</v>
      </c>
      <c r="J267" s="399">
        <f t="shared" si="88"/>
        <v>0</v>
      </c>
      <c r="K267" s="399">
        <f t="shared" si="88"/>
        <v>0</v>
      </c>
      <c r="L267" s="399">
        <f t="shared" si="88"/>
        <v>0</v>
      </c>
      <c r="M267" s="399">
        <f t="shared" si="88"/>
        <v>0</v>
      </c>
      <c r="N267" s="399">
        <f t="shared" si="88"/>
        <v>0</v>
      </c>
      <c r="O267" s="399">
        <f t="shared" si="88"/>
        <v>0</v>
      </c>
      <c r="P267" s="399">
        <f t="shared" si="88"/>
        <v>0</v>
      </c>
      <c r="Q267" s="399">
        <f t="shared" si="88"/>
        <v>0</v>
      </c>
      <c r="R267" s="399">
        <f t="shared" si="88"/>
        <v>0</v>
      </c>
      <c r="S267" s="399">
        <f t="shared" si="88"/>
        <v>0</v>
      </c>
      <c r="T267" s="399">
        <f t="shared" si="88"/>
        <v>0</v>
      </c>
      <c r="U267" s="399">
        <f t="shared" si="88"/>
        <v>0</v>
      </c>
      <c r="V267" s="399">
        <f t="shared" si="88"/>
        <v>0</v>
      </c>
      <c r="W267" s="399">
        <f t="shared" si="88"/>
        <v>0</v>
      </c>
      <c r="X267" s="399">
        <f t="shared" si="88"/>
        <v>0</v>
      </c>
      <c r="Y267" s="399">
        <f t="shared" si="88"/>
        <v>0</v>
      </c>
      <c r="Z267" s="399">
        <f t="shared" si="88"/>
        <v>0</v>
      </c>
      <c r="AA267" s="399">
        <f t="shared" si="88"/>
        <v>0</v>
      </c>
      <c r="AB267" s="399">
        <f t="shared" si="88"/>
        <v>0</v>
      </c>
      <c r="AC267" s="399">
        <f t="shared" si="88"/>
        <v>0</v>
      </c>
      <c r="AD267" s="399">
        <f t="shared" si="88"/>
        <v>0</v>
      </c>
      <c r="AE267" s="399">
        <f t="shared" si="88"/>
        <v>0</v>
      </c>
      <c r="AF267" s="399">
        <f t="shared" si="88"/>
        <v>0</v>
      </c>
      <c r="AG267" s="394">
        <f t="shared" si="87"/>
        <v>0</v>
      </c>
    </row>
    <row r="268">
      <c r="A268" s="328"/>
      <c r="AG268" s="394"/>
    </row>
    <row r="269">
      <c r="A269" s="367" t="s">
        <v>1337</v>
      </c>
      <c r="B269" s="398"/>
      <c r="C269" s="398"/>
      <c r="D269" s="398"/>
      <c r="E269" s="398"/>
      <c r="F269" s="398"/>
      <c r="G269" s="398"/>
      <c r="H269" s="398"/>
      <c r="I269" s="398"/>
      <c r="J269" s="398"/>
      <c r="K269" s="398"/>
      <c r="L269" s="398"/>
      <c r="M269" s="59"/>
      <c r="N269" s="59"/>
      <c r="O269" s="59"/>
      <c r="P269" s="59"/>
      <c r="Q269" s="59"/>
      <c r="R269" s="59"/>
      <c r="S269" s="63"/>
      <c r="T269" s="59"/>
      <c r="U269" s="63"/>
      <c r="V269" s="398"/>
      <c r="W269" s="398"/>
      <c r="X269" s="63"/>
      <c r="Y269" s="398"/>
      <c r="Z269" s="398"/>
      <c r="AA269" s="398"/>
      <c r="AB269" s="398"/>
      <c r="AC269" s="398"/>
      <c r="AD269" s="398"/>
      <c r="AE269" s="398"/>
      <c r="AF269" s="398"/>
      <c r="AG269" s="394">
        <f t="shared" ref="AG269:AG271" si="89">SUM(B269:AF269)</f>
        <v>0</v>
      </c>
    </row>
    <row r="270">
      <c r="A270" s="367" t="s">
        <v>1342</v>
      </c>
      <c r="B270" s="398"/>
      <c r="C270" s="398"/>
      <c r="D270" s="398"/>
      <c r="E270" s="398"/>
      <c r="F270" s="398"/>
      <c r="G270" s="398"/>
      <c r="H270" s="398"/>
      <c r="I270" s="398"/>
      <c r="J270" s="398"/>
      <c r="K270" s="398"/>
      <c r="L270" s="398"/>
      <c r="M270" s="398"/>
      <c r="N270" s="398"/>
      <c r="O270" s="398"/>
      <c r="P270" s="398"/>
      <c r="Q270" s="398"/>
      <c r="R270" s="398"/>
      <c r="S270" s="398"/>
      <c r="T270" s="398"/>
      <c r="U270" s="398"/>
      <c r="V270" s="398"/>
      <c r="W270" s="398"/>
      <c r="X270" s="398"/>
      <c r="Y270" s="398"/>
      <c r="Z270" s="398"/>
      <c r="AA270" s="398"/>
      <c r="AB270" s="398"/>
      <c r="AC270" s="398"/>
      <c r="AD270" s="398"/>
      <c r="AE270" s="398"/>
      <c r="AF270" s="398"/>
      <c r="AG270" s="394">
        <f t="shared" si="89"/>
        <v>0</v>
      </c>
    </row>
    <row r="271">
      <c r="A271" s="412" t="s">
        <v>126</v>
      </c>
      <c r="B271" s="399">
        <f t="shared" ref="B271:AF271" si="90">SUM(B269:B270)</f>
        <v>0</v>
      </c>
      <c r="C271" s="399">
        <f t="shared" si="90"/>
        <v>0</v>
      </c>
      <c r="D271" s="399">
        <f t="shared" si="90"/>
        <v>0</v>
      </c>
      <c r="E271" s="399">
        <f t="shared" si="90"/>
        <v>0</v>
      </c>
      <c r="F271" s="399">
        <f t="shared" si="90"/>
        <v>0</v>
      </c>
      <c r="G271" s="399">
        <f t="shared" si="90"/>
        <v>0</v>
      </c>
      <c r="H271" s="399">
        <f t="shared" si="90"/>
        <v>0</v>
      </c>
      <c r="I271" s="399">
        <f t="shared" si="90"/>
        <v>0</v>
      </c>
      <c r="J271" s="399">
        <f t="shared" si="90"/>
        <v>0</v>
      </c>
      <c r="K271" s="399">
        <f t="shared" si="90"/>
        <v>0</v>
      </c>
      <c r="L271" s="399">
        <f t="shared" si="90"/>
        <v>0</v>
      </c>
      <c r="M271" s="399">
        <f t="shared" si="90"/>
        <v>0</v>
      </c>
      <c r="N271" s="399">
        <f t="shared" si="90"/>
        <v>0</v>
      </c>
      <c r="O271" s="399">
        <f t="shared" si="90"/>
        <v>0</v>
      </c>
      <c r="P271" s="399">
        <f t="shared" si="90"/>
        <v>0</v>
      </c>
      <c r="Q271" s="399">
        <f t="shared" si="90"/>
        <v>0</v>
      </c>
      <c r="R271" s="399">
        <f t="shared" si="90"/>
        <v>0</v>
      </c>
      <c r="S271" s="399">
        <f t="shared" si="90"/>
        <v>0</v>
      </c>
      <c r="T271" s="399">
        <f t="shared" si="90"/>
        <v>0</v>
      </c>
      <c r="U271" s="399">
        <f t="shared" si="90"/>
        <v>0</v>
      </c>
      <c r="V271" s="399">
        <f t="shared" si="90"/>
        <v>0</v>
      </c>
      <c r="W271" s="399">
        <f t="shared" si="90"/>
        <v>0</v>
      </c>
      <c r="X271" s="399">
        <f t="shared" si="90"/>
        <v>0</v>
      </c>
      <c r="Y271" s="399">
        <f t="shared" si="90"/>
        <v>0</v>
      </c>
      <c r="Z271" s="399">
        <f t="shared" si="90"/>
        <v>0</v>
      </c>
      <c r="AA271" s="399">
        <f t="shared" si="90"/>
        <v>0</v>
      </c>
      <c r="AB271" s="399">
        <f t="shared" si="90"/>
        <v>0</v>
      </c>
      <c r="AC271" s="399">
        <f t="shared" si="90"/>
        <v>0</v>
      </c>
      <c r="AD271" s="399">
        <f t="shared" si="90"/>
        <v>0</v>
      </c>
      <c r="AE271" s="399">
        <f t="shared" si="90"/>
        <v>0</v>
      </c>
      <c r="AF271" s="399">
        <f t="shared" si="90"/>
        <v>0</v>
      </c>
      <c r="AG271" s="394">
        <f t="shared" si="89"/>
        <v>0</v>
      </c>
    </row>
    <row r="272">
      <c r="A272" s="328"/>
      <c r="AG272" s="358"/>
    </row>
    <row r="273">
      <c r="A273" s="367" t="s">
        <v>910</v>
      </c>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c r="AB273" s="59"/>
      <c r="AC273" s="59"/>
      <c r="AD273" s="59"/>
      <c r="AE273" s="59"/>
      <c r="AF273" s="59"/>
      <c r="AG273" s="394">
        <f t="shared" ref="AG273:AG275" si="91">SUM(B273:AF273)</f>
        <v>0</v>
      </c>
    </row>
    <row r="274">
      <c r="A274" s="367" t="s">
        <v>914</v>
      </c>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c r="AB274" s="59"/>
      <c r="AC274" s="59"/>
      <c r="AD274" s="59"/>
      <c r="AE274" s="59"/>
      <c r="AF274" s="59"/>
      <c r="AG274" s="394">
        <f t="shared" si="91"/>
        <v>0</v>
      </c>
    </row>
    <row r="275">
      <c r="A275" s="412" t="s">
        <v>126</v>
      </c>
      <c r="B275" s="399">
        <f t="shared" ref="B275:AF275" si="92">sum(B273:B274)</f>
        <v>0</v>
      </c>
      <c r="C275" s="399">
        <f t="shared" si="92"/>
        <v>0</v>
      </c>
      <c r="D275" s="399">
        <f t="shared" si="92"/>
        <v>0</v>
      </c>
      <c r="E275" s="399">
        <f t="shared" si="92"/>
        <v>0</v>
      </c>
      <c r="F275" s="399">
        <f t="shared" si="92"/>
        <v>0</v>
      </c>
      <c r="G275" s="399">
        <f t="shared" si="92"/>
        <v>0</v>
      </c>
      <c r="H275" s="399">
        <f t="shared" si="92"/>
        <v>0</v>
      </c>
      <c r="I275" s="399">
        <f t="shared" si="92"/>
        <v>0</v>
      </c>
      <c r="J275" s="399">
        <f t="shared" si="92"/>
        <v>0</v>
      </c>
      <c r="K275" s="399">
        <f t="shared" si="92"/>
        <v>0</v>
      </c>
      <c r="L275" s="399">
        <f t="shared" si="92"/>
        <v>0</v>
      </c>
      <c r="M275" s="399">
        <f t="shared" si="92"/>
        <v>0</v>
      </c>
      <c r="N275" s="399">
        <f t="shared" si="92"/>
        <v>0</v>
      </c>
      <c r="O275" s="399">
        <f t="shared" si="92"/>
        <v>0</v>
      </c>
      <c r="P275" s="399">
        <f t="shared" si="92"/>
        <v>0</v>
      </c>
      <c r="Q275" s="399">
        <f t="shared" si="92"/>
        <v>0</v>
      </c>
      <c r="R275" s="399">
        <f t="shared" si="92"/>
        <v>0</v>
      </c>
      <c r="S275" s="399">
        <f t="shared" si="92"/>
        <v>0</v>
      </c>
      <c r="T275" s="399">
        <f t="shared" si="92"/>
        <v>0</v>
      </c>
      <c r="U275" s="399">
        <f t="shared" si="92"/>
        <v>0</v>
      </c>
      <c r="V275" s="399">
        <f t="shared" si="92"/>
        <v>0</v>
      </c>
      <c r="W275" s="399">
        <f t="shared" si="92"/>
        <v>0</v>
      </c>
      <c r="X275" s="399">
        <f t="shared" si="92"/>
        <v>0</v>
      </c>
      <c r="Y275" s="399">
        <f t="shared" si="92"/>
        <v>0</v>
      </c>
      <c r="Z275" s="399">
        <f t="shared" si="92"/>
        <v>0</v>
      </c>
      <c r="AA275" s="399">
        <f t="shared" si="92"/>
        <v>0</v>
      </c>
      <c r="AB275" s="399">
        <f t="shared" si="92"/>
        <v>0</v>
      </c>
      <c r="AC275" s="399">
        <f t="shared" si="92"/>
        <v>0</v>
      </c>
      <c r="AD275" s="399">
        <f t="shared" si="92"/>
        <v>0</v>
      </c>
      <c r="AE275" s="399">
        <f t="shared" si="92"/>
        <v>0</v>
      </c>
      <c r="AF275" s="399">
        <f t="shared" si="92"/>
        <v>0</v>
      </c>
      <c r="AG275" s="394">
        <f t="shared" si="91"/>
        <v>0</v>
      </c>
    </row>
    <row r="276">
      <c r="A276" s="328"/>
      <c r="B276" s="414"/>
      <c r="C276" s="414"/>
      <c r="D276" s="414"/>
      <c r="E276" s="414"/>
      <c r="F276" s="414"/>
      <c r="G276" s="414"/>
      <c r="H276" s="414"/>
      <c r="I276" s="414"/>
      <c r="J276" s="414"/>
      <c r="K276" s="414"/>
      <c r="L276" s="414"/>
      <c r="M276" s="414"/>
      <c r="N276" s="414"/>
      <c r="O276" s="414"/>
      <c r="P276" s="414"/>
      <c r="Q276" s="414"/>
      <c r="R276" s="414"/>
      <c r="S276" s="414"/>
      <c r="T276" s="414"/>
      <c r="U276" s="414"/>
      <c r="V276" s="414"/>
      <c r="W276" s="414"/>
      <c r="X276" s="414"/>
      <c r="Y276" s="414"/>
      <c r="Z276" s="414"/>
      <c r="AA276" s="414"/>
      <c r="AB276" s="414"/>
      <c r="AC276" s="414"/>
      <c r="AD276" s="414"/>
      <c r="AE276" s="414"/>
      <c r="AF276" s="414"/>
      <c r="AG276" s="358"/>
    </row>
    <row r="277">
      <c r="A277" s="367" t="s">
        <v>64</v>
      </c>
      <c r="B277" s="390">
        <v>299.0</v>
      </c>
      <c r="C277" s="391">
        <v>299.0</v>
      </c>
      <c r="D277" s="300">
        <v>0.0</v>
      </c>
      <c r="E277" s="300">
        <v>1196.0</v>
      </c>
      <c r="F277" s="300">
        <v>2093.0</v>
      </c>
      <c r="G277" s="300">
        <v>2691.0</v>
      </c>
      <c r="H277" s="300">
        <v>1794.0</v>
      </c>
      <c r="I277" s="300">
        <v>598.0</v>
      </c>
      <c r="J277" s="300">
        <v>598.0</v>
      </c>
      <c r="K277" s="300">
        <v>508.3</v>
      </c>
      <c r="L277" s="392">
        <v>0.0</v>
      </c>
      <c r="M277" s="300">
        <v>1446.0</v>
      </c>
      <c r="N277" s="300">
        <v>299.0</v>
      </c>
      <c r="O277" s="300">
        <v>598.0</v>
      </c>
      <c r="P277" s="300">
        <v>1147.0</v>
      </c>
      <c r="Q277" s="300">
        <v>598.0</v>
      </c>
      <c r="R277" s="300">
        <v>299.0</v>
      </c>
      <c r="S277" s="300">
        <v>299.0</v>
      </c>
      <c r="T277" s="300">
        <v>299.0</v>
      </c>
      <c r="U277" s="300">
        <v>897.0</v>
      </c>
      <c r="V277" s="300">
        <v>0.0</v>
      </c>
      <c r="W277" s="300">
        <v>598.0</v>
      </c>
      <c r="X277" s="300">
        <v>897.0</v>
      </c>
      <c r="Y277" s="300">
        <v>1196.0</v>
      </c>
      <c r="Z277" s="300">
        <v>598.0</v>
      </c>
      <c r="AA277" s="300">
        <v>1196.0</v>
      </c>
      <c r="AB277" s="300">
        <v>598.0</v>
      </c>
      <c r="AC277" s="300">
        <v>299.0</v>
      </c>
      <c r="AD277" s="300">
        <v>1495.0</v>
      </c>
      <c r="AE277" s="300">
        <v>299.0</v>
      </c>
      <c r="AF277" s="300">
        <v>299.0</v>
      </c>
      <c r="AG277" s="394">
        <f t="shared" ref="AG277:AG278" si="94">sum(B277:AF277)</f>
        <v>23433.3</v>
      </c>
    </row>
    <row r="278">
      <c r="A278" s="412" t="s">
        <v>1368</v>
      </c>
      <c r="B278" s="399">
        <f t="shared" ref="B278:AF278" si="93">B277</f>
        <v>299</v>
      </c>
      <c r="C278" s="399">
        <f t="shared" si="93"/>
        <v>299</v>
      </c>
      <c r="D278" s="399">
        <f t="shared" si="93"/>
        <v>0</v>
      </c>
      <c r="E278" s="399">
        <f t="shared" si="93"/>
        <v>1196</v>
      </c>
      <c r="F278" s="399">
        <f t="shared" si="93"/>
        <v>2093</v>
      </c>
      <c r="G278" s="399">
        <f t="shared" si="93"/>
        <v>2691</v>
      </c>
      <c r="H278" s="399">
        <f t="shared" si="93"/>
        <v>1794</v>
      </c>
      <c r="I278" s="399">
        <f t="shared" si="93"/>
        <v>598</v>
      </c>
      <c r="J278" s="399">
        <f t="shared" si="93"/>
        <v>598</v>
      </c>
      <c r="K278" s="399">
        <f t="shared" si="93"/>
        <v>508.3</v>
      </c>
      <c r="L278" s="399">
        <f t="shared" si="93"/>
        <v>0</v>
      </c>
      <c r="M278" s="399">
        <f t="shared" si="93"/>
        <v>1446</v>
      </c>
      <c r="N278" s="399">
        <f t="shared" si="93"/>
        <v>299</v>
      </c>
      <c r="O278" s="399">
        <f t="shared" si="93"/>
        <v>598</v>
      </c>
      <c r="P278" s="399">
        <f t="shared" si="93"/>
        <v>1147</v>
      </c>
      <c r="Q278" s="399">
        <f t="shared" si="93"/>
        <v>598</v>
      </c>
      <c r="R278" s="399">
        <f t="shared" si="93"/>
        <v>299</v>
      </c>
      <c r="S278" s="399">
        <f t="shared" si="93"/>
        <v>299</v>
      </c>
      <c r="T278" s="399">
        <f t="shared" si="93"/>
        <v>299</v>
      </c>
      <c r="U278" s="399">
        <f t="shared" si="93"/>
        <v>897</v>
      </c>
      <c r="V278" s="399">
        <f t="shared" si="93"/>
        <v>0</v>
      </c>
      <c r="W278" s="399">
        <f t="shared" si="93"/>
        <v>598</v>
      </c>
      <c r="X278" s="399">
        <f t="shared" si="93"/>
        <v>897</v>
      </c>
      <c r="Y278" s="399">
        <f t="shared" si="93"/>
        <v>1196</v>
      </c>
      <c r="Z278" s="399">
        <f t="shared" si="93"/>
        <v>598</v>
      </c>
      <c r="AA278" s="399">
        <f t="shared" si="93"/>
        <v>1196</v>
      </c>
      <c r="AB278" s="399">
        <f t="shared" si="93"/>
        <v>598</v>
      </c>
      <c r="AC278" s="399">
        <f t="shared" si="93"/>
        <v>299</v>
      </c>
      <c r="AD278" s="399">
        <f t="shared" si="93"/>
        <v>1495</v>
      </c>
      <c r="AE278" s="399">
        <f t="shared" si="93"/>
        <v>299</v>
      </c>
      <c r="AF278" s="399">
        <f t="shared" si="93"/>
        <v>299</v>
      </c>
      <c r="AG278" s="394">
        <f t="shared" si="94"/>
        <v>23433.3</v>
      </c>
    </row>
    <row r="279">
      <c r="A279" s="328"/>
      <c r="AG279" s="358"/>
    </row>
    <row r="280">
      <c r="A280" s="229" t="s">
        <v>1374</v>
      </c>
      <c r="B280" s="217"/>
      <c r="C280" s="217"/>
      <c r="D280" s="217"/>
      <c r="E280" s="217"/>
      <c r="F280" s="217"/>
      <c r="G280" s="217"/>
      <c r="H280" s="217"/>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82"/>
    </row>
    <row r="281">
      <c r="A281" s="415" t="s">
        <v>1124</v>
      </c>
      <c r="B281" s="369">
        <v>1.0</v>
      </c>
      <c r="C281" s="369">
        <v>3.0</v>
      </c>
      <c r="D281" s="369">
        <v>0.0</v>
      </c>
      <c r="E281" s="369">
        <v>4.0</v>
      </c>
      <c r="F281" s="369">
        <v>0.0</v>
      </c>
      <c r="G281" s="369">
        <v>14.0</v>
      </c>
      <c r="H281" s="369">
        <v>5.0</v>
      </c>
      <c r="I281" s="369">
        <v>2.0</v>
      </c>
      <c r="J281" s="369">
        <v>14.0</v>
      </c>
      <c r="K281" s="369">
        <v>14.0</v>
      </c>
      <c r="L281" s="369">
        <v>5.0</v>
      </c>
      <c r="M281" s="369">
        <v>11.0</v>
      </c>
      <c r="N281" s="369">
        <v>7.0</v>
      </c>
      <c r="O281" s="369">
        <v>4.0</v>
      </c>
      <c r="P281" s="369">
        <v>0.0</v>
      </c>
      <c r="Q281" s="369">
        <v>5.0</v>
      </c>
      <c r="R281" s="369">
        <v>4.0</v>
      </c>
      <c r="S281" s="369">
        <v>7.0</v>
      </c>
      <c r="T281" s="369">
        <v>2.0</v>
      </c>
      <c r="U281" s="369">
        <v>3.0</v>
      </c>
      <c r="V281" s="369">
        <v>2.0</v>
      </c>
      <c r="W281" s="369">
        <v>1.0</v>
      </c>
      <c r="X281" s="369">
        <v>1.0</v>
      </c>
      <c r="Y281" s="369">
        <v>1.0</v>
      </c>
      <c r="Z281" s="369">
        <v>5.0</v>
      </c>
      <c r="AA281" s="369">
        <v>3.0</v>
      </c>
      <c r="AB281" s="369">
        <v>7.0</v>
      </c>
      <c r="AC281" s="369">
        <v>5.0</v>
      </c>
      <c r="AD281" s="369">
        <v>2.0</v>
      </c>
      <c r="AE281" s="369">
        <v>5.0</v>
      </c>
      <c r="AF281" s="369">
        <v>2.0</v>
      </c>
      <c r="AG281" s="290">
        <f t="shared" ref="AG281:AG288" si="95">SUM(B281:AF281)</f>
        <v>139</v>
      </c>
    </row>
    <row r="282">
      <c r="A282" s="415" t="s">
        <v>1131</v>
      </c>
      <c r="B282" s="369">
        <v>0.0</v>
      </c>
      <c r="C282" s="369">
        <v>0.0</v>
      </c>
      <c r="D282" s="369">
        <v>0.0</v>
      </c>
      <c r="E282" s="369">
        <v>1.0</v>
      </c>
      <c r="F282" s="369">
        <v>0.0</v>
      </c>
      <c r="G282" s="369">
        <v>1.0</v>
      </c>
      <c r="H282" s="369">
        <v>1.0</v>
      </c>
      <c r="I282" s="369">
        <v>2.0</v>
      </c>
      <c r="J282" s="369">
        <v>0.0</v>
      </c>
      <c r="K282" s="369">
        <v>0.0</v>
      </c>
      <c r="L282" s="369">
        <v>2.0</v>
      </c>
      <c r="M282" s="369">
        <v>2.0</v>
      </c>
      <c r="N282" s="369">
        <v>0.0</v>
      </c>
      <c r="O282" s="369">
        <v>2.0</v>
      </c>
      <c r="P282" s="369">
        <v>2.0</v>
      </c>
      <c r="Q282" s="369">
        <v>2.0</v>
      </c>
      <c r="R282" s="369">
        <v>1.0</v>
      </c>
      <c r="S282" s="369">
        <v>2.0</v>
      </c>
      <c r="T282" s="369">
        <v>1.0</v>
      </c>
      <c r="U282" s="369">
        <v>4.0</v>
      </c>
      <c r="V282" s="369">
        <v>2.0</v>
      </c>
      <c r="W282" s="369">
        <v>0.0</v>
      </c>
      <c r="X282" s="369">
        <v>2.0</v>
      </c>
      <c r="Y282" s="369">
        <v>0.0</v>
      </c>
      <c r="Z282" s="369">
        <v>2.0</v>
      </c>
      <c r="AA282" s="369">
        <v>1.0</v>
      </c>
      <c r="AB282" s="369">
        <v>3.0</v>
      </c>
      <c r="AC282" s="369">
        <v>2.0</v>
      </c>
      <c r="AD282" s="369">
        <v>0.0</v>
      </c>
      <c r="AE282" s="369">
        <v>1.0</v>
      </c>
      <c r="AF282" s="369">
        <v>2.0</v>
      </c>
      <c r="AG282" s="290">
        <f t="shared" si="95"/>
        <v>38</v>
      </c>
    </row>
    <row r="283">
      <c r="A283" s="415" t="s">
        <v>1132</v>
      </c>
      <c r="B283" s="369">
        <v>0.0</v>
      </c>
      <c r="C283" s="369">
        <v>0.0</v>
      </c>
      <c r="D283" s="369">
        <v>1.0</v>
      </c>
      <c r="E283" s="369">
        <v>2.0</v>
      </c>
      <c r="F283" s="369">
        <v>0.0</v>
      </c>
      <c r="G283" s="369">
        <v>0.0</v>
      </c>
      <c r="H283" s="369">
        <v>0.0</v>
      </c>
      <c r="I283" s="369">
        <v>0.0</v>
      </c>
      <c r="J283" s="369">
        <v>4.0</v>
      </c>
      <c r="K283" s="369">
        <v>4.0</v>
      </c>
      <c r="L283" s="369">
        <v>0.0</v>
      </c>
      <c r="M283" s="369">
        <v>0.0</v>
      </c>
      <c r="N283" s="369">
        <v>1.0</v>
      </c>
      <c r="O283" s="369">
        <v>1.0</v>
      </c>
      <c r="P283" s="369">
        <v>1.0</v>
      </c>
      <c r="Q283" s="369">
        <v>0.0</v>
      </c>
      <c r="R283" s="369">
        <v>1.0</v>
      </c>
      <c r="S283" s="369">
        <v>0.0</v>
      </c>
      <c r="T283" s="369">
        <v>0.0</v>
      </c>
      <c r="U283" s="369">
        <v>0.0</v>
      </c>
      <c r="V283" s="369">
        <v>0.0</v>
      </c>
      <c r="W283" s="369">
        <v>0.0</v>
      </c>
      <c r="X283" s="369">
        <v>1.0</v>
      </c>
      <c r="Y283" s="369">
        <v>0.0</v>
      </c>
      <c r="Z283" s="369">
        <v>1.0</v>
      </c>
      <c r="AA283" s="369">
        <v>0.0</v>
      </c>
      <c r="AB283" s="369">
        <v>0.0</v>
      </c>
      <c r="AC283" s="369">
        <v>0.0</v>
      </c>
      <c r="AD283" s="369">
        <v>0.0</v>
      </c>
      <c r="AE283" s="369">
        <v>0.0</v>
      </c>
      <c r="AF283" s="369">
        <v>0.0</v>
      </c>
      <c r="AG283" s="290">
        <f t="shared" si="95"/>
        <v>17</v>
      </c>
    </row>
    <row r="284">
      <c r="A284" s="415" t="s">
        <v>1139</v>
      </c>
      <c r="B284" s="369">
        <v>0.0</v>
      </c>
      <c r="C284" s="369">
        <v>0.0</v>
      </c>
      <c r="D284" s="369">
        <v>0.0</v>
      </c>
      <c r="E284" s="369">
        <v>4.0</v>
      </c>
      <c r="F284" s="369">
        <v>0.0</v>
      </c>
      <c r="G284" s="369">
        <v>2.0</v>
      </c>
      <c r="H284" s="369">
        <v>2.0</v>
      </c>
      <c r="I284" s="369">
        <v>1.0</v>
      </c>
      <c r="J284" s="369">
        <v>0.0</v>
      </c>
      <c r="K284" s="369">
        <v>14.0</v>
      </c>
      <c r="L284" s="369">
        <v>5.0</v>
      </c>
      <c r="M284" s="369">
        <v>1.0</v>
      </c>
      <c r="N284" s="369">
        <v>1.0</v>
      </c>
      <c r="O284" s="369">
        <v>0.0</v>
      </c>
      <c r="P284" s="369">
        <v>0.0</v>
      </c>
      <c r="Q284" s="369">
        <v>0.0</v>
      </c>
      <c r="R284" s="369">
        <v>2.0</v>
      </c>
      <c r="S284" s="369">
        <v>0.0</v>
      </c>
      <c r="T284" s="369">
        <v>0.0</v>
      </c>
      <c r="U284" s="369">
        <v>1.0</v>
      </c>
      <c r="V284" s="369">
        <v>1.0</v>
      </c>
      <c r="W284" s="369">
        <v>0.0</v>
      </c>
      <c r="X284" s="369">
        <v>0.0</v>
      </c>
      <c r="Y284" s="369">
        <v>0.0</v>
      </c>
      <c r="Z284" s="369">
        <v>1.0</v>
      </c>
      <c r="AA284" s="369">
        <v>0.0</v>
      </c>
      <c r="AB284" s="369">
        <v>0.0</v>
      </c>
      <c r="AC284" s="369">
        <v>0.0</v>
      </c>
      <c r="AD284" s="369">
        <v>0.0</v>
      </c>
      <c r="AE284" s="369">
        <v>1.0</v>
      </c>
      <c r="AF284" s="369">
        <v>0.0</v>
      </c>
      <c r="AG284" s="290">
        <f t="shared" si="95"/>
        <v>36</v>
      </c>
    </row>
    <row r="285">
      <c r="A285" s="415" t="s">
        <v>1140</v>
      </c>
      <c r="B285" s="416"/>
      <c r="C285" s="416"/>
      <c r="D285" s="416"/>
      <c r="E285" s="416"/>
      <c r="F285" s="416"/>
      <c r="G285" s="416"/>
      <c r="H285" s="416"/>
      <c r="I285" s="416"/>
      <c r="J285" s="369">
        <v>1.0</v>
      </c>
      <c r="K285" s="369">
        <v>1.0</v>
      </c>
      <c r="L285" s="369">
        <v>1.0</v>
      </c>
      <c r="M285" s="416"/>
      <c r="N285" s="417">
        <v>2.0</v>
      </c>
      <c r="O285" s="416"/>
      <c r="P285" s="416"/>
      <c r="Q285" s="416"/>
      <c r="R285" s="416"/>
      <c r="S285" s="416"/>
      <c r="T285" s="416"/>
      <c r="U285" s="416"/>
      <c r="V285" s="416"/>
      <c r="W285" s="418">
        <v>0.0</v>
      </c>
      <c r="X285" s="416"/>
      <c r="Y285" s="416"/>
      <c r="Z285" s="416"/>
      <c r="AA285" s="369">
        <v>1.0</v>
      </c>
      <c r="AB285" s="416"/>
      <c r="AC285" s="416"/>
      <c r="AD285" s="416"/>
      <c r="AE285" s="416"/>
      <c r="AF285" s="416"/>
      <c r="AG285" s="290">
        <f t="shared" si="95"/>
        <v>6</v>
      </c>
    </row>
    <row r="286">
      <c r="A286" s="415" t="s">
        <v>1148</v>
      </c>
      <c r="B286" s="416"/>
      <c r="C286" s="418"/>
      <c r="D286" s="418"/>
      <c r="E286" s="416"/>
      <c r="F286" s="416"/>
      <c r="G286" s="416"/>
      <c r="H286" s="416"/>
      <c r="I286" s="416"/>
      <c r="J286" s="416"/>
      <c r="K286" s="418"/>
      <c r="L286" s="416"/>
      <c r="M286" s="416"/>
      <c r="N286" s="416"/>
      <c r="O286" s="416"/>
      <c r="P286" s="416"/>
      <c r="Q286" s="416"/>
      <c r="R286" s="369">
        <v>1.0</v>
      </c>
      <c r="S286" s="416"/>
      <c r="T286" s="418"/>
      <c r="U286" s="416"/>
      <c r="V286" s="416"/>
      <c r="W286" s="416"/>
      <c r="X286" s="416"/>
      <c r="Y286" s="416"/>
      <c r="Z286" s="416"/>
      <c r="AA286" s="369">
        <v>1.0</v>
      </c>
      <c r="AB286" s="416"/>
      <c r="AC286" s="416"/>
      <c r="AD286" s="416"/>
      <c r="AE286" s="416"/>
      <c r="AF286" s="416"/>
      <c r="AG286" s="290">
        <f t="shared" si="95"/>
        <v>2</v>
      </c>
    </row>
    <row r="287">
      <c r="A287" s="419" t="s">
        <v>871</v>
      </c>
      <c r="B287" s="420">
        <f t="shared" ref="B287:B288" si="97">B281+B283+B285</f>
        <v>1</v>
      </c>
      <c r="C287" s="420">
        <f t="shared" ref="C287:AF287" si="96">SUM(C281:C286)</f>
        <v>3</v>
      </c>
      <c r="D287" s="420">
        <f t="shared" si="96"/>
        <v>1</v>
      </c>
      <c r="E287" s="420">
        <f t="shared" si="96"/>
        <v>11</v>
      </c>
      <c r="F287" s="420">
        <f t="shared" si="96"/>
        <v>0</v>
      </c>
      <c r="G287" s="420">
        <f t="shared" si="96"/>
        <v>17</v>
      </c>
      <c r="H287" s="420">
        <f t="shared" si="96"/>
        <v>8</v>
      </c>
      <c r="I287" s="420">
        <f t="shared" si="96"/>
        <v>5</v>
      </c>
      <c r="J287" s="420">
        <f t="shared" si="96"/>
        <v>19</v>
      </c>
      <c r="K287" s="420">
        <f t="shared" si="96"/>
        <v>33</v>
      </c>
      <c r="L287" s="420">
        <f t="shared" si="96"/>
        <v>13</v>
      </c>
      <c r="M287" s="420">
        <f t="shared" si="96"/>
        <v>14</v>
      </c>
      <c r="N287" s="420">
        <f t="shared" si="96"/>
        <v>11</v>
      </c>
      <c r="O287" s="420">
        <f t="shared" si="96"/>
        <v>7</v>
      </c>
      <c r="P287" s="420">
        <f t="shared" si="96"/>
        <v>3</v>
      </c>
      <c r="Q287" s="420">
        <f t="shared" si="96"/>
        <v>7</v>
      </c>
      <c r="R287" s="420">
        <f t="shared" si="96"/>
        <v>9</v>
      </c>
      <c r="S287" s="420">
        <f t="shared" si="96"/>
        <v>9</v>
      </c>
      <c r="T287" s="420">
        <f t="shared" si="96"/>
        <v>3</v>
      </c>
      <c r="U287" s="420">
        <f t="shared" si="96"/>
        <v>8</v>
      </c>
      <c r="V287" s="420">
        <f t="shared" si="96"/>
        <v>5</v>
      </c>
      <c r="W287" s="420">
        <f t="shared" si="96"/>
        <v>1</v>
      </c>
      <c r="X287" s="420">
        <f t="shared" si="96"/>
        <v>4</v>
      </c>
      <c r="Y287" s="420">
        <f t="shared" si="96"/>
        <v>1</v>
      </c>
      <c r="Z287" s="420">
        <f t="shared" si="96"/>
        <v>9</v>
      </c>
      <c r="AA287" s="420">
        <f t="shared" si="96"/>
        <v>6</v>
      </c>
      <c r="AB287" s="420">
        <f t="shared" si="96"/>
        <v>10</v>
      </c>
      <c r="AC287" s="420">
        <f t="shared" si="96"/>
        <v>7</v>
      </c>
      <c r="AD287" s="420">
        <f t="shared" si="96"/>
        <v>2</v>
      </c>
      <c r="AE287" s="420">
        <f t="shared" si="96"/>
        <v>7</v>
      </c>
      <c r="AF287" s="420">
        <f t="shared" si="96"/>
        <v>4</v>
      </c>
      <c r="AG287" s="290">
        <f t="shared" si="95"/>
        <v>238</v>
      </c>
    </row>
    <row r="288">
      <c r="A288" s="419" t="s">
        <v>1157</v>
      </c>
      <c r="B288" s="420">
        <f t="shared" si="97"/>
        <v>0</v>
      </c>
      <c r="C288" s="420">
        <f t="shared" ref="C288:AF288" si="98">C282+C284+C286</f>
        <v>0</v>
      </c>
      <c r="D288" s="420">
        <f t="shared" si="98"/>
        <v>0</v>
      </c>
      <c r="E288" s="420">
        <f t="shared" si="98"/>
        <v>5</v>
      </c>
      <c r="F288" s="420">
        <f t="shared" si="98"/>
        <v>0</v>
      </c>
      <c r="G288" s="420">
        <f t="shared" si="98"/>
        <v>3</v>
      </c>
      <c r="H288" s="420">
        <f t="shared" si="98"/>
        <v>3</v>
      </c>
      <c r="I288" s="420">
        <f t="shared" si="98"/>
        <v>3</v>
      </c>
      <c r="J288" s="420">
        <f t="shared" si="98"/>
        <v>0</v>
      </c>
      <c r="K288" s="420">
        <f t="shared" si="98"/>
        <v>14</v>
      </c>
      <c r="L288" s="420">
        <f t="shared" si="98"/>
        <v>7</v>
      </c>
      <c r="M288" s="420">
        <f t="shared" si="98"/>
        <v>3</v>
      </c>
      <c r="N288" s="420">
        <f t="shared" si="98"/>
        <v>1</v>
      </c>
      <c r="O288" s="420">
        <f t="shared" si="98"/>
        <v>2</v>
      </c>
      <c r="P288" s="420">
        <f t="shared" si="98"/>
        <v>2</v>
      </c>
      <c r="Q288" s="420">
        <f t="shared" si="98"/>
        <v>2</v>
      </c>
      <c r="R288" s="420">
        <f t="shared" si="98"/>
        <v>4</v>
      </c>
      <c r="S288" s="420">
        <f t="shared" si="98"/>
        <v>2</v>
      </c>
      <c r="T288" s="420">
        <f t="shared" si="98"/>
        <v>1</v>
      </c>
      <c r="U288" s="420">
        <f t="shared" si="98"/>
        <v>5</v>
      </c>
      <c r="V288" s="420">
        <f t="shared" si="98"/>
        <v>3</v>
      </c>
      <c r="W288" s="420">
        <f t="shared" si="98"/>
        <v>0</v>
      </c>
      <c r="X288" s="420">
        <f t="shared" si="98"/>
        <v>2</v>
      </c>
      <c r="Y288" s="420">
        <f t="shared" si="98"/>
        <v>0</v>
      </c>
      <c r="Z288" s="420">
        <f t="shared" si="98"/>
        <v>3</v>
      </c>
      <c r="AA288" s="420">
        <f t="shared" si="98"/>
        <v>2</v>
      </c>
      <c r="AB288" s="420">
        <f t="shared" si="98"/>
        <v>3</v>
      </c>
      <c r="AC288" s="420">
        <f t="shared" si="98"/>
        <v>2</v>
      </c>
      <c r="AD288" s="420">
        <f t="shared" si="98"/>
        <v>0</v>
      </c>
      <c r="AE288" s="420">
        <f t="shared" si="98"/>
        <v>2</v>
      </c>
      <c r="AF288" s="420">
        <f t="shared" si="98"/>
        <v>2</v>
      </c>
      <c r="AG288" s="290">
        <f t="shared" si="95"/>
        <v>76</v>
      </c>
    </row>
    <row r="289">
      <c r="A289" s="26"/>
      <c r="B289" s="217"/>
      <c r="C289" s="217"/>
      <c r="D289" s="217"/>
      <c r="E289" s="217"/>
      <c r="F289" s="217"/>
      <c r="G289" s="217"/>
      <c r="H289" s="217"/>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90"/>
    </row>
    <row r="290">
      <c r="A290" s="415" t="s">
        <v>1166</v>
      </c>
      <c r="B290" s="369">
        <v>0.0</v>
      </c>
      <c r="C290" s="369">
        <v>0.0</v>
      </c>
      <c r="D290" s="369">
        <v>0.0</v>
      </c>
      <c r="E290" s="369">
        <v>3.0</v>
      </c>
      <c r="F290" s="369">
        <v>0.0</v>
      </c>
      <c r="G290" s="369">
        <v>6.0</v>
      </c>
      <c r="H290" s="369">
        <v>3.0</v>
      </c>
      <c r="I290" s="369">
        <v>5.0</v>
      </c>
      <c r="J290" s="369">
        <v>6.0</v>
      </c>
      <c r="K290" s="369">
        <v>6.0</v>
      </c>
      <c r="L290" s="369">
        <v>1.0</v>
      </c>
      <c r="M290" s="369">
        <v>5.0</v>
      </c>
      <c r="N290" s="369">
        <v>7.0</v>
      </c>
      <c r="O290" s="369">
        <v>3.0</v>
      </c>
      <c r="P290" s="369">
        <v>1.0</v>
      </c>
      <c r="Q290" s="369">
        <v>7.0</v>
      </c>
      <c r="R290" s="369">
        <v>8.0</v>
      </c>
      <c r="S290" s="369">
        <v>6.0</v>
      </c>
      <c r="T290" s="369">
        <v>4.0</v>
      </c>
      <c r="U290" s="369">
        <v>2.0</v>
      </c>
      <c r="V290" s="369">
        <v>3.0</v>
      </c>
      <c r="W290" s="369">
        <v>2.0</v>
      </c>
      <c r="X290" s="369">
        <v>3.0</v>
      </c>
      <c r="Y290" s="369">
        <v>0.0</v>
      </c>
      <c r="Z290" s="369">
        <v>3.0</v>
      </c>
      <c r="AA290" s="369">
        <v>2.0</v>
      </c>
      <c r="AB290" s="369">
        <v>5.0</v>
      </c>
      <c r="AC290" s="369">
        <v>5.0</v>
      </c>
      <c r="AD290" s="369">
        <v>0.0</v>
      </c>
      <c r="AE290" s="369">
        <v>4.0</v>
      </c>
      <c r="AF290" s="369">
        <v>4.0</v>
      </c>
      <c r="AG290" s="290">
        <f t="shared" ref="AG290:AG295" si="99">SUM(B290:AF290)</f>
        <v>104</v>
      </c>
    </row>
    <row r="291">
      <c r="A291" s="415" t="s">
        <v>1173</v>
      </c>
      <c r="B291" s="369">
        <v>0.0</v>
      </c>
      <c r="C291" s="369">
        <v>0.0</v>
      </c>
      <c r="D291" s="369">
        <v>1.0</v>
      </c>
      <c r="E291" s="369">
        <v>1.0</v>
      </c>
      <c r="F291" s="369">
        <v>0.0</v>
      </c>
      <c r="G291" s="369">
        <v>0.0</v>
      </c>
      <c r="H291" s="369">
        <v>0.0</v>
      </c>
      <c r="I291" s="369">
        <v>0.0</v>
      </c>
      <c r="J291" s="369">
        <v>0.0</v>
      </c>
      <c r="K291" s="369">
        <v>0.0</v>
      </c>
      <c r="L291" s="369">
        <v>0.0</v>
      </c>
      <c r="M291" s="369">
        <v>1.0</v>
      </c>
      <c r="N291" s="369">
        <v>0.0</v>
      </c>
      <c r="O291" s="369">
        <v>0.0</v>
      </c>
      <c r="P291" s="369">
        <v>1.0</v>
      </c>
      <c r="Q291" s="369">
        <v>0.0</v>
      </c>
      <c r="R291" s="369">
        <v>0.0</v>
      </c>
      <c r="S291" s="369">
        <v>0.0</v>
      </c>
      <c r="T291" s="369">
        <v>0.0</v>
      </c>
      <c r="U291" s="369">
        <v>0.0</v>
      </c>
      <c r="V291" s="369">
        <v>0.0</v>
      </c>
      <c r="W291" s="369">
        <v>0.0</v>
      </c>
      <c r="X291" s="369">
        <v>4.0</v>
      </c>
      <c r="Y291" s="369">
        <v>0.0</v>
      </c>
      <c r="Z291" s="369">
        <v>0.0</v>
      </c>
      <c r="AA291" s="369">
        <v>0.0</v>
      </c>
      <c r="AB291" s="369">
        <v>2.0</v>
      </c>
      <c r="AC291" s="369">
        <v>0.0</v>
      </c>
      <c r="AD291" s="369">
        <v>0.0</v>
      </c>
      <c r="AE291" s="369">
        <v>0.0</v>
      </c>
      <c r="AF291" s="369">
        <v>0.0</v>
      </c>
      <c r="AG291" s="290">
        <f t="shared" si="99"/>
        <v>10</v>
      </c>
    </row>
    <row r="292">
      <c r="A292" s="415" t="s">
        <v>1177</v>
      </c>
      <c r="B292" s="369">
        <v>0.0</v>
      </c>
      <c r="C292" s="369">
        <v>0.0</v>
      </c>
      <c r="D292" s="369">
        <v>3.0</v>
      </c>
      <c r="E292" s="369">
        <v>5.0</v>
      </c>
      <c r="F292" s="369">
        <v>0.0</v>
      </c>
      <c r="G292" s="369">
        <v>17.0</v>
      </c>
      <c r="H292" s="369">
        <v>6.0</v>
      </c>
      <c r="I292" s="369">
        <v>6.0</v>
      </c>
      <c r="J292" s="369">
        <v>10.0</v>
      </c>
      <c r="K292" s="369">
        <v>12.0</v>
      </c>
      <c r="L292" s="369">
        <v>5.0</v>
      </c>
      <c r="M292" s="369">
        <v>8.0</v>
      </c>
      <c r="N292" s="369">
        <v>5.0</v>
      </c>
      <c r="O292" s="369">
        <v>6.0</v>
      </c>
      <c r="P292" s="369">
        <v>2.0</v>
      </c>
      <c r="Q292" s="369">
        <v>1.0</v>
      </c>
      <c r="R292" s="369">
        <v>4.0</v>
      </c>
      <c r="S292" s="369">
        <v>9.0</v>
      </c>
      <c r="T292" s="369">
        <v>3.0</v>
      </c>
      <c r="U292" s="369">
        <v>6.0</v>
      </c>
      <c r="V292" s="369">
        <v>2.0</v>
      </c>
      <c r="W292" s="369">
        <v>2.0</v>
      </c>
      <c r="X292" s="369">
        <v>3.0</v>
      </c>
      <c r="Y292" s="369">
        <v>0.0</v>
      </c>
      <c r="Z292" s="369">
        <v>7.0</v>
      </c>
      <c r="AA292" s="369">
        <v>5.0</v>
      </c>
      <c r="AB292" s="369">
        <v>9.0</v>
      </c>
      <c r="AC292" s="369">
        <v>5.0</v>
      </c>
      <c r="AD292" s="369">
        <v>2.0</v>
      </c>
      <c r="AE292" s="369">
        <v>6.0</v>
      </c>
      <c r="AF292" s="369">
        <v>5.0</v>
      </c>
      <c r="AG292" s="290">
        <f t="shared" si="99"/>
        <v>154</v>
      </c>
    </row>
    <row r="293">
      <c r="A293" s="415" t="s">
        <v>1180</v>
      </c>
      <c r="B293" s="369">
        <v>0.0</v>
      </c>
      <c r="C293" s="369">
        <v>0.0</v>
      </c>
      <c r="D293" s="369">
        <v>0.0</v>
      </c>
      <c r="E293" s="369">
        <v>2.0</v>
      </c>
      <c r="F293" s="369">
        <v>0.0</v>
      </c>
      <c r="G293" s="369">
        <v>6.0</v>
      </c>
      <c r="H293" s="369">
        <v>3.0</v>
      </c>
      <c r="I293" s="369">
        <v>1.0</v>
      </c>
      <c r="J293" s="369">
        <v>0.0</v>
      </c>
      <c r="K293" s="369">
        <v>5.0</v>
      </c>
      <c r="L293" s="369">
        <v>0.0</v>
      </c>
      <c r="M293" s="369">
        <v>0.0</v>
      </c>
      <c r="N293" s="369">
        <v>1.0</v>
      </c>
      <c r="O293" s="369">
        <v>0.0</v>
      </c>
      <c r="P293" s="369">
        <v>1.0</v>
      </c>
      <c r="Q293" s="369">
        <v>0.0</v>
      </c>
      <c r="R293" s="369">
        <v>2.0</v>
      </c>
      <c r="S293" s="369">
        <v>2.0</v>
      </c>
      <c r="T293" s="369">
        <v>4.0</v>
      </c>
      <c r="U293" s="369">
        <v>1.0</v>
      </c>
      <c r="V293" s="369">
        <v>0.0</v>
      </c>
      <c r="W293" s="369">
        <v>1.0</v>
      </c>
      <c r="X293" s="369">
        <v>2.0</v>
      </c>
      <c r="Y293" s="369">
        <v>0.0</v>
      </c>
      <c r="Z293" s="369">
        <v>0.0</v>
      </c>
      <c r="AA293" s="369">
        <v>1.0</v>
      </c>
      <c r="AB293" s="369">
        <v>5.0</v>
      </c>
      <c r="AC293" s="369">
        <v>2.0</v>
      </c>
      <c r="AD293" s="369">
        <v>0.0</v>
      </c>
      <c r="AE293" s="369">
        <v>1.0</v>
      </c>
      <c r="AF293" s="369">
        <v>1.0</v>
      </c>
      <c r="AG293" s="290">
        <f t="shared" si="99"/>
        <v>41</v>
      </c>
    </row>
    <row r="294">
      <c r="A294" s="415" t="s">
        <v>1184</v>
      </c>
      <c r="B294" s="369">
        <v>0.0</v>
      </c>
      <c r="C294" s="369">
        <v>0.0</v>
      </c>
      <c r="D294" s="369">
        <v>1.0</v>
      </c>
      <c r="E294" s="369">
        <v>3.0</v>
      </c>
      <c r="F294" s="369">
        <v>0.0</v>
      </c>
      <c r="G294" s="369">
        <v>12.0</v>
      </c>
      <c r="H294" s="369">
        <v>3.0</v>
      </c>
      <c r="I294" s="369">
        <v>2.0</v>
      </c>
      <c r="J294" s="369">
        <v>5.0</v>
      </c>
      <c r="K294" s="369">
        <v>12.0</v>
      </c>
      <c r="L294" s="369">
        <v>3.0</v>
      </c>
      <c r="M294" s="369">
        <v>5.0</v>
      </c>
      <c r="N294" s="369">
        <v>5.0</v>
      </c>
      <c r="O294" s="369">
        <v>4.0</v>
      </c>
      <c r="P294" s="369">
        <v>1.0</v>
      </c>
      <c r="Q294" s="369">
        <v>8.0</v>
      </c>
      <c r="R294" s="369">
        <v>3.0</v>
      </c>
      <c r="S294" s="369">
        <v>6.0</v>
      </c>
      <c r="T294" s="369">
        <v>1.0</v>
      </c>
      <c r="U294" s="369">
        <v>0.0</v>
      </c>
      <c r="V294" s="369">
        <v>0.0</v>
      </c>
      <c r="W294" s="369">
        <v>0.0</v>
      </c>
      <c r="X294" s="369">
        <v>0.0</v>
      </c>
      <c r="Y294" s="369">
        <v>0.0</v>
      </c>
      <c r="Z294" s="369">
        <v>2.0</v>
      </c>
      <c r="AA294" s="369">
        <v>1.0</v>
      </c>
      <c r="AB294" s="369">
        <v>5.0</v>
      </c>
      <c r="AC294" s="369">
        <v>3.0</v>
      </c>
      <c r="AD294" s="369">
        <v>0.0</v>
      </c>
      <c r="AE294" s="369">
        <v>3.0</v>
      </c>
      <c r="AF294" s="369">
        <v>1.0</v>
      </c>
      <c r="AG294" s="290">
        <f t="shared" si="99"/>
        <v>89</v>
      </c>
    </row>
    <row r="295">
      <c r="A295" s="422" t="s">
        <v>1189</v>
      </c>
      <c r="B295" s="420">
        <f t="shared" ref="B295:AF295" si="100">SUM(B290:B294)</f>
        <v>0</v>
      </c>
      <c r="C295" s="420">
        <f t="shared" si="100"/>
        <v>0</v>
      </c>
      <c r="D295" s="420">
        <f t="shared" si="100"/>
        <v>5</v>
      </c>
      <c r="E295" s="420">
        <f t="shared" si="100"/>
        <v>14</v>
      </c>
      <c r="F295" s="420">
        <f t="shared" si="100"/>
        <v>0</v>
      </c>
      <c r="G295" s="420">
        <f t="shared" si="100"/>
        <v>41</v>
      </c>
      <c r="H295" s="420">
        <f t="shared" si="100"/>
        <v>15</v>
      </c>
      <c r="I295" s="420">
        <f t="shared" si="100"/>
        <v>14</v>
      </c>
      <c r="J295" s="420">
        <f t="shared" si="100"/>
        <v>21</v>
      </c>
      <c r="K295" s="420">
        <f t="shared" si="100"/>
        <v>35</v>
      </c>
      <c r="L295" s="420">
        <f t="shared" si="100"/>
        <v>9</v>
      </c>
      <c r="M295" s="420">
        <f t="shared" si="100"/>
        <v>19</v>
      </c>
      <c r="N295" s="420">
        <f t="shared" si="100"/>
        <v>18</v>
      </c>
      <c r="O295" s="420">
        <f t="shared" si="100"/>
        <v>13</v>
      </c>
      <c r="P295" s="420">
        <f t="shared" si="100"/>
        <v>6</v>
      </c>
      <c r="Q295" s="420">
        <f t="shared" si="100"/>
        <v>16</v>
      </c>
      <c r="R295" s="420">
        <f t="shared" si="100"/>
        <v>17</v>
      </c>
      <c r="S295" s="420">
        <f t="shared" si="100"/>
        <v>23</v>
      </c>
      <c r="T295" s="420">
        <f t="shared" si="100"/>
        <v>12</v>
      </c>
      <c r="U295" s="420">
        <f t="shared" si="100"/>
        <v>9</v>
      </c>
      <c r="V295" s="420">
        <f t="shared" si="100"/>
        <v>5</v>
      </c>
      <c r="W295" s="420">
        <f t="shared" si="100"/>
        <v>5</v>
      </c>
      <c r="X295" s="420">
        <f t="shared" si="100"/>
        <v>12</v>
      </c>
      <c r="Y295" s="420">
        <f t="shared" si="100"/>
        <v>0</v>
      </c>
      <c r="Z295" s="420">
        <f t="shared" si="100"/>
        <v>12</v>
      </c>
      <c r="AA295" s="420">
        <f t="shared" si="100"/>
        <v>9</v>
      </c>
      <c r="AB295" s="420">
        <f t="shared" si="100"/>
        <v>26</v>
      </c>
      <c r="AC295" s="420">
        <f t="shared" si="100"/>
        <v>15</v>
      </c>
      <c r="AD295" s="420">
        <f t="shared" si="100"/>
        <v>2</v>
      </c>
      <c r="AE295" s="420">
        <f t="shared" si="100"/>
        <v>14</v>
      </c>
      <c r="AF295" s="420">
        <f t="shared" si="100"/>
        <v>11</v>
      </c>
      <c r="AG295" s="290">
        <f t="shared" si="99"/>
        <v>398</v>
      </c>
    </row>
    <row r="296">
      <c r="A296" s="26"/>
      <c r="B296" s="217"/>
      <c r="C296" s="217"/>
      <c r="D296" s="217"/>
      <c r="E296" s="217"/>
      <c r="F296" s="217"/>
      <c r="G296" s="217"/>
      <c r="H296" s="217"/>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90"/>
    </row>
    <row r="297">
      <c r="A297" s="415" t="s">
        <v>1194</v>
      </c>
      <c r="B297" s="369">
        <v>0.0</v>
      </c>
      <c r="C297" s="369">
        <v>0.0</v>
      </c>
      <c r="D297" s="369">
        <v>1.0</v>
      </c>
      <c r="E297" s="369">
        <v>5.0</v>
      </c>
      <c r="F297" s="369">
        <v>1.0</v>
      </c>
      <c r="G297" s="369">
        <v>3.0</v>
      </c>
      <c r="H297" s="369">
        <v>2.0</v>
      </c>
      <c r="I297" s="369">
        <v>1.0</v>
      </c>
      <c r="J297" s="369">
        <v>2.0</v>
      </c>
      <c r="K297" s="369">
        <v>8.0</v>
      </c>
      <c r="L297" s="369">
        <v>3.0</v>
      </c>
      <c r="M297" s="369">
        <v>0.0</v>
      </c>
      <c r="N297" s="369">
        <v>2.0</v>
      </c>
      <c r="O297" s="369">
        <v>1.0</v>
      </c>
      <c r="P297" s="369">
        <v>0.0</v>
      </c>
      <c r="Q297" s="369">
        <v>0.0</v>
      </c>
      <c r="R297" s="369">
        <v>3.0</v>
      </c>
      <c r="S297" s="369">
        <v>0.0</v>
      </c>
      <c r="T297" s="369">
        <v>0.0</v>
      </c>
      <c r="U297" s="369">
        <v>0.0</v>
      </c>
      <c r="V297" s="369">
        <v>1.0</v>
      </c>
      <c r="W297" s="369">
        <v>0.0</v>
      </c>
      <c r="X297" s="369">
        <v>0.0</v>
      </c>
      <c r="Y297" s="369">
        <v>0.0</v>
      </c>
      <c r="Z297" s="369">
        <v>0.0</v>
      </c>
      <c r="AA297" s="369">
        <v>0.0</v>
      </c>
      <c r="AB297" s="369">
        <v>0.0</v>
      </c>
      <c r="AC297" s="369">
        <v>1.0</v>
      </c>
      <c r="AD297" s="369">
        <v>0.0</v>
      </c>
      <c r="AE297" s="369">
        <v>1.0</v>
      </c>
      <c r="AF297" s="369">
        <v>1.0</v>
      </c>
      <c r="AG297" s="290">
        <f t="shared" ref="AG297:AG302" si="101">SUM(B297:AF297)</f>
        <v>36</v>
      </c>
    </row>
    <row r="298">
      <c r="A298" s="415" t="s">
        <v>1195</v>
      </c>
      <c r="B298" s="369">
        <v>0.0</v>
      </c>
      <c r="C298" s="369">
        <v>0.0</v>
      </c>
      <c r="D298" s="369">
        <v>1.0</v>
      </c>
      <c r="E298" s="369">
        <v>0.0</v>
      </c>
      <c r="F298" s="369">
        <v>0.0</v>
      </c>
      <c r="G298" s="369">
        <v>3.0</v>
      </c>
      <c r="H298" s="369">
        <v>0.0</v>
      </c>
      <c r="I298" s="369">
        <v>0.0</v>
      </c>
      <c r="J298" s="369">
        <v>0.0</v>
      </c>
      <c r="K298" s="369">
        <v>5.0</v>
      </c>
      <c r="L298" s="369">
        <v>1.0</v>
      </c>
      <c r="M298" s="369">
        <v>1.0</v>
      </c>
      <c r="N298" s="369">
        <v>0.0</v>
      </c>
      <c r="O298" s="369">
        <v>0.0</v>
      </c>
      <c r="P298" s="369">
        <v>0.0</v>
      </c>
      <c r="Q298" s="369">
        <v>0.0</v>
      </c>
      <c r="R298" s="369">
        <v>2.0</v>
      </c>
      <c r="S298" s="369">
        <v>1.0</v>
      </c>
      <c r="T298" s="369">
        <v>3.0</v>
      </c>
      <c r="U298" s="369">
        <v>2.0</v>
      </c>
      <c r="V298" s="369">
        <v>0.0</v>
      </c>
      <c r="W298" s="369">
        <v>0.0</v>
      </c>
      <c r="X298" s="369">
        <v>5.0</v>
      </c>
      <c r="Y298" s="369">
        <v>0.0</v>
      </c>
      <c r="Z298" s="369">
        <v>1.0</v>
      </c>
      <c r="AA298" s="369">
        <v>0.0</v>
      </c>
      <c r="AB298" s="369">
        <v>0.0</v>
      </c>
      <c r="AC298" s="369">
        <v>2.0</v>
      </c>
      <c r="AD298" s="369">
        <v>0.0</v>
      </c>
      <c r="AE298" s="369">
        <v>1.0</v>
      </c>
      <c r="AF298" s="369">
        <v>0.0</v>
      </c>
      <c r="AG298" s="290">
        <f t="shared" si="101"/>
        <v>28</v>
      </c>
    </row>
    <row r="299">
      <c r="A299" s="415" t="s">
        <v>1198</v>
      </c>
      <c r="B299" s="369">
        <v>0.0</v>
      </c>
      <c r="C299" s="369">
        <v>0.0</v>
      </c>
      <c r="D299" s="369">
        <v>0.0</v>
      </c>
      <c r="E299" s="369">
        <v>2.0</v>
      </c>
      <c r="F299" s="369">
        <v>0.0</v>
      </c>
      <c r="G299" s="369">
        <v>2.0</v>
      </c>
      <c r="H299" s="369">
        <v>0.0</v>
      </c>
      <c r="I299" s="369">
        <v>0.0</v>
      </c>
      <c r="J299" s="369">
        <v>1.0</v>
      </c>
      <c r="K299" s="369">
        <v>9.0</v>
      </c>
      <c r="L299" s="369">
        <v>1.0</v>
      </c>
      <c r="M299" s="369">
        <v>1.0</v>
      </c>
      <c r="N299" s="369">
        <v>0.0</v>
      </c>
      <c r="O299" s="369">
        <v>0.0</v>
      </c>
      <c r="P299" s="369">
        <v>0.0</v>
      </c>
      <c r="Q299" s="369">
        <v>0.0</v>
      </c>
      <c r="R299" s="369">
        <v>2.0</v>
      </c>
      <c r="S299" s="369">
        <v>0.0</v>
      </c>
      <c r="T299" s="369">
        <v>0.0</v>
      </c>
      <c r="U299" s="369">
        <v>0.0</v>
      </c>
      <c r="V299" s="369">
        <v>1.0</v>
      </c>
      <c r="W299" s="369">
        <v>0.0</v>
      </c>
      <c r="X299" s="369">
        <v>0.0</v>
      </c>
      <c r="Y299" s="369">
        <v>0.0</v>
      </c>
      <c r="Z299" s="369">
        <v>2.0</v>
      </c>
      <c r="AA299" s="369">
        <v>0.0</v>
      </c>
      <c r="AB299" s="369">
        <v>0.0</v>
      </c>
      <c r="AC299" s="369">
        <v>2.0</v>
      </c>
      <c r="AD299" s="369">
        <v>0.0</v>
      </c>
      <c r="AE299" s="369">
        <v>1.0</v>
      </c>
      <c r="AF299" s="369">
        <v>0.0</v>
      </c>
      <c r="AG299" s="290">
        <f t="shared" si="101"/>
        <v>24</v>
      </c>
    </row>
    <row r="300">
      <c r="A300" s="415" t="s">
        <v>1199</v>
      </c>
      <c r="B300" s="369">
        <v>0.0</v>
      </c>
      <c r="C300" s="369">
        <v>0.0</v>
      </c>
      <c r="D300" s="369">
        <v>0.0</v>
      </c>
      <c r="E300" s="369">
        <v>1.0</v>
      </c>
      <c r="F300" s="369">
        <v>0.0</v>
      </c>
      <c r="G300" s="369">
        <v>0.0</v>
      </c>
      <c r="H300" s="369">
        <v>0.0</v>
      </c>
      <c r="I300" s="369">
        <v>0.0</v>
      </c>
      <c r="J300" s="369">
        <v>0.0</v>
      </c>
      <c r="K300" s="369">
        <v>1.0</v>
      </c>
      <c r="L300" s="369">
        <v>1.0</v>
      </c>
      <c r="M300" s="369">
        <v>0.0</v>
      </c>
      <c r="N300" s="369">
        <v>0.0</v>
      </c>
      <c r="O300" s="369">
        <v>0.0</v>
      </c>
      <c r="P300" s="369">
        <v>0.0</v>
      </c>
      <c r="Q300" s="369">
        <v>0.0</v>
      </c>
      <c r="R300" s="369">
        <v>0.0</v>
      </c>
      <c r="S300" s="369">
        <v>1.0</v>
      </c>
      <c r="T300" s="369">
        <v>0.0</v>
      </c>
      <c r="U300" s="369">
        <v>0.0</v>
      </c>
      <c r="V300" s="369">
        <v>0.0</v>
      </c>
      <c r="W300" s="369">
        <v>0.0</v>
      </c>
      <c r="X300" s="369">
        <v>1.0</v>
      </c>
      <c r="Y300" s="369">
        <v>0.0</v>
      </c>
      <c r="Z300" s="369">
        <v>0.0</v>
      </c>
      <c r="AA300" s="369">
        <v>0.0</v>
      </c>
      <c r="AB300" s="369">
        <v>0.0</v>
      </c>
      <c r="AC300" s="369">
        <v>0.0</v>
      </c>
      <c r="AD300" s="369">
        <v>0.0</v>
      </c>
      <c r="AE300" s="369">
        <v>1.0</v>
      </c>
      <c r="AF300" s="369">
        <v>0.0</v>
      </c>
      <c r="AG300" s="290">
        <f t="shared" si="101"/>
        <v>6</v>
      </c>
    </row>
    <row r="301">
      <c r="A301" s="415" t="s">
        <v>1203</v>
      </c>
      <c r="B301" s="369">
        <v>0.0</v>
      </c>
      <c r="C301" s="369">
        <v>0.0</v>
      </c>
      <c r="D301" s="369">
        <v>0.0</v>
      </c>
      <c r="E301" s="369">
        <v>0.0</v>
      </c>
      <c r="F301" s="369">
        <v>0.0</v>
      </c>
      <c r="G301" s="369">
        <v>0.0</v>
      </c>
      <c r="H301" s="369">
        <v>0.0</v>
      </c>
      <c r="I301" s="369">
        <v>0.0</v>
      </c>
      <c r="J301" s="369">
        <v>0.0</v>
      </c>
      <c r="K301" s="369">
        <v>1.0</v>
      </c>
      <c r="L301" s="369">
        <v>1.0</v>
      </c>
      <c r="M301" s="369">
        <v>0.0</v>
      </c>
      <c r="N301" s="369">
        <v>0.0</v>
      </c>
      <c r="O301" s="369">
        <v>0.0</v>
      </c>
      <c r="P301" s="369">
        <v>0.0</v>
      </c>
      <c r="Q301" s="369">
        <v>0.0</v>
      </c>
      <c r="R301" s="369">
        <v>0.0</v>
      </c>
      <c r="S301" s="369">
        <v>2.0</v>
      </c>
      <c r="T301" s="369">
        <v>0.0</v>
      </c>
      <c r="U301" s="369">
        <v>0.0</v>
      </c>
      <c r="V301" s="369">
        <v>0.0</v>
      </c>
      <c r="W301" s="369">
        <v>0.0</v>
      </c>
      <c r="X301" s="369">
        <v>0.0</v>
      </c>
      <c r="Y301" s="369">
        <v>0.0</v>
      </c>
      <c r="Z301" s="369">
        <v>0.0</v>
      </c>
      <c r="AA301" s="369">
        <v>0.0</v>
      </c>
      <c r="AB301" s="369">
        <v>0.0</v>
      </c>
      <c r="AC301" s="369">
        <v>0.0</v>
      </c>
      <c r="AD301" s="369">
        <v>0.0</v>
      </c>
      <c r="AE301" s="369">
        <v>0.0</v>
      </c>
      <c r="AF301" s="369">
        <v>0.0</v>
      </c>
      <c r="AG301" s="290">
        <f t="shared" si="101"/>
        <v>4</v>
      </c>
    </row>
    <row r="302">
      <c r="A302" s="422" t="s">
        <v>1204</v>
      </c>
      <c r="B302" s="420">
        <f t="shared" ref="B302:AF302" si="102">SUM(B297:B301)</f>
        <v>0</v>
      </c>
      <c r="C302" s="420">
        <f t="shared" si="102"/>
        <v>0</v>
      </c>
      <c r="D302" s="420">
        <f t="shared" si="102"/>
        <v>2</v>
      </c>
      <c r="E302" s="420">
        <f t="shared" si="102"/>
        <v>8</v>
      </c>
      <c r="F302" s="420">
        <f t="shared" si="102"/>
        <v>1</v>
      </c>
      <c r="G302" s="420">
        <f t="shared" si="102"/>
        <v>8</v>
      </c>
      <c r="H302" s="420">
        <f t="shared" si="102"/>
        <v>2</v>
      </c>
      <c r="I302" s="420">
        <f t="shared" si="102"/>
        <v>1</v>
      </c>
      <c r="J302" s="420">
        <f t="shared" si="102"/>
        <v>3</v>
      </c>
      <c r="K302" s="420">
        <f t="shared" si="102"/>
        <v>24</v>
      </c>
      <c r="L302" s="420">
        <f t="shared" si="102"/>
        <v>7</v>
      </c>
      <c r="M302" s="420">
        <f t="shared" si="102"/>
        <v>2</v>
      </c>
      <c r="N302" s="420">
        <f t="shared" si="102"/>
        <v>2</v>
      </c>
      <c r="O302" s="420">
        <f t="shared" si="102"/>
        <v>1</v>
      </c>
      <c r="P302" s="420">
        <f t="shared" si="102"/>
        <v>0</v>
      </c>
      <c r="Q302" s="420">
        <f t="shared" si="102"/>
        <v>0</v>
      </c>
      <c r="R302" s="420">
        <f t="shared" si="102"/>
        <v>7</v>
      </c>
      <c r="S302" s="420">
        <f t="shared" si="102"/>
        <v>4</v>
      </c>
      <c r="T302" s="420">
        <f t="shared" si="102"/>
        <v>3</v>
      </c>
      <c r="U302" s="420">
        <f t="shared" si="102"/>
        <v>2</v>
      </c>
      <c r="V302" s="420">
        <f t="shared" si="102"/>
        <v>2</v>
      </c>
      <c r="W302" s="420">
        <f t="shared" si="102"/>
        <v>0</v>
      </c>
      <c r="X302" s="420">
        <f t="shared" si="102"/>
        <v>6</v>
      </c>
      <c r="Y302" s="420">
        <f t="shared" si="102"/>
        <v>0</v>
      </c>
      <c r="Z302" s="420">
        <f t="shared" si="102"/>
        <v>3</v>
      </c>
      <c r="AA302" s="420">
        <f t="shared" si="102"/>
        <v>0</v>
      </c>
      <c r="AB302" s="420">
        <f t="shared" si="102"/>
        <v>0</v>
      </c>
      <c r="AC302" s="420">
        <f t="shared" si="102"/>
        <v>5</v>
      </c>
      <c r="AD302" s="420">
        <f t="shared" si="102"/>
        <v>0</v>
      </c>
      <c r="AE302" s="420">
        <f t="shared" si="102"/>
        <v>4</v>
      </c>
      <c r="AF302" s="420">
        <f t="shared" si="102"/>
        <v>1</v>
      </c>
      <c r="AG302" s="290">
        <f t="shared" si="101"/>
        <v>98</v>
      </c>
    </row>
    <row r="303">
      <c r="A303" s="26"/>
      <c r="B303" s="217"/>
      <c r="C303" s="217"/>
      <c r="D303" s="217"/>
      <c r="E303" s="217"/>
      <c r="F303" s="217"/>
      <c r="G303" s="217"/>
      <c r="H303" s="217"/>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90"/>
    </row>
    <row r="304">
      <c r="A304" s="415" t="s">
        <v>1211</v>
      </c>
      <c r="B304" s="416"/>
      <c r="C304" s="416"/>
      <c r="D304" s="418"/>
      <c r="E304" s="416"/>
      <c r="F304" s="416"/>
      <c r="G304" s="416"/>
      <c r="H304" s="416"/>
      <c r="I304" s="416"/>
      <c r="J304" s="369">
        <v>1.0</v>
      </c>
      <c r="K304" s="416"/>
      <c r="L304" s="416"/>
      <c r="M304" s="416"/>
      <c r="N304" s="416"/>
      <c r="O304" s="416"/>
      <c r="P304" s="418"/>
      <c r="Q304" s="416"/>
      <c r="R304" s="416"/>
      <c r="S304" s="416"/>
      <c r="T304" s="418"/>
      <c r="U304" s="416"/>
      <c r="V304" s="416"/>
      <c r="W304" s="416"/>
      <c r="X304" s="416"/>
      <c r="Y304" s="416"/>
      <c r="Z304" s="416"/>
      <c r="AA304" s="416"/>
      <c r="AB304" s="416"/>
      <c r="AC304" s="416"/>
      <c r="AD304" s="416"/>
      <c r="AE304" s="416"/>
      <c r="AF304" s="416"/>
      <c r="AG304" s="290">
        <f t="shared" ref="AG304:AG309" si="103">SUM(B304:AF304)</f>
        <v>1</v>
      </c>
    </row>
    <row r="305">
      <c r="A305" s="415" t="s">
        <v>1218</v>
      </c>
      <c r="B305" s="416"/>
      <c r="C305" s="416"/>
      <c r="D305" s="416"/>
      <c r="E305" s="416"/>
      <c r="F305" s="416"/>
      <c r="G305" s="418"/>
      <c r="H305" s="416"/>
      <c r="I305" s="416"/>
      <c r="J305" s="369">
        <v>1.0</v>
      </c>
      <c r="K305" s="416"/>
      <c r="L305" s="416"/>
      <c r="M305" s="416"/>
      <c r="N305" s="416"/>
      <c r="O305" s="416"/>
      <c r="P305" s="416"/>
      <c r="Q305" s="416"/>
      <c r="R305" s="416"/>
      <c r="S305" s="416"/>
      <c r="T305" s="369">
        <v>1.0</v>
      </c>
      <c r="U305" s="416"/>
      <c r="V305" s="416"/>
      <c r="W305" s="416"/>
      <c r="X305" s="416"/>
      <c r="Y305" s="416"/>
      <c r="Z305" s="416"/>
      <c r="AA305" s="416"/>
      <c r="AB305" s="416"/>
      <c r="AC305" s="416"/>
      <c r="AD305" s="416"/>
      <c r="AE305" s="416"/>
      <c r="AF305" s="416"/>
      <c r="AG305" s="290">
        <f t="shared" si="103"/>
        <v>2</v>
      </c>
    </row>
    <row r="306">
      <c r="A306" s="415" t="s">
        <v>1221</v>
      </c>
      <c r="B306" s="416"/>
      <c r="C306" s="416"/>
      <c r="D306" s="418"/>
      <c r="E306" s="416"/>
      <c r="F306" s="416"/>
      <c r="G306" s="416"/>
      <c r="H306" s="416"/>
      <c r="I306" s="416"/>
      <c r="J306" s="416"/>
      <c r="K306" s="416"/>
      <c r="L306" s="416"/>
      <c r="M306" s="416"/>
      <c r="N306" s="416"/>
      <c r="O306" s="416"/>
      <c r="P306" s="416"/>
      <c r="Q306" s="416"/>
      <c r="R306" s="416"/>
      <c r="S306" s="416"/>
      <c r="T306" s="416"/>
      <c r="U306" s="416"/>
      <c r="V306" s="416"/>
      <c r="W306" s="416"/>
      <c r="X306" s="416"/>
      <c r="Y306" s="416"/>
      <c r="Z306" s="416"/>
      <c r="AA306" s="416"/>
      <c r="AB306" s="416"/>
      <c r="AC306" s="416"/>
      <c r="AD306" s="416"/>
      <c r="AE306" s="416"/>
      <c r="AF306" s="416"/>
      <c r="AG306" s="290">
        <f t="shared" si="103"/>
        <v>0</v>
      </c>
    </row>
    <row r="307">
      <c r="A307" s="415" t="s">
        <v>1223</v>
      </c>
      <c r="B307" s="416"/>
      <c r="C307" s="416"/>
      <c r="D307" s="416"/>
      <c r="E307" s="416"/>
      <c r="F307" s="416"/>
      <c r="G307" s="416"/>
      <c r="H307" s="416"/>
      <c r="I307" s="416"/>
      <c r="J307" s="416"/>
      <c r="K307" s="416"/>
      <c r="L307" s="416"/>
      <c r="M307" s="416"/>
      <c r="N307" s="416"/>
      <c r="O307" s="416"/>
      <c r="P307" s="416"/>
      <c r="Q307" s="416"/>
      <c r="R307" s="416"/>
      <c r="S307" s="416"/>
      <c r="T307" s="416"/>
      <c r="U307" s="416"/>
      <c r="V307" s="416"/>
      <c r="W307" s="416"/>
      <c r="X307" s="416"/>
      <c r="Y307" s="416"/>
      <c r="Z307" s="416"/>
      <c r="AA307" s="416"/>
      <c r="AB307" s="416"/>
      <c r="AC307" s="416"/>
      <c r="AD307" s="416"/>
      <c r="AE307" s="416"/>
      <c r="AF307" s="416"/>
      <c r="AG307" s="290">
        <f t="shared" si="103"/>
        <v>0</v>
      </c>
    </row>
    <row r="308">
      <c r="A308" s="415" t="s">
        <v>1230</v>
      </c>
      <c r="B308" s="416"/>
      <c r="C308" s="416"/>
      <c r="D308" s="416"/>
      <c r="E308" s="416"/>
      <c r="F308" s="416"/>
      <c r="G308" s="416"/>
      <c r="H308" s="416"/>
      <c r="I308" s="416"/>
      <c r="J308" s="416"/>
      <c r="K308" s="416"/>
      <c r="L308" s="369">
        <v>1.0</v>
      </c>
      <c r="M308" s="416"/>
      <c r="N308" s="416"/>
      <c r="O308" s="416"/>
      <c r="P308" s="416"/>
      <c r="Q308" s="416"/>
      <c r="R308" s="416"/>
      <c r="S308" s="416"/>
      <c r="T308" s="416"/>
      <c r="U308" s="416"/>
      <c r="V308" s="416"/>
      <c r="W308" s="416"/>
      <c r="X308" s="416"/>
      <c r="Y308" s="416"/>
      <c r="Z308" s="416"/>
      <c r="AA308" s="416"/>
      <c r="AB308" s="416"/>
      <c r="AC308" s="416"/>
      <c r="AD308" s="416"/>
      <c r="AE308" s="416"/>
      <c r="AF308" s="416"/>
      <c r="AG308" s="290">
        <f t="shared" si="103"/>
        <v>1</v>
      </c>
    </row>
    <row r="309">
      <c r="A309" s="422" t="s">
        <v>1231</v>
      </c>
      <c r="B309" s="420">
        <f t="shared" ref="B309:AF309" si="104">SUM(B304:B308)</f>
        <v>0</v>
      </c>
      <c r="C309" s="420">
        <f t="shared" si="104"/>
        <v>0</v>
      </c>
      <c r="D309" s="420">
        <f t="shared" si="104"/>
        <v>0</v>
      </c>
      <c r="E309" s="420">
        <f t="shared" si="104"/>
        <v>0</v>
      </c>
      <c r="F309" s="420">
        <f t="shared" si="104"/>
        <v>0</v>
      </c>
      <c r="G309" s="420">
        <f t="shared" si="104"/>
        <v>0</v>
      </c>
      <c r="H309" s="420">
        <f t="shared" si="104"/>
        <v>0</v>
      </c>
      <c r="I309" s="420">
        <f t="shared" si="104"/>
        <v>0</v>
      </c>
      <c r="J309" s="420">
        <f t="shared" si="104"/>
        <v>2</v>
      </c>
      <c r="K309" s="420">
        <f t="shared" si="104"/>
        <v>0</v>
      </c>
      <c r="L309" s="420">
        <f t="shared" si="104"/>
        <v>1</v>
      </c>
      <c r="M309" s="420">
        <f t="shared" si="104"/>
        <v>0</v>
      </c>
      <c r="N309" s="420">
        <f t="shared" si="104"/>
        <v>0</v>
      </c>
      <c r="O309" s="420">
        <f t="shared" si="104"/>
        <v>0</v>
      </c>
      <c r="P309" s="420">
        <f t="shared" si="104"/>
        <v>0</v>
      </c>
      <c r="Q309" s="420">
        <f t="shared" si="104"/>
        <v>0</v>
      </c>
      <c r="R309" s="420">
        <f t="shared" si="104"/>
        <v>0</v>
      </c>
      <c r="S309" s="420">
        <f t="shared" si="104"/>
        <v>0</v>
      </c>
      <c r="T309" s="420">
        <f t="shared" si="104"/>
        <v>1</v>
      </c>
      <c r="U309" s="420">
        <f t="shared" si="104"/>
        <v>0</v>
      </c>
      <c r="V309" s="420">
        <f t="shared" si="104"/>
        <v>0</v>
      </c>
      <c r="W309" s="420">
        <f t="shared" si="104"/>
        <v>0</v>
      </c>
      <c r="X309" s="420">
        <f t="shared" si="104"/>
        <v>0</v>
      </c>
      <c r="Y309" s="420">
        <f t="shared" si="104"/>
        <v>0</v>
      </c>
      <c r="Z309" s="420">
        <f t="shared" si="104"/>
        <v>0</v>
      </c>
      <c r="AA309" s="420">
        <f t="shared" si="104"/>
        <v>0</v>
      </c>
      <c r="AB309" s="420">
        <f t="shared" si="104"/>
        <v>0</v>
      </c>
      <c r="AC309" s="420">
        <f t="shared" si="104"/>
        <v>0</v>
      </c>
      <c r="AD309" s="420">
        <f t="shared" si="104"/>
        <v>0</v>
      </c>
      <c r="AE309" s="420">
        <f t="shared" si="104"/>
        <v>0</v>
      </c>
      <c r="AF309" s="420">
        <f t="shared" si="104"/>
        <v>0</v>
      </c>
      <c r="AG309" s="290">
        <f t="shared" si="103"/>
        <v>4</v>
      </c>
    </row>
    <row r="310">
      <c r="A310" s="328"/>
      <c r="B310" s="358"/>
      <c r="AG310" s="290"/>
    </row>
    <row r="311">
      <c r="A311" s="415" t="s">
        <v>1337</v>
      </c>
      <c r="B311" s="416"/>
      <c r="C311" s="416"/>
      <c r="D311" s="416"/>
      <c r="E311" s="416"/>
      <c r="F311" s="416"/>
      <c r="G311" s="416"/>
      <c r="H311" s="416"/>
      <c r="I311" s="416"/>
      <c r="J311" s="416"/>
      <c r="K311" s="416"/>
      <c r="L311" s="416"/>
      <c r="M311" s="416"/>
      <c r="N311" s="416"/>
      <c r="O311" s="416"/>
      <c r="P311" s="416"/>
      <c r="Q311" s="416"/>
      <c r="R311" s="416"/>
      <c r="S311" s="416"/>
      <c r="T311" s="416"/>
      <c r="U311" s="416"/>
      <c r="V311" s="416"/>
      <c r="W311" s="416"/>
      <c r="X311" s="416"/>
      <c r="Y311" s="416"/>
      <c r="Z311" s="416"/>
      <c r="AA311" s="416"/>
      <c r="AB311" s="416"/>
      <c r="AC311" s="416"/>
      <c r="AD311" s="369">
        <v>1.0</v>
      </c>
      <c r="AE311" s="416"/>
      <c r="AF311" s="416"/>
      <c r="AG311" s="290">
        <f t="shared" ref="AG311:AG313" si="105">SUM(B311:AF311)</f>
        <v>1</v>
      </c>
    </row>
    <row r="312">
      <c r="A312" s="415" t="s">
        <v>1342</v>
      </c>
      <c r="B312" s="416"/>
      <c r="C312" s="416"/>
      <c r="D312" s="416"/>
      <c r="E312" s="416"/>
      <c r="F312" s="416"/>
      <c r="G312" s="416"/>
      <c r="H312" s="416"/>
      <c r="I312" s="416"/>
      <c r="J312" s="416"/>
      <c r="K312" s="416"/>
      <c r="L312" s="416"/>
      <c r="M312" s="416"/>
      <c r="N312" s="416"/>
      <c r="O312" s="416"/>
      <c r="P312" s="416"/>
      <c r="Q312" s="416"/>
      <c r="R312" s="416"/>
      <c r="S312" s="416"/>
      <c r="T312" s="416"/>
      <c r="U312" s="416"/>
      <c r="V312" s="416"/>
      <c r="W312" s="416"/>
      <c r="X312" s="416"/>
      <c r="Y312" s="416"/>
      <c r="Z312" s="416"/>
      <c r="AA312" s="416"/>
      <c r="AB312" s="416"/>
      <c r="AC312" s="416"/>
      <c r="AD312" s="416"/>
      <c r="AE312" s="416"/>
      <c r="AF312" s="416"/>
      <c r="AG312" s="290">
        <f t="shared" si="105"/>
        <v>0</v>
      </c>
    </row>
    <row r="313">
      <c r="A313" s="422" t="s">
        <v>126</v>
      </c>
      <c r="B313" s="424">
        <f t="shared" ref="B313:AF313" si="106">SUM(B311:B312)</f>
        <v>0</v>
      </c>
      <c r="C313" s="420">
        <f t="shared" si="106"/>
        <v>0</v>
      </c>
      <c r="D313" s="420">
        <f t="shared" si="106"/>
        <v>0</v>
      </c>
      <c r="E313" s="420">
        <f t="shared" si="106"/>
        <v>0</v>
      </c>
      <c r="F313" s="420">
        <f t="shared" si="106"/>
        <v>0</v>
      </c>
      <c r="G313" s="420">
        <f t="shared" si="106"/>
        <v>0</v>
      </c>
      <c r="H313" s="420">
        <f t="shared" si="106"/>
        <v>0</v>
      </c>
      <c r="I313" s="420">
        <f t="shared" si="106"/>
        <v>0</v>
      </c>
      <c r="J313" s="420">
        <f t="shared" si="106"/>
        <v>0</v>
      </c>
      <c r="K313" s="420">
        <f t="shared" si="106"/>
        <v>0</v>
      </c>
      <c r="L313" s="420">
        <f t="shared" si="106"/>
        <v>0</v>
      </c>
      <c r="M313" s="420">
        <f t="shared" si="106"/>
        <v>0</v>
      </c>
      <c r="N313" s="420">
        <f t="shared" si="106"/>
        <v>0</v>
      </c>
      <c r="O313" s="420">
        <f t="shared" si="106"/>
        <v>0</v>
      </c>
      <c r="P313" s="420">
        <f t="shared" si="106"/>
        <v>0</v>
      </c>
      <c r="Q313" s="420">
        <f t="shared" si="106"/>
        <v>0</v>
      </c>
      <c r="R313" s="420">
        <f t="shared" si="106"/>
        <v>0</v>
      </c>
      <c r="S313" s="420">
        <f t="shared" si="106"/>
        <v>0</v>
      </c>
      <c r="T313" s="420">
        <f t="shared" si="106"/>
        <v>0</v>
      </c>
      <c r="U313" s="420">
        <f t="shared" si="106"/>
        <v>0</v>
      </c>
      <c r="V313" s="420">
        <f t="shared" si="106"/>
        <v>0</v>
      </c>
      <c r="W313" s="420">
        <f t="shared" si="106"/>
        <v>0</v>
      </c>
      <c r="X313" s="420">
        <f t="shared" si="106"/>
        <v>0</v>
      </c>
      <c r="Y313" s="420">
        <f t="shared" si="106"/>
        <v>0</v>
      </c>
      <c r="Z313" s="420">
        <f t="shared" si="106"/>
        <v>0</v>
      </c>
      <c r="AA313" s="420">
        <f t="shared" si="106"/>
        <v>0</v>
      </c>
      <c r="AB313" s="420">
        <f t="shared" si="106"/>
        <v>0</v>
      </c>
      <c r="AC313" s="420">
        <f t="shared" si="106"/>
        <v>0</v>
      </c>
      <c r="AD313" s="420">
        <f t="shared" si="106"/>
        <v>1</v>
      </c>
      <c r="AE313" s="420">
        <f t="shared" si="106"/>
        <v>0</v>
      </c>
      <c r="AF313" s="420">
        <f t="shared" si="106"/>
        <v>0</v>
      </c>
      <c r="AG313" s="290">
        <f t="shared" si="105"/>
        <v>1</v>
      </c>
    </row>
    <row r="314">
      <c r="A314" s="328"/>
      <c r="B314" s="358"/>
      <c r="AG314" s="358"/>
    </row>
    <row r="315">
      <c r="A315" s="415" t="s">
        <v>910</v>
      </c>
      <c r="B315" s="418"/>
      <c r="C315" s="418"/>
      <c r="D315" s="418"/>
      <c r="E315" s="418"/>
      <c r="F315" s="418"/>
      <c r="G315" s="418"/>
      <c r="H315" s="418"/>
      <c r="I315" s="418"/>
      <c r="J315" s="418"/>
      <c r="K315" s="418"/>
      <c r="L315" s="418"/>
      <c r="M315" s="418"/>
      <c r="N315" s="418"/>
      <c r="O315" s="418"/>
      <c r="P315" s="418"/>
      <c r="Q315" s="418"/>
      <c r="R315" s="418"/>
      <c r="S315" s="418"/>
      <c r="T315" s="418"/>
      <c r="U315" s="418"/>
      <c r="V315" s="418"/>
      <c r="W315" s="418"/>
      <c r="X315" s="418"/>
      <c r="Y315" s="418"/>
      <c r="Z315" s="418"/>
      <c r="AA315" s="418"/>
      <c r="AB315" s="418"/>
      <c r="AC315" s="418"/>
      <c r="AD315" s="418"/>
      <c r="AE315" s="418"/>
      <c r="AF315" s="418"/>
      <c r="AG315" s="290">
        <f t="shared" ref="AG315:AG317" si="107">SUM(B315:AF315)</f>
        <v>0</v>
      </c>
    </row>
    <row r="316">
      <c r="A316" s="415" t="s">
        <v>914</v>
      </c>
      <c r="B316" s="418"/>
      <c r="C316" s="418"/>
      <c r="D316" s="418"/>
      <c r="E316" s="418"/>
      <c r="F316" s="418"/>
      <c r="G316" s="418"/>
      <c r="H316" s="418"/>
      <c r="I316" s="418"/>
      <c r="J316" s="418"/>
      <c r="K316" s="418"/>
      <c r="L316" s="418"/>
      <c r="M316" s="418"/>
      <c r="N316" s="418"/>
      <c r="O316" s="418"/>
      <c r="P316" s="418"/>
      <c r="Q316" s="418"/>
      <c r="R316" s="418"/>
      <c r="S316" s="418"/>
      <c r="T316" s="418"/>
      <c r="U316" s="418"/>
      <c r="V316" s="418"/>
      <c r="W316" s="418"/>
      <c r="X316" s="418"/>
      <c r="Y316" s="418"/>
      <c r="Z316" s="418"/>
      <c r="AA316" s="418"/>
      <c r="AB316" s="418"/>
      <c r="AC316" s="418"/>
      <c r="AD316" s="418"/>
      <c r="AE316" s="418"/>
      <c r="AF316" s="418"/>
      <c r="AG316" s="290">
        <f t="shared" si="107"/>
        <v>0</v>
      </c>
    </row>
    <row r="317">
      <c r="A317" s="422" t="s">
        <v>126</v>
      </c>
      <c r="B317" s="420">
        <f t="shared" ref="B317:AF317" si="108">SUM(B315:B316)</f>
        <v>0</v>
      </c>
      <c r="C317" s="420">
        <f t="shared" si="108"/>
        <v>0</v>
      </c>
      <c r="D317" s="420">
        <f t="shared" si="108"/>
        <v>0</v>
      </c>
      <c r="E317" s="420">
        <f t="shared" si="108"/>
        <v>0</v>
      </c>
      <c r="F317" s="420">
        <f t="shared" si="108"/>
        <v>0</v>
      </c>
      <c r="G317" s="420">
        <f t="shared" si="108"/>
        <v>0</v>
      </c>
      <c r="H317" s="420">
        <f t="shared" si="108"/>
        <v>0</v>
      </c>
      <c r="I317" s="420">
        <f t="shared" si="108"/>
        <v>0</v>
      </c>
      <c r="J317" s="420">
        <f t="shared" si="108"/>
        <v>0</v>
      </c>
      <c r="K317" s="420">
        <f t="shared" si="108"/>
        <v>0</v>
      </c>
      <c r="L317" s="420">
        <f t="shared" si="108"/>
        <v>0</v>
      </c>
      <c r="M317" s="420">
        <f t="shared" si="108"/>
        <v>0</v>
      </c>
      <c r="N317" s="420">
        <f t="shared" si="108"/>
        <v>0</v>
      </c>
      <c r="O317" s="420">
        <f t="shared" si="108"/>
        <v>0</v>
      </c>
      <c r="P317" s="420">
        <f t="shared" si="108"/>
        <v>0</v>
      </c>
      <c r="Q317" s="420">
        <f t="shared" si="108"/>
        <v>0</v>
      </c>
      <c r="R317" s="420">
        <f t="shared" si="108"/>
        <v>0</v>
      </c>
      <c r="S317" s="420">
        <f t="shared" si="108"/>
        <v>0</v>
      </c>
      <c r="T317" s="420">
        <f t="shared" si="108"/>
        <v>0</v>
      </c>
      <c r="U317" s="420">
        <f t="shared" si="108"/>
        <v>0</v>
      </c>
      <c r="V317" s="420">
        <f t="shared" si="108"/>
        <v>0</v>
      </c>
      <c r="W317" s="420">
        <f t="shared" si="108"/>
        <v>0</v>
      </c>
      <c r="X317" s="420">
        <f t="shared" si="108"/>
        <v>0</v>
      </c>
      <c r="Y317" s="420">
        <f t="shared" si="108"/>
        <v>0</v>
      </c>
      <c r="Z317" s="420">
        <f t="shared" si="108"/>
        <v>0</v>
      </c>
      <c r="AA317" s="420">
        <f t="shared" si="108"/>
        <v>0</v>
      </c>
      <c r="AB317" s="420">
        <f t="shared" si="108"/>
        <v>0</v>
      </c>
      <c r="AC317" s="420">
        <f t="shared" si="108"/>
        <v>0</v>
      </c>
      <c r="AD317" s="420">
        <f t="shared" si="108"/>
        <v>0</v>
      </c>
      <c r="AE317" s="420">
        <f t="shared" si="108"/>
        <v>0</v>
      </c>
      <c r="AF317" s="420">
        <f t="shared" si="108"/>
        <v>0</v>
      </c>
      <c r="AG317" s="290">
        <f t="shared" si="107"/>
        <v>0</v>
      </c>
    </row>
    <row r="318">
      <c r="A318" s="328"/>
      <c r="AG318" s="358"/>
    </row>
    <row r="319">
      <c r="A319" s="415" t="s">
        <v>64</v>
      </c>
      <c r="B319" s="369">
        <v>0.0</v>
      </c>
      <c r="C319" s="369">
        <v>0.0</v>
      </c>
      <c r="D319" s="369">
        <v>0.0</v>
      </c>
      <c r="E319" s="369">
        <v>0.0</v>
      </c>
      <c r="F319" s="369">
        <v>0.0</v>
      </c>
      <c r="G319" s="369">
        <v>0.0</v>
      </c>
      <c r="H319" s="369">
        <v>0.0</v>
      </c>
      <c r="I319" s="369">
        <v>0.0</v>
      </c>
      <c r="J319" s="369">
        <v>1.0</v>
      </c>
      <c r="K319" s="369">
        <v>0.0</v>
      </c>
      <c r="L319" s="369">
        <v>0.0</v>
      </c>
      <c r="M319" s="369">
        <v>0.0</v>
      </c>
      <c r="N319" s="369"/>
      <c r="O319" s="369"/>
      <c r="P319" s="369">
        <v>0.0</v>
      </c>
      <c r="Q319" s="369">
        <v>0.0</v>
      </c>
      <c r="R319" s="369">
        <v>0.0</v>
      </c>
      <c r="S319" s="369">
        <v>0.0</v>
      </c>
      <c r="T319" s="369">
        <v>0.0</v>
      </c>
      <c r="U319" s="369">
        <v>0.0</v>
      </c>
      <c r="V319" s="369">
        <v>0.0</v>
      </c>
      <c r="W319" s="369">
        <v>0.0</v>
      </c>
      <c r="X319" s="369">
        <v>0.0</v>
      </c>
      <c r="Y319" s="369">
        <v>0.0</v>
      </c>
      <c r="Z319" s="369">
        <v>0.0</v>
      </c>
      <c r="AA319" s="369">
        <v>0.0</v>
      </c>
      <c r="AB319" s="369">
        <v>0.0</v>
      </c>
      <c r="AC319" s="369">
        <v>0.0</v>
      </c>
      <c r="AD319" s="369">
        <v>0.0</v>
      </c>
      <c r="AE319" s="369">
        <v>0.0</v>
      </c>
      <c r="AF319" s="369">
        <v>0.0</v>
      </c>
      <c r="AG319" s="290">
        <f t="shared" ref="AG319:AG320" si="110">SUM(B319:AF319)</f>
        <v>1</v>
      </c>
    </row>
    <row r="320">
      <c r="A320" s="422" t="s">
        <v>1368</v>
      </c>
      <c r="B320" s="420">
        <f t="shared" ref="B320:AF320" si="109">B319</f>
        <v>0</v>
      </c>
      <c r="C320" s="420">
        <f t="shared" si="109"/>
        <v>0</v>
      </c>
      <c r="D320" s="420">
        <f t="shared" si="109"/>
        <v>0</v>
      </c>
      <c r="E320" s="420">
        <f t="shared" si="109"/>
        <v>0</v>
      </c>
      <c r="F320" s="420">
        <f t="shared" si="109"/>
        <v>0</v>
      </c>
      <c r="G320" s="420">
        <f t="shared" si="109"/>
        <v>0</v>
      </c>
      <c r="H320" s="420">
        <f t="shared" si="109"/>
        <v>0</v>
      </c>
      <c r="I320" s="420">
        <f t="shared" si="109"/>
        <v>0</v>
      </c>
      <c r="J320" s="420">
        <f t="shared" si="109"/>
        <v>1</v>
      </c>
      <c r="K320" s="420">
        <f t="shared" si="109"/>
        <v>0</v>
      </c>
      <c r="L320" s="420">
        <f t="shared" si="109"/>
        <v>0</v>
      </c>
      <c r="M320" s="420">
        <f t="shared" si="109"/>
        <v>0</v>
      </c>
      <c r="N320" s="420" t="str">
        <f t="shared" si="109"/>
        <v/>
      </c>
      <c r="O320" s="420" t="str">
        <f t="shared" si="109"/>
        <v/>
      </c>
      <c r="P320" s="420">
        <f t="shared" si="109"/>
        <v>0</v>
      </c>
      <c r="Q320" s="420">
        <f t="shared" si="109"/>
        <v>0</v>
      </c>
      <c r="R320" s="420">
        <f t="shared" si="109"/>
        <v>0</v>
      </c>
      <c r="S320" s="420">
        <f t="shared" si="109"/>
        <v>0</v>
      </c>
      <c r="T320" s="420">
        <f t="shared" si="109"/>
        <v>0</v>
      </c>
      <c r="U320" s="420">
        <f t="shared" si="109"/>
        <v>0</v>
      </c>
      <c r="V320" s="420">
        <f t="shared" si="109"/>
        <v>0</v>
      </c>
      <c r="W320" s="420">
        <f t="shared" si="109"/>
        <v>0</v>
      </c>
      <c r="X320" s="420">
        <f t="shared" si="109"/>
        <v>0</v>
      </c>
      <c r="Y320" s="420">
        <f t="shared" si="109"/>
        <v>0</v>
      </c>
      <c r="Z320" s="420">
        <f t="shared" si="109"/>
        <v>0</v>
      </c>
      <c r="AA320" s="420">
        <f t="shared" si="109"/>
        <v>0</v>
      </c>
      <c r="AB320" s="420">
        <f t="shared" si="109"/>
        <v>0</v>
      </c>
      <c r="AC320" s="420">
        <f t="shared" si="109"/>
        <v>0</v>
      </c>
      <c r="AD320" s="420">
        <f t="shared" si="109"/>
        <v>0</v>
      </c>
      <c r="AE320" s="420">
        <f t="shared" si="109"/>
        <v>0</v>
      </c>
      <c r="AF320" s="420">
        <f t="shared" si="109"/>
        <v>0</v>
      </c>
      <c r="AG320" s="290">
        <f t="shared" si="110"/>
        <v>1</v>
      </c>
    </row>
    <row r="321">
      <c r="A321" s="328"/>
      <c r="AG321" s="358"/>
    </row>
    <row r="322">
      <c r="A322" s="229" t="s">
        <v>1497</v>
      </c>
      <c r="AG322" s="358"/>
    </row>
    <row r="323">
      <c r="A323" s="415" t="s">
        <v>1124</v>
      </c>
      <c r="B323" s="369">
        <v>1.0</v>
      </c>
      <c r="C323" s="369">
        <v>1.0</v>
      </c>
      <c r="D323" s="369">
        <v>0.0</v>
      </c>
      <c r="E323" s="369">
        <v>0.0</v>
      </c>
      <c r="F323" s="369">
        <v>5.0</v>
      </c>
      <c r="G323" s="369">
        <v>8.0</v>
      </c>
      <c r="H323" s="369">
        <v>0.0</v>
      </c>
      <c r="I323" s="369">
        <v>6.0</v>
      </c>
      <c r="J323" s="369">
        <v>0.0</v>
      </c>
      <c r="K323" s="369">
        <v>0.0</v>
      </c>
      <c r="L323" s="369">
        <v>4.0</v>
      </c>
      <c r="M323" s="369">
        <v>1.0</v>
      </c>
      <c r="N323" s="369">
        <v>8.0</v>
      </c>
      <c r="O323" s="369">
        <v>21.0</v>
      </c>
      <c r="P323" s="369">
        <v>1.0</v>
      </c>
      <c r="Q323" s="369">
        <v>7.0</v>
      </c>
      <c r="R323" s="369">
        <v>43.0</v>
      </c>
      <c r="S323" s="369">
        <v>23.0</v>
      </c>
      <c r="T323" s="369">
        <v>30.0</v>
      </c>
      <c r="U323" s="369">
        <v>29.0</v>
      </c>
      <c r="V323" s="369">
        <v>38.0</v>
      </c>
      <c r="W323" s="369">
        <v>1.0</v>
      </c>
      <c r="X323" s="369">
        <v>8.0</v>
      </c>
      <c r="Y323" s="369">
        <v>0.0</v>
      </c>
      <c r="Z323" s="369">
        <v>25.0</v>
      </c>
      <c r="AA323" s="369">
        <v>39.0</v>
      </c>
      <c r="AB323" s="369">
        <v>25.0</v>
      </c>
      <c r="AC323" s="369">
        <v>12.0</v>
      </c>
      <c r="AD323" s="369">
        <v>29.0</v>
      </c>
      <c r="AE323" s="369">
        <v>8.0</v>
      </c>
      <c r="AF323" s="369">
        <v>6.0</v>
      </c>
      <c r="AG323" s="290">
        <f t="shared" ref="AG323:AG330" si="111">SUM(B323:AF323)</f>
        <v>379</v>
      </c>
    </row>
    <row r="324">
      <c r="A324" s="415" t="s">
        <v>1131</v>
      </c>
      <c r="B324" s="369">
        <v>0.0</v>
      </c>
      <c r="C324" s="369">
        <v>0.0</v>
      </c>
      <c r="D324" s="369">
        <v>0.0</v>
      </c>
      <c r="E324" s="369">
        <v>1.0</v>
      </c>
      <c r="F324" s="369">
        <v>5.0</v>
      </c>
      <c r="G324" s="369">
        <v>8.0</v>
      </c>
      <c r="H324" s="369">
        <v>0.0</v>
      </c>
      <c r="I324" s="369">
        <v>8.0</v>
      </c>
      <c r="J324" s="369">
        <v>0.0</v>
      </c>
      <c r="K324" s="369">
        <v>3.0</v>
      </c>
      <c r="L324" s="369">
        <v>1.0</v>
      </c>
      <c r="M324" s="369">
        <v>1.0</v>
      </c>
      <c r="N324" s="369">
        <v>9.0</v>
      </c>
      <c r="O324" s="369">
        <v>7.0</v>
      </c>
      <c r="P324" s="369">
        <v>5.0</v>
      </c>
      <c r="Q324" s="369">
        <v>1.0</v>
      </c>
      <c r="R324" s="369">
        <v>19.0</v>
      </c>
      <c r="S324" s="369">
        <v>12.0</v>
      </c>
      <c r="T324" s="369">
        <v>10.0</v>
      </c>
      <c r="U324" s="369">
        <v>17.0</v>
      </c>
      <c r="V324" s="369">
        <v>12.0</v>
      </c>
      <c r="W324" s="369">
        <v>0.0</v>
      </c>
      <c r="X324" s="369">
        <v>3.0</v>
      </c>
      <c r="Y324" s="369">
        <v>1.0</v>
      </c>
      <c r="Z324" s="369">
        <v>6.0</v>
      </c>
      <c r="AA324" s="369">
        <v>17.0</v>
      </c>
      <c r="AB324" s="369">
        <v>20.0</v>
      </c>
      <c r="AC324" s="369">
        <v>3.0</v>
      </c>
      <c r="AD324" s="369">
        <v>8.0</v>
      </c>
      <c r="AE324" s="369">
        <v>6.0</v>
      </c>
      <c r="AF324" s="369">
        <v>4.0</v>
      </c>
      <c r="AG324" s="290">
        <f t="shared" si="111"/>
        <v>187</v>
      </c>
    </row>
    <row r="325">
      <c r="A325" s="415" t="s">
        <v>1132</v>
      </c>
      <c r="B325" s="369">
        <v>0.0</v>
      </c>
      <c r="C325" s="369">
        <v>0.0</v>
      </c>
      <c r="D325" s="369">
        <v>0.0</v>
      </c>
      <c r="E325" s="369">
        <v>0.0</v>
      </c>
      <c r="F325" s="369">
        <v>0.0</v>
      </c>
      <c r="G325" s="369">
        <v>0.0</v>
      </c>
      <c r="H325" s="369">
        <v>0.0</v>
      </c>
      <c r="I325" s="369">
        <v>0.0</v>
      </c>
      <c r="J325" s="369">
        <v>0.0</v>
      </c>
      <c r="K325" s="369">
        <v>0.0</v>
      </c>
      <c r="L325" s="369">
        <v>0.0</v>
      </c>
      <c r="M325" s="369">
        <v>0.0</v>
      </c>
      <c r="N325" s="369">
        <v>0.0</v>
      </c>
      <c r="O325" s="369">
        <v>0.0</v>
      </c>
      <c r="P325" s="369">
        <v>0.0</v>
      </c>
      <c r="Q325" s="369">
        <v>0.0</v>
      </c>
      <c r="R325" s="369">
        <v>0.0</v>
      </c>
      <c r="S325" s="369">
        <v>0.0</v>
      </c>
      <c r="T325" s="369">
        <v>0.0</v>
      </c>
      <c r="U325" s="369">
        <v>0.0</v>
      </c>
      <c r="V325" s="369">
        <v>0.0</v>
      </c>
      <c r="W325" s="369">
        <v>0.0</v>
      </c>
      <c r="X325" s="369">
        <v>0.0</v>
      </c>
      <c r="Y325" s="369">
        <v>0.0</v>
      </c>
      <c r="Z325" s="369">
        <v>0.0</v>
      </c>
      <c r="AA325" s="369">
        <v>0.0</v>
      </c>
      <c r="AB325" s="369">
        <v>0.0</v>
      </c>
      <c r="AC325" s="369">
        <v>0.0</v>
      </c>
      <c r="AD325" s="369">
        <v>0.0</v>
      </c>
      <c r="AE325" s="369">
        <v>1.0</v>
      </c>
      <c r="AF325" s="369">
        <v>0.0</v>
      </c>
      <c r="AG325" s="290">
        <f t="shared" si="111"/>
        <v>1</v>
      </c>
    </row>
    <row r="326">
      <c r="A326" s="415" t="s">
        <v>1139</v>
      </c>
      <c r="B326" s="369">
        <v>0.0</v>
      </c>
      <c r="C326" s="369">
        <v>0.0</v>
      </c>
      <c r="D326" s="369">
        <v>0.0</v>
      </c>
      <c r="E326" s="369">
        <v>0.0</v>
      </c>
      <c r="F326" s="369">
        <v>0.0</v>
      </c>
      <c r="G326" s="369">
        <v>0.0</v>
      </c>
      <c r="H326" s="369">
        <v>0.0</v>
      </c>
      <c r="I326" s="369">
        <v>0.0</v>
      </c>
      <c r="J326" s="369">
        <v>0.0</v>
      </c>
      <c r="K326" s="369">
        <v>0.0</v>
      </c>
      <c r="L326" s="369">
        <v>0.0</v>
      </c>
      <c r="M326" s="369">
        <v>0.0</v>
      </c>
      <c r="N326" s="369">
        <v>0.0</v>
      </c>
      <c r="O326" s="369">
        <v>0.0</v>
      </c>
      <c r="P326" s="369">
        <v>0.0</v>
      </c>
      <c r="Q326" s="369">
        <v>0.0</v>
      </c>
      <c r="R326" s="369">
        <v>0.0</v>
      </c>
      <c r="S326" s="369">
        <v>0.0</v>
      </c>
      <c r="T326" s="369">
        <v>0.0</v>
      </c>
      <c r="U326" s="369">
        <v>0.0</v>
      </c>
      <c r="V326" s="369">
        <v>1.0</v>
      </c>
      <c r="W326" s="369">
        <v>0.0</v>
      </c>
      <c r="X326" s="369">
        <v>0.0</v>
      </c>
      <c r="Y326" s="369">
        <v>0.0</v>
      </c>
      <c r="Z326" s="369">
        <v>0.0</v>
      </c>
      <c r="AA326" s="369">
        <v>0.0</v>
      </c>
      <c r="AB326" s="369">
        <v>0.0</v>
      </c>
      <c r="AC326" s="369">
        <v>0.0</v>
      </c>
      <c r="AD326" s="369">
        <v>0.0</v>
      </c>
      <c r="AE326" s="369">
        <v>0.0</v>
      </c>
      <c r="AF326" s="369">
        <v>0.0</v>
      </c>
      <c r="AG326" s="290">
        <f t="shared" si="111"/>
        <v>1</v>
      </c>
    </row>
    <row r="327">
      <c r="A327" s="415" t="s">
        <v>1140</v>
      </c>
      <c r="B327" s="369">
        <v>0.0</v>
      </c>
      <c r="C327" s="369">
        <v>0.0</v>
      </c>
      <c r="D327" s="369">
        <v>0.0</v>
      </c>
      <c r="E327" s="369">
        <v>0.0</v>
      </c>
      <c r="F327" s="369">
        <v>0.0</v>
      </c>
      <c r="G327" s="369">
        <v>0.0</v>
      </c>
      <c r="H327" s="369">
        <v>0.0</v>
      </c>
      <c r="I327" s="369">
        <v>0.0</v>
      </c>
      <c r="J327" s="369">
        <v>0.0</v>
      </c>
      <c r="K327" s="369">
        <v>0.0</v>
      </c>
      <c r="L327" s="369">
        <v>0.0</v>
      </c>
      <c r="M327" s="369">
        <v>0.0</v>
      </c>
      <c r="N327" s="369">
        <v>0.0</v>
      </c>
      <c r="O327" s="369">
        <v>0.0</v>
      </c>
      <c r="P327" s="369">
        <v>0.0</v>
      </c>
      <c r="Q327" s="369">
        <v>0.0</v>
      </c>
      <c r="R327" s="369">
        <v>0.0</v>
      </c>
      <c r="S327" s="369">
        <v>0.0</v>
      </c>
      <c r="T327" s="369">
        <v>0.0</v>
      </c>
      <c r="U327" s="369">
        <v>0.0</v>
      </c>
      <c r="V327" s="369">
        <v>0.0</v>
      </c>
      <c r="W327" s="369">
        <v>0.0</v>
      </c>
      <c r="X327" s="369">
        <v>0.0</v>
      </c>
      <c r="Y327" s="369">
        <v>0.0</v>
      </c>
      <c r="Z327" s="369">
        <v>0.0</v>
      </c>
      <c r="AA327" s="369">
        <v>0.0</v>
      </c>
      <c r="AB327" s="369">
        <v>0.0</v>
      </c>
      <c r="AC327" s="369">
        <v>0.0</v>
      </c>
      <c r="AD327" s="369">
        <v>0.0</v>
      </c>
      <c r="AE327" s="369">
        <v>0.0</v>
      </c>
      <c r="AF327" s="369">
        <v>0.0</v>
      </c>
      <c r="AG327" s="290">
        <f t="shared" si="111"/>
        <v>0</v>
      </c>
    </row>
    <row r="328">
      <c r="A328" s="415" t="s">
        <v>1148</v>
      </c>
      <c r="B328" s="369">
        <v>0.0</v>
      </c>
      <c r="C328" s="369">
        <v>0.0</v>
      </c>
      <c r="D328" s="369">
        <v>0.0</v>
      </c>
      <c r="E328" s="369">
        <v>0.0</v>
      </c>
      <c r="F328" s="369">
        <v>0.0</v>
      </c>
      <c r="G328" s="369">
        <v>0.0</v>
      </c>
      <c r="H328" s="369">
        <v>0.0</v>
      </c>
      <c r="I328" s="369">
        <v>0.0</v>
      </c>
      <c r="J328" s="369">
        <v>0.0</v>
      </c>
      <c r="K328" s="369">
        <v>0.0</v>
      </c>
      <c r="L328" s="369">
        <v>0.0</v>
      </c>
      <c r="M328" s="369">
        <v>0.0</v>
      </c>
      <c r="N328" s="369">
        <v>0.0</v>
      </c>
      <c r="O328" s="369">
        <v>0.0</v>
      </c>
      <c r="P328" s="369">
        <v>0.0</v>
      </c>
      <c r="Q328" s="369">
        <v>0.0</v>
      </c>
      <c r="R328" s="369">
        <v>0.0</v>
      </c>
      <c r="S328" s="369">
        <v>0.0</v>
      </c>
      <c r="T328" s="369">
        <v>0.0</v>
      </c>
      <c r="U328" s="369">
        <v>0.0</v>
      </c>
      <c r="V328" s="369">
        <v>0.0</v>
      </c>
      <c r="W328" s="369">
        <v>0.0</v>
      </c>
      <c r="X328" s="369">
        <v>0.0</v>
      </c>
      <c r="Y328" s="369">
        <v>0.0</v>
      </c>
      <c r="Z328" s="369">
        <v>0.0</v>
      </c>
      <c r="AA328" s="369">
        <v>0.0</v>
      </c>
      <c r="AB328" s="369">
        <v>0.0</v>
      </c>
      <c r="AC328" s="369">
        <v>0.0</v>
      </c>
      <c r="AD328" s="369">
        <v>0.0</v>
      </c>
      <c r="AE328" s="369">
        <v>0.0</v>
      </c>
      <c r="AF328" s="369">
        <v>0.0</v>
      </c>
      <c r="AG328" s="290">
        <f t="shared" si="111"/>
        <v>0</v>
      </c>
    </row>
    <row r="329">
      <c r="A329" s="419" t="s">
        <v>871</v>
      </c>
      <c r="B329" s="420">
        <f t="shared" ref="B329:AF329" si="112">B323+B325+B327</f>
        <v>1</v>
      </c>
      <c r="C329" s="420">
        <f t="shared" si="112"/>
        <v>1</v>
      </c>
      <c r="D329" s="420">
        <f t="shared" si="112"/>
        <v>0</v>
      </c>
      <c r="E329" s="420">
        <f t="shared" si="112"/>
        <v>0</v>
      </c>
      <c r="F329" s="420">
        <f t="shared" si="112"/>
        <v>5</v>
      </c>
      <c r="G329" s="420">
        <f t="shared" si="112"/>
        <v>8</v>
      </c>
      <c r="H329" s="420">
        <f t="shared" si="112"/>
        <v>0</v>
      </c>
      <c r="I329" s="420">
        <f t="shared" si="112"/>
        <v>6</v>
      </c>
      <c r="J329" s="420">
        <f t="shared" si="112"/>
        <v>0</v>
      </c>
      <c r="K329" s="420">
        <f t="shared" si="112"/>
        <v>0</v>
      </c>
      <c r="L329" s="420">
        <f t="shared" si="112"/>
        <v>4</v>
      </c>
      <c r="M329" s="420">
        <f t="shared" si="112"/>
        <v>1</v>
      </c>
      <c r="N329" s="420">
        <f t="shared" si="112"/>
        <v>8</v>
      </c>
      <c r="O329" s="420">
        <f t="shared" si="112"/>
        <v>21</v>
      </c>
      <c r="P329" s="420">
        <f t="shared" si="112"/>
        <v>1</v>
      </c>
      <c r="Q329" s="420">
        <f t="shared" si="112"/>
        <v>7</v>
      </c>
      <c r="R329" s="420">
        <f t="shared" si="112"/>
        <v>43</v>
      </c>
      <c r="S329" s="420">
        <f t="shared" si="112"/>
        <v>23</v>
      </c>
      <c r="T329" s="420">
        <f t="shared" si="112"/>
        <v>30</v>
      </c>
      <c r="U329" s="420">
        <f t="shared" si="112"/>
        <v>29</v>
      </c>
      <c r="V329" s="420">
        <f t="shared" si="112"/>
        <v>38</v>
      </c>
      <c r="W329" s="420">
        <f t="shared" si="112"/>
        <v>1</v>
      </c>
      <c r="X329" s="420">
        <f t="shared" si="112"/>
        <v>8</v>
      </c>
      <c r="Y329" s="420">
        <f t="shared" si="112"/>
        <v>0</v>
      </c>
      <c r="Z329" s="420">
        <f t="shared" si="112"/>
        <v>25</v>
      </c>
      <c r="AA329" s="420">
        <f t="shared" si="112"/>
        <v>39</v>
      </c>
      <c r="AB329" s="420">
        <f t="shared" si="112"/>
        <v>25</v>
      </c>
      <c r="AC329" s="420">
        <f t="shared" si="112"/>
        <v>12</v>
      </c>
      <c r="AD329" s="420">
        <f t="shared" si="112"/>
        <v>29</v>
      </c>
      <c r="AE329" s="420">
        <f t="shared" si="112"/>
        <v>9</v>
      </c>
      <c r="AF329" s="420">
        <f t="shared" si="112"/>
        <v>6</v>
      </c>
      <c r="AG329" s="290">
        <f t="shared" si="111"/>
        <v>380</v>
      </c>
    </row>
    <row r="330">
      <c r="A330" s="419" t="s">
        <v>1157</v>
      </c>
      <c r="B330" s="420">
        <f t="shared" ref="B330:AF330" si="113">B324+B326+B328</f>
        <v>0</v>
      </c>
      <c r="C330" s="420">
        <f t="shared" si="113"/>
        <v>0</v>
      </c>
      <c r="D330" s="420">
        <f t="shared" si="113"/>
        <v>0</v>
      </c>
      <c r="E330" s="420">
        <f t="shared" si="113"/>
        <v>1</v>
      </c>
      <c r="F330" s="420">
        <f t="shared" si="113"/>
        <v>5</v>
      </c>
      <c r="G330" s="420">
        <f t="shared" si="113"/>
        <v>8</v>
      </c>
      <c r="H330" s="420">
        <f t="shared" si="113"/>
        <v>0</v>
      </c>
      <c r="I330" s="420">
        <f t="shared" si="113"/>
        <v>8</v>
      </c>
      <c r="J330" s="420">
        <f t="shared" si="113"/>
        <v>0</v>
      </c>
      <c r="K330" s="420">
        <f t="shared" si="113"/>
        <v>3</v>
      </c>
      <c r="L330" s="420">
        <f t="shared" si="113"/>
        <v>1</v>
      </c>
      <c r="M330" s="420">
        <f t="shared" si="113"/>
        <v>1</v>
      </c>
      <c r="N330" s="420">
        <f t="shared" si="113"/>
        <v>9</v>
      </c>
      <c r="O330" s="420">
        <f t="shared" si="113"/>
        <v>7</v>
      </c>
      <c r="P330" s="420">
        <f t="shared" si="113"/>
        <v>5</v>
      </c>
      <c r="Q330" s="420">
        <f t="shared" si="113"/>
        <v>1</v>
      </c>
      <c r="R330" s="420">
        <f t="shared" si="113"/>
        <v>19</v>
      </c>
      <c r="S330" s="420">
        <f t="shared" si="113"/>
        <v>12</v>
      </c>
      <c r="T330" s="420">
        <f t="shared" si="113"/>
        <v>10</v>
      </c>
      <c r="U330" s="420">
        <f t="shared" si="113"/>
        <v>17</v>
      </c>
      <c r="V330" s="420">
        <f t="shared" si="113"/>
        <v>13</v>
      </c>
      <c r="W330" s="420">
        <f t="shared" si="113"/>
        <v>0</v>
      </c>
      <c r="X330" s="420">
        <f t="shared" si="113"/>
        <v>3</v>
      </c>
      <c r="Y330" s="420">
        <f t="shared" si="113"/>
        <v>1</v>
      </c>
      <c r="Z330" s="420">
        <f t="shared" si="113"/>
        <v>6</v>
      </c>
      <c r="AA330" s="420">
        <f t="shared" si="113"/>
        <v>17</v>
      </c>
      <c r="AB330" s="420">
        <f t="shared" si="113"/>
        <v>20</v>
      </c>
      <c r="AC330" s="420">
        <f t="shared" si="113"/>
        <v>3</v>
      </c>
      <c r="AD330" s="420">
        <f t="shared" si="113"/>
        <v>8</v>
      </c>
      <c r="AE330" s="420">
        <f t="shared" si="113"/>
        <v>6</v>
      </c>
      <c r="AF330" s="420">
        <f t="shared" si="113"/>
        <v>4</v>
      </c>
      <c r="AG330" s="290">
        <f t="shared" si="111"/>
        <v>188</v>
      </c>
    </row>
    <row r="331">
      <c r="A331" s="26"/>
      <c r="AG331" s="358"/>
    </row>
    <row r="332">
      <c r="A332" s="415" t="s">
        <v>1166</v>
      </c>
      <c r="B332" s="369">
        <v>0.0</v>
      </c>
      <c r="C332" s="369">
        <v>0.0</v>
      </c>
      <c r="D332" s="369">
        <v>0.0</v>
      </c>
      <c r="E332" s="369">
        <v>1.0</v>
      </c>
      <c r="F332" s="369">
        <v>2.0</v>
      </c>
      <c r="G332" s="369">
        <v>3.0</v>
      </c>
      <c r="H332" s="369">
        <v>0.0</v>
      </c>
      <c r="I332" s="369">
        <v>7.0</v>
      </c>
      <c r="J332" s="369">
        <v>0.0</v>
      </c>
      <c r="K332" s="369">
        <v>0.0</v>
      </c>
      <c r="L332" s="369">
        <v>0.0</v>
      </c>
      <c r="M332" s="369">
        <v>1.0</v>
      </c>
      <c r="N332" s="369">
        <v>6.0</v>
      </c>
      <c r="O332" s="369">
        <v>5.0</v>
      </c>
      <c r="P332" s="369">
        <v>2.0</v>
      </c>
      <c r="Q332" s="369">
        <v>4.0</v>
      </c>
      <c r="R332" s="369">
        <v>19.0</v>
      </c>
      <c r="S332" s="369">
        <v>11.0</v>
      </c>
      <c r="T332" s="369">
        <v>9.0</v>
      </c>
      <c r="U332" s="369">
        <v>10.0</v>
      </c>
      <c r="V332" s="369">
        <v>10.0</v>
      </c>
      <c r="W332" s="369">
        <v>0.0</v>
      </c>
      <c r="X332" s="369">
        <v>2.0</v>
      </c>
      <c r="Y332" s="369">
        <v>1.0</v>
      </c>
      <c r="Z332" s="369">
        <v>7.0</v>
      </c>
      <c r="AA332" s="369">
        <v>14.0</v>
      </c>
      <c r="AB332" s="369">
        <v>18.0</v>
      </c>
      <c r="AC332" s="369">
        <v>3.0</v>
      </c>
      <c r="AD332" s="369">
        <v>12.0</v>
      </c>
      <c r="AE332" s="369">
        <v>7.0</v>
      </c>
      <c r="AF332" s="369">
        <v>4.0</v>
      </c>
      <c r="AG332" s="290">
        <f t="shared" ref="AG332:AG337" si="114">sum(B332:AF332)</f>
        <v>158</v>
      </c>
    </row>
    <row r="333">
      <c r="A333" s="415" t="s">
        <v>1173</v>
      </c>
      <c r="B333" s="369">
        <v>1.0</v>
      </c>
      <c r="C333" s="369">
        <v>0.0</v>
      </c>
      <c r="D333" s="369">
        <v>0.0</v>
      </c>
      <c r="E333" s="369">
        <v>1.0</v>
      </c>
      <c r="F333" s="369">
        <v>1.0</v>
      </c>
      <c r="G333" s="369">
        <v>2.0</v>
      </c>
      <c r="H333" s="369">
        <v>0.0</v>
      </c>
      <c r="I333" s="369">
        <v>1.0</v>
      </c>
      <c r="J333" s="369">
        <v>0.0</v>
      </c>
      <c r="K333" s="369">
        <v>2.0</v>
      </c>
      <c r="L333" s="369">
        <v>0.0</v>
      </c>
      <c r="M333" s="369">
        <v>0.0</v>
      </c>
      <c r="N333" s="369">
        <v>2.0</v>
      </c>
      <c r="O333" s="369">
        <v>0.0</v>
      </c>
      <c r="P333" s="369">
        <v>3.0</v>
      </c>
      <c r="Q333" s="369">
        <v>0.0</v>
      </c>
      <c r="R333" s="369">
        <v>4.0</v>
      </c>
      <c r="S333" s="369">
        <v>4.0</v>
      </c>
      <c r="T333" s="369">
        <v>0.0</v>
      </c>
      <c r="U333" s="369">
        <v>1.0</v>
      </c>
      <c r="V333" s="369">
        <v>4.0</v>
      </c>
      <c r="W333" s="369">
        <v>0.0</v>
      </c>
      <c r="X333" s="369">
        <v>0.0</v>
      </c>
      <c r="Y333" s="369">
        <v>0.0</v>
      </c>
      <c r="Z333" s="369">
        <v>0.0</v>
      </c>
      <c r="AA333" s="369">
        <v>0.0</v>
      </c>
      <c r="AB333" s="369">
        <v>1.0</v>
      </c>
      <c r="AC333" s="369">
        <v>0.0</v>
      </c>
      <c r="AD333" s="369">
        <v>1.0</v>
      </c>
      <c r="AE333" s="369">
        <v>2.0</v>
      </c>
      <c r="AF333" s="369">
        <v>1.0</v>
      </c>
      <c r="AG333" s="290">
        <f t="shared" si="114"/>
        <v>31</v>
      </c>
    </row>
    <row r="334">
      <c r="A334" s="415" t="s">
        <v>1177</v>
      </c>
      <c r="B334" s="369">
        <v>0.0</v>
      </c>
      <c r="C334" s="369">
        <v>0.0</v>
      </c>
      <c r="D334" s="369">
        <v>0.0</v>
      </c>
      <c r="E334" s="369">
        <v>0.0</v>
      </c>
      <c r="F334" s="369">
        <v>7.0</v>
      </c>
      <c r="G334" s="369">
        <v>7.0</v>
      </c>
      <c r="H334" s="369">
        <v>0.0</v>
      </c>
      <c r="I334" s="369">
        <v>6.0</v>
      </c>
      <c r="J334" s="369">
        <v>0.0</v>
      </c>
      <c r="K334" s="369">
        <v>0.0</v>
      </c>
      <c r="L334" s="369">
        <v>4.0</v>
      </c>
      <c r="M334" s="369">
        <v>1.0</v>
      </c>
      <c r="N334" s="369">
        <v>6.0</v>
      </c>
      <c r="O334" s="369">
        <v>10.0</v>
      </c>
      <c r="P334" s="369">
        <v>3.0</v>
      </c>
      <c r="Q334" s="369">
        <v>4.0</v>
      </c>
      <c r="R334" s="369">
        <v>37.0</v>
      </c>
      <c r="S334" s="369">
        <v>14.0</v>
      </c>
      <c r="T334" s="369">
        <v>21.0</v>
      </c>
      <c r="U334" s="369">
        <v>25.0</v>
      </c>
      <c r="V334" s="369">
        <v>10.0</v>
      </c>
      <c r="W334" s="369">
        <v>0.0</v>
      </c>
      <c r="X334" s="369">
        <v>3.0</v>
      </c>
      <c r="Y334" s="369">
        <v>1.0</v>
      </c>
      <c r="Z334" s="369">
        <v>21.0</v>
      </c>
      <c r="AA334" s="369">
        <v>27.0</v>
      </c>
      <c r="AB334" s="369">
        <v>10.0</v>
      </c>
      <c r="AC334" s="369">
        <v>1.0</v>
      </c>
      <c r="AD334" s="369">
        <v>26.0</v>
      </c>
      <c r="AE334" s="369">
        <v>7.0</v>
      </c>
      <c r="AF334" s="369">
        <v>6.0</v>
      </c>
      <c r="AG334" s="290">
        <f t="shared" si="114"/>
        <v>257</v>
      </c>
    </row>
    <row r="335">
      <c r="A335" s="415" t="s">
        <v>1180</v>
      </c>
      <c r="B335" s="369">
        <v>0.0</v>
      </c>
      <c r="C335" s="369">
        <v>0.0</v>
      </c>
      <c r="D335" s="369">
        <v>0.0</v>
      </c>
      <c r="E335" s="369">
        <v>0.0</v>
      </c>
      <c r="F335" s="369">
        <v>0.0</v>
      </c>
      <c r="G335" s="369">
        <v>0.0</v>
      </c>
      <c r="H335" s="369">
        <v>0.0</v>
      </c>
      <c r="I335" s="369">
        <v>0.0</v>
      </c>
      <c r="J335" s="369">
        <v>0.0</v>
      </c>
      <c r="K335" s="369">
        <v>0.0</v>
      </c>
      <c r="L335" s="369">
        <v>0.0</v>
      </c>
      <c r="M335" s="369">
        <v>0.0</v>
      </c>
      <c r="N335" s="369">
        <v>1.0</v>
      </c>
      <c r="O335" s="369">
        <v>1.0</v>
      </c>
      <c r="P335" s="369">
        <v>0.0</v>
      </c>
      <c r="Q335" s="369">
        <v>1.0</v>
      </c>
      <c r="R335" s="369">
        <v>3.0</v>
      </c>
      <c r="S335" s="369">
        <v>1.0</v>
      </c>
      <c r="T335" s="369">
        <v>4.0</v>
      </c>
      <c r="U335" s="369">
        <v>1.0</v>
      </c>
      <c r="V335" s="369">
        <v>4.0</v>
      </c>
      <c r="W335" s="369">
        <v>0.0</v>
      </c>
      <c r="X335" s="369">
        <v>0.0</v>
      </c>
      <c r="Y335" s="369">
        <v>0.0</v>
      </c>
      <c r="Z335" s="369">
        <v>2.0</v>
      </c>
      <c r="AA335" s="369">
        <v>8.0</v>
      </c>
      <c r="AB335" s="369">
        <v>5.0</v>
      </c>
      <c r="AC335" s="369">
        <v>3.0</v>
      </c>
      <c r="AD335" s="369">
        <v>6.0</v>
      </c>
      <c r="AE335" s="369">
        <v>0.0</v>
      </c>
      <c r="AF335" s="369">
        <v>1.0</v>
      </c>
      <c r="AG335" s="290">
        <f t="shared" si="114"/>
        <v>41</v>
      </c>
    </row>
    <row r="336">
      <c r="A336" s="415" t="s">
        <v>1184</v>
      </c>
      <c r="B336" s="369">
        <v>0.0</v>
      </c>
      <c r="C336" s="369">
        <v>0.0</v>
      </c>
      <c r="D336" s="369">
        <v>0.0</v>
      </c>
      <c r="E336" s="369">
        <v>0.0</v>
      </c>
      <c r="F336" s="369">
        <v>2.0</v>
      </c>
      <c r="G336" s="369">
        <v>1.0</v>
      </c>
      <c r="H336" s="369">
        <v>1.0</v>
      </c>
      <c r="I336" s="369">
        <v>2.0</v>
      </c>
      <c r="J336" s="369">
        <v>0.0</v>
      </c>
      <c r="K336" s="369">
        <v>0.0</v>
      </c>
      <c r="L336" s="369">
        <v>2.0</v>
      </c>
      <c r="M336" s="369">
        <v>1.0</v>
      </c>
      <c r="N336" s="369">
        <v>4.0</v>
      </c>
      <c r="O336" s="369">
        <v>3.0</v>
      </c>
      <c r="P336" s="369">
        <v>1.0</v>
      </c>
      <c r="Q336" s="369">
        <v>4.0</v>
      </c>
      <c r="R336" s="369">
        <v>22.0</v>
      </c>
      <c r="S336" s="369">
        <v>9.0</v>
      </c>
      <c r="T336" s="369">
        <v>11.0</v>
      </c>
      <c r="U336" s="369">
        <v>7.0</v>
      </c>
      <c r="V336" s="369">
        <v>10.0</v>
      </c>
      <c r="W336" s="369">
        <v>0.0</v>
      </c>
      <c r="X336" s="369">
        <v>2.0</v>
      </c>
      <c r="Y336" s="369">
        <v>0.0</v>
      </c>
      <c r="Z336" s="369">
        <v>7.0</v>
      </c>
      <c r="AA336" s="369">
        <v>15.0</v>
      </c>
      <c r="AB336" s="369">
        <v>6.0</v>
      </c>
      <c r="AC336" s="369">
        <v>2.0</v>
      </c>
      <c r="AD336" s="369">
        <v>11.0</v>
      </c>
      <c r="AE336" s="369">
        <v>1.0</v>
      </c>
      <c r="AF336" s="369">
        <v>2.0</v>
      </c>
      <c r="AG336" s="290">
        <f t="shared" si="114"/>
        <v>126</v>
      </c>
    </row>
    <row r="337">
      <c r="A337" s="422" t="s">
        <v>1189</v>
      </c>
      <c r="B337" s="420">
        <f t="shared" ref="B337:AF337" si="115">SUM(B332:B336)</f>
        <v>1</v>
      </c>
      <c r="C337" s="420">
        <f t="shared" si="115"/>
        <v>0</v>
      </c>
      <c r="D337" s="420">
        <f t="shared" si="115"/>
        <v>0</v>
      </c>
      <c r="E337" s="420">
        <f t="shared" si="115"/>
        <v>2</v>
      </c>
      <c r="F337" s="420">
        <f t="shared" si="115"/>
        <v>12</v>
      </c>
      <c r="G337" s="420">
        <f t="shared" si="115"/>
        <v>13</v>
      </c>
      <c r="H337" s="420">
        <f t="shared" si="115"/>
        <v>1</v>
      </c>
      <c r="I337" s="420">
        <f t="shared" si="115"/>
        <v>16</v>
      </c>
      <c r="J337" s="420">
        <f t="shared" si="115"/>
        <v>0</v>
      </c>
      <c r="K337" s="420">
        <f t="shared" si="115"/>
        <v>2</v>
      </c>
      <c r="L337" s="420">
        <f t="shared" si="115"/>
        <v>6</v>
      </c>
      <c r="M337" s="420">
        <f t="shared" si="115"/>
        <v>3</v>
      </c>
      <c r="N337" s="420">
        <f t="shared" si="115"/>
        <v>19</v>
      </c>
      <c r="O337" s="420">
        <f t="shared" si="115"/>
        <v>19</v>
      </c>
      <c r="P337" s="420">
        <f t="shared" si="115"/>
        <v>9</v>
      </c>
      <c r="Q337" s="420">
        <f t="shared" si="115"/>
        <v>13</v>
      </c>
      <c r="R337" s="420">
        <f t="shared" si="115"/>
        <v>85</v>
      </c>
      <c r="S337" s="420">
        <f t="shared" si="115"/>
        <v>39</v>
      </c>
      <c r="T337" s="420">
        <f t="shared" si="115"/>
        <v>45</v>
      </c>
      <c r="U337" s="420">
        <f t="shared" si="115"/>
        <v>44</v>
      </c>
      <c r="V337" s="420">
        <f t="shared" si="115"/>
        <v>38</v>
      </c>
      <c r="W337" s="420">
        <f t="shared" si="115"/>
        <v>0</v>
      </c>
      <c r="X337" s="420">
        <f t="shared" si="115"/>
        <v>7</v>
      </c>
      <c r="Y337" s="420">
        <f t="shared" si="115"/>
        <v>2</v>
      </c>
      <c r="Z337" s="420">
        <f t="shared" si="115"/>
        <v>37</v>
      </c>
      <c r="AA337" s="420">
        <f t="shared" si="115"/>
        <v>64</v>
      </c>
      <c r="AB337" s="420">
        <f t="shared" si="115"/>
        <v>40</v>
      </c>
      <c r="AC337" s="420">
        <f t="shared" si="115"/>
        <v>9</v>
      </c>
      <c r="AD337" s="420">
        <f t="shared" si="115"/>
        <v>56</v>
      </c>
      <c r="AE337" s="420">
        <f t="shared" si="115"/>
        <v>17</v>
      </c>
      <c r="AF337" s="420">
        <f t="shared" si="115"/>
        <v>14</v>
      </c>
      <c r="AG337" s="290">
        <f t="shared" si="114"/>
        <v>613</v>
      </c>
    </row>
    <row r="338">
      <c r="A338" s="26"/>
      <c r="AG338" s="358"/>
    </row>
    <row r="339">
      <c r="A339" s="415" t="s">
        <v>1194</v>
      </c>
      <c r="B339" s="369">
        <v>0.0</v>
      </c>
      <c r="C339" s="369">
        <v>0.0</v>
      </c>
      <c r="D339" s="369">
        <v>0.0</v>
      </c>
      <c r="E339" s="369">
        <v>0.0</v>
      </c>
      <c r="F339" s="369">
        <v>0.0</v>
      </c>
      <c r="G339" s="369">
        <v>0.0</v>
      </c>
      <c r="H339" s="369">
        <v>0.0</v>
      </c>
      <c r="I339" s="369">
        <v>0.0</v>
      </c>
      <c r="J339" s="369">
        <v>0.0</v>
      </c>
      <c r="K339" s="369">
        <v>0.0</v>
      </c>
      <c r="L339" s="369">
        <v>0.0</v>
      </c>
      <c r="M339" s="369">
        <v>0.0</v>
      </c>
      <c r="N339" s="369">
        <v>0.0</v>
      </c>
      <c r="O339" s="369">
        <v>0.0</v>
      </c>
      <c r="P339" s="369">
        <v>0.0</v>
      </c>
      <c r="Q339" s="369">
        <v>0.0</v>
      </c>
      <c r="R339" s="369">
        <v>0.0</v>
      </c>
      <c r="S339" s="369">
        <v>0.0</v>
      </c>
      <c r="T339" s="369">
        <v>0.0</v>
      </c>
      <c r="U339" s="369">
        <v>0.0</v>
      </c>
      <c r="V339" s="369">
        <v>0.0</v>
      </c>
      <c r="W339" s="369">
        <v>0.0</v>
      </c>
      <c r="X339" s="369">
        <v>0.0</v>
      </c>
      <c r="Y339" s="369">
        <v>0.0</v>
      </c>
      <c r="Z339" s="369">
        <v>0.0</v>
      </c>
      <c r="AA339" s="369">
        <v>0.0</v>
      </c>
      <c r="AB339" s="369">
        <v>0.0</v>
      </c>
      <c r="AC339" s="369">
        <v>0.0</v>
      </c>
      <c r="AD339" s="369">
        <v>0.0</v>
      </c>
      <c r="AE339" s="369">
        <v>0.0</v>
      </c>
      <c r="AF339" s="369">
        <v>0.0</v>
      </c>
      <c r="AG339" s="290">
        <f t="shared" ref="AG339:AG344" si="116">sum(B339:AF339)</f>
        <v>0</v>
      </c>
    </row>
    <row r="340">
      <c r="A340" s="415" t="s">
        <v>1195</v>
      </c>
      <c r="B340" s="369">
        <v>0.0</v>
      </c>
      <c r="C340" s="369">
        <v>0.0</v>
      </c>
      <c r="D340" s="369">
        <v>0.0</v>
      </c>
      <c r="E340" s="369">
        <v>0.0</v>
      </c>
      <c r="F340" s="369">
        <v>0.0</v>
      </c>
      <c r="G340" s="369">
        <v>0.0</v>
      </c>
      <c r="H340" s="369">
        <v>0.0</v>
      </c>
      <c r="I340" s="369">
        <v>0.0</v>
      </c>
      <c r="J340" s="369">
        <v>0.0</v>
      </c>
      <c r="K340" s="369">
        <v>0.0</v>
      </c>
      <c r="L340" s="369">
        <v>0.0</v>
      </c>
      <c r="M340" s="369">
        <v>0.0</v>
      </c>
      <c r="N340" s="369">
        <v>0.0</v>
      </c>
      <c r="O340" s="369">
        <v>0.0</v>
      </c>
      <c r="P340" s="369">
        <v>0.0</v>
      </c>
      <c r="Q340" s="369">
        <v>0.0</v>
      </c>
      <c r="R340" s="369">
        <v>0.0</v>
      </c>
      <c r="S340" s="369">
        <v>0.0</v>
      </c>
      <c r="T340" s="369">
        <v>0.0</v>
      </c>
      <c r="U340" s="369">
        <v>0.0</v>
      </c>
      <c r="V340" s="369">
        <v>0.0</v>
      </c>
      <c r="W340" s="369">
        <v>0.0</v>
      </c>
      <c r="X340" s="369">
        <v>0.0</v>
      </c>
      <c r="Y340" s="369">
        <v>0.0</v>
      </c>
      <c r="Z340" s="369">
        <v>0.0</v>
      </c>
      <c r="AA340" s="369">
        <v>0.0</v>
      </c>
      <c r="AB340" s="369">
        <v>0.0</v>
      </c>
      <c r="AC340" s="369">
        <v>0.0</v>
      </c>
      <c r="AD340" s="369">
        <v>0.0</v>
      </c>
      <c r="AE340" s="369">
        <v>0.0</v>
      </c>
      <c r="AF340" s="369">
        <v>0.0</v>
      </c>
      <c r="AG340" s="290">
        <f t="shared" si="116"/>
        <v>0</v>
      </c>
    </row>
    <row r="341">
      <c r="A341" s="415" t="s">
        <v>1198</v>
      </c>
      <c r="B341" s="369">
        <v>0.0</v>
      </c>
      <c r="C341" s="369">
        <v>0.0</v>
      </c>
      <c r="D341" s="369">
        <v>0.0</v>
      </c>
      <c r="E341" s="369">
        <v>0.0</v>
      </c>
      <c r="F341" s="369">
        <v>0.0</v>
      </c>
      <c r="G341" s="369">
        <v>0.0</v>
      </c>
      <c r="H341" s="369">
        <v>0.0</v>
      </c>
      <c r="I341" s="369">
        <v>0.0</v>
      </c>
      <c r="J341" s="369">
        <v>0.0</v>
      </c>
      <c r="K341" s="369">
        <v>0.0</v>
      </c>
      <c r="L341" s="369">
        <v>0.0</v>
      </c>
      <c r="M341" s="369">
        <v>0.0</v>
      </c>
      <c r="N341" s="369">
        <v>0.0</v>
      </c>
      <c r="O341" s="369">
        <v>0.0</v>
      </c>
      <c r="P341" s="369">
        <v>0.0</v>
      </c>
      <c r="Q341" s="369">
        <v>0.0</v>
      </c>
      <c r="R341" s="369">
        <v>0.0</v>
      </c>
      <c r="S341" s="369">
        <v>0.0</v>
      </c>
      <c r="T341" s="369">
        <v>0.0</v>
      </c>
      <c r="U341" s="369">
        <v>0.0</v>
      </c>
      <c r="V341" s="369">
        <v>0.0</v>
      </c>
      <c r="W341" s="369">
        <v>0.0</v>
      </c>
      <c r="X341" s="369">
        <v>0.0</v>
      </c>
      <c r="Y341" s="369">
        <v>0.0</v>
      </c>
      <c r="Z341" s="369">
        <v>0.0</v>
      </c>
      <c r="AA341" s="369">
        <v>0.0</v>
      </c>
      <c r="AB341" s="369">
        <v>0.0</v>
      </c>
      <c r="AC341" s="369">
        <v>0.0</v>
      </c>
      <c r="AD341" s="369">
        <v>0.0</v>
      </c>
      <c r="AE341" s="369">
        <v>0.0</v>
      </c>
      <c r="AF341" s="369">
        <v>0.0</v>
      </c>
      <c r="AG341" s="290">
        <f t="shared" si="116"/>
        <v>0</v>
      </c>
    </row>
    <row r="342">
      <c r="A342" s="415" t="s">
        <v>1199</v>
      </c>
      <c r="B342" s="369">
        <v>0.0</v>
      </c>
      <c r="C342" s="369">
        <v>0.0</v>
      </c>
      <c r="D342" s="369">
        <v>0.0</v>
      </c>
      <c r="E342" s="369">
        <v>0.0</v>
      </c>
      <c r="F342" s="369">
        <v>0.0</v>
      </c>
      <c r="G342" s="369">
        <v>0.0</v>
      </c>
      <c r="H342" s="369">
        <v>0.0</v>
      </c>
      <c r="I342" s="369">
        <v>0.0</v>
      </c>
      <c r="J342" s="369">
        <v>0.0</v>
      </c>
      <c r="K342" s="369">
        <v>0.0</v>
      </c>
      <c r="L342" s="369">
        <v>0.0</v>
      </c>
      <c r="M342" s="369">
        <v>0.0</v>
      </c>
      <c r="N342" s="369">
        <v>0.0</v>
      </c>
      <c r="O342" s="369">
        <v>0.0</v>
      </c>
      <c r="P342" s="369">
        <v>0.0</v>
      </c>
      <c r="Q342" s="369">
        <v>0.0</v>
      </c>
      <c r="R342" s="369">
        <v>0.0</v>
      </c>
      <c r="S342" s="369">
        <v>0.0</v>
      </c>
      <c r="T342" s="369">
        <v>0.0</v>
      </c>
      <c r="U342" s="369">
        <v>0.0</v>
      </c>
      <c r="V342" s="369">
        <v>0.0</v>
      </c>
      <c r="W342" s="369">
        <v>0.0</v>
      </c>
      <c r="X342" s="369">
        <v>0.0</v>
      </c>
      <c r="Y342" s="369">
        <v>0.0</v>
      </c>
      <c r="Z342" s="369">
        <v>0.0</v>
      </c>
      <c r="AA342" s="369">
        <v>0.0</v>
      </c>
      <c r="AB342" s="369">
        <v>0.0</v>
      </c>
      <c r="AC342" s="369">
        <v>0.0</v>
      </c>
      <c r="AD342" s="369">
        <v>0.0</v>
      </c>
      <c r="AE342" s="369">
        <v>0.0</v>
      </c>
      <c r="AF342" s="369">
        <v>0.0</v>
      </c>
      <c r="AG342" s="290">
        <f t="shared" si="116"/>
        <v>0</v>
      </c>
    </row>
    <row r="343">
      <c r="A343" s="415" t="s">
        <v>1203</v>
      </c>
      <c r="B343" s="369">
        <v>0.0</v>
      </c>
      <c r="C343" s="369">
        <v>0.0</v>
      </c>
      <c r="D343" s="369">
        <v>0.0</v>
      </c>
      <c r="E343" s="369">
        <v>0.0</v>
      </c>
      <c r="F343" s="369">
        <v>0.0</v>
      </c>
      <c r="G343" s="369">
        <v>0.0</v>
      </c>
      <c r="H343" s="369">
        <v>0.0</v>
      </c>
      <c r="I343" s="369">
        <v>0.0</v>
      </c>
      <c r="J343" s="369">
        <v>0.0</v>
      </c>
      <c r="K343" s="369">
        <v>0.0</v>
      </c>
      <c r="L343" s="369">
        <v>0.0</v>
      </c>
      <c r="M343" s="369">
        <v>0.0</v>
      </c>
      <c r="N343" s="369">
        <v>0.0</v>
      </c>
      <c r="O343" s="369">
        <v>0.0</v>
      </c>
      <c r="P343" s="369">
        <v>0.0</v>
      </c>
      <c r="Q343" s="369">
        <v>0.0</v>
      </c>
      <c r="R343" s="369">
        <v>0.0</v>
      </c>
      <c r="S343" s="369">
        <v>0.0</v>
      </c>
      <c r="T343" s="369">
        <v>0.0</v>
      </c>
      <c r="U343" s="369">
        <v>0.0</v>
      </c>
      <c r="V343" s="369">
        <v>0.0</v>
      </c>
      <c r="W343" s="369">
        <v>0.0</v>
      </c>
      <c r="X343" s="369">
        <v>0.0</v>
      </c>
      <c r="Y343" s="369">
        <v>0.0</v>
      </c>
      <c r="Z343" s="369">
        <v>0.0</v>
      </c>
      <c r="AA343" s="369">
        <v>0.0</v>
      </c>
      <c r="AB343" s="369">
        <v>0.0</v>
      </c>
      <c r="AC343" s="369">
        <v>0.0</v>
      </c>
      <c r="AD343" s="369">
        <v>0.0</v>
      </c>
      <c r="AE343" s="369">
        <v>0.0</v>
      </c>
      <c r="AF343" s="369">
        <v>0.0</v>
      </c>
      <c r="AG343" s="290">
        <f t="shared" si="116"/>
        <v>0</v>
      </c>
    </row>
    <row r="344">
      <c r="A344" s="422" t="s">
        <v>1204</v>
      </c>
      <c r="B344" s="420">
        <f t="shared" ref="B344:R344" si="117">SUM(B339:B343)</f>
        <v>0</v>
      </c>
      <c r="C344" s="420">
        <f t="shared" si="117"/>
        <v>0</v>
      </c>
      <c r="D344" s="420">
        <f t="shared" si="117"/>
        <v>0</v>
      </c>
      <c r="E344" s="420">
        <f t="shared" si="117"/>
        <v>0</v>
      </c>
      <c r="F344" s="420">
        <f t="shared" si="117"/>
        <v>0</v>
      </c>
      <c r="G344" s="420">
        <f t="shared" si="117"/>
        <v>0</v>
      </c>
      <c r="H344" s="420">
        <f t="shared" si="117"/>
        <v>0</v>
      </c>
      <c r="I344" s="420">
        <f t="shared" si="117"/>
        <v>0</v>
      </c>
      <c r="J344" s="420">
        <f t="shared" si="117"/>
        <v>0</v>
      </c>
      <c r="K344" s="420">
        <f t="shared" si="117"/>
        <v>0</v>
      </c>
      <c r="L344" s="420">
        <f t="shared" si="117"/>
        <v>0</v>
      </c>
      <c r="M344" s="420">
        <f t="shared" si="117"/>
        <v>0</v>
      </c>
      <c r="N344" s="420">
        <f t="shared" si="117"/>
        <v>0</v>
      </c>
      <c r="O344" s="420">
        <f t="shared" si="117"/>
        <v>0</v>
      </c>
      <c r="P344" s="420">
        <f t="shared" si="117"/>
        <v>0</v>
      </c>
      <c r="Q344" s="420">
        <f t="shared" si="117"/>
        <v>0</v>
      </c>
      <c r="R344" s="420">
        <f t="shared" si="117"/>
        <v>0</v>
      </c>
      <c r="S344" s="436">
        <v>0.0</v>
      </c>
      <c r="T344" s="420">
        <f t="shared" ref="T344:AF344" si="118">SUM(T339:T343)</f>
        <v>0</v>
      </c>
      <c r="U344" s="420">
        <f t="shared" si="118"/>
        <v>0</v>
      </c>
      <c r="V344" s="420">
        <f t="shared" si="118"/>
        <v>0</v>
      </c>
      <c r="W344" s="420">
        <f t="shared" si="118"/>
        <v>0</v>
      </c>
      <c r="X344" s="420">
        <f t="shared" si="118"/>
        <v>0</v>
      </c>
      <c r="Y344" s="420">
        <f t="shared" si="118"/>
        <v>0</v>
      </c>
      <c r="Z344" s="420">
        <f t="shared" si="118"/>
        <v>0</v>
      </c>
      <c r="AA344" s="420">
        <f t="shared" si="118"/>
        <v>0</v>
      </c>
      <c r="AB344" s="420">
        <f t="shared" si="118"/>
        <v>0</v>
      </c>
      <c r="AC344" s="420">
        <f t="shared" si="118"/>
        <v>0</v>
      </c>
      <c r="AD344" s="420">
        <f t="shared" si="118"/>
        <v>0</v>
      </c>
      <c r="AE344" s="420">
        <f t="shared" si="118"/>
        <v>0</v>
      </c>
      <c r="AF344" s="420">
        <f t="shared" si="118"/>
        <v>0</v>
      </c>
      <c r="AG344" s="290">
        <f t="shared" si="116"/>
        <v>0</v>
      </c>
    </row>
    <row r="345">
      <c r="A345" s="26"/>
      <c r="AG345" s="358"/>
    </row>
    <row r="346">
      <c r="A346" s="415" t="s">
        <v>1211</v>
      </c>
      <c r="B346" s="369">
        <v>0.0</v>
      </c>
      <c r="C346" s="369">
        <v>0.0</v>
      </c>
      <c r="D346" s="369">
        <v>0.0</v>
      </c>
      <c r="E346" s="369">
        <v>0.0</v>
      </c>
      <c r="F346" s="369">
        <v>0.0</v>
      </c>
      <c r="G346" s="369">
        <v>0.0</v>
      </c>
      <c r="H346" s="369">
        <v>0.0</v>
      </c>
      <c r="I346" s="369">
        <v>0.0</v>
      </c>
      <c r="J346" s="369">
        <v>0.0</v>
      </c>
      <c r="K346" s="369">
        <v>0.0</v>
      </c>
      <c r="L346" s="369">
        <v>0.0</v>
      </c>
      <c r="M346" s="369">
        <v>0.0</v>
      </c>
      <c r="N346" s="369">
        <v>0.0</v>
      </c>
      <c r="O346" s="369">
        <v>0.0</v>
      </c>
      <c r="P346" s="369">
        <v>0.0</v>
      </c>
      <c r="Q346" s="369">
        <v>0.0</v>
      </c>
      <c r="R346" s="369">
        <v>0.0</v>
      </c>
      <c r="S346" s="369">
        <v>0.0</v>
      </c>
      <c r="T346" s="369">
        <v>0.0</v>
      </c>
      <c r="U346" s="369">
        <v>0.0</v>
      </c>
      <c r="V346" s="369">
        <v>0.0</v>
      </c>
      <c r="W346" s="369">
        <v>0.0</v>
      </c>
      <c r="X346" s="369">
        <v>0.0</v>
      </c>
      <c r="Y346" s="369">
        <v>0.0</v>
      </c>
      <c r="Z346" s="369">
        <v>0.0</v>
      </c>
      <c r="AA346" s="369">
        <v>0.0</v>
      </c>
      <c r="AB346" s="369">
        <v>0.0</v>
      </c>
      <c r="AC346" s="369">
        <v>0.0</v>
      </c>
      <c r="AD346" s="369">
        <v>0.0</v>
      </c>
      <c r="AE346" s="369">
        <v>0.0</v>
      </c>
      <c r="AF346" s="369">
        <v>0.0</v>
      </c>
      <c r="AG346" s="290">
        <f t="shared" ref="AG346:AG351" si="119">sum(B346:AF346)</f>
        <v>0</v>
      </c>
    </row>
    <row r="347">
      <c r="A347" s="415" t="s">
        <v>1218</v>
      </c>
      <c r="B347" s="369">
        <v>0.0</v>
      </c>
      <c r="C347" s="369">
        <v>0.0</v>
      </c>
      <c r="D347" s="369">
        <v>0.0</v>
      </c>
      <c r="E347" s="369">
        <v>0.0</v>
      </c>
      <c r="F347" s="369">
        <v>0.0</v>
      </c>
      <c r="G347" s="369">
        <v>0.0</v>
      </c>
      <c r="H347" s="369">
        <v>0.0</v>
      </c>
      <c r="I347" s="369">
        <v>0.0</v>
      </c>
      <c r="J347" s="369">
        <v>0.0</v>
      </c>
      <c r="K347" s="369">
        <v>0.0</v>
      </c>
      <c r="L347" s="369">
        <v>0.0</v>
      </c>
      <c r="M347" s="369">
        <v>0.0</v>
      </c>
      <c r="N347" s="369">
        <v>0.0</v>
      </c>
      <c r="O347" s="369">
        <v>0.0</v>
      </c>
      <c r="P347" s="369">
        <v>0.0</v>
      </c>
      <c r="Q347" s="369">
        <v>0.0</v>
      </c>
      <c r="R347" s="369">
        <v>0.0</v>
      </c>
      <c r="S347" s="369">
        <v>0.0</v>
      </c>
      <c r="T347" s="369">
        <v>0.0</v>
      </c>
      <c r="U347" s="369">
        <v>0.0</v>
      </c>
      <c r="V347" s="369">
        <v>0.0</v>
      </c>
      <c r="W347" s="369">
        <v>0.0</v>
      </c>
      <c r="X347" s="369">
        <v>0.0</v>
      </c>
      <c r="Y347" s="369">
        <v>0.0</v>
      </c>
      <c r="Z347" s="369">
        <v>0.0</v>
      </c>
      <c r="AA347" s="369">
        <v>0.0</v>
      </c>
      <c r="AB347" s="369">
        <v>0.0</v>
      </c>
      <c r="AC347" s="369">
        <v>0.0</v>
      </c>
      <c r="AD347" s="369">
        <v>0.0</v>
      </c>
      <c r="AE347" s="369">
        <v>0.0</v>
      </c>
      <c r="AF347" s="369">
        <v>0.0</v>
      </c>
      <c r="AG347" s="290">
        <f t="shared" si="119"/>
        <v>0</v>
      </c>
    </row>
    <row r="348">
      <c r="A348" s="415" t="s">
        <v>1221</v>
      </c>
      <c r="B348" s="369">
        <v>0.0</v>
      </c>
      <c r="C348" s="369">
        <v>0.0</v>
      </c>
      <c r="D348" s="369">
        <v>0.0</v>
      </c>
      <c r="E348" s="369">
        <v>0.0</v>
      </c>
      <c r="F348" s="369">
        <v>0.0</v>
      </c>
      <c r="G348" s="369">
        <v>0.0</v>
      </c>
      <c r="H348" s="369">
        <v>0.0</v>
      </c>
      <c r="I348" s="369">
        <v>0.0</v>
      </c>
      <c r="J348" s="369">
        <v>0.0</v>
      </c>
      <c r="K348" s="369">
        <v>0.0</v>
      </c>
      <c r="L348" s="369">
        <v>0.0</v>
      </c>
      <c r="M348" s="369">
        <v>0.0</v>
      </c>
      <c r="N348" s="369">
        <v>0.0</v>
      </c>
      <c r="O348" s="369">
        <v>0.0</v>
      </c>
      <c r="P348" s="369">
        <v>0.0</v>
      </c>
      <c r="Q348" s="369">
        <v>0.0</v>
      </c>
      <c r="R348" s="369">
        <v>0.0</v>
      </c>
      <c r="S348" s="369">
        <v>0.0</v>
      </c>
      <c r="T348" s="369">
        <v>0.0</v>
      </c>
      <c r="U348" s="369">
        <v>0.0</v>
      </c>
      <c r="V348" s="369">
        <v>0.0</v>
      </c>
      <c r="W348" s="369">
        <v>0.0</v>
      </c>
      <c r="X348" s="369">
        <v>0.0</v>
      </c>
      <c r="Y348" s="369">
        <v>0.0</v>
      </c>
      <c r="Z348" s="369">
        <v>0.0</v>
      </c>
      <c r="AA348" s="369">
        <v>0.0</v>
      </c>
      <c r="AB348" s="369">
        <v>0.0</v>
      </c>
      <c r="AC348" s="369">
        <v>0.0</v>
      </c>
      <c r="AD348" s="369">
        <v>0.0</v>
      </c>
      <c r="AE348" s="369">
        <v>0.0</v>
      </c>
      <c r="AF348" s="369">
        <v>0.0</v>
      </c>
      <c r="AG348" s="290">
        <f t="shared" si="119"/>
        <v>0</v>
      </c>
    </row>
    <row r="349">
      <c r="A349" s="415" t="s">
        <v>1223</v>
      </c>
      <c r="B349" s="369">
        <v>0.0</v>
      </c>
      <c r="C349" s="369">
        <v>0.0</v>
      </c>
      <c r="D349" s="369">
        <v>0.0</v>
      </c>
      <c r="E349" s="369">
        <v>0.0</v>
      </c>
      <c r="F349" s="369">
        <v>0.0</v>
      </c>
      <c r="G349" s="369">
        <v>0.0</v>
      </c>
      <c r="H349" s="369">
        <v>0.0</v>
      </c>
      <c r="I349" s="369">
        <v>0.0</v>
      </c>
      <c r="J349" s="369">
        <v>0.0</v>
      </c>
      <c r="K349" s="369">
        <v>0.0</v>
      </c>
      <c r="L349" s="369">
        <v>0.0</v>
      </c>
      <c r="M349" s="369">
        <v>0.0</v>
      </c>
      <c r="N349" s="369">
        <v>0.0</v>
      </c>
      <c r="O349" s="369">
        <v>0.0</v>
      </c>
      <c r="P349" s="369">
        <v>0.0</v>
      </c>
      <c r="Q349" s="369">
        <v>0.0</v>
      </c>
      <c r="R349" s="369">
        <v>0.0</v>
      </c>
      <c r="S349" s="369">
        <v>0.0</v>
      </c>
      <c r="T349" s="369">
        <v>0.0</v>
      </c>
      <c r="U349" s="369">
        <v>0.0</v>
      </c>
      <c r="V349" s="369">
        <v>0.0</v>
      </c>
      <c r="W349" s="369">
        <v>0.0</v>
      </c>
      <c r="X349" s="369">
        <v>0.0</v>
      </c>
      <c r="Y349" s="369">
        <v>0.0</v>
      </c>
      <c r="Z349" s="369">
        <v>0.0</v>
      </c>
      <c r="AA349" s="369">
        <v>0.0</v>
      </c>
      <c r="AB349" s="369">
        <v>0.0</v>
      </c>
      <c r="AC349" s="369">
        <v>0.0</v>
      </c>
      <c r="AD349" s="369">
        <v>0.0</v>
      </c>
      <c r="AE349" s="369">
        <v>0.0</v>
      </c>
      <c r="AF349" s="369">
        <v>0.0</v>
      </c>
      <c r="AG349" s="290">
        <f t="shared" si="119"/>
        <v>0</v>
      </c>
    </row>
    <row r="350">
      <c r="A350" s="415" t="s">
        <v>1230</v>
      </c>
      <c r="B350" s="369">
        <v>0.0</v>
      </c>
      <c r="C350" s="369">
        <v>0.0</v>
      </c>
      <c r="D350" s="369">
        <v>0.0</v>
      </c>
      <c r="E350" s="369">
        <v>0.0</v>
      </c>
      <c r="F350" s="369">
        <v>0.0</v>
      </c>
      <c r="G350" s="369">
        <v>0.0</v>
      </c>
      <c r="H350" s="369">
        <v>0.0</v>
      </c>
      <c r="I350" s="369">
        <v>0.0</v>
      </c>
      <c r="J350" s="369">
        <v>0.0</v>
      </c>
      <c r="K350" s="369">
        <v>0.0</v>
      </c>
      <c r="L350" s="369">
        <v>0.0</v>
      </c>
      <c r="M350" s="369">
        <v>0.0</v>
      </c>
      <c r="N350" s="369">
        <v>0.0</v>
      </c>
      <c r="O350" s="369">
        <v>0.0</v>
      </c>
      <c r="P350" s="369">
        <v>0.0</v>
      </c>
      <c r="Q350" s="369">
        <v>0.0</v>
      </c>
      <c r="R350" s="369">
        <v>0.0</v>
      </c>
      <c r="S350" s="369">
        <v>0.0</v>
      </c>
      <c r="T350" s="369">
        <v>0.0</v>
      </c>
      <c r="U350" s="369">
        <v>0.0</v>
      </c>
      <c r="V350" s="369">
        <v>0.0</v>
      </c>
      <c r="W350" s="369">
        <v>0.0</v>
      </c>
      <c r="X350" s="369">
        <v>0.0</v>
      </c>
      <c r="Y350" s="369">
        <v>0.0</v>
      </c>
      <c r="Z350" s="369">
        <v>0.0</v>
      </c>
      <c r="AA350" s="369">
        <v>0.0</v>
      </c>
      <c r="AB350" s="369">
        <v>0.0</v>
      </c>
      <c r="AC350" s="369">
        <v>0.0</v>
      </c>
      <c r="AD350" s="369">
        <v>0.0</v>
      </c>
      <c r="AE350" s="369">
        <v>0.0</v>
      </c>
      <c r="AF350" s="369">
        <v>0.0</v>
      </c>
      <c r="AG350" s="290">
        <f t="shared" si="119"/>
        <v>0</v>
      </c>
    </row>
    <row r="351">
      <c r="A351" s="422" t="s">
        <v>1231</v>
      </c>
      <c r="B351" s="420">
        <f t="shared" ref="B351:AF351" si="120">SUM(B346:B350)</f>
        <v>0</v>
      </c>
      <c r="C351" s="420">
        <f t="shared" si="120"/>
        <v>0</v>
      </c>
      <c r="D351" s="420">
        <f t="shared" si="120"/>
        <v>0</v>
      </c>
      <c r="E351" s="420">
        <f t="shared" si="120"/>
        <v>0</v>
      </c>
      <c r="F351" s="420">
        <f t="shared" si="120"/>
        <v>0</v>
      </c>
      <c r="G351" s="420">
        <f t="shared" si="120"/>
        <v>0</v>
      </c>
      <c r="H351" s="420">
        <f t="shared" si="120"/>
        <v>0</v>
      </c>
      <c r="I351" s="420">
        <f t="shared" si="120"/>
        <v>0</v>
      </c>
      <c r="J351" s="420">
        <f t="shared" si="120"/>
        <v>0</v>
      </c>
      <c r="K351" s="420">
        <f t="shared" si="120"/>
        <v>0</v>
      </c>
      <c r="L351" s="420">
        <f t="shared" si="120"/>
        <v>0</v>
      </c>
      <c r="M351" s="420">
        <f t="shared" si="120"/>
        <v>0</v>
      </c>
      <c r="N351" s="420">
        <f t="shared" si="120"/>
        <v>0</v>
      </c>
      <c r="O351" s="420">
        <f t="shared" si="120"/>
        <v>0</v>
      </c>
      <c r="P351" s="420">
        <f t="shared" si="120"/>
        <v>0</v>
      </c>
      <c r="Q351" s="420">
        <f t="shared" si="120"/>
        <v>0</v>
      </c>
      <c r="R351" s="420">
        <f t="shared" si="120"/>
        <v>0</v>
      </c>
      <c r="S351" s="420">
        <f t="shared" si="120"/>
        <v>0</v>
      </c>
      <c r="T351" s="420">
        <f t="shared" si="120"/>
        <v>0</v>
      </c>
      <c r="U351" s="420">
        <f t="shared" si="120"/>
        <v>0</v>
      </c>
      <c r="V351" s="420">
        <f t="shared" si="120"/>
        <v>0</v>
      </c>
      <c r="W351" s="420">
        <f t="shared" si="120"/>
        <v>0</v>
      </c>
      <c r="X351" s="420">
        <f t="shared" si="120"/>
        <v>0</v>
      </c>
      <c r="Y351" s="420">
        <f t="shared" si="120"/>
        <v>0</v>
      </c>
      <c r="Z351" s="420">
        <f t="shared" si="120"/>
        <v>0</v>
      </c>
      <c r="AA351" s="420">
        <f t="shared" si="120"/>
        <v>0</v>
      </c>
      <c r="AB351" s="420">
        <f t="shared" si="120"/>
        <v>0</v>
      </c>
      <c r="AC351" s="420">
        <f t="shared" si="120"/>
        <v>0</v>
      </c>
      <c r="AD351" s="420">
        <f t="shared" si="120"/>
        <v>0</v>
      </c>
      <c r="AE351" s="420">
        <f t="shared" si="120"/>
        <v>0</v>
      </c>
      <c r="AF351" s="420">
        <f t="shared" si="120"/>
        <v>0</v>
      </c>
      <c r="AG351" s="290">
        <f t="shared" si="119"/>
        <v>0</v>
      </c>
    </row>
    <row r="352">
      <c r="A352" s="328"/>
      <c r="AG352" s="358"/>
    </row>
    <row r="353">
      <c r="A353" s="415" t="s">
        <v>1337</v>
      </c>
      <c r="B353" s="369">
        <v>0.0</v>
      </c>
      <c r="C353" s="369">
        <v>0.0</v>
      </c>
      <c r="D353" s="369">
        <v>0.0</v>
      </c>
      <c r="E353" s="369">
        <v>0.0</v>
      </c>
      <c r="F353" s="369">
        <v>0.0</v>
      </c>
      <c r="G353" s="369">
        <v>0.0</v>
      </c>
      <c r="H353" s="369">
        <v>0.0</v>
      </c>
      <c r="I353" s="369">
        <v>1.0</v>
      </c>
      <c r="J353" s="369">
        <v>0.0</v>
      </c>
      <c r="K353" s="369">
        <v>0.0</v>
      </c>
      <c r="L353" s="369">
        <v>0.0</v>
      </c>
      <c r="M353" s="369">
        <v>0.0</v>
      </c>
      <c r="N353" s="369">
        <v>1.0</v>
      </c>
      <c r="O353" s="369">
        <v>0.0</v>
      </c>
      <c r="P353" s="369">
        <v>0.0</v>
      </c>
      <c r="Q353" s="369">
        <v>0.0</v>
      </c>
      <c r="R353" s="369">
        <v>0.0</v>
      </c>
      <c r="S353" s="369">
        <v>0.0</v>
      </c>
      <c r="T353" s="369">
        <v>0.0</v>
      </c>
      <c r="U353" s="369">
        <v>0.0</v>
      </c>
      <c r="V353" s="369">
        <v>0.0</v>
      </c>
      <c r="W353" s="369">
        <v>0.0</v>
      </c>
      <c r="X353" s="369">
        <v>0.0</v>
      </c>
      <c r="Y353" s="369">
        <v>0.0</v>
      </c>
      <c r="Z353" s="369">
        <v>0.0</v>
      </c>
      <c r="AA353" s="369">
        <v>0.0</v>
      </c>
      <c r="AB353" s="369">
        <v>0.0</v>
      </c>
      <c r="AC353" s="369">
        <v>0.0</v>
      </c>
      <c r="AD353" s="369">
        <v>0.0</v>
      </c>
      <c r="AE353" s="369">
        <v>0.0</v>
      </c>
      <c r="AF353" s="369">
        <v>0.0</v>
      </c>
      <c r="AG353" s="290">
        <f t="shared" ref="AG353:AG355" si="121">sum(B353:AF353)</f>
        <v>2</v>
      </c>
    </row>
    <row r="354">
      <c r="A354" s="415" t="s">
        <v>1342</v>
      </c>
      <c r="B354" s="369">
        <v>0.0</v>
      </c>
      <c r="C354" s="369">
        <v>0.0</v>
      </c>
      <c r="D354" s="369">
        <v>0.0</v>
      </c>
      <c r="E354" s="369">
        <v>0.0</v>
      </c>
      <c r="F354" s="369">
        <v>0.0</v>
      </c>
      <c r="G354" s="369">
        <v>0.0</v>
      </c>
      <c r="H354" s="369">
        <v>0.0</v>
      </c>
      <c r="I354" s="369">
        <v>0.0</v>
      </c>
      <c r="J354" s="369">
        <v>0.0</v>
      </c>
      <c r="K354" s="369">
        <v>0.0</v>
      </c>
      <c r="L354" s="369">
        <v>0.0</v>
      </c>
      <c r="M354" s="369">
        <v>0.0</v>
      </c>
      <c r="N354" s="369">
        <v>0.0</v>
      </c>
      <c r="O354" s="369">
        <v>0.0</v>
      </c>
      <c r="P354" s="369">
        <v>0.0</v>
      </c>
      <c r="Q354" s="369">
        <v>0.0</v>
      </c>
      <c r="R354" s="369">
        <v>0.0</v>
      </c>
      <c r="S354" s="369">
        <v>0.0</v>
      </c>
      <c r="T354" s="369">
        <v>0.0</v>
      </c>
      <c r="U354" s="369">
        <v>0.0</v>
      </c>
      <c r="V354" s="369">
        <v>0.0</v>
      </c>
      <c r="W354" s="369">
        <v>0.0</v>
      </c>
      <c r="X354" s="369">
        <v>0.0</v>
      </c>
      <c r="Y354" s="369">
        <v>0.0</v>
      </c>
      <c r="Z354" s="369">
        <v>0.0</v>
      </c>
      <c r="AA354" s="369">
        <v>0.0</v>
      </c>
      <c r="AB354" s="369">
        <v>0.0</v>
      </c>
      <c r="AC354" s="369">
        <v>0.0</v>
      </c>
      <c r="AD354" s="369">
        <v>0.0</v>
      </c>
      <c r="AE354" s="369">
        <v>0.0</v>
      </c>
      <c r="AF354" s="369">
        <v>0.0</v>
      </c>
      <c r="AG354" s="290">
        <f t="shared" si="121"/>
        <v>0</v>
      </c>
    </row>
    <row r="355">
      <c r="A355" s="422" t="s">
        <v>126</v>
      </c>
      <c r="B355" s="420">
        <f t="shared" ref="B355:AF355" si="122">SUM(B353:B354)</f>
        <v>0</v>
      </c>
      <c r="C355" s="420">
        <f t="shared" si="122"/>
        <v>0</v>
      </c>
      <c r="D355" s="420">
        <f t="shared" si="122"/>
        <v>0</v>
      </c>
      <c r="E355" s="420">
        <f t="shared" si="122"/>
        <v>0</v>
      </c>
      <c r="F355" s="420">
        <f t="shared" si="122"/>
        <v>0</v>
      </c>
      <c r="G355" s="420">
        <f t="shared" si="122"/>
        <v>0</v>
      </c>
      <c r="H355" s="420">
        <f t="shared" si="122"/>
        <v>0</v>
      </c>
      <c r="I355" s="420">
        <f t="shared" si="122"/>
        <v>1</v>
      </c>
      <c r="J355" s="420">
        <f t="shared" si="122"/>
        <v>0</v>
      </c>
      <c r="K355" s="420">
        <f t="shared" si="122"/>
        <v>0</v>
      </c>
      <c r="L355" s="420">
        <f t="shared" si="122"/>
        <v>0</v>
      </c>
      <c r="M355" s="420">
        <f t="shared" si="122"/>
        <v>0</v>
      </c>
      <c r="N355" s="420">
        <f t="shared" si="122"/>
        <v>1</v>
      </c>
      <c r="O355" s="420">
        <f t="shared" si="122"/>
        <v>0</v>
      </c>
      <c r="P355" s="420">
        <f t="shared" si="122"/>
        <v>0</v>
      </c>
      <c r="Q355" s="420">
        <f t="shared" si="122"/>
        <v>0</v>
      </c>
      <c r="R355" s="420">
        <f t="shared" si="122"/>
        <v>0</v>
      </c>
      <c r="S355" s="420">
        <f t="shared" si="122"/>
        <v>0</v>
      </c>
      <c r="T355" s="420">
        <f t="shared" si="122"/>
        <v>0</v>
      </c>
      <c r="U355" s="420">
        <f t="shared" si="122"/>
        <v>0</v>
      </c>
      <c r="V355" s="420">
        <f t="shared" si="122"/>
        <v>0</v>
      </c>
      <c r="W355" s="420">
        <f t="shared" si="122"/>
        <v>0</v>
      </c>
      <c r="X355" s="420">
        <f t="shared" si="122"/>
        <v>0</v>
      </c>
      <c r="Y355" s="420">
        <f t="shared" si="122"/>
        <v>0</v>
      </c>
      <c r="Z355" s="420">
        <f t="shared" si="122"/>
        <v>0</v>
      </c>
      <c r="AA355" s="420">
        <f t="shared" si="122"/>
        <v>0</v>
      </c>
      <c r="AB355" s="420">
        <f t="shared" si="122"/>
        <v>0</v>
      </c>
      <c r="AC355" s="420">
        <f t="shared" si="122"/>
        <v>0</v>
      </c>
      <c r="AD355" s="420">
        <f t="shared" si="122"/>
        <v>0</v>
      </c>
      <c r="AE355" s="420">
        <f t="shared" si="122"/>
        <v>0</v>
      </c>
      <c r="AF355" s="420">
        <f t="shared" si="122"/>
        <v>0</v>
      </c>
      <c r="AG355" s="290">
        <f t="shared" si="121"/>
        <v>2</v>
      </c>
    </row>
    <row r="356">
      <c r="A356" s="328"/>
      <c r="AG356" s="358"/>
    </row>
    <row r="357">
      <c r="A357" s="415" t="s">
        <v>910</v>
      </c>
      <c r="B357" s="369">
        <v>0.0</v>
      </c>
      <c r="C357" s="369">
        <v>0.0</v>
      </c>
      <c r="D357" s="369">
        <v>0.0</v>
      </c>
      <c r="E357" s="369">
        <v>0.0</v>
      </c>
      <c r="F357" s="369">
        <v>0.0</v>
      </c>
      <c r="G357" s="369">
        <v>0.0</v>
      </c>
      <c r="H357" s="369">
        <v>0.0</v>
      </c>
      <c r="I357" s="369">
        <v>0.0</v>
      </c>
      <c r="J357" s="369">
        <v>0.0</v>
      </c>
      <c r="K357" s="369">
        <v>0.0</v>
      </c>
      <c r="L357" s="369">
        <v>0.0</v>
      </c>
      <c r="M357" s="369">
        <v>0.0</v>
      </c>
      <c r="N357" s="369">
        <v>0.0</v>
      </c>
      <c r="O357" s="369">
        <v>0.0</v>
      </c>
      <c r="P357" s="369">
        <v>0.0</v>
      </c>
      <c r="Q357" s="369">
        <v>0.0</v>
      </c>
      <c r="R357" s="369">
        <v>1.0</v>
      </c>
      <c r="S357" s="369">
        <v>0.0</v>
      </c>
      <c r="T357" s="369">
        <v>0.0</v>
      </c>
      <c r="U357" s="369">
        <v>0.0</v>
      </c>
      <c r="V357" s="369">
        <v>0.0</v>
      </c>
      <c r="W357" s="369">
        <v>0.0</v>
      </c>
      <c r="X357" s="369">
        <v>0.0</v>
      </c>
      <c r="Y357" s="369">
        <v>0.0</v>
      </c>
      <c r="Z357" s="369">
        <v>0.0</v>
      </c>
      <c r="AA357" s="369">
        <v>1.0</v>
      </c>
      <c r="AB357" s="369">
        <v>0.0</v>
      </c>
      <c r="AC357" s="369">
        <v>0.0</v>
      </c>
      <c r="AD357" s="369">
        <v>1.0</v>
      </c>
      <c r="AE357" s="369">
        <v>0.0</v>
      </c>
      <c r="AF357" s="369">
        <v>0.0</v>
      </c>
      <c r="AG357" s="290">
        <f t="shared" ref="AG357:AG359" si="123">sum(B357:AF357)</f>
        <v>3</v>
      </c>
    </row>
    <row r="358">
      <c r="A358" s="415" t="s">
        <v>914</v>
      </c>
      <c r="B358" s="369">
        <v>0.0</v>
      </c>
      <c r="C358" s="369">
        <v>0.0</v>
      </c>
      <c r="D358" s="369">
        <v>0.0</v>
      </c>
      <c r="E358" s="369">
        <v>0.0</v>
      </c>
      <c r="F358" s="369">
        <v>0.0</v>
      </c>
      <c r="G358" s="369">
        <v>0.0</v>
      </c>
      <c r="H358" s="369">
        <v>0.0</v>
      </c>
      <c r="I358" s="369">
        <v>0.0</v>
      </c>
      <c r="J358" s="369">
        <v>0.0</v>
      </c>
      <c r="K358" s="369">
        <v>0.0</v>
      </c>
      <c r="L358" s="369">
        <v>0.0</v>
      </c>
      <c r="M358" s="369">
        <v>0.0</v>
      </c>
      <c r="N358" s="369">
        <v>0.0</v>
      </c>
      <c r="O358" s="369">
        <v>0.0</v>
      </c>
      <c r="P358" s="369">
        <v>0.0</v>
      </c>
      <c r="Q358" s="369">
        <v>0.0</v>
      </c>
      <c r="R358" s="369">
        <v>0.0</v>
      </c>
      <c r="S358" s="369">
        <v>0.0</v>
      </c>
      <c r="T358" s="369">
        <v>0.0</v>
      </c>
      <c r="U358" s="369">
        <v>0.0</v>
      </c>
      <c r="V358" s="369">
        <v>0.0</v>
      </c>
      <c r="W358" s="369">
        <v>0.0</v>
      </c>
      <c r="X358" s="369">
        <v>0.0</v>
      </c>
      <c r="Y358" s="369">
        <v>0.0</v>
      </c>
      <c r="Z358" s="369">
        <v>0.0</v>
      </c>
      <c r="AA358" s="369">
        <v>0.0</v>
      </c>
      <c r="AB358" s="369">
        <v>0.0</v>
      </c>
      <c r="AC358" s="369">
        <v>0.0</v>
      </c>
      <c r="AD358" s="369">
        <v>1.0</v>
      </c>
      <c r="AE358" s="369">
        <v>0.0</v>
      </c>
      <c r="AF358" s="369">
        <v>0.0</v>
      </c>
      <c r="AG358" s="290">
        <f t="shared" si="123"/>
        <v>1</v>
      </c>
    </row>
    <row r="359">
      <c r="A359" s="422" t="s">
        <v>126</v>
      </c>
      <c r="B359" s="420">
        <f t="shared" ref="B359:AF359" si="124">SUM(B357:B358)</f>
        <v>0</v>
      </c>
      <c r="C359" s="420">
        <f t="shared" si="124"/>
        <v>0</v>
      </c>
      <c r="D359" s="420">
        <f t="shared" si="124"/>
        <v>0</v>
      </c>
      <c r="E359" s="420">
        <f t="shared" si="124"/>
        <v>0</v>
      </c>
      <c r="F359" s="420">
        <f t="shared" si="124"/>
        <v>0</v>
      </c>
      <c r="G359" s="420">
        <f t="shared" si="124"/>
        <v>0</v>
      </c>
      <c r="H359" s="420">
        <f t="shared" si="124"/>
        <v>0</v>
      </c>
      <c r="I359" s="420">
        <f t="shared" si="124"/>
        <v>0</v>
      </c>
      <c r="J359" s="420">
        <f t="shared" si="124"/>
        <v>0</v>
      </c>
      <c r="K359" s="420">
        <f t="shared" si="124"/>
        <v>0</v>
      </c>
      <c r="L359" s="420">
        <f t="shared" si="124"/>
        <v>0</v>
      </c>
      <c r="M359" s="420">
        <f t="shared" si="124"/>
        <v>0</v>
      </c>
      <c r="N359" s="420">
        <f t="shared" si="124"/>
        <v>0</v>
      </c>
      <c r="O359" s="420">
        <f t="shared" si="124"/>
        <v>0</v>
      </c>
      <c r="P359" s="420">
        <f t="shared" si="124"/>
        <v>0</v>
      </c>
      <c r="Q359" s="420">
        <f t="shared" si="124"/>
        <v>0</v>
      </c>
      <c r="R359" s="420">
        <f t="shared" si="124"/>
        <v>1</v>
      </c>
      <c r="S359" s="420">
        <f t="shared" si="124"/>
        <v>0</v>
      </c>
      <c r="T359" s="420">
        <f t="shared" si="124"/>
        <v>0</v>
      </c>
      <c r="U359" s="420">
        <f t="shared" si="124"/>
        <v>0</v>
      </c>
      <c r="V359" s="420">
        <f t="shared" si="124"/>
        <v>0</v>
      </c>
      <c r="W359" s="420">
        <f t="shared" si="124"/>
        <v>0</v>
      </c>
      <c r="X359" s="420">
        <f t="shared" si="124"/>
        <v>0</v>
      </c>
      <c r="Y359" s="420">
        <f t="shared" si="124"/>
        <v>0</v>
      </c>
      <c r="Z359" s="420">
        <f t="shared" si="124"/>
        <v>0</v>
      </c>
      <c r="AA359" s="420">
        <f t="shared" si="124"/>
        <v>1</v>
      </c>
      <c r="AB359" s="420">
        <f t="shared" si="124"/>
        <v>0</v>
      </c>
      <c r="AC359" s="420">
        <f t="shared" si="124"/>
        <v>0</v>
      </c>
      <c r="AD359" s="420">
        <f t="shared" si="124"/>
        <v>2</v>
      </c>
      <c r="AE359" s="420">
        <f t="shared" si="124"/>
        <v>0</v>
      </c>
      <c r="AF359" s="420">
        <f t="shared" si="124"/>
        <v>0</v>
      </c>
      <c r="AG359" s="290">
        <f t="shared" si="123"/>
        <v>4</v>
      </c>
    </row>
    <row r="360">
      <c r="A360" s="328"/>
      <c r="AG360" s="358"/>
    </row>
    <row r="361">
      <c r="A361" s="415" t="s">
        <v>64</v>
      </c>
      <c r="B361" s="369">
        <v>0.0</v>
      </c>
      <c r="C361" s="369">
        <v>0.0</v>
      </c>
      <c r="D361" s="369">
        <v>0.0</v>
      </c>
      <c r="E361" s="369">
        <v>0.0</v>
      </c>
      <c r="F361" s="369">
        <v>0.0</v>
      </c>
      <c r="G361" s="369">
        <v>0.0</v>
      </c>
      <c r="H361" s="369">
        <v>0.0</v>
      </c>
      <c r="I361" s="369">
        <v>0.0</v>
      </c>
      <c r="J361" s="369">
        <v>0.0</v>
      </c>
      <c r="K361" s="369">
        <v>0.0</v>
      </c>
      <c r="L361" s="369">
        <v>0.0</v>
      </c>
      <c r="M361" s="369">
        <v>0.0</v>
      </c>
      <c r="N361" s="369">
        <v>0.0</v>
      </c>
      <c r="O361" s="369">
        <v>0.0</v>
      </c>
      <c r="P361" s="369">
        <v>0.0</v>
      </c>
      <c r="Q361" s="369">
        <v>0.0</v>
      </c>
      <c r="R361" s="369">
        <v>0.0</v>
      </c>
      <c r="S361" s="369">
        <v>0.0</v>
      </c>
      <c r="T361" s="369">
        <v>0.0</v>
      </c>
      <c r="U361" s="369">
        <v>0.0</v>
      </c>
      <c r="V361" s="369">
        <v>0.0</v>
      </c>
      <c r="W361" s="369">
        <v>0.0</v>
      </c>
      <c r="X361" s="369">
        <v>0.0</v>
      </c>
      <c r="Y361" s="369">
        <v>0.0</v>
      </c>
      <c r="Z361" s="369">
        <v>0.0</v>
      </c>
      <c r="AA361" s="369">
        <v>0.0</v>
      </c>
      <c r="AB361" s="369">
        <v>0.0</v>
      </c>
      <c r="AC361" s="369">
        <v>0.0</v>
      </c>
      <c r="AD361" s="369">
        <v>0.0</v>
      </c>
      <c r="AE361" s="369">
        <v>0.0</v>
      </c>
      <c r="AF361" s="369">
        <v>0.0</v>
      </c>
      <c r="AG361" s="290">
        <f t="shared" ref="AG361:AG362" si="126">sum(B361:AF361)</f>
        <v>0</v>
      </c>
    </row>
    <row r="362">
      <c r="A362" s="422" t="s">
        <v>1368</v>
      </c>
      <c r="B362" s="420">
        <f t="shared" ref="B362:AF362" si="125">B361</f>
        <v>0</v>
      </c>
      <c r="C362" s="420">
        <f t="shared" si="125"/>
        <v>0</v>
      </c>
      <c r="D362" s="420">
        <f t="shared" si="125"/>
        <v>0</v>
      </c>
      <c r="E362" s="420">
        <f t="shared" si="125"/>
        <v>0</v>
      </c>
      <c r="F362" s="420">
        <f t="shared" si="125"/>
        <v>0</v>
      </c>
      <c r="G362" s="420">
        <f t="shared" si="125"/>
        <v>0</v>
      </c>
      <c r="H362" s="420">
        <f t="shared" si="125"/>
        <v>0</v>
      </c>
      <c r="I362" s="420">
        <f t="shared" si="125"/>
        <v>0</v>
      </c>
      <c r="J362" s="420">
        <f t="shared" si="125"/>
        <v>0</v>
      </c>
      <c r="K362" s="420">
        <f t="shared" si="125"/>
        <v>0</v>
      </c>
      <c r="L362" s="420">
        <f t="shared" si="125"/>
        <v>0</v>
      </c>
      <c r="M362" s="420">
        <f t="shared" si="125"/>
        <v>0</v>
      </c>
      <c r="N362" s="420">
        <f t="shared" si="125"/>
        <v>0</v>
      </c>
      <c r="O362" s="420">
        <f t="shared" si="125"/>
        <v>0</v>
      </c>
      <c r="P362" s="420">
        <f t="shared" si="125"/>
        <v>0</v>
      </c>
      <c r="Q362" s="420">
        <f t="shared" si="125"/>
        <v>0</v>
      </c>
      <c r="R362" s="420">
        <f t="shared" si="125"/>
        <v>0</v>
      </c>
      <c r="S362" s="420">
        <f t="shared" si="125"/>
        <v>0</v>
      </c>
      <c r="T362" s="420">
        <f t="shared" si="125"/>
        <v>0</v>
      </c>
      <c r="U362" s="420">
        <f t="shared" si="125"/>
        <v>0</v>
      </c>
      <c r="V362" s="420">
        <f t="shared" si="125"/>
        <v>0</v>
      </c>
      <c r="W362" s="420">
        <f t="shared" si="125"/>
        <v>0</v>
      </c>
      <c r="X362" s="420">
        <f t="shared" si="125"/>
        <v>0</v>
      </c>
      <c r="Y362" s="420">
        <f t="shared" si="125"/>
        <v>0</v>
      </c>
      <c r="Z362" s="420">
        <f t="shared" si="125"/>
        <v>0</v>
      </c>
      <c r="AA362" s="420">
        <f t="shared" si="125"/>
        <v>0</v>
      </c>
      <c r="AB362" s="420">
        <f t="shared" si="125"/>
        <v>0</v>
      </c>
      <c r="AC362" s="420">
        <f t="shared" si="125"/>
        <v>0</v>
      </c>
      <c r="AD362" s="420">
        <f t="shared" si="125"/>
        <v>0</v>
      </c>
      <c r="AE362" s="420">
        <f t="shared" si="125"/>
        <v>0</v>
      </c>
      <c r="AF362" s="420">
        <f t="shared" si="125"/>
        <v>0</v>
      </c>
      <c r="AG362" s="290">
        <f t="shared" si="126"/>
        <v>0</v>
      </c>
    </row>
    <row r="363">
      <c r="A363" s="328"/>
      <c r="AG363" s="358"/>
    </row>
    <row r="364">
      <c r="A364" s="415" t="s">
        <v>1672</v>
      </c>
      <c r="B364" s="369">
        <v>2.0</v>
      </c>
      <c r="C364" s="369">
        <v>1.0</v>
      </c>
      <c r="D364" s="369">
        <v>0.0</v>
      </c>
      <c r="E364" s="369">
        <v>2.0</v>
      </c>
      <c r="F364" s="369">
        <v>10.0</v>
      </c>
      <c r="G364" s="369">
        <v>17.0</v>
      </c>
      <c r="H364" s="369">
        <v>1.0</v>
      </c>
      <c r="I364" s="369">
        <v>16.0</v>
      </c>
      <c r="J364" s="369">
        <v>0.0</v>
      </c>
      <c r="K364" s="369">
        <v>3.0</v>
      </c>
      <c r="L364" s="369">
        <v>4.0</v>
      </c>
      <c r="M364" s="369">
        <v>2.0</v>
      </c>
      <c r="N364" s="369">
        <v>21.0</v>
      </c>
      <c r="O364" s="369">
        <v>28.0</v>
      </c>
      <c r="P364" s="369">
        <v>6.0</v>
      </c>
      <c r="Q364" s="369">
        <v>10.0</v>
      </c>
      <c r="R364" s="369">
        <v>69.0</v>
      </c>
      <c r="S364" s="369">
        <v>37.0</v>
      </c>
      <c r="T364" s="369">
        <v>38.0</v>
      </c>
      <c r="U364" s="369">
        <v>47.0</v>
      </c>
      <c r="V364" s="369">
        <v>49.0</v>
      </c>
      <c r="W364" s="369">
        <v>1.0</v>
      </c>
      <c r="X364" s="369">
        <v>13.0</v>
      </c>
      <c r="Y364" s="369">
        <v>1.0</v>
      </c>
      <c r="Z364" s="369">
        <v>31.0</v>
      </c>
      <c r="AA364" s="369">
        <v>58.0</v>
      </c>
      <c r="AB364" s="369">
        <v>45.0</v>
      </c>
      <c r="AC364" s="369">
        <v>15.0</v>
      </c>
      <c r="AD364" s="369">
        <v>39.0</v>
      </c>
      <c r="AE364" s="369">
        <v>15.0</v>
      </c>
      <c r="AF364" s="369">
        <v>11.0</v>
      </c>
      <c r="AG364" s="290">
        <f t="shared" ref="AG364:AG367" si="127">sum(B364:AF364)</f>
        <v>592</v>
      </c>
    </row>
    <row r="365">
      <c r="A365" s="415" t="s">
        <v>1680</v>
      </c>
      <c r="B365" s="369">
        <v>0.0</v>
      </c>
      <c r="C365" s="369">
        <v>0.0</v>
      </c>
      <c r="D365" s="369">
        <v>0.0</v>
      </c>
      <c r="E365" s="369">
        <v>0.0</v>
      </c>
      <c r="F365" s="369">
        <v>0.0</v>
      </c>
      <c r="G365" s="369">
        <v>0.0</v>
      </c>
      <c r="H365" s="369">
        <v>0.0</v>
      </c>
      <c r="I365" s="369">
        <v>0.0</v>
      </c>
      <c r="J365" s="369">
        <v>0.0</v>
      </c>
      <c r="K365" s="369">
        <v>0.0</v>
      </c>
      <c r="L365" s="369">
        <v>0.0</v>
      </c>
      <c r="M365" s="369">
        <v>0.0</v>
      </c>
      <c r="N365" s="369">
        <v>0.0</v>
      </c>
      <c r="O365" s="369">
        <v>0.0</v>
      </c>
      <c r="P365" s="369">
        <v>0.0</v>
      </c>
      <c r="Q365" s="369">
        <v>0.0</v>
      </c>
      <c r="R365" s="369">
        <v>0.0</v>
      </c>
      <c r="S365" s="369">
        <v>0.0</v>
      </c>
      <c r="T365" s="369">
        <v>0.0</v>
      </c>
      <c r="U365" s="369">
        <v>0.0</v>
      </c>
      <c r="V365" s="369">
        <v>1.0</v>
      </c>
      <c r="W365" s="369">
        <v>0.0</v>
      </c>
      <c r="X365" s="369">
        <v>0.0</v>
      </c>
      <c r="Y365" s="369">
        <v>0.0</v>
      </c>
      <c r="Z365" s="369">
        <v>0.0</v>
      </c>
      <c r="AA365" s="369">
        <v>0.0</v>
      </c>
      <c r="AB365" s="369">
        <v>0.0</v>
      </c>
      <c r="AC365" s="369">
        <v>0.0</v>
      </c>
      <c r="AD365" s="369">
        <v>0.0</v>
      </c>
      <c r="AE365" s="369">
        <v>1.0</v>
      </c>
      <c r="AF365" s="369">
        <v>0.0</v>
      </c>
      <c r="AG365" s="290">
        <f t="shared" si="127"/>
        <v>2</v>
      </c>
    </row>
    <row r="366">
      <c r="A366" s="415" t="s">
        <v>1683</v>
      </c>
      <c r="B366" s="369">
        <v>0.0</v>
      </c>
      <c r="C366" s="369">
        <v>0.0</v>
      </c>
      <c r="D366" s="369">
        <v>0.0</v>
      </c>
      <c r="E366" s="369">
        <v>0.0</v>
      </c>
      <c r="F366" s="369">
        <v>0.0</v>
      </c>
      <c r="G366" s="369">
        <v>0.0</v>
      </c>
      <c r="H366" s="369">
        <v>0.0</v>
      </c>
      <c r="I366" s="369">
        <v>0.0</v>
      </c>
      <c r="J366" s="369">
        <v>0.0</v>
      </c>
      <c r="K366" s="369">
        <v>0.0</v>
      </c>
      <c r="L366" s="369">
        <v>0.0</v>
      </c>
      <c r="M366" s="369">
        <v>0.0</v>
      </c>
      <c r="N366" s="369">
        <v>0.0</v>
      </c>
      <c r="O366" s="369">
        <v>0.0</v>
      </c>
      <c r="P366" s="369">
        <v>0.0</v>
      </c>
      <c r="Q366" s="369">
        <v>0.0</v>
      </c>
      <c r="R366" s="369">
        <v>0.0</v>
      </c>
      <c r="S366" s="369">
        <v>0.0</v>
      </c>
      <c r="T366" s="369">
        <v>0.0</v>
      </c>
      <c r="U366" s="369">
        <v>0.0</v>
      </c>
      <c r="V366" s="369">
        <v>0.0</v>
      </c>
      <c r="W366" s="369">
        <v>0.0</v>
      </c>
      <c r="X366" s="369">
        <v>0.0</v>
      </c>
      <c r="Y366" s="369">
        <v>0.0</v>
      </c>
      <c r="Z366" s="369">
        <v>0.0</v>
      </c>
      <c r="AA366" s="369">
        <v>0.0</v>
      </c>
      <c r="AB366" s="369">
        <v>0.0</v>
      </c>
      <c r="AC366" s="369">
        <v>0.0</v>
      </c>
      <c r="AD366" s="369">
        <v>0.0</v>
      </c>
      <c r="AE366" s="369">
        <v>0.0</v>
      </c>
      <c r="AF366" s="369">
        <v>0.0</v>
      </c>
      <c r="AG366" s="290">
        <f t="shared" si="127"/>
        <v>0</v>
      </c>
    </row>
    <row r="367">
      <c r="A367" s="422" t="s">
        <v>1368</v>
      </c>
      <c r="B367" s="420">
        <f t="shared" ref="B367:AF367" si="128">SUM(B364:B366)</f>
        <v>2</v>
      </c>
      <c r="C367" s="420">
        <f t="shared" si="128"/>
        <v>1</v>
      </c>
      <c r="D367" s="420">
        <f t="shared" si="128"/>
        <v>0</v>
      </c>
      <c r="E367" s="420">
        <f t="shared" si="128"/>
        <v>2</v>
      </c>
      <c r="F367" s="420">
        <f t="shared" si="128"/>
        <v>10</v>
      </c>
      <c r="G367" s="420">
        <f t="shared" si="128"/>
        <v>17</v>
      </c>
      <c r="H367" s="420">
        <f t="shared" si="128"/>
        <v>1</v>
      </c>
      <c r="I367" s="420">
        <f t="shared" si="128"/>
        <v>16</v>
      </c>
      <c r="J367" s="420">
        <f t="shared" si="128"/>
        <v>0</v>
      </c>
      <c r="K367" s="420">
        <f t="shared" si="128"/>
        <v>3</v>
      </c>
      <c r="L367" s="420">
        <f t="shared" si="128"/>
        <v>4</v>
      </c>
      <c r="M367" s="420">
        <f t="shared" si="128"/>
        <v>2</v>
      </c>
      <c r="N367" s="420">
        <f t="shared" si="128"/>
        <v>21</v>
      </c>
      <c r="O367" s="420">
        <f t="shared" si="128"/>
        <v>28</v>
      </c>
      <c r="P367" s="420">
        <f t="shared" si="128"/>
        <v>6</v>
      </c>
      <c r="Q367" s="420">
        <f t="shared" si="128"/>
        <v>10</v>
      </c>
      <c r="R367" s="420">
        <f t="shared" si="128"/>
        <v>69</v>
      </c>
      <c r="S367" s="420">
        <f t="shared" si="128"/>
        <v>37</v>
      </c>
      <c r="T367" s="420">
        <f t="shared" si="128"/>
        <v>38</v>
      </c>
      <c r="U367" s="420">
        <f t="shared" si="128"/>
        <v>47</v>
      </c>
      <c r="V367" s="420">
        <f t="shared" si="128"/>
        <v>50</v>
      </c>
      <c r="W367" s="420">
        <f t="shared" si="128"/>
        <v>1</v>
      </c>
      <c r="X367" s="420">
        <f t="shared" si="128"/>
        <v>13</v>
      </c>
      <c r="Y367" s="420">
        <f t="shared" si="128"/>
        <v>1</v>
      </c>
      <c r="Z367" s="420">
        <f t="shared" si="128"/>
        <v>31</v>
      </c>
      <c r="AA367" s="420">
        <f t="shared" si="128"/>
        <v>58</v>
      </c>
      <c r="AB367" s="420">
        <f t="shared" si="128"/>
        <v>45</v>
      </c>
      <c r="AC367" s="420">
        <f t="shared" si="128"/>
        <v>15</v>
      </c>
      <c r="AD367" s="420">
        <f t="shared" si="128"/>
        <v>39</v>
      </c>
      <c r="AE367" s="420">
        <f t="shared" si="128"/>
        <v>16</v>
      </c>
      <c r="AF367" s="420">
        <f t="shared" si="128"/>
        <v>11</v>
      </c>
      <c r="AG367" s="290">
        <f t="shared" si="127"/>
        <v>594</v>
      </c>
    </row>
    <row r="368">
      <c r="A368" s="328"/>
      <c r="B368" s="358"/>
      <c r="AG368" s="358"/>
    </row>
    <row r="369">
      <c r="A369" s="229" t="s">
        <v>1699</v>
      </c>
      <c r="B369" s="217"/>
      <c r="C369" s="217"/>
      <c r="D369" s="217"/>
      <c r="E369" s="217"/>
      <c r="F369" s="217"/>
      <c r="G369" s="217"/>
      <c r="H369" s="217"/>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358"/>
    </row>
    <row r="370">
      <c r="A370" s="415" t="s">
        <v>1703</v>
      </c>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394">
        <f t="shared" ref="AG370:AG373" si="129">SUM(B370:AF370)</f>
        <v>0</v>
      </c>
    </row>
    <row r="371">
      <c r="A371" s="415" t="s">
        <v>1710</v>
      </c>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c r="AB371" s="59"/>
      <c r="AC371" s="59"/>
      <c r="AD371" s="59"/>
      <c r="AE371" s="59"/>
      <c r="AF371" s="59"/>
      <c r="AG371" s="394">
        <f t="shared" si="129"/>
        <v>0</v>
      </c>
    </row>
    <row r="372">
      <c r="A372" s="415" t="s">
        <v>1714</v>
      </c>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c r="AB372" s="59"/>
      <c r="AC372" s="59"/>
      <c r="AD372" s="59"/>
      <c r="AE372" s="59"/>
      <c r="AF372" s="59"/>
      <c r="AG372" s="394">
        <f t="shared" si="129"/>
        <v>0</v>
      </c>
    </row>
    <row r="373">
      <c r="A373" s="445" t="s">
        <v>1189</v>
      </c>
      <c r="B373" s="446"/>
      <c r="C373" s="446"/>
      <c r="D373" s="446"/>
      <c r="E373" s="446"/>
      <c r="F373" s="446"/>
      <c r="G373" s="446"/>
      <c r="H373" s="446"/>
      <c r="I373" s="446"/>
      <c r="J373" s="446"/>
      <c r="K373" s="446"/>
      <c r="L373" s="446"/>
      <c r="M373" s="446"/>
      <c r="N373" s="446"/>
      <c r="O373" s="446"/>
      <c r="P373" s="446"/>
      <c r="Q373" s="446"/>
      <c r="R373" s="446"/>
      <c r="S373" s="446"/>
      <c r="T373" s="446"/>
      <c r="U373" s="446"/>
      <c r="V373" s="446"/>
      <c r="W373" s="446"/>
      <c r="X373" s="446"/>
      <c r="Y373" s="446"/>
      <c r="Z373" s="446"/>
      <c r="AA373" s="446"/>
      <c r="AB373" s="446"/>
      <c r="AC373" s="446"/>
      <c r="AD373" s="446"/>
      <c r="AE373" s="446"/>
      <c r="AF373" s="446"/>
      <c r="AG373" s="394">
        <f t="shared" si="129"/>
        <v>0</v>
      </c>
    </row>
    <row r="374">
      <c r="A374" s="328"/>
      <c r="AG374" s="394"/>
    </row>
    <row r="375">
      <c r="A375" s="415" t="s">
        <v>1724</v>
      </c>
      <c r="B375" s="390">
        <f>189</f>
        <v>189</v>
      </c>
      <c r="C375" s="392">
        <v>0.0</v>
      </c>
      <c r="D375" s="392">
        <f>199+18+17.8</f>
        <v>234.8</v>
      </c>
      <c r="E375" s="392">
        <f>452+35.6+228.7+199+18.2+168.9+18.2+12.2+228.7+22</f>
        <v>1383.5</v>
      </c>
      <c r="F375" s="392">
        <v>22.0</v>
      </c>
      <c r="G375" s="392">
        <f>18+24+24+36+36+538</f>
        <v>676</v>
      </c>
      <c r="H375" s="392">
        <f>211.2+17.8+172.1+17.8</f>
        <v>418.9</v>
      </c>
      <c r="I375" s="392">
        <f>211.2+17.8</f>
        <v>229</v>
      </c>
      <c r="J375" s="392">
        <f>189+18+12+498.99+18+169.8+18.3+113.9</f>
        <v>1037.99</v>
      </c>
      <c r="K375" s="392">
        <f>229+18.3+12.2+258+229.6+172.1+17.8+169.8+229+211+17.8+172.1+269+24+269+113.9+17.8+11.9+172.1+17.8+259+211.2+17.8+11.9+269+18+18+229+18.3+12.2+22+24+14+24+212.4+11.9+187.86</f>
        <v>4192.76</v>
      </c>
      <c r="L375" s="392">
        <f>269+24+22+173.2+211.2+17.8+538+18+211.2+17.8+11.9+70</f>
        <v>1584.1</v>
      </c>
      <c r="M375" s="392">
        <f>248+12+18</f>
        <v>278</v>
      </c>
      <c r="N375" s="392">
        <f>18+189+18+24+172.1</f>
        <v>421.1</v>
      </c>
      <c r="O375" s="392">
        <f>113.9</f>
        <v>113.9</v>
      </c>
      <c r="P375" s="392">
        <f>113.9+17.8+11.9</f>
        <v>143.6</v>
      </c>
      <c r="Q375" s="392">
        <f t="shared" ref="Q375:Q376" si="130">(Q373)*0.22</f>
        <v>0</v>
      </c>
      <c r="R375" s="392">
        <f>232.7+36.6+36.6+24.4+232.7+153.6</f>
        <v>716.6</v>
      </c>
      <c r="S375" s="392">
        <f>70+70+22+18</f>
        <v>180</v>
      </c>
      <c r="T375" s="392">
        <f>36+18.3</f>
        <v>54.3</v>
      </c>
      <c r="U375" s="392">
        <v>0.0</v>
      </c>
      <c r="V375" s="392">
        <v>248.0</v>
      </c>
      <c r="W375" s="392">
        <v>0.0</v>
      </c>
      <c r="X375" s="392">
        <f>18.3+17.8+184+18.3+18+18+16.5</f>
        <v>290.9</v>
      </c>
      <c r="Y375" s="392">
        <v>0.0</v>
      </c>
      <c r="Z375" s="392">
        <f>18+199+269</f>
        <v>486</v>
      </c>
      <c r="AA375" s="392">
        <v>0.0</v>
      </c>
      <c r="AB375" s="392">
        <v>0.0</v>
      </c>
      <c r="AC375" s="392">
        <v>65.8</v>
      </c>
      <c r="AD375" s="392">
        <v>0.0</v>
      </c>
      <c r="AE375" s="392">
        <f>17.8+269+24+22</f>
        <v>332.8</v>
      </c>
      <c r="AF375" s="392">
        <v>24.0</v>
      </c>
      <c r="AG375" s="394">
        <f t="shared" ref="AG375:AG378" si="131">SUM(B375:AF375)</f>
        <v>13323.05</v>
      </c>
    </row>
    <row r="376">
      <c r="A376" s="415" t="s">
        <v>1749</v>
      </c>
      <c r="B376" s="390">
        <f>13</f>
        <v>13</v>
      </c>
      <c r="C376" s="392">
        <v>0.0</v>
      </c>
      <c r="D376" s="392">
        <f>32+13.1</f>
        <v>45.1</v>
      </c>
      <c r="E376" s="392">
        <f>13.1+13.4+32+13.4+13.4</f>
        <v>85.3</v>
      </c>
      <c r="F376" s="392">
        <v>20.0</v>
      </c>
      <c r="G376" s="392">
        <v>35.0</v>
      </c>
      <c r="H376" s="392">
        <f>13.1+11.9</f>
        <v>25</v>
      </c>
      <c r="I376" s="392">
        <v>13.1</v>
      </c>
      <c r="J376" s="392">
        <f>13+33+13.4+11.9</f>
        <v>71.3</v>
      </c>
      <c r="K376" s="392">
        <f>13.4+32+13.4+11.9+13.4+13.4+13+11.9+32+32+11.9+11.9+35+13.1+32+13.4+20+15+13.1</f>
        <v>351.8</v>
      </c>
      <c r="L376" s="392">
        <f>35+11.86+13+35+13+10</f>
        <v>117.86</v>
      </c>
      <c r="M376" s="392">
        <v>13.0</v>
      </c>
      <c r="N376" s="392">
        <f>13+13+10+11.9</f>
        <v>47.9</v>
      </c>
      <c r="O376" s="392">
        <f>11.9</f>
        <v>11.9</v>
      </c>
      <c r="P376" s="392">
        <v>11.9</v>
      </c>
      <c r="Q376" s="392">
        <f t="shared" si="130"/>
        <v>0</v>
      </c>
      <c r="R376" s="392">
        <f>13.4+13.1</f>
        <v>26.5</v>
      </c>
      <c r="S376" s="392">
        <f>10+20+13</f>
        <v>43</v>
      </c>
      <c r="T376" s="392">
        <f>35+13.4</f>
        <v>48.4</v>
      </c>
      <c r="U376" s="392">
        <v>0.0</v>
      </c>
      <c r="V376" s="392">
        <v>13.0</v>
      </c>
      <c r="W376" s="392">
        <v>0.0</v>
      </c>
      <c r="X376" s="392">
        <f>13.4+13.1+32+13.4+13+13+10</f>
        <v>107.9</v>
      </c>
      <c r="Y376" s="392">
        <v>0.0</v>
      </c>
      <c r="Z376" s="392">
        <f>13+32+35</f>
        <v>80</v>
      </c>
      <c r="AA376" s="392">
        <v>0.0</v>
      </c>
      <c r="AB376" s="392">
        <v>0.0</v>
      </c>
      <c r="AC376" s="392">
        <v>0.0</v>
      </c>
      <c r="AD376" s="392">
        <v>0.0</v>
      </c>
      <c r="AE376" s="392">
        <f>24.9+32</f>
        <v>56.9</v>
      </c>
      <c r="AF376" s="392">
        <v>0.0</v>
      </c>
      <c r="AG376" s="394">
        <f t="shared" si="131"/>
        <v>1237.86</v>
      </c>
    </row>
    <row r="377">
      <c r="A377" s="415" t="s">
        <v>1771</v>
      </c>
      <c r="B377" s="390">
        <f>(B375)*0.22</f>
        <v>41.58</v>
      </c>
      <c r="C377" s="392">
        <v>0.0</v>
      </c>
      <c r="D377" s="392">
        <f t="shared" ref="D377:AF377" si="132">(D375)*0.22</f>
        <v>51.656</v>
      </c>
      <c r="E377" s="392">
        <f t="shared" si="132"/>
        <v>304.37</v>
      </c>
      <c r="F377" s="392">
        <f t="shared" si="132"/>
        <v>4.84</v>
      </c>
      <c r="G377" s="392">
        <f t="shared" si="132"/>
        <v>148.72</v>
      </c>
      <c r="H377" s="392">
        <f t="shared" si="132"/>
        <v>92.158</v>
      </c>
      <c r="I377" s="392">
        <f t="shared" si="132"/>
        <v>50.38</v>
      </c>
      <c r="J377" s="392">
        <f t="shared" si="132"/>
        <v>228.3578</v>
      </c>
      <c r="K377" s="392">
        <f t="shared" si="132"/>
        <v>922.4072</v>
      </c>
      <c r="L377" s="392">
        <f t="shared" si="132"/>
        <v>348.502</v>
      </c>
      <c r="M377" s="392">
        <f t="shared" si="132"/>
        <v>61.16</v>
      </c>
      <c r="N377" s="392">
        <f t="shared" si="132"/>
        <v>92.642</v>
      </c>
      <c r="O377" s="392">
        <f t="shared" si="132"/>
        <v>25.058</v>
      </c>
      <c r="P377" s="392">
        <f t="shared" si="132"/>
        <v>31.592</v>
      </c>
      <c r="Q377" s="392">
        <f t="shared" si="132"/>
        <v>0</v>
      </c>
      <c r="R377" s="392">
        <f t="shared" si="132"/>
        <v>157.652</v>
      </c>
      <c r="S377" s="392">
        <f t="shared" si="132"/>
        <v>39.6</v>
      </c>
      <c r="T377" s="392">
        <f t="shared" si="132"/>
        <v>11.946</v>
      </c>
      <c r="U377" s="392">
        <f t="shared" si="132"/>
        <v>0</v>
      </c>
      <c r="V377" s="392">
        <f t="shared" si="132"/>
        <v>54.56</v>
      </c>
      <c r="W377" s="392">
        <f t="shared" si="132"/>
        <v>0</v>
      </c>
      <c r="X377" s="392">
        <f t="shared" si="132"/>
        <v>63.998</v>
      </c>
      <c r="Y377" s="392">
        <f t="shared" si="132"/>
        <v>0</v>
      </c>
      <c r="Z377" s="392">
        <f t="shared" si="132"/>
        <v>106.92</v>
      </c>
      <c r="AA377" s="392">
        <f t="shared" si="132"/>
        <v>0</v>
      </c>
      <c r="AB377" s="392">
        <f t="shared" si="132"/>
        <v>0</v>
      </c>
      <c r="AC377" s="392">
        <f t="shared" si="132"/>
        <v>14.476</v>
      </c>
      <c r="AD377" s="392">
        <f t="shared" si="132"/>
        <v>0</v>
      </c>
      <c r="AE377" s="392">
        <f t="shared" si="132"/>
        <v>73.216</v>
      </c>
      <c r="AF377" s="392">
        <f t="shared" si="132"/>
        <v>5.28</v>
      </c>
      <c r="AG377" s="394">
        <f t="shared" si="131"/>
        <v>2931.071</v>
      </c>
    </row>
    <row r="378">
      <c r="A378" s="445" t="s">
        <v>1204</v>
      </c>
      <c r="B378" s="446">
        <f t="shared" ref="B378:AF378" si="133">B375+B376</f>
        <v>202</v>
      </c>
      <c r="C378" s="446">
        <f t="shared" si="133"/>
        <v>0</v>
      </c>
      <c r="D378" s="446">
        <f t="shared" si="133"/>
        <v>279.9</v>
      </c>
      <c r="E378" s="446">
        <f t="shared" si="133"/>
        <v>1468.8</v>
      </c>
      <c r="F378" s="446">
        <f t="shared" si="133"/>
        <v>42</v>
      </c>
      <c r="G378" s="446">
        <f t="shared" si="133"/>
        <v>711</v>
      </c>
      <c r="H378" s="446">
        <f t="shared" si="133"/>
        <v>443.9</v>
      </c>
      <c r="I378" s="446">
        <f t="shared" si="133"/>
        <v>242.1</v>
      </c>
      <c r="J378" s="446">
        <f t="shared" si="133"/>
        <v>1109.29</v>
      </c>
      <c r="K378" s="446">
        <f t="shared" si="133"/>
        <v>4544.56</v>
      </c>
      <c r="L378" s="446">
        <f t="shared" si="133"/>
        <v>1701.96</v>
      </c>
      <c r="M378" s="446">
        <f t="shared" si="133"/>
        <v>291</v>
      </c>
      <c r="N378" s="446">
        <f t="shared" si="133"/>
        <v>469</v>
      </c>
      <c r="O378" s="446">
        <f t="shared" si="133"/>
        <v>125.8</v>
      </c>
      <c r="P378" s="446">
        <f t="shared" si="133"/>
        <v>155.5</v>
      </c>
      <c r="Q378" s="446">
        <f t="shared" si="133"/>
        <v>0</v>
      </c>
      <c r="R378" s="446">
        <f t="shared" si="133"/>
        <v>743.1</v>
      </c>
      <c r="S378" s="446">
        <f t="shared" si="133"/>
        <v>223</v>
      </c>
      <c r="T378" s="446">
        <f t="shared" si="133"/>
        <v>102.7</v>
      </c>
      <c r="U378" s="446">
        <f t="shared" si="133"/>
        <v>0</v>
      </c>
      <c r="V378" s="446">
        <f t="shared" si="133"/>
        <v>261</v>
      </c>
      <c r="W378" s="446">
        <f t="shared" si="133"/>
        <v>0</v>
      </c>
      <c r="X378" s="446">
        <f t="shared" si="133"/>
        <v>398.8</v>
      </c>
      <c r="Y378" s="446">
        <f t="shared" si="133"/>
        <v>0</v>
      </c>
      <c r="Z378" s="446">
        <f t="shared" si="133"/>
        <v>566</v>
      </c>
      <c r="AA378" s="446">
        <f t="shared" si="133"/>
        <v>0</v>
      </c>
      <c r="AB378" s="446">
        <f t="shared" si="133"/>
        <v>0</v>
      </c>
      <c r="AC378" s="446">
        <f t="shared" si="133"/>
        <v>65.8</v>
      </c>
      <c r="AD378" s="446">
        <f t="shared" si="133"/>
        <v>0</v>
      </c>
      <c r="AE378" s="446">
        <f t="shared" si="133"/>
        <v>389.7</v>
      </c>
      <c r="AF378" s="446">
        <f t="shared" si="133"/>
        <v>24</v>
      </c>
      <c r="AG378" s="394">
        <f t="shared" si="131"/>
        <v>14560.91</v>
      </c>
    </row>
    <row r="379">
      <c r="A379" s="328"/>
      <c r="B379" s="369"/>
      <c r="C379" s="369"/>
      <c r="D379" s="369"/>
      <c r="E379" s="369"/>
      <c r="F379" s="369"/>
      <c r="G379" s="369"/>
      <c r="H379" s="369"/>
      <c r="I379" s="369"/>
      <c r="J379" s="369"/>
      <c r="K379" s="369"/>
      <c r="L379" s="369"/>
      <c r="M379" s="369"/>
      <c r="N379" s="369"/>
      <c r="O379" s="322"/>
      <c r="P379" s="322"/>
      <c r="Q379" s="322"/>
      <c r="R379" s="322"/>
      <c r="S379" s="322"/>
      <c r="T379" s="322"/>
      <c r="U379" s="322"/>
      <c r="V379" s="322"/>
      <c r="W379" s="322"/>
      <c r="X379" s="322"/>
      <c r="Y379" s="322"/>
      <c r="Z379" s="322"/>
      <c r="AA379" s="322"/>
      <c r="AB379" s="322"/>
      <c r="AC379" s="322"/>
      <c r="AD379" s="322"/>
      <c r="AE379" s="322"/>
      <c r="AF379" s="322"/>
      <c r="AG379" s="394"/>
    </row>
    <row r="380">
      <c r="A380" s="415" t="s">
        <v>1788</v>
      </c>
      <c r="B380" s="59"/>
      <c r="C380" s="59"/>
      <c r="D380" s="59"/>
      <c r="E380" s="59"/>
      <c r="F380" s="59"/>
      <c r="G380" s="59"/>
      <c r="H380" s="59"/>
      <c r="I380" s="59"/>
      <c r="J380" s="392">
        <f>169.1+18.2+18.2</f>
        <v>205.5</v>
      </c>
      <c r="K380" s="392">
        <v>113.9</v>
      </c>
      <c r="L380" s="392">
        <v>248.0</v>
      </c>
      <c r="M380" s="59"/>
      <c r="N380" s="59"/>
      <c r="O380" s="59"/>
      <c r="P380" s="59"/>
      <c r="Q380" s="59"/>
      <c r="R380" s="392">
        <v>249.0</v>
      </c>
      <c r="S380" s="59"/>
      <c r="T380" s="392">
        <v>18.0</v>
      </c>
      <c r="U380" s="59"/>
      <c r="V380" s="59"/>
      <c r="W380" s="59"/>
      <c r="X380" s="59"/>
      <c r="Y380" s="59"/>
      <c r="Z380" s="59"/>
      <c r="AA380" s="392">
        <f>189+248</f>
        <v>437</v>
      </c>
      <c r="AB380" s="59"/>
      <c r="AC380" s="59"/>
      <c r="AD380" s="59"/>
      <c r="AE380" s="59"/>
      <c r="AF380" s="59"/>
      <c r="AG380" s="394">
        <f t="shared" ref="AG380:AG383" si="134">SUM(B380:AF380)</f>
        <v>1271.4</v>
      </c>
    </row>
    <row r="381">
      <c r="A381" s="415" t="s">
        <v>1792</v>
      </c>
      <c r="B381" s="59"/>
      <c r="C381" s="59"/>
      <c r="D381" s="59"/>
      <c r="E381" s="59"/>
      <c r="F381" s="59"/>
      <c r="G381" s="59"/>
      <c r="H381" s="59"/>
      <c r="I381" s="59"/>
      <c r="J381" s="392">
        <v>26.8</v>
      </c>
      <c r="K381" s="392">
        <v>11.9</v>
      </c>
      <c r="L381" s="392">
        <v>27.0</v>
      </c>
      <c r="M381" s="59"/>
      <c r="N381" s="59"/>
      <c r="O381" s="59"/>
      <c r="P381" s="59"/>
      <c r="Q381" s="59"/>
      <c r="R381" s="392">
        <v>32.0</v>
      </c>
      <c r="S381" s="59"/>
      <c r="T381" s="392">
        <v>32.0</v>
      </c>
      <c r="U381" s="59"/>
      <c r="V381" s="59"/>
      <c r="W381" s="59"/>
      <c r="X381" s="59"/>
      <c r="Y381" s="59"/>
      <c r="Z381" s="59"/>
      <c r="AA381" s="392">
        <f>27+27</f>
        <v>54</v>
      </c>
      <c r="AB381" s="59"/>
      <c r="AC381" s="59"/>
      <c r="AD381" s="59"/>
      <c r="AE381" s="59"/>
      <c r="AF381" s="59"/>
      <c r="AG381" s="394">
        <f t="shared" si="134"/>
        <v>183.7</v>
      </c>
    </row>
    <row r="382">
      <c r="A382" s="415" t="s">
        <v>1796</v>
      </c>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c r="AB382" s="59"/>
      <c r="AC382" s="59"/>
      <c r="AD382" s="59"/>
      <c r="AE382" s="59"/>
      <c r="AF382" s="59"/>
      <c r="AG382" s="394">
        <f t="shared" si="134"/>
        <v>0</v>
      </c>
    </row>
    <row r="383">
      <c r="A383" s="445" t="s">
        <v>1231</v>
      </c>
      <c r="B383" s="446"/>
      <c r="C383" s="446"/>
      <c r="D383" s="446"/>
      <c r="E383" s="446"/>
      <c r="F383" s="446"/>
      <c r="G383" s="446"/>
      <c r="H383" s="446"/>
      <c r="I383" s="446"/>
      <c r="J383" s="446"/>
      <c r="K383" s="446"/>
      <c r="L383" s="446"/>
      <c r="M383" s="446"/>
      <c r="N383" s="446"/>
      <c r="O383" s="446"/>
      <c r="P383" s="446"/>
      <c r="Q383" s="446"/>
      <c r="R383" s="446"/>
      <c r="S383" s="446"/>
      <c r="T383" s="446"/>
      <c r="U383" s="446"/>
      <c r="V383" s="446"/>
      <c r="W383" s="446"/>
      <c r="X383" s="446"/>
      <c r="Y383" s="446"/>
      <c r="Z383" s="446"/>
      <c r="AA383" s="446"/>
      <c r="AB383" s="446"/>
      <c r="AC383" s="446"/>
      <c r="AD383" s="446"/>
      <c r="AE383" s="446"/>
      <c r="AF383" s="446"/>
      <c r="AG383" s="394">
        <f t="shared" si="134"/>
        <v>0</v>
      </c>
    </row>
    <row r="384">
      <c r="A384" s="328"/>
      <c r="AG384" s="358"/>
    </row>
    <row r="385">
      <c r="A385" s="229" t="s">
        <v>1801</v>
      </c>
      <c r="AG385" s="358"/>
    </row>
    <row r="386">
      <c r="A386" s="415" t="s">
        <v>1703</v>
      </c>
      <c r="B386" s="454">
        <f>189+18</f>
        <v>207</v>
      </c>
      <c r="C386" s="454">
        <v>18.0</v>
      </c>
      <c r="D386" s="454">
        <v>0.0</v>
      </c>
      <c r="E386" s="454">
        <v>219.8</v>
      </c>
      <c r="F386" s="454">
        <v>2857.8</v>
      </c>
      <c r="G386" s="454">
        <v>4251.38</v>
      </c>
      <c r="H386" s="454">
        <v>59.0</v>
      </c>
      <c r="I386" s="454">
        <v>4019.34</v>
      </c>
      <c r="J386" s="454">
        <v>0.0</v>
      </c>
      <c r="K386" s="454">
        <v>828.56</v>
      </c>
      <c r="L386" s="454">
        <v>1380.91</v>
      </c>
      <c r="M386" s="454">
        <v>640.18</v>
      </c>
      <c r="N386" s="454">
        <v>4915.47</v>
      </c>
      <c r="O386" s="454">
        <v>6873.44</v>
      </c>
      <c r="P386" s="454">
        <v>1903.67</v>
      </c>
      <c r="Q386" s="454">
        <v>2594.78</v>
      </c>
      <c r="R386" s="454">
        <v>18017.94</v>
      </c>
      <c r="S386" s="454">
        <v>9675.04</v>
      </c>
      <c r="T386" s="454">
        <v>11167.99</v>
      </c>
      <c r="U386" s="454">
        <v>12813.82</v>
      </c>
      <c r="V386" s="454">
        <v>13692.54</v>
      </c>
      <c r="W386" s="454">
        <v>206.0</v>
      </c>
      <c r="X386" s="454">
        <v>3048.27</v>
      </c>
      <c r="Y386" s="454">
        <v>350.7</v>
      </c>
      <c r="Z386" s="454">
        <v>8412.53</v>
      </c>
      <c r="AA386" s="454">
        <v>16419.47</v>
      </c>
      <c r="AB386" s="454">
        <v>12278.34</v>
      </c>
      <c r="AC386" s="454">
        <v>3988.96</v>
      </c>
      <c r="AD386" s="454">
        <v>10343.78</v>
      </c>
      <c r="AE386" s="454">
        <v>4159.63</v>
      </c>
      <c r="AF386" s="454">
        <v>2409.52</v>
      </c>
      <c r="AG386" s="394">
        <f t="shared" ref="AG386:AG389" si="135">sum(B386:AF386)</f>
        <v>157753.86</v>
      </c>
    </row>
    <row r="387">
      <c r="A387" s="415" t="s">
        <v>1710</v>
      </c>
      <c r="B387" s="455"/>
      <c r="C387" s="455"/>
      <c r="D387" s="455"/>
      <c r="E387" s="455"/>
      <c r="F387" s="455"/>
      <c r="G387" s="455"/>
      <c r="H387" s="455"/>
      <c r="I387" s="455"/>
      <c r="J387" s="455"/>
      <c r="K387" s="455"/>
      <c r="L387" s="455"/>
      <c r="M387" s="455"/>
      <c r="N387" s="455"/>
      <c r="O387" s="455"/>
      <c r="P387" s="455"/>
      <c r="Q387" s="455"/>
      <c r="R387" s="455"/>
      <c r="S387" s="455"/>
      <c r="T387" s="455"/>
      <c r="U387" s="455"/>
      <c r="V387" s="455"/>
      <c r="W387" s="455"/>
      <c r="X387" s="455"/>
      <c r="Y387" s="455"/>
      <c r="Z387" s="455"/>
      <c r="AA387" s="455"/>
      <c r="AB387" s="455"/>
      <c r="AC387" s="455"/>
      <c r="AD387" s="455"/>
      <c r="AE387" s="455"/>
      <c r="AF387" s="455"/>
      <c r="AG387" s="290">
        <f t="shared" si="135"/>
        <v>0</v>
      </c>
    </row>
    <row r="388">
      <c r="A388" s="415" t="s">
        <v>1714</v>
      </c>
      <c r="B388" s="455"/>
      <c r="C388" s="455"/>
      <c r="D388" s="455"/>
      <c r="E388" s="455"/>
      <c r="F388" s="455"/>
      <c r="G388" s="455"/>
      <c r="H388" s="455"/>
      <c r="I388" s="455"/>
      <c r="J388" s="455"/>
      <c r="K388" s="455"/>
      <c r="L388" s="455"/>
      <c r="M388" s="455"/>
      <c r="N388" s="455"/>
      <c r="O388" s="455"/>
      <c r="P388" s="455"/>
      <c r="Q388" s="455"/>
      <c r="R388" s="455"/>
      <c r="S388" s="455"/>
      <c r="T388" s="455"/>
      <c r="U388" s="455"/>
      <c r="V388" s="455"/>
      <c r="W388" s="455"/>
      <c r="X388" s="455"/>
      <c r="Y388" s="455"/>
      <c r="Z388" s="455"/>
      <c r="AA388" s="455"/>
      <c r="AB388" s="455"/>
      <c r="AC388" s="455"/>
      <c r="AD388" s="455"/>
      <c r="AE388" s="455"/>
      <c r="AF388" s="455"/>
      <c r="AG388" s="290">
        <f t="shared" si="135"/>
        <v>0</v>
      </c>
    </row>
    <row r="389">
      <c r="A389" s="445" t="s">
        <v>1189</v>
      </c>
      <c r="B389" s="456">
        <f t="shared" ref="B389:AF389" si="136">sum(B386:B388)</f>
        <v>207</v>
      </c>
      <c r="C389" s="456">
        <f t="shared" si="136"/>
        <v>18</v>
      </c>
      <c r="D389" s="456">
        <f t="shared" si="136"/>
        <v>0</v>
      </c>
      <c r="E389" s="456">
        <f t="shared" si="136"/>
        <v>219.8</v>
      </c>
      <c r="F389" s="456">
        <f t="shared" si="136"/>
        <v>2857.8</v>
      </c>
      <c r="G389" s="456">
        <f t="shared" si="136"/>
        <v>4251.38</v>
      </c>
      <c r="H389" s="456">
        <f t="shared" si="136"/>
        <v>59</v>
      </c>
      <c r="I389" s="456">
        <f t="shared" si="136"/>
        <v>4019.34</v>
      </c>
      <c r="J389" s="456">
        <f t="shared" si="136"/>
        <v>0</v>
      </c>
      <c r="K389" s="456">
        <f t="shared" si="136"/>
        <v>828.56</v>
      </c>
      <c r="L389" s="456">
        <f t="shared" si="136"/>
        <v>1380.91</v>
      </c>
      <c r="M389" s="456">
        <f t="shared" si="136"/>
        <v>640.18</v>
      </c>
      <c r="N389" s="456">
        <f t="shared" si="136"/>
        <v>4915.47</v>
      </c>
      <c r="O389" s="456">
        <f t="shared" si="136"/>
        <v>6873.44</v>
      </c>
      <c r="P389" s="456">
        <f t="shared" si="136"/>
        <v>1903.67</v>
      </c>
      <c r="Q389" s="456">
        <f t="shared" si="136"/>
        <v>2594.78</v>
      </c>
      <c r="R389" s="456">
        <f t="shared" si="136"/>
        <v>18017.94</v>
      </c>
      <c r="S389" s="456">
        <f t="shared" si="136"/>
        <v>9675.04</v>
      </c>
      <c r="T389" s="456">
        <f t="shared" si="136"/>
        <v>11167.99</v>
      </c>
      <c r="U389" s="456">
        <f t="shared" si="136"/>
        <v>12813.82</v>
      </c>
      <c r="V389" s="456">
        <f t="shared" si="136"/>
        <v>13692.54</v>
      </c>
      <c r="W389" s="456">
        <f t="shared" si="136"/>
        <v>206</v>
      </c>
      <c r="X389" s="456">
        <f t="shared" si="136"/>
        <v>3048.27</v>
      </c>
      <c r="Y389" s="456">
        <f t="shared" si="136"/>
        <v>350.7</v>
      </c>
      <c r="Z389" s="456">
        <f t="shared" si="136"/>
        <v>8412.53</v>
      </c>
      <c r="AA389" s="456">
        <f t="shared" si="136"/>
        <v>16419.47</v>
      </c>
      <c r="AB389" s="456">
        <f t="shared" si="136"/>
        <v>12278.34</v>
      </c>
      <c r="AC389" s="456">
        <f t="shared" si="136"/>
        <v>3988.96</v>
      </c>
      <c r="AD389" s="456">
        <f t="shared" si="136"/>
        <v>10343.78</v>
      </c>
      <c r="AE389" s="456">
        <f t="shared" si="136"/>
        <v>4159.63</v>
      </c>
      <c r="AF389" s="456">
        <f t="shared" si="136"/>
        <v>2409.52</v>
      </c>
      <c r="AG389" s="394">
        <f t="shared" si="135"/>
        <v>157753.86</v>
      </c>
    </row>
    <row r="390">
      <c r="A390" s="328"/>
      <c r="B390" s="414"/>
      <c r="C390" s="414"/>
      <c r="D390" s="414"/>
      <c r="E390" s="414"/>
      <c r="F390" s="414"/>
      <c r="G390" s="414"/>
      <c r="H390" s="414"/>
      <c r="I390" s="414"/>
      <c r="J390" s="414"/>
      <c r="K390" s="414"/>
      <c r="L390" s="414"/>
      <c r="M390" s="414"/>
      <c r="N390" s="414"/>
      <c r="O390" s="414"/>
      <c r="P390" s="414"/>
      <c r="Q390" s="414"/>
      <c r="R390" s="414"/>
      <c r="S390" s="414"/>
      <c r="T390" s="414"/>
      <c r="U390" s="414"/>
      <c r="V390" s="414"/>
      <c r="W390" s="414"/>
      <c r="X390" s="414"/>
      <c r="Y390" s="414"/>
      <c r="Z390" s="414"/>
      <c r="AA390" s="414"/>
      <c r="AB390" s="414"/>
      <c r="AC390" s="414"/>
      <c r="AD390" s="414"/>
      <c r="AE390" s="414"/>
      <c r="AF390" s="414"/>
      <c r="AG390" s="358"/>
    </row>
    <row r="391">
      <c r="A391" s="415" t="s">
        <v>1724</v>
      </c>
      <c r="B391" s="454">
        <v>0.0</v>
      </c>
      <c r="C391" s="454">
        <v>0.0</v>
      </c>
      <c r="D391" s="454">
        <v>0.0</v>
      </c>
      <c r="E391" s="454">
        <v>0.0</v>
      </c>
      <c r="F391" s="454">
        <v>0.0</v>
      </c>
      <c r="G391" s="454">
        <v>0.0</v>
      </c>
      <c r="H391" s="454">
        <v>0.0</v>
      </c>
      <c r="I391" s="454">
        <v>0.0</v>
      </c>
      <c r="J391" s="454">
        <v>0.0</v>
      </c>
      <c r="K391" s="454">
        <v>0.0</v>
      </c>
      <c r="L391" s="454">
        <v>0.0</v>
      </c>
      <c r="M391" s="454">
        <v>0.0</v>
      </c>
      <c r="N391" s="454">
        <v>0.0</v>
      </c>
      <c r="O391" s="454">
        <v>0.0</v>
      </c>
      <c r="P391" s="454">
        <v>0.0</v>
      </c>
      <c r="Q391" s="454">
        <v>0.0</v>
      </c>
      <c r="R391" s="454">
        <v>0.0</v>
      </c>
      <c r="S391" s="454">
        <v>0.0</v>
      </c>
      <c r="T391" s="454">
        <v>0.0</v>
      </c>
      <c r="U391" s="454">
        <v>0.0</v>
      </c>
      <c r="V391" s="454">
        <v>248.0</v>
      </c>
      <c r="W391" s="454">
        <v>0.0</v>
      </c>
      <c r="X391" s="454">
        <v>0.0</v>
      </c>
      <c r="Y391" s="454">
        <v>0.0</v>
      </c>
      <c r="Z391" s="454">
        <v>0.0</v>
      </c>
      <c r="AA391" s="454">
        <v>0.0</v>
      </c>
      <c r="AB391" s="454">
        <v>0.0</v>
      </c>
      <c r="AC391" s="454">
        <v>0.0</v>
      </c>
      <c r="AD391" s="454">
        <v>0.0</v>
      </c>
      <c r="AE391" s="454">
        <v>189.0</v>
      </c>
      <c r="AF391" s="454">
        <v>0.0</v>
      </c>
      <c r="AG391" s="394">
        <f t="shared" ref="AG391:AG394" si="137">sum(B391:AF391)</f>
        <v>437</v>
      </c>
    </row>
    <row r="392">
      <c r="A392" s="415" t="s">
        <v>1749</v>
      </c>
      <c r="B392" s="454">
        <v>0.0</v>
      </c>
      <c r="C392" s="454">
        <v>0.0</v>
      </c>
      <c r="D392" s="454">
        <v>0.0</v>
      </c>
      <c r="E392" s="454">
        <v>0.0</v>
      </c>
      <c r="F392" s="454">
        <v>0.0</v>
      </c>
      <c r="G392" s="454">
        <v>0.0</v>
      </c>
      <c r="H392" s="454">
        <v>0.0</v>
      </c>
      <c r="I392" s="454">
        <v>0.0</v>
      </c>
      <c r="J392" s="454">
        <v>0.0</v>
      </c>
      <c r="K392" s="454">
        <v>0.0</v>
      </c>
      <c r="L392" s="454">
        <v>0.0</v>
      </c>
      <c r="M392" s="454">
        <v>0.0</v>
      </c>
      <c r="N392" s="454">
        <v>0.0</v>
      </c>
      <c r="O392" s="454">
        <v>0.0</v>
      </c>
      <c r="P392" s="454">
        <v>0.0</v>
      </c>
      <c r="Q392" s="454">
        <v>0.0</v>
      </c>
      <c r="R392" s="454">
        <v>0.0</v>
      </c>
      <c r="S392" s="454">
        <v>0.0</v>
      </c>
      <c r="T392" s="454">
        <v>0.0</v>
      </c>
      <c r="U392" s="454">
        <v>0.0</v>
      </c>
      <c r="V392" s="454">
        <v>13.0</v>
      </c>
      <c r="W392" s="454">
        <v>0.0</v>
      </c>
      <c r="X392" s="454">
        <v>0.0</v>
      </c>
      <c r="Y392" s="454">
        <v>0.0</v>
      </c>
      <c r="Z392" s="454">
        <v>0.0</v>
      </c>
      <c r="AA392" s="454">
        <v>0.0</v>
      </c>
      <c r="AB392" s="454">
        <v>0.0</v>
      </c>
      <c r="AC392" s="454">
        <v>0.0</v>
      </c>
      <c r="AD392" s="454">
        <v>0.0</v>
      </c>
      <c r="AE392" s="454">
        <v>13.0</v>
      </c>
      <c r="AF392" s="454">
        <v>0.0</v>
      </c>
      <c r="AG392" s="394">
        <f t="shared" si="137"/>
        <v>26</v>
      </c>
    </row>
    <row r="393">
      <c r="A393" s="415" t="s">
        <v>1771</v>
      </c>
      <c r="B393" s="454">
        <f t="shared" ref="B393:V393" si="138">(B391)*0.22</f>
        <v>0</v>
      </c>
      <c r="C393" s="454">
        <f t="shared" si="138"/>
        <v>0</v>
      </c>
      <c r="D393" s="454">
        <f t="shared" si="138"/>
        <v>0</v>
      </c>
      <c r="E393" s="454">
        <f t="shared" si="138"/>
        <v>0</v>
      </c>
      <c r="F393" s="454">
        <f t="shared" si="138"/>
        <v>0</v>
      </c>
      <c r="G393" s="454">
        <f t="shared" si="138"/>
        <v>0</v>
      </c>
      <c r="H393" s="454">
        <f t="shared" si="138"/>
        <v>0</v>
      </c>
      <c r="I393" s="454">
        <f t="shared" si="138"/>
        <v>0</v>
      </c>
      <c r="J393" s="454">
        <f t="shared" si="138"/>
        <v>0</v>
      </c>
      <c r="K393" s="454">
        <f t="shared" si="138"/>
        <v>0</v>
      </c>
      <c r="L393" s="454">
        <f t="shared" si="138"/>
        <v>0</v>
      </c>
      <c r="M393" s="454">
        <f t="shared" si="138"/>
        <v>0</v>
      </c>
      <c r="N393" s="454">
        <f t="shared" si="138"/>
        <v>0</v>
      </c>
      <c r="O393" s="454">
        <f t="shared" si="138"/>
        <v>0</v>
      </c>
      <c r="P393" s="454">
        <f t="shared" si="138"/>
        <v>0</v>
      </c>
      <c r="Q393" s="454">
        <f t="shared" si="138"/>
        <v>0</v>
      </c>
      <c r="R393" s="454">
        <f t="shared" si="138"/>
        <v>0</v>
      </c>
      <c r="S393" s="454">
        <f t="shared" si="138"/>
        <v>0</v>
      </c>
      <c r="T393" s="454">
        <f t="shared" si="138"/>
        <v>0</v>
      </c>
      <c r="U393" s="454">
        <f t="shared" si="138"/>
        <v>0</v>
      </c>
      <c r="V393" s="454">
        <f t="shared" si="138"/>
        <v>54.56</v>
      </c>
      <c r="W393" s="454">
        <v>0.0</v>
      </c>
      <c r="X393" s="454">
        <v>0.0</v>
      </c>
      <c r="Y393" s="454">
        <v>0.0</v>
      </c>
      <c r="Z393" s="454">
        <v>0.0</v>
      </c>
      <c r="AA393" s="454">
        <v>0.0</v>
      </c>
      <c r="AB393" s="454">
        <v>0.0</v>
      </c>
      <c r="AC393" s="454">
        <v>0.0</v>
      </c>
      <c r="AD393" s="454">
        <v>0.0</v>
      </c>
      <c r="AE393" s="454">
        <v>0.0</v>
      </c>
      <c r="AF393" s="454">
        <v>0.0</v>
      </c>
      <c r="AG393" s="394">
        <f t="shared" si="137"/>
        <v>54.56</v>
      </c>
    </row>
    <row r="394">
      <c r="A394" s="422" t="s">
        <v>1204</v>
      </c>
      <c r="B394" s="446">
        <f t="shared" ref="B394:AF394" si="139">SUM(B391:B393)</f>
        <v>0</v>
      </c>
      <c r="C394" s="446">
        <f t="shared" si="139"/>
        <v>0</v>
      </c>
      <c r="D394" s="446">
        <f t="shared" si="139"/>
        <v>0</v>
      </c>
      <c r="E394" s="446">
        <f t="shared" si="139"/>
        <v>0</v>
      </c>
      <c r="F394" s="446">
        <f t="shared" si="139"/>
        <v>0</v>
      </c>
      <c r="G394" s="446">
        <f t="shared" si="139"/>
        <v>0</v>
      </c>
      <c r="H394" s="446">
        <f t="shared" si="139"/>
        <v>0</v>
      </c>
      <c r="I394" s="446">
        <f t="shared" si="139"/>
        <v>0</v>
      </c>
      <c r="J394" s="446">
        <f t="shared" si="139"/>
        <v>0</v>
      </c>
      <c r="K394" s="446">
        <f t="shared" si="139"/>
        <v>0</v>
      </c>
      <c r="L394" s="446">
        <f t="shared" si="139"/>
        <v>0</v>
      </c>
      <c r="M394" s="446">
        <f t="shared" si="139"/>
        <v>0</v>
      </c>
      <c r="N394" s="446">
        <f t="shared" si="139"/>
        <v>0</v>
      </c>
      <c r="O394" s="446">
        <f t="shared" si="139"/>
        <v>0</v>
      </c>
      <c r="P394" s="446">
        <f t="shared" si="139"/>
        <v>0</v>
      </c>
      <c r="Q394" s="446">
        <f t="shared" si="139"/>
        <v>0</v>
      </c>
      <c r="R394" s="446">
        <f t="shared" si="139"/>
        <v>0</v>
      </c>
      <c r="S394" s="446">
        <f t="shared" si="139"/>
        <v>0</v>
      </c>
      <c r="T394" s="446">
        <f t="shared" si="139"/>
        <v>0</v>
      </c>
      <c r="U394" s="446">
        <f t="shared" si="139"/>
        <v>0</v>
      </c>
      <c r="V394" s="446">
        <f t="shared" si="139"/>
        <v>315.56</v>
      </c>
      <c r="W394" s="446">
        <f t="shared" si="139"/>
        <v>0</v>
      </c>
      <c r="X394" s="446">
        <f t="shared" si="139"/>
        <v>0</v>
      </c>
      <c r="Y394" s="446">
        <f t="shared" si="139"/>
        <v>0</v>
      </c>
      <c r="Z394" s="446">
        <f t="shared" si="139"/>
        <v>0</v>
      </c>
      <c r="AA394" s="446">
        <f t="shared" si="139"/>
        <v>0</v>
      </c>
      <c r="AB394" s="446">
        <f t="shared" si="139"/>
        <v>0</v>
      </c>
      <c r="AC394" s="446">
        <f t="shared" si="139"/>
        <v>0</v>
      </c>
      <c r="AD394" s="446">
        <f t="shared" si="139"/>
        <v>0</v>
      </c>
      <c r="AE394" s="446">
        <f t="shared" si="139"/>
        <v>202</v>
      </c>
      <c r="AF394" s="446">
        <f t="shared" si="139"/>
        <v>0</v>
      </c>
      <c r="AG394" s="394">
        <f t="shared" si="137"/>
        <v>517.56</v>
      </c>
    </row>
    <row r="395">
      <c r="A395" s="328"/>
      <c r="B395" s="414"/>
      <c r="C395" s="414"/>
      <c r="D395" s="414"/>
      <c r="E395" s="414"/>
      <c r="F395" s="414"/>
      <c r="G395" s="414"/>
      <c r="H395" s="414"/>
      <c r="I395" s="414"/>
      <c r="J395" s="414"/>
      <c r="K395" s="414"/>
      <c r="L395" s="414"/>
      <c r="M395" s="414"/>
      <c r="N395" s="414"/>
      <c r="O395" s="414"/>
      <c r="P395" s="414"/>
      <c r="Q395" s="414"/>
      <c r="R395" s="414"/>
      <c r="S395" s="414"/>
      <c r="T395" s="414"/>
      <c r="U395" s="414"/>
      <c r="V395" s="414"/>
      <c r="W395" s="414"/>
      <c r="X395" s="414"/>
      <c r="Y395" s="414"/>
      <c r="Z395" s="414"/>
      <c r="AA395" s="414"/>
      <c r="AB395" s="414"/>
      <c r="AC395" s="414"/>
      <c r="AD395" s="414"/>
      <c r="AE395" s="414"/>
      <c r="AF395" s="414"/>
      <c r="AG395" s="358"/>
    </row>
    <row r="396">
      <c r="A396" s="415" t="s">
        <v>1788</v>
      </c>
      <c r="B396" s="463"/>
      <c r="C396" s="463"/>
      <c r="D396" s="463"/>
      <c r="E396" s="463"/>
      <c r="F396" s="463"/>
      <c r="G396" s="463"/>
      <c r="H396" s="463"/>
      <c r="I396" s="463"/>
      <c r="J396" s="463"/>
      <c r="K396" s="463"/>
      <c r="L396" s="463"/>
      <c r="M396" s="463"/>
      <c r="N396" s="463"/>
      <c r="O396" s="463"/>
      <c r="P396" s="463"/>
      <c r="Q396" s="463"/>
      <c r="R396" s="463"/>
      <c r="S396" s="463"/>
      <c r="T396" s="463"/>
      <c r="U396" s="463"/>
      <c r="V396" s="463"/>
      <c r="W396" s="463"/>
      <c r="X396" s="463"/>
      <c r="Y396" s="463"/>
      <c r="Z396" s="463"/>
      <c r="AA396" s="463"/>
      <c r="AB396" s="463"/>
      <c r="AC396" s="463"/>
      <c r="AD396" s="463"/>
      <c r="AE396" s="463"/>
      <c r="AF396" s="463"/>
      <c r="AG396" s="290">
        <f t="shared" ref="AG396:AG399" si="140">sum(B396:AF396)</f>
        <v>0</v>
      </c>
    </row>
    <row r="397">
      <c r="A397" s="415" t="s">
        <v>1792</v>
      </c>
      <c r="B397" s="463"/>
      <c r="C397" s="463"/>
      <c r="D397" s="463"/>
      <c r="E397" s="463"/>
      <c r="F397" s="463"/>
      <c r="G397" s="463"/>
      <c r="H397" s="463"/>
      <c r="I397" s="463"/>
      <c r="J397" s="463"/>
      <c r="K397" s="463"/>
      <c r="L397" s="463"/>
      <c r="M397" s="463"/>
      <c r="N397" s="463"/>
      <c r="O397" s="463"/>
      <c r="P397" s="463"/>
      <c r="Q397" s="463"/>
      <c r="R397" s="463"/>
      <c r="S397" s="463"/>
      <c r="T397" s="463"/>
      <c r="U397" s="463"/>
      <c r="V397" s="463"/>
      <c r="W397" s="463"/>
      <c r="X397" s="463"/>
      <c r="Y397" s="463"/>
      <c r="Z397" s="463"/>
      <c r="AA397" s="463"/>
      <c r="AB397" s="463"/>
      <c r="AC397" s="463"/>
      <c r="AD397" s="463"/>
      <c r="AE397" s="463"/>
      <c r="AF397" s="463"/>
      <c r="AG397" s="290">
        <f t="shared" si="140"/>
        <v>0</v>
      </c>
    </row>
    <row r="398">
      <c r="A398" s="415" t="s">
        <v>1796</v>
      </c>
      <c r="B398" s="463"/>
      <c r="C398" s="463"/>
      <c r="D398" s="463"/>
      <c r="E398" s="463"/>
      <c r="F398" s="463"/>
      <c r="G398" s="463"/>
      <c r="H398" s="463"/>
      <c r="I398" s="463"/>
      <c r="J398" s="463"/>
      <c r="K398" s="463"/>
      <c r="L398" s="463"/>
      <c r="M398" s="463"/>
      <c r="N398" s="463"/>
      <c r="O398" s="463"/>
      <c r="P398" s="463"/>
      <c r="Q398" s="463"/>
      <c r="R398" s="463"/>
      <c r="S398" s="463"/>
      <c r="T398" s="463"/>
      <c r="U398" s="463"/>
      <c r="V398" s="463"/>
      <c r="W398" s="463"/>
      <c r="X398" s="463"/>
      <c r="Y398" s="463"/>
      <c r="Z398" s="463"/>
      <c r="AA398" s="463"/>
      <c r="AB398" s="463"/>
      <c r="AC398" s="463"/>
      <c r="AD398" s="463"/>
      <c r="AE398" s="463"/>
      <c r="AF398" s="463"/>
      <c r="AG398" s="290">
        <f t="shared" si="140"/>
        <v>0</v>
      </c>
    </row>
    <row r="399">
      <c r="A399" s="445" t="s">
        <v>1231</v>
      </c>
      <c r="B399" s="446">
        <f t="shared" ref="B399:AF399" si="141">SUM(B396:B398)</f>
        <v>0</v>
      </c>
      <c r="C399" s="446">
        <f t="shared" si="141"/>
        <v>0</v>
      </c>
      <c r="D399" s="446">
        <f t="shared" si="141"/>
        <v>0</v>
      </c>
      <c r="E399" s="446">
        <f t="shared" si="141"/>
        <v>0</v>
      </c>
      <c r="F399" s="446">
        <f t="shared" si="141"/>
        <v>0</v>
      </c>
      <c r="G399" s="446">
        <f t="shared" si="141"/>
        <v>0</v>
      </c>
      <c r="H399" s="446">
        <f t="shared" si="141"/>
        <v>0</v>
      </c>
      <c r="I399" s="446">
        <f t="shared" si="141"/>
        <v>0</v>
      </c>
      <c r="J399" s="446">
        <f t="shared" si="141"/>
        <v>0</v>
      </c>
      <c r="K399" s="446">
        <f t="shared" si="141"/>
        <v>0</v>
      </c>
      <c r="L399" s="446">
        <f t="shared" si="141"/>
        <v>0</v>
      </c>
      <c r="M399" s="446">
        <f t="shared" si="141"/>
        <v>0</v>
      </c>
      <c r="N399" s="446">
        <f t="shared" si="141"/>
        <v>0</v>
      </c>
      <c r="O399" s="446">
        <f t="shared" si="141"/>
        <v>0</v>
      </c>
      <c r="P399" s="446">
        <f t="shared" si="141"/>
        <v>0</v>
      </c>
      <c r="Q399" s="446">
        <f t="shared" si="141"/>
        <v>0</v>
      </c>
      <c r="R399" s="446">
        <f t="shared" si="141"/>
        <v>0</v>
      </c>
      <c r="S399" s="446">
        <f t="shared" si="141"/>
        <v>0</v>
      </c>
      <c r="T399" s="446">
        <f t="shared" si="141"/>
        <v>0</v>
      </c>
      <c r="U399" s="446">
        <f t="shared" si="141"/>
        <v>0</v>
      </c>
      <c r="V399" s="446">
        <f t="shared" si="141"/>
        <v>0</v>
      </c>
      <c r="W399" s="446">
        <f t="shared" si="141"/>
        <v>0</v>
      </c>
      <c r="X399" s="446">
        <f t="shared" si="141"/>
        <v>0</v>
      </c>
      <c r="Y399" s="446">
        <f t="shared" si="141"/>
        <v>0</v>
      </c>
      <c r="Z399" s="446">
        <f t="shared" si="141"/>
        <v>0</v>
      </c>
      <c r="AA399" s="446">
        <f t="shared" si="141"/>
        <v>0</v>
      </c>
      <c r="AB399" s="446">
        <f t="shared" si="141"/>
        <v>0</v>
      </c>
      <c r="AC399" s="446">
        <f t="shared" si="141"/>
        <v>0</v>
      </c>
      <c r="AD399" s="446">
        <f t="shared" si="141"/>
        <v>0</v>
      </c>
      <c r="AE399" s="446">
        <f t="shared" si="141"/>
        <v>0</v>
      </c>
      <c r="AF399" s="446">
        <f t="shared" si="141"/>
        <v>0</v>
      </c>
      <c r="AG399" s="290">
        <f t="shared" si="140"/>
        <v>0</v>
      </c>
    </row>
    <row r="400">
      <c r="A400" s="328"/>
      <c r="AG400" s="358"/>
    </row>
    <row r="401">
      <c r="A401" s="274" t="s">
        <v>1849</v>
      </c>
      <c r="S401" s="455"/>
      <c r="T401" s="455"/>
      <c r="U401" s="455"/>
      <c r="V401" s="455"/>
      <c r="W401" s="455"/>
      <c r="X401" s="455"/>
      <c r="Z401" s="455"/>
      <c r="AA401" s="455"/>
      <c r="AB401" s="455"/>
      <c r="AC401" s="455"/>
      <c r="AD401" s="455"/>
      <c r="AE401" s="455"/>
      <c r="AG401" s="358"/>
    </row>
    <row r="402">
      <c r="A402" s="464" t="s">
        <v>1124</v>
      </c>
      <c r="B402" s="1">
        <v>0.0</v>
      </c>
      <c r="C402" s="1">
        <v>0.0</v>
      </c>
      <c r="D402" s="1">
        <v>20.0</v>
      </c>
      <c r="E402" s="1">
        <v>16.0</v>
      </c>
      <c r="F402" s="1">
        <v>0.0</v>
      </c>
      <c r="G402" s="1">
        <v>13.0</v>
      </c>
      <c r="H402" s="1">
        <v>0.0</v>
      </c>
      <c r="I402" s="1">
        <v>21.0</v>
      </c>
      <c r="J402" s="1">
        <v>0.0</v>
      </c>
      <c r="K402" s="1">
        <v>0.0</v>
      </c>
      <c r="L402" s="1">
        <v>0.0</v>
      </c>
      <c r="M402" s="1">
        <v>0.0</v>
      </c>
      <c r="N402" s="1">
        <v>0.0</v>
      </c>
      <c r="O402" s="1">
        <v>0.0</v>
      </c>
      <c r="P402" s="1">
        <v>0.0</v>
      </c>
      <c r="Q402" s="1">
        <v>0.0</v>
      </c>
      <c r="R402" s="1">
        <v>47.0</v>
      </c>
      <c r="S402" s="455"/>
      <c r="T402" s="455"/>
      <c r="U402" s="455"/>
      <c r="V402" s="455"/>
      <c r="W402" s="455"/>
      <c r="X402" s="455"/>
      <c r="Y402" s="1">
        <v>64.0</v>
      </c>
      <c r="Z402" s="455"/>
      <c r="AA402" s="455"/>
      <c r="AB402" s="455"/>
      <c r="AC402" s="455"/>
      <c r="AD402" s="455"/>
      <c r="AE402" s="455"/>
      <c r="AF402" s="1">
        <v>116.0</v>
      </c>
      <c r="AG402" s="290">
        <f t="shared" ref="AG402:AG409" si="142">sum(B402:AF402)</f>
        <v>297</v>
      </c>
    </row>
    <row r="403">
      <c r="A403" s="464" t="s">
        <v>1131</v>
      </c>
      <c r="B403" s="1">
        <v>0.0</v>
      </c>
      <c r="C403" s="1">
        <v>0.0</v>
      </c>
      <c r="D403" s="1">
        <v>0.0</v>
      </c>
      <c r="E403" s="1">
        <v>0.0</v>
      </c>
      <c r="F403" s="1">
        <v>0.0</v>
      </c>
      <c r="G403" s="1">
        <v>0.0</v>
      </c>
      <c r="H403" s="1">
        <v>0.0</v>
      </c>
      <c r="I403" s="1">
        <v>0.0</v>
      </c>
      <c r="J403" s="1">
        <v>0.0</v>
      </c>
      <c r="K403" s="1">
        <v>0.0</v>
      </c>
      <c r="L403" s="1">
        <v>0.0</v>
      </c>
      <c r="M403" s="1">
        <v>0.0</v>
      </c>
      <c r="N403" s="1">
        <v>0.0</v>
      </c>
      <c r="O403" s="1">
        <v>0.0</v>
      </c>
      <c r="P403" s="1">
        <v>0.0</v>
      </c>
      <c r="Q403" s="1">
        <v>0.0</v>
      </c>
      <c r="R403" s="1">
        <v>0.0</v>
      </c>
      <c r="S403" s="455"/>
      <c r="T403" s="455"/>
      <c r="U403" s="455"/>
      <c r="V403" s="455"/>
      <c r="W403" s="455"/>
      <c r="X403" s="455"/>
      <c r="Y403" s="1">
        <v>0.0</v>
      </c>
      <c r="Z403" s="455"/>
      <c r="AA403" s="455"/>
      <c r="AB403" s="455"/>
      <c r="AC403" s="455"/>
      <c r="AD403" s="455"/>
      <c r="AE403" s="455"/>
      <c r="AF403" s="1">
        <v>0.0</v>
      </c>
      <c r="AG403" s="290">
        <f t="shared" si="142"/>
        <v>0</v>
      </c>
    </row>
    <row r="404">
      <c r="A404" s="464" t="s">
        <v>1132</v>
      </c>
      <c r="B404" s="1">
        <v>0.0</v>
      </c>
      <c r="C404" s="1">
        <v>0.0</v>
      </c>
      <c r="D404" s="1">
        <v>0.0</v>
      </c>
      <c r="E404" s="1">
        <v>0.0</v>
      </c>
      <c r="F404" s="1">
        <v>0.0</v>
      </c>
      <c r="G404" s="1">
        <v>0.0</v>
      </c>
      <c r="H404" s="1">
        <v>0.0</v>
      </c>
      <c r="I404" s="1">
        <v>0.0</v>
      </c>
      <c r="J404" s="1">
        <v>0.0</v>
      </c>
      <c r="K404" s="1">
        <v>0.0</v>
      </c>
      <c r="L404" s="1">
        <v>0.0</v>
      </c>
      <c r="M404" s="1">
        <v>0.0</v>
      </c>
      <c r="N404" s="1">
        <v>0.0</v>
      </c>
      <c r="O404" s="1">
        <v>0.0</v>
      </c>
      <c r="P404" s="1">
        <v>0.0</v>
      </c>
      <c r="Q404" s="1">
        <v>0.0</v>
      </c>
      <c r="R404" s="1">
        <v>0.0</v>
      </c>
      <c r="S404" s="455"/>
      <c r="T404" s="455"/>
      <c r="U404" s="455"/>
      <c r="V404" s="455"/>
      <c r="W404" s="455"/>
      <c r="X404" s="455"/>
      <c r="Y404" s="1">
        <v>0.0</v>
      </c>
      <c r="Z404" s="455"/>
      <c r="AA404" s="455"/>
      <c r="AB404" s="455"/>
      <c r="AC404" s="455"/>
      <c r="AD404" s="455"/>
      <c r="AE404" s="455"/>
      <c r="AF404" s="1">
        <v>0.0</v>
      </c>
      <c r="AG404" s="290">
        <f t="shared" si="142"/>
        <v>0</v>
      </c>
    </row>
    <row r="405">
      <c r="A405" s="464" t="s">
        <v>1139</v>
      </c>
      <c r="B405" s="1">
        <v>0.0</v>
      </c>
      <c r="C405" s="1">
        <v>0.0</v>
      </c>
      <c r="D405" s="1">
        <v>0.0</v>
      </c>
      <c r="E405" s="1">
        <v>0.0</v>
      </c>
      <c r="F405" s="1">
        <v>0.0</v>
      </c>
      <c r="G405" s="1">
        <v>0.0</v>
      </c>
      <c r="H405" s="1">
        <v>0.0</v>
      </c>
      <c r="I405" s="1">
        <v>0.0</v>
      </c>
      <c r="J405" s="1">
        <v>0.0</v>
      </c>
      <c r="K405" s="1">
        <v>0.0</v>
      </c>
      <c r="L405" s="1">
        <v>0.0</v>
      </c>
      <c r="M405" s="1">
        <v>0.0</v>
      </c>
      <c r="N405" s="1">
        <v>0.0</v>
      </c>
      <c r="O405" s="1">
        <v>0.0</v>
      </c>
      <c r="P405" s="1">
        <v>0.0</v>
      </c>
      <c r="Q405" s="1">
        <v>0.0</v>
      </c>
      <c r="R405" s="1">
        <v>0.0</v>
      </c>
      <c r="S405" s="455"/>
      <c r="T405" s="455"/>
      <c r="U405" s="455"/>
      <c r="V405" s="455"/>
      <c r="W405" s="455"/>
      <c r="X405" s="455"/>
      <c r="Y405" s="1">
        <v>0.0</v>
      </c>
      <c r="Z405" s="455"/>
      <c r="AA405" s="455"/>
      <c r="AB405" s="455"/>
      <c r="AC405" s="455"/>
      <c r="AD405" s="455"/>
      <c r="AE405" s="455"/>
      <c r="AF405" s="1">
        <v>0.0</v>
      </c>
      <c r="AG405" s="290">
        <f t="shared" si="142"/>
        <v>0</v>
      </c>
    </row>
    <row r="406">
      <c r="A406" s="464" t="s">
        <v>1140</v>
      </c>
      <c r="B406" s="1">
        <v>0.0</v>
      </c>
      <c r="C406" s="1">
        <v>0.0</v>
      </c>
      <c r="D406" s="1">
        <v>0.0</v>
      </c>
      <c r="E406" s="1">
        <v>0.0</v>
      </c>
      <c r="F406" s="1">
        <v>0.0</v>
      </c>
      <c r="G406" s="1">
        <v>1.0</v>
      </c>
      <c r="H406" s="1">
        <v>0.0</v>
      </c>
      <c r="I406" s="1">
        <v>0.0</v>
      </c>
      <c r="J406" s="1">
        <v>0.0</v>
      </c>
      <c r="K406" s="1">
        <v>0.0</v>
      </c>
      <c r="L406" s="1">
        <v>0.0</v>
      </c>
      <c r="M406" s="1">
        <v>0.0</v>
      </c>
      <c r="N406" s="1">
        <v>0.0</v>
      </c>
      <c r="O406" s="1">
        <v>0.0</v>
      </c>
      <c r="P406" s="1">
        <v>0.0</v>
      </c>
      <c r="Q406" s="1">
        <v>0.0</v>
      </c>
      <c r="R406" s="1">
        <v>0.0</v>
      </c>
      <c r="S406" s="455"/>
      <c r="T406" s="455"/>
      <c r="U406" s="455"/>
      <c r="V406" s="455"/>
      <c r="W406" s="455"/>
      <c r="X406" s="455"/>
      <c r="Y406" s="1">
        <v>0.0</v>
      </c>
      <c r="Z406" s="455"/>
      <c r="AA406" s="455"/>
      <c r="AB406" s="455"/>
      <c r="AC406" s="455"/>
      <c r="AD406" s="455"/>
      <c r="AE406" s="455"/>
      <c r="AF406" s="1">
        <v>0.0</v>
      </c>
      <c r="AG406" s="290">
        <f t="shared" si="142"/>
        <v>1</v>
      </c>
    </row>
    <row r="407">
      <c r="A407" s="464" t="s">
        <v>1148</v>
      </c>
      <c r="B407" s="1">
        <v>0.0</v>
      </c>
      <c r="C407" s="1">
        <v>0.0</v>
      </c>
      <c r="D407" s="1">
        <v>0.0</v>
      </c>
      <c r="E407" s="1">
        <v>0.0</v>
      </c>
      <c r="F407" s="1">
        <v>0.0</v>
      </c>
      <c r="G407" s="1">
        <v>0.0</v>
      </c>
      <c r="H407" s="1">
        <v>0.0</v>
      </c>
      <c r="I407" s="1">
        <v>0.0</v>
      </c>
      <c r="J407" s="1">
        <v>0.0</v>
      </c>
      <c r="K407" s="1">
        <v>0.0</v>
      </c>
      <c r="L407" s="1">
        <v>0.0</v>
      </c>
      <c r="M407" s="1">
        <v>0.0</v>
      </c>
      <c r="N407" s="1">
        <v>0.0</v>
      </c>
      <c r="O407" s="1">
        <v>0.0</v>
      </c>
      <c r="P407" s="1">
        <v>0.0</v>
      </c>
      <c r="Q407" s="1">
        <v>0.0</v>
      </c>
      <c r="R407" s="1">
        <v>0.0</v>
      </c>
      <c r="S407" s="455"/>
      <c r="T407" s="455"/>
      <c r="U407" s="455"/>
      <c r="V407" s="455"/>
      <c r="W407" s="455"/>
      <c r="X407" s="455"/>
      <c r="Y407" s="1">
        <v>0.0</v>
      </c>
      <c r="Z407" s="455"/>
      <c r="AA407" s="455"/>
      <c r="AB407" s="455"/>
      <c r="AC407" s="455"/>
      <c r="AD407" s="455"/>
      <c r="AE407" s="455"/>
      <c r="AF407" s="1">
        <v>0.0</v>
      </c>
      <c r="AG407" s="290">
        <f t="shared" si="142"/>
        <v>0</v>
      </c>
    </row>
    <row r="408">
      <c r="A408" s="466" t="s">
        <v>871</v>
      </c>
      <c r="B408" s="467">
        <f t="shared" ref="B408:R408" si="143">B402+B404+B406</f>
        <v>0</v>
      </c>
      <c r="C408" s="467">
        <f t="shared" si="143"/>
        <v>0</v>
      </c>
      <c r="D408" s="467">
        <f t="shared" si="143"/>
        <v>20</v>
      </c>
      <c r="E408" s="467">
        <f t="shared" si="143"/>
        <v>16</v>
      </c>
      <c r="F408" s="467">
        <f t="shared" si="143"/>
        <v>0</v>
      </c>
      <c r="G408" s="467">
        <f t="shared" si="143"/>
        <v>14</v>
      </c>
      <c r="H408" s="467">
        <f t="shared" si="143"/>
        <v>0</v>
      </c>
      <c r="I408" s="467">
        <f t="shared" si="143"/>
        <v>21</v>
      </c>
      <c r="J408" s="467">
        <f t="shared" si="143"/>
        <v>0</v>
      </c>
      <c r="K408" s="467">
        <f t="shared" si="143"/>
        <v>0</v>
      </c>
      <c r="L408" s="467">
        <f t="shared" si="143"/>
        <v>0</v>
      </c>
      <c r="M408" s="467">
        <f t="shared" si="143"/>
        <v>0</v>
      </c>
      <c r="N408" s="467">
        <f t="shared" si="143"/>
        <v>0</v>
      </c>
      <c r="O408" s="467">
        <f t="shared" si="143"/>
        <v>0</v>
      </c>
      <c r="P408" s="467">
        <f t="shared" si="143"/>
        <v>0</v>
      </c>
      <c r="Q408" s="467">
        <f t="shared" si="143"/>
        <v>0</v>
      </c>
      <c r="R408" s="467">
        <f t="shared" si="143"/>
        <v>47</v>
      </c>
      <c r="S408" s="455"/>
      <c r="T408" s="455"/>
      <c r="U408" s="455"/>
      <c r="V408" s="455"/>
      <c r="W408" s="455"/>
      <c r="X408" s="455"/>
      <c r="Y408" s="467">
        <f t="shared" ref="Y408:Y409" si="145">Y402+Y404+Y406</f>
        <v>64</v>
      </c>
      <c r="Z408" s="455"/>
      <c r="AA408" s="455"/>
      <c r="AB408" s="455"/>
      <c r="AC408" s="455"/>
      <c r="AD408" s="455"/>
      <c r="AE408" s="455"/>
      <c r="AF408" s="467">
        <f t="shared" ref="AF408:AF409" si="146">AF402+AF404+AF406</f>
        <v>116</v>
      </c>
      <c r="AG408" s="290">
        <f t="shared" si="142"/>
        <v>298</v>
      </c>
    </row>
    <row r="409">
      <c r="A409" s="466" t="s">
        <v>1157</v>
      </c>
      <c r="B409" s="467">
        <f t="shared" ref="B409:R409" si="144">B403+B405+B407</f>
        <v>0</v>
      </c>
      <c r="C409" s="467">
        <f t="shared" si="144"/>
        <v>0</v>
      </c>
      <c r="D409" s="467">
        <f t="shared" si="144"/>
        <v>0</v>
      </c>
      <c r="E409" s="467">
        <f t="shared" si="144"/>
        <v>0</v>
      </c>
      <c r="F409" s="467">
        <f t="shared" si="144"/>
        <v>0</v>
      </c>
      <c r="G409" s="467">
        <f t="shared" si="144"/>
        <v>0</v>
      </c>
      <c r="H409" s="467">
        <f t="shared" si="144"/>
        <v>0</v>
      </c>
      <c r="I409" s="467">
        <f t="shared" si="144"/>
        <v>0</v>
      </c>
      <c r="J409" s="467">
        <f t="shared" si="144"/>
        <v>0</v>
      </c>
      <c r="K409" s="467">
        <f t="shared" si="144"/>
        <v>0</v>
      </c>
      <c r="L409" s="467">
        <f t="shared" si="144"/>
        <v>0</v>
      </c>
      <c r="M409" s="467">
        <f t="shared" si="144"/>
        <v>0</v>
      </c>
      <c r="N409" s="467">
        <f t="shared" si="144"/>
        <v>0</v>
      </c>
      <c r="O409" s="467">
        <f t="shared" si="144"/>
        <v>0</v>
      </c>
      <c r="P409" s="467">
        <f t="shared" si="144"/>
        <v>0</v>
      </c>
      <c r="Q409" s="467">
        <f t="shared" si="144"/>
        <v>0</v>
      </c>
      <c r="R409" s="467">
        <f t="shared" si="144"/>
        <v>0</v>
      </c>
      <c r="S409" s="455"/>
      <c r="T409" s="455"/>
      <c r="U409" s="455"/>
      <c r="V409" s="455"/>
      <c r="W409" s="455"/>
      <c r="X409" s="455"/>
      <c r="Y409" s="467">
        <f t="shared" si="145"/>
        <v>0</v>
      </c>
      <c r="Z409" s="455"/>
      <c r="AA409" s="455"/>
      <c r="AB409" s="455"/>
      <c r="AC409" s="455"/>
      <c r="AD409" s="455"/>
      <c r="AE409" s="455"/>
      <c r="AF409" s="467">
        <f t="shared" si="146"/>
        <v>0</v>
      </c>
      <c r="AG409" s="290">
        <f t="shared" si="142"/>
        <v>0</v>
      </c>
    </row>
    <row r="410">
      <c r="A410" s="336"/>
      <c r="S410" s="455"/>
      <c r="T410" s="455"/>
      <c r="U410" s="455"/>
      <c r="V410" s="455"/>
      <c r="W410" s="455"/>
      <c r="X410" s="455"/>
      <c r="Z410" s="455"/>
      <c r="AA410" s="455"/>
      <c r="AB410" s="455"/>
      <c r="AC410" s="455"/>
      <c r="AD410" s="455"/>
      <c r="AE410" s="455"/>
      <c r="AG410" s="358"/>
    </row>
    <row r="411">
      <c r="A411" s="464" t="s">
        <v>1166</v>
      </c>
      <c r="B411" s="1">
        <v>0.0</v>
      </c>
      <c r="C411" s="1">
        <v>0.0</v>
      </c>
      <c r="D411" s="1">
        <v>0.0</v>
      </c>
      <c r="E411" s="1">
        <v>0.0</v>
      </c>
      <c r="F411" s="1">
        <v>0.0</v>
      </c>
      <c r="G411" s="1">
        <v>0.0</v>
      </c>
      <c r="H411" s="1">
        <v>0.0</v>
      </c>
      <c r="I411" s="1">
        <v>0.0</v>
      </c>
      <c r="J411" s="1">
        <v>0.0</v>
      </c>
      <c r="K411" s="1">
        <v>0.0</v>
      </c>
      <c r="L411" s="1">
        <v>0.0</v>
      </c>
      <c r="M411" s="1">
        <v>0.0</v>
      </c>
      <c r="N411" s="1">
        <v>0.0</v>
      </c>
      <c r="O411" s="1">
        <v>0.0</v>
      </c>
      <c r="P411" s="1">
        <v>0.0</v>
      </c>
      <c r="Q411" s="1">
        <v>0.0</v>
      </c>
      <c r="R411" s="1">
        <v>0.0</v>
      </c>
      <c r="S411" s="455"/>
      <c r="T411" s="455"/>
      <c r="U411" s="455"/>
      <c r="V411" s="455"/>
      <c r="W411" s="455"/>
      <c r="X411" s="455"/>
      <c r="Y411" s="1">
        <v>0.0</v>
      </c>
      <c r="Z411" s="455"/>
      <c r="AA411" s="455"/>
      <c r="AB411" s="455"/>
      <c r="AC411" s="455"/>
      <c r="AD411" s="455"/>
      <c r="AE411" s="455"/>
      <c r="AF411" s="1">
        <v>0.0</v>
      </c>
      <c r="AG411" s="290">
        <f t="shared" ref="AG411:AG416" si="147">sum(B411:AF411)</f>
        <v>0</v>
      </c>
    </row>
    <row r="412">
      <c r="A412" s="464" t="s">
        <v>1173</v>
      </c>
      <c r="B412" s="1">
        <v>0.0</v>
      </c>
      <c r="C412" s="1">
        <v>0.0</v>
      </c>
      <c r="D412" s="1">
        <v>0.0</v>
      </c>
      <c r="E412" s="1">
        <v>0.0</v>
      </c>
      <c r="F412" s="1">
        <v>0.0</v>
      </c>
      <c r="G412" s="1">
        <v>0.0</v>
      </c>
      <c r="H412" s="1">
        <v>0.0</v>
      </c>
      <c r="I412" s="1">
        <v>0.0</v>
      </c>
      <c r="J412" s="1">
        <v>0.0</v>
      </c>
      <c r="K412" s="1">
        <v>0.0</v>
      </c>
      <c r="L412" s="1">
        <v>0.0</v>
      </c>
      <c r="M412" s="1">
        <v>0.0</v>
      </c>
      <c r="N412" s="1">
        <v>0.0</v>
      </c>
      <c r="O412" s="1">
        <v>0.0</v>
      </c>
      <c r="P412" s="1">
        <v>0.0</v>
      </c>
      <c r="Q412" s="1">
        <v>0.0</v>
      </c>
      <c r="R412" s="1">
        <v>0.0</v>
      </c>
      <c r="S412" s="455"/>
      <c r="T412" s="455"/>
      <c r="U412" s="455"/>
      <c r="V412" s="455"/>
      <c r="W412" s="455"/>
      <c r="X412" s="455"/>
      <c r="Y412" s="1">
        <v>0.0</v>
      </c>
      <c r="Z412" s="455"/>
      <c r="AA412" s="455"/>
      <c r="AB412" s="455"/>
      <c r="AC412" s="455"/>
      <c r="AD412" s="455"/>
      <c r="AE412" s="455"/>
      <c r="AF412" s="1">
        <v>0.0</v>
      </c>
      <c r="AG412" s="290">
        <f t="shared" si="147"/>
        <v>0</v>
      </c>
    </row>
    <row r="413">
      <c r="A413" s="464" t="s">
        <v>1177</v>
      </c>
      <c r="B413" s="1">
        <v>0.0</v>
      </c>
      <c r="C413" s="1">
        <v>0.0</v>
      </c>
      <c r="D413" s="1">
        <v>1.0</v>
      </c>
      <c r="E413" s="1">
        <v>0.0</v>
      </c>
      <c r="F413" s="1">
        <v>0.0</v>
      </c>
      <c r="G413" s="1">
        <v>0.0</v>
      </c>
      <c r="H413" s="1">
        <v>0.0</v>
      </c>
      <c r="I413" s="1">
        <v>0.0</v>
      </c>
      <c r="J413" s="1">
        <v>0.0</v>
      </c>
      <c r="K413" s="1">
        <v>0.0</v>
      </c>
      <c r="L413" s="1">
        <v>0.0</v>
      </c>
      <c r="M413" s="1">
        <v>0.0</v>
      </c>
      <c r="N413" s="1">
        <v>0.0</v>
      </c>
      <c r="O413" s="1">
        <v>0.0</v>
      </c>
      <c r="P413" s="1">
        <v>0.0</v>
      </c>
      <c r="Q413" s="1">
        <v>0.0</v>
      </c>
      <c r="R413" s="1">
        <v>0.0</v>
      </c>
      <c r="S413" s="455"/>
      <c r="T413" s="455"/>
      <c r="U413" s="455"/>
      <c r="V413" s="455"/>
      <c r="W413" s="455"/>
      <c r="X413" s="455"/>
      <c r="Y413" s="1">
        <v>1.0</v>
      </c>
      <c r="Z413" s="455"/>
      <c r="AA413" s="455"/>
      <c r="AB413" s="455"/>
      <c r="AC413" s="455"/>
      <c r="AD413" s="455"/>
      <c r="AE413" s="455"/>
      <c r="AF413" s="1">
        <v>1.0</v>
      </c>
      <c r="AG413" s="290">
        <f t="shared" si="147"/>
        <v>3</v>
      </c>
    </row>
    <row r="414">
      <c r="A414" s="464" t="s">
        <v>1180</v>
      </c>
      <c r="B414" s="1">
        <v>0.0</v>
      </c>
      <c r="C414" s="1">
        <v>0.0</v>
      </c>
      <c r="D414" s="1">
        <v>0.0</v>
      </c>
      <c r="E414" s="1">
        <v>0.0</v>
      </c>
      <c r="F414" s="1">
        <v>0.0</v>
      </c>
      <c r="G414" s="1">
        <v>1.0</v>
      </c>
      <c r="H414" s="1">
        <v>0.0</v>
      </c>
      <c r="I414" s="1">
        <v>0.0</v>
      </c>
      <c r="J414" s="1">
        <v>0.0</v>
      </c>
      <c r="K414" s="1">
        <v>0.0</v>
      </c>
      <c r="L414" s="1">
        <v>0.0</v>
      </c>
      <c r="M414" s="1">
        <v>0.0</v>
      </c>
      <c r="N414" s="1">
        <v>0.0</v>
      </c>
      <c r="O414" s="1">
        <v>0.0</v>
      </c>
      <c r="P414" s="1">
        <v>0.0</v>
      </c>
      <c r="Q414" s="1">
        <v>0.0</v>
      </c>
      <c r="R414" s="1">
        <v>1.0</v>
      </c>
      <c r="S414" s="455"/>
      <c r="T414" s="455"/>
      <c r="U414" s="455"/>
      <c r="V414" s="455"/>
      <c r="W414" s="455"/>
      <c r="X414" s="455"/>
      <c r="Y414" s="1">
        <v>0.0</v>
      </c>
      <c r="Z414" s="455"/>
      <c r="AA414" s="455"/>
      <c r="AB414" s="455"/>
      <c r="AC414" s="455"/>
      <c r="AD414" s="455"/>
      <c r="AE414" s="455"/>
      <c r="AF414" s="1">
        <v>0.0</v>
      </c>
      <c r="AG414" s="290">
        <f t="shared" si="147"/>
        <v>2</v>
      </c>
    </row>
    <row r="415">
      <c r="A415" s="464" t="s">
        <v>1184</v>
      </c>
      <c r="B415" s="1">
        <v>0.0</v>
      </c>
      <c r="C415" s="1">
        <v>0.0</v>
      </c>
      <c r="D415" s="1">
        <v>4.0</v>
      </c>
      <c r="E415" s="1">
        <v>0.0</v>
      </c>
      <c r="F415" s="1">
        <v>0.0</v>
      </c>
      <c r="G415" s="1">
        <v>14.0</v>
      </c>
      <c r="H415" s="1">
        <v>0.0</v>
      </c>
      <c r="I415" s="1">
        <v>3.0</v>
      </c>
      <c r="J415" s="1">
        <v>0.0</v>
      </c>
      <c r="K415" s="1">
        <v>0.0</v>
      </c>
      <c r="L415" s="1">
        <v>0.0</v>
      </c>
      <c r="M415" s="1">
        <v>0.0</v>
      </c>
      <c r="N415" s="1">
        <v>0.0</v>
      </c>
      <c r="O415" s="1">
        <v>0.0</v>
      </c>
      <c r="P415" s="1">
        <v>0.0</v>
      </c>
      <c r="Q415" s="1">
        <v>0.0</v>
      </c>
      <c r="R415" s="1">
        <v>14.0</v>
      </c>
      <c r="S415" s="455"/>
      <c r="T415" s="455"/>
      <c r="U415" s="455"/>
      <c r="V415" s="455"/>
      <c r="W415" s="455"/>
      <c r="X415" s="455"/>
      <c r="Y415" s="1">
        <v>24.0</v>
      </c>
      <c r="Z415" s="455"/>
      <c r="AA415" s="455"/>
      <c r="AB415" s="455"/>
      <c r="AC415" s="455"/>
      <c r="AD415" s="455"/>
      <c r="AE415" s="455"/>
      <c r="AF415" s="1">
        <v>46.0</v>
      </c>
      <c r="AG415" s="290">
        <f t="shared" si="147"/>
        <v>105</v>
      </c>
    </row>
    <row r="416">
      <c r="A416" s="468" t="s">
        <v>1189</v>
      </c>
      <c r="B416" s="467">
        <f t="shared" ref="B416:R416" si="148">SUM(B411:B415)</f>
        <v>0</v>
      </c>
      <c r="C416" s="467">
        <f t="shared" si="148"/>
        <v>0</v>
      </c>
      <c r="D416" s="467">
        <f t="shared" si="148"/>
        <v>5</v>
      </c>
      <c r="E416" s="467">
        <f t="shared" si="148"/>
        <v>0</v>
      </c>
      <c r="F416" s="467">
        <f t="shared" si="148"/>
        <v>0</v>
      </c>
      <c r="G416" s="467">
        <f t="shared" si="148"/>
        <v>15</v>
      </c>
      <c r="H416" s="467">
        <f t="shared" si="148"/>
        <v>0</v>
      </c>
      <c r="I416" s="467">
        <f t="shared" si="148"/>
        <v>3</v>
      </c>
      <c r="J416" s="467">
        <f t="shared" si="148"/>
        <v>0</v>
      </c>
      <c r="K416" s="467">
        <f t="shared" si="148"/>
        <v>0</v>
      </c>
      <c r="L416" s="467">
        <f t="shared" si="148"/>
        <v>0</v>
      </c>
      <c r="M416" s="467">
        <f t="shared" si="148"/>
        <v>0</v>
      </c>
      <c r="N416" s="467">
        <f t="shared" si="148"/>
        <v>0</v>
      </c>
      <c r="O416" s="467">
        <f t="shared" si="148"/>
        <v>0</v>
      </c>
      <c r="P416" s="467">
        <f t="shared" si="148"/>
        <v>0</v>
      </c>
      <c r="Q416" s="467">
        <f t="shared" si="148"/>
        <v>0</v>
      </c>
      <c r="R416" s="467">
        <f t="shared" si="148"/>
        <v>15</v>
      </c>
      <c r="S416" s="455"/>
      <c r="T416" s="455"/>
      <c r="U416" s="455"/>
      <c r="V416" s="455"/>
      <c r="W416" s="455"/>
      <c r="X416" s="455"/>
      <c r="Y416" s="467">
        <f>SUM(Y411:Y415)</f>
        <v>25</v>
      </c>
      <c r="Z416" s="455"/>
      <c r="AA416" s="455"/>
      <c r="AB416" s="455"/>
      <c r="AC416" s="455"/>
      <c r="AD416" s="455"/>
      <c r="AE416" s="455"/>
      <c r="AF416" s="467">
        <f>SUM(AF411:AF415)</f>
        <v>47</v>
      </c>
      <c r="AG416" s="290">
        <f t="shared" si="147"/>
        <v>110</v>
      </c>
    </row>
    <row r="417">
      <c r="A417" s="336"/>
      <c r="S417" s="455"/>
      <c r="T417" s="455"/>
      <c r="U417" s="455"/>
      <c r="V417" s="455"/>
      <c r="W417" s="455"/>
      <c r="X417" s="455"/>
      <c r="Z417" s="455"/>
      <c r="AA417" s="455"/>
      <c r="AB417" s="455"/>
      <c r="AC417" s="455"/>
      <c r="AD417" s="455"/>
      <c r="AE417" s="455"/>
      <c r="AG417" s="358"/>
    </row>
    <row r="418">
      <c r="A418" s="464" t="s">
        <v>1194</v>
      </c>
      <c r="B418" s="1">
        <v>0.0</v>
      </c>
      <c r="C418" s="1">
        <v>0.0</v>
      </c>
      <c r="D418" s="1">
        <v>0.0</v>
      </c>
      <c r="E418" s="1">
        <v>0.0</v>
      </c>
      <c r="F418" s="1">
        <v>0.0</v>
      </c>
      <c r="G418" s="1">
        <v>0.0</v>
      </c>
      <c r="H418" s="1">
        <v>0.0</v>
      </c>
      <c r="I418" s="1">
        <v>0.0</v>
      </c>
      <c r="J418" s="1">
        <v>0.0</v>
      </c>
      <c r="K418" s="1">
        <v>0.0</v>
      </c>
      <c r="L418" s="1">
        <v>0.0</v>
      </c>
      <c r="M418" s="1">
        <v>0.0</v>
      </c>
      <c r="N418" s="1">
        <v>0.0</v>
      </c>
      <c r="O418" s="1">
        <v>0.0</v>
      </c>
      <c r="P418" s="1">
        <v>0.0</v>
      </c>
      <c r="Q418" s="1">
        <v>0.0</v>
      </c>
      <c r="R418" s="1">
        <v>0.0</v>
      </c>
      <c r="S418" s="455"/>
      <c r="T418" s="455"/>
      <c r="U418" s="455"/>
      <c r="V418" s="455"/>
      <c r="W418" s="455"/>
      <c r="X418" s="455"/>
      <c r="Y418" s="1">
        <v>0.0</v>
      </c>
      <c r="Z418" s="455"/>
      <c r="AA418" s="455"/>
      <c r="AB418" s="455"/>
      <c r="AC418" s="455"/>
      <c r="AD418" s="455"/>
      <c r="AE418" s="455"/>
      <c r="AF418" s="1">
        <v>0.0</v>
      </c>
      <c r="AG418" s="290">
        <f t="shared" ref="AG418:AG423" si="149">sum(B418:AF418)</f>
        <v>0</v>
      </c>
    </row>
    <row r="419">
      <c r="A419" s="464" t="s">
        <v>1195</v>
      </c>
      <c r="B419" s="1">
        <v>0.0</v>
      </c>
      <c r="C419" s="1">
        <v>0.0</v>
      </c>
      <c r="D419" s="1">
        <v>0.0</v>
      </c>
      <c r="E419" s="1">
        <v>0.0</v>
      </c>
      <c r="F419" s="1">
        <v>0.0</v>
      </c>
      <c r="G419" s="1">
        <v>0.0</v>
      </c>
      <c r="H419" s="1">
        <v>0.0</v>
      </c>
      <c r="I419" s="1">
        <v>0.0</v>
      </c>
      <c r="J419" s="1">
        <v>0.0</v>
      </c>
      <c r="K419" s="1">
        <v>0.0</v>
      </c>
      <c r="L419" s="1">
        <v>0.0</v>
      </c>
      <c r="M419" s="1">
        <v>0.0</v>
      </c>
      <c r="N419" s="1">
        <v>0.0</v>
      </c>
      <c r="O419" s="1">
        <v>0.0</v>
      </c>
      <c r="P419" s="1">
        <v>0.0</v>
      </c>
      <c r="Q419" s="1">
        <v>0.0</v>
      </c>
      <c r="R419" s="1">
        <v>0.0</v>
      </c>
      <c r="S419" s="455"/>
      <c r="T419" s="455"/>
      <c r="U419" s="455"/>
      <c r="V419" s="455"/>
      <c r="W419" s="455"/>
      <c r="X419" s="455"/>
      <c r="Y419" s="1">
        <v>0.0</v>
      </c>
      <c r="Z419" s="455"/>
      <c r="AA419" s="455"/>
      <c r="AB419" s="455"/>
      <c r="AC419" s="455"/>
      <c r="AD419" s="455"/>
      <c r="AE419" s="455"/>
      <c r="AF419" s="1">
        <v>0.0</v>
      </c>
      <c r="AG419" s="290">
        <f t="shared" si="149"/>
        <v>0</v>
      </c>
    </row>
    <row r="420">
      <c r="A420" s="464" t="s">
        <v>1198</v>
      </c>
      <c r="B420" s="1">
        <v>0.0</v>
      </c>
      <c r="C420" s="1">
        <v>0.0</v>
      </c>
      <c r="D420" s="1">
        <v>0.0</v>
      </c>
      <c r="E420" s="1">
        <v>0.0</v>
      </c>
      <c r="F420" s="1">
        <v>0.0</v>
      </c>
      <c r="G420" s="1">
        <v>0.0</v>
      </c>
      <c r="H420" s="1">
        <v>0.0</v>
      </c>
      <c r="I420" s="1">
        <v>0.0</v>
      </c>
      <c r="J420" s="1">
        <v>0.0</v>
      </c>
      <c r="K420" s="1">
        <v>0.0</v>
      </c>
      <c r="L420" s="1">
        <v>0.0</v>
      </c>
      <c r="M420" s="1">
        <v>0.0</v>
      </c>
      <c r="N420" s="1">
        <v>0.0</v>
      </c>
      <c r="O420" s="1">
        <v>0.0</v>
      </c>
      <c r="P420" s="1">
        <v>0.0</v>
      </c>
      <c r="Q420" s="1">
        <v>0.0</v>
      </c>
      <c r="R420" s="1">
        <v>0.0</v>
      </c>
      <c r="S420" s="455"/>
      <c r="T420" s="455"/>
      <c r="U420" s="455"/>
      <c r="V420" s="455"/>
      <c r="W420" s="455"/>
      <c r="X420" s="455"/>
      <c r="Y420" s="1">
        <v>0.0</v>
      </c>
      <c r="Z420" s="455"/>
      <c r="AA420" s="455"/>
      <c r="AB420" s="455"/>
      <c r="AC420" s="455"/>
      <c r="AD420" s="455"/>
      <c r="AE420" s="455"/>
      <c r="AF420" s="1">
        <v>0.0</v>
      </c>
      <c r="AG420" s="290">
        <f t="shared" si="149"/>
        <v>0</v>
      </c>
    </row>
    <row r="421">
      <c r="A421" s="464" t="s">
        <v>1199</v>
      </c>
      <c r="B421" s="1">
        <v>0.0</v>
      </c>
      <c r="C421" s="1">
        <v>0.0</v>
      </c>
      <c r="D421" s="1">
        <v>0.0</v>
      </c>
      <c r="E421" s="1">
        <v>0.0</v>
      </c>
      <c r="F421" s="1">
        <v>0.0</v>
      </c>
      <c r="G421" s="1">
        <v>0.0</v>
      </c>
      <c r="H421" s="1">
        <v>0.0</v>
      </c>
      <c r="I421" s="1">
        <v>0.0</v>
      </c>
      <c r="J421" s="1">
        <v>0.0</v>
      </c>
      <c r="K421" s="1">
        <v>0.0</v>
      </c>
      <c r="L421" s="1">
        <v>0.0</v>
      </c>
      <c r="M421" s="1">
        <v>0.0</v>
      </c>
      <c r="N421" s="1">
        <v>0.0</v>
      </c>
      <c r="O421" s="1">
        <v>0.0</v>
      </c>
      <c r="P421" s="1">
        <v>0.0</v>
      </c>
      <c r="Q421" s="1">
        <v>0.0</v>
      </c>
      <c r="R421" s="1">
        <v>0.0</v>
      </c>
      <c r="S421" s="455"/>
      <c r="T421" s="455"/>
      <c r="U421" s="455"/>
      <c r="V421" s="455"/>
      <c r="W421" s="455"/>
      <c r="X421" s="455"/>
      <c r="Y421" s="1">
        <v>0.0</v>
      </c>
      <c r="Z421" s="455"/>
      <c r="AA421" s="455"/>
      <c r="AB421" s="455"/>
      <c r="AC421" s="455"/>
      <c r="AD421" s="455"/>
      <c r="AE421" s="455"/>
      <c r="AF421" s="1">
        <v>0.0</v>
      </c>
      <c r="AG421" s="290">
        <f t="shared" si="149"/>
        <v>0</v>
      </c>
    </row>
    <row r="422">
      <c r="A422" s="464" t="s">
        <v>1203</v>
      </c>
      <c r="B422" s="1">
        <v>0.0</v>
      </c>
      <c r="C422" s="1">
        <v>0.0</v>
      </c>
      <c r="D422" s="1">
        <v>0.0</v>
      </c>
      <c r="E422" s="1">
        <v>0.0</v>
      </c>
      <c r="F422" s="1">
        <v>0.0</v>
      </c>
      <c r="G422" s="1">
        <v>0.0</v>
      </c>
      <c r="H422" s="1">
        <v>0.0</v>
      </c>
      <c r="I422" s="1">
        <v>0.0</v>
      </c>
      <c r="J422" s="1">
        <v>0.0</v>
      </c>
      <c r="K422" s="1">
        <v>0.0</v>
      </c>
      <c r="L422" s="1">
        <v>0.0</v>
      </c>
      <c r="M422" s="1">
        <v>0.0</v>
      </c>
      <c r="N422" s="1">
        <v>0.0</v>
      </c>
      <c r="O422" s="1">
        <v>0.0</v>
      </c>
      <c r="P422" s="1">
        <v>0.0</v>
      </c>
      <c r="Q422" s="1">
        <v>0.0</v>
      </c>
      <c r="R422" s="1">
        <v>0.0</v>
      </c>
      <c r="S422" s="455"/>
      <c r="T422" s="455"/>
      <c r="U422" s="455"/>
      <c r="V422" s="455"/>
      <c r="W422" s="455"/>
      <c r="X422" s="455"/>
      <c r="Y422" s="1">
        <v>0.0</v>
      </c>
      <c r="Z422" s="455"/>
      <c r="AA422" s="455"/>
      <c r="AB422" s="455"/>
      <c r="AC422" s="455"/>
      <c r="AD422" s="455"/>
      <c r="AE422" s="455"/>
      <c r="AF422" s="1">
        <v>0.0</v>
      </c>
      <c r="AG422" s="290">
        <f t="shared" si="149"/>
        <v>0</v>
      </c>
    </row>
    <row r="423">
      <c r="A423" s="468" t="s">
        <v>1204</v>
      </c>
      <c r="B423" s="467">
        <f t="shared" ref="B423:R423" si="150">SUM(B418:B422)</f>
        <v>0</v>
      </c>
      <c r="C423" s="467">
        <f t="shared" si="150"/>
        <v>0</v>
      </c>
      <c r="D423" s="467">
        <f t="shared" si="150"/>
        <v>0</v>
      </c>
      <c r="E423" s="467">
        <f t="shared" si="150"/>
        <v>0</v>
      </c>
      <c r="F423" s="467">
        <f t="shared" si="150"/>
        <v>0</v>
      </c>
      <c r="G423" s="467">
        <f t="shared" si="150"/>
        <v>0</v>
      </c>
      <c r="H423" s="467">
        <f t="shared" si="150"/>
        <v>0</v>
      </c>
      <c r="I423" s="467">
        <f t="shared" si="150"/>
        <v>0</v>
      </c>
      <c r="J423" s="467">
        <f t="shared" si="150"/>
        <v>0</v>
      </c>
      <c r="K423" s="467">
        <f t="shared" si="150"/>
        <v>0</v>
      </c>
      <c r="L423" s="467">
        <f t="shared" si="150"/>
        <v>0</v>
      </c>
      <c r="M423" s="467">
        <f t="shared" si="150"/>
        <v>0</v>
      </c>
      <c r="N423" s="467">
        <f t="shared" si="150"/>
        <v>0</v>
      </c>
      <c r="O423" s="467">
        <f t="shared" si="150"/>
        <v>0</v>
      </c>
      <c r="P423" s="467">
        <f t="shared" si="150"/>
        <v>0</v>
      </c>
      <c r="Q423" s="467">
        <f t="shared" si="150"/>
        <v>0</v>
      </c>
      <c r="R423" s="467">
        <f t="shared" si="150"/>
        <v>0</v>
      </c>
      <c r="S423" s="455"/>
      <c r="T423" s="455"/>
      <c r="U423" s="455"/>
      <c r="V423" s="455"/>
      <c r="W423" s="455"/>
      <c r="X423" s="455"/>
      <c r="Y423" s="467">
        <f>SUM(Y418:Y422)</f>
        <v>0</v>
      </c>
      <c r="Z423" s="455"/>
      <c r="AA423" s="455"/>
      <c r="AB423" s="455"/>
      <c r="AC423" s="455"/>
      <c r="AD423" s="455"/>
      <c r="AE423" s="455"/>
      <c r="AF423" s="467">
        <f>SUM(AF418:AF422)</f>
        <v>0</v>
      </c>
      <c r="AG423" s="290">
        <f t="shared" si="149"/>
        <v>0</v>
      </c>
    </row>
    <row r="424">
      <c r="A424" s="336"/>
      <c r="S424" s="455"/>
      <c r="T424" s="455"/>
      <c r="U424" s="455"/>
      <c r="V424" s="455"/>
      <c r="W424" s="455"/>
      <c r="X424" s="455"/>
      <c r="Z424" s="455"/>
      <c r="AA424" s="455"/>
      <c r="AB424" s="455"/>
      <c r="AC424" s="455"/>
      <c r="AD424" s="455"/>
      <c r="AE424" s="455"/>
      <c r="AG424" s="358"/>
    </row>
    <row r="425">
      <c r="A425" s="464" t="s">
        <v>1211</v>
      </c>
      <c r="B425" s="1">
        <v>0.0</v>
      </c>
      <c r="C425" s="1">
        <v>0.0</v>
      </c>
      <c r="D425" s="1">
        <v>0.0</v>
      </c>
      <c r="E425" s="1">
        <v>0.0</v>
      </c>
      <c r="F425" s="1">
        <v>0.0</v>
      </c>
      <c r="G425" s="1">
        <v>0.0</v>
      </c>
      <c r="H425" s="1">
        <v>0.0</v>
      </c>
      <c r="I425" s="1">
        <v>0.0</v>
      </c>
      <c r="J425" s="1">
        <v>0.0</v>
      </c>
      <c r="K425" s="1">
        <v>0.0</v>
      </c>
      <c r="L425" s="1">
        <v>0.0</v>
      </c>
      <c r="M425" s="1">
        <v>0.0</v>
      </c>
      <c r="N425" s="1">
        <v>0.0</v>
      </c>
      <c r="O425" s="1">
        <v>0.0</v>
      </c>
      <c r="P425" s="1">
        <v>0.0</v>
      </c>
      <c r="Q425" s="1">
        <v>0.0</v>
      </c>
      <c r="R425" s="1">
        <v>0.0</v>
      </c>
      <c r="S425" s="455"/>
      <c r="T425" s="455"/>
      <c r="U425" s="455"/>
      <c r="V425" s="455"/>
      <c r="W425" s="455"/>
      <c r="X425" s="455"/>
      <c r="Y425" s="1">
        <v>0.0</v>
      </c>
      <c r="Z425" s="455"/>
      <c r="AA425" s="455"/>
      <c r="AB425" s="455"/>
      <c r="AC425" s="455"/>
      <c r="AD425" s="455"/>
      <c r="AE425" s="455"/>
      <c r="AF425" s="1">
        <v>0.0</v>
      </c>
      <c r="AG425" s="290">
        <f t="shared" ref="AG425:AG430" si="151">sum(B425:AF425)</f>
        <v>0</v>
      </c>
    </row>
    <row r="426">
      <c r="A426" s="464" t="s">
        <v>1218</v>
      </c>
      <c r="B426" s="1">
        <v>0.0</v>
      </c>
      <c r="C426" s="1">
        <v>0.0</v>
      </c>
      <c r="D426" s="1">
        <v>0.0</v>
      </c>
      <c r="E426" s="1">
        <v>0.0</v>
      </c>
      <c r="F426" s="1">
        <v>0.0</v>
      </c>
      <c r="G426" s="1">
        <v>0.0</v>
      </c>
      <c r="H426" s="1">
        <v>0.0</v>
      </c>
      <c r="I426" s="1">
        <v>0.0</v>
      </c>
      <c r="J426" s="1">
        <v>0.0</v>
      </c>
      <c r="K426" s="1">
        <v>0.0</v>
      </c>
      <c r="L426" s="1">
        <v>0.0</v>
      </c>
      <c r="M426" s="1">
        <v>0.0</v>
      </c>
      <c r="N426" s="1">
        <v>0.0</v>
      </c>
      <c r="O426" s="1">
        <v>0.0</v>
      </c>
      <c r="P426" s="1">
        <v>0.0</v>
      </c>
      <c r="Q426" s="1">
        <v>0.0</v>
      </c>
      <c r="R426" s="1">
        <v>0.0</v>
      </c>
      <c r="S426" s="455"/>
      <c r="T426" s="455"/>
      <c r="U426" s="455"/>
      <c r="V426" s="455"/>
      <c r="W426" s="455"/>
      <c r="X426" s="455"/>
      <c r="Y426" s="1">
        <v>0.0</v>
      </c>
      <c r="Z426" s="455"/>
      <c r="AA426" s="455"/>
      <c r="AB426" s="455"/>
      <c r="AC426" s="455"/>
      <c r="AD426" s="455"/>
      <c r="AE426" s="455"/>
      <c r="AF426" s="1">
        <v>0.0</v>
      </c>
      <c r="AG426" s="290">
        <f t="shared" si="151"/>
        <v>0</v>
      </c>
    </row>
    <row r="427">
      <c r="A427" s="464" t="s">
        <v>1221</v>
      </c>
      <c r="B427" s="1">
        <v>0.0</v>
      </c>
      <c r="C427" s="1">
        <v>0.0</v>
      </c>
      <c r="D427" s="1">
        <v>0.0</v>
      </c>
      <c r="E427" s="1">
        <v>0.0</v>
      </c>
      <c r="F427" s="1">
        <v>0.0</v>
      </c>
      <c r="G427" s="1">
        <v>0.0</v>
      </c>
      <c r="H427" s="1">
        <v>0.0</v>
      </c>
      <c r="I427" s="1">
        <v>0.0</v>
      </c>
      <c r="J427" s="1">
        <v>0.0</v>
      </c>
      <c r="K427" s="1">
        <v>0.0</v>
      </c>
      <c r="L427" s="1">
        <v>0.0</v>
      </c>
      <c r="M427" s="1">
        <v>0.0</v>
      </c>
      <c r="N427" s="1">
        <v>0.0</v>
      </c>
      <c r="O427" s="1">
        <v>0.0</v>
      </c>
      <c r="P427" s="1">
        <v>0.0</v>
      </c>
      <c r="Q427" s="1">
        <v>0.0</v>
      </c>
      <c r="R427" s="1">
        <v>0.0</v>
      </c>
      <c r="S427" s="455"/>
      <c r="T427" s="455"/>
      <c r="U427" s="455"/>
      <c r="V427" s="455"/>
      <c r="W427" s="455"/>
      <c r="X427" s="455"/>
      <c r="Y427" s="1">
        <v>0.0</v>
      </c>
      <c r="Z427" s="455"/>
      <c r="AA427" s="455"/>
      <c r="AB427" s="455"/>
      <c r="AC427" s="455"/>
      <c r="AD427" s="455"/>
      <c r="AE427" s="455"/>
      <c r="AF427" s="1">
        <v>0.0</v>
      </c>
      <c r="AG427" s="290">
        <f t="shared" si="151"/>
        <v>0</v>
      </c>
    </row>
    <row r="428">
      <c r="A428" s="464" t="s">
        <v>1223</v>
      </c>
      <c r="B428" s="1">
        <v>0.0</v>
      </c>
      <c r="C428" s="1">
        <v>0.0</v>
      </c>
      <c r="D428" s="1">
        <v>0.0</v>
      </c>
      <c r="E428" s="1">
        <v>0.0</v>
      </c>
      <c r="F428" s="1">
        <v>0.0</v>
      </c>
      <c r="G428" s="1">
        <v>0.0</v>
      </c>
      <c r="H428" s="1">
        <v>0.0</v>
      </c>
      <c r="I428" s="1">
        <v>0.0</v>
      </c>
      <c r="J428" s="1">
        <v>0.0</v>
      </c>
      <c r="K428" s="1">
        <v>0.0</v>
      </c>
      <c r="L428" s="1">
        <v>0.0</v>
      </c>
      <c r="M428" s="1">
        <v>0.0</v>
      </c>
      <c r="N428" s="1">
        <v>0.0</v>
      </c>
      <c r="O428" s="1">
        <v>0.0</v>
      </c>
      <c r="P428" s="1">
        <v>0.0</v>
      </c>
      <c r="Q428" s="1">
        <v>0.0</v>
      </c>
      <c r="R428" s="1">
        <v>0.0</v>
      </c>
      <c r="S428" s="455"/>
      <c r="T428" s="455"/>
      <c r="U428" s="455"/>
      <c r="V428" s="455"/>
      <c r="W428" s="455"/>
      <c r="X428" s="455"/>
      <c r="Y428" s="1">
        <v>0.0</v>
      </c>
      <c r="Z428" s="455"/>
      <c r="AA428" s="455"/>
      <c r="AB428" s="455"/>
      <c r="AC428" s="455"/>
      <c r="AD428" s="455"/>
      <c r="AE428" s="455"/>
      <c r="AF428" s="1">
        <v>0.0</v>
      </c>
      <c r="AG428" s="290">
        <f t="shared" si="151"/>
        <v>0</v>
      </c>
    </row>
    <row r="429">
      <c r="A429" s="464" t="s">
        <v>1230</v>
      </c>
      <c r="B429" s="1">
        <v>0.0</v>
      </c>
      <c r="C429" s="1">
        <v>0.0</v>
      </c>
      <c r="D429" s="1">
        <v>0.0</v>
      </c>
      <c r="E429" s="1">
        <v>0.0</v>
      </c>
      <c r="F429" s="1">
        <v>0.0</v>
      </c>
      <c r="G429" s="1">
        <v>1.0</v>
      </c>
      <c r="H429" s="1">
        <v>0.0</v>
      </c>
      <c r="I429" s="1">
        <v>0.0</v>
      </c>
      <c r="J429" s="1">
        <v>0.0</v>
      </c>
      <c r="K429" s="1">
        <v>0.0</v>
      </c>
      <c r="L429" s="1">
        <v>0.0</v>
      </c>
      <c r="M429" s="1">
        <v>0.0</v>
      </c>
      <c r="N429" s="1">
        <v>0.0</v>
      </c>
      <c r="O429" s="1">
        <v>0.0</v>
      </c>
      <c r="P429" s="1">
        <v>0.0</v>
      </c>
      <c r="Q429" s="1">
        <v>0.0</v>
      </c>
      <c r="R429" s="1">
        <v>0.0</v>
      </c>
      <c r="S429" s="455"/>
      <c r="T429" s="455"/>
      <c r="U429" s="455"/>
      <c r="V429" s="455"/>
      <c r="W429" s="455"/>
      <c r="X429" s="455"/>
      <c r="Y429" s="1">
        <v>0.0</v>
      </c>
      <c r="Z429" s="455"/>
      <c r="AA429" s="455"/>
      <c r="AB429" s="455"/>
      <c r="AC429" s="455"/>
      <c r="AD429" s="455"/>
      <c r="AE429" s="455"/>
      <c r="AF429" s="1">
        <v>0.0</v>
      </c>
      <c r="AG429" s="290">
        <f t="shared" si="151"/>
        <v>1</v>
      </c>
    </row>
    <row r="430">
      <c r="A430" s="468" t="s">
        <v>1231</v>
      </c>
      <c r="B430" s="467">
        <f t="shared" ref="B430:R430" si="152">SUM(B425:B429)</f>
        <v>0</v>
      </c>
      <c r="C430" s="467">
        <f t="shared" si="152"/>
        <v>0</v>
      </c>
      <c r="D430" s="467">
        <f t="shared" si="152"/>
        <v>0</v>
      </c>
      <c r="E430" s="467">
        <f t="shared" si="152"/>
        <v>0</v>
      </c>
      <c r="F430" s="467">
        <f t="shared" si="152"/>
        <v>0</v>
      </c>
      <c r="G430" s="467">
        <f t="shared" si="152"/>
        <v>1</v>
      </c>
      <c r="H430" s="467">
        <f t="shared" si="152"/>
        <v>0</v>
      </c>
      <c r="I430" s="467">
        <f t="shared" si="152"/>
        <v>0</v>
      </c>
      <c r="J430" s="467">
        <f t="shared" si="152"/>
        <v>0</v>
      </c>
      <c r="K430" s="467">
        <f t="shared" si="152"/>
        <v>0</v>
      </c>
      <c r="L430" s="467">
        <f t="shared" si="152"/>
        <v>0</v>
      </c>
      <c r="M430" s="467">
        <f t="shared" si="152"/>
        <v>0</v>
      </c>
      <c r="N430" s="467">
        <f t="shared" si="152"/>
        <v>0</v>
      </c>
      <c r="O430" s="467">
        <f t="shared" si="152"/>
        <v>0</v>
      </c>
      <c r="P430" s="467">
        <f t="shared" si="152"/>
        <v>0</v>
      </c>
      <c r="Q430" s="467">
        <f t="shared" si="152"/>
        <v>0</v>
      </c>
      <c r="R430" s="467">
        <f t="shared" si="152"/>
        <v>0</v>
      </c>
      <c r="S430" s="455"/>
      <c r="T430" s="455"/>
      <c r="U430" s="455"/>
      <c r="V430" s="455"/>
      <c r="W430" s="455"/>
      <c r="X430" s="455"/>
      <c r="Y430" s="467">
        <f>SUM(Y425:Y429)</f>
        <v>0</v>
      </c>
      <c r="Z430" s="455"/>
      <c r="AA430" s="455"/>
      <c r="AB430" s="455"/>
      <c r="AC430" s="455"/>
      <c r="AD430" s="455"/>
      <c r="AE430" s="455"/>
      <c r="AF430" s="467">
        <f>SUM(AF425:AF429)</f>
        <v>0</v>
      </c>
      <c r="AG430" s="290">
        <f t="shared" si="151"/>
        <v>1</v>
      </c>
    </row>
    <row r="431">
      <c r="A431" s="328"/>
      <c r="AG431" s="358"/>
    </row>
    <row r="432">
      <c r="A432" s="229" t="s">
        <v>1925</v>
      </c>
      <c r="B432" s="217"/>
      <c r="C432" s="217"/>
      <c r="D432" s="217"/>
      <c r="E432" s="217"/>
      <c r="F432" s="217"/>
      <c r="G432" s="217"/>
      <c r="H432" s="217"/>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82"/>
    </row>
    <row r="433">
      <c r="A433" s="470" t="s">
        <v>1124</v>
      </c>
      <c r="B433" s="369">
        <f t="shared" ref="B433:AF433" si="153">B208-B281</f>
        <v>85</v>
      </c>
      <c r="C433" s="369">
        <f t="shared" si="153"/>
        <v>69</v>
      </c>
      <c r="D433" s="369">
        <f t="shared" si="153"/>
        <v>58</v>
      </c>
      <c r="E433" s="369">
        <f t="shared" si="153"/>
        <v>263</v>
      </c>
      <c r="F433" s="369">
        <f t="shared" si="153"/>
        <v>213</v>
      </c>
      <c r="G433" s="369">
        <f t="shared" si="153"/>
        <v>72</v>
      </c>
      <c r="H433" s="369">
        <f t="shared" si="153"/>
        <v>30</v>
      </c>
      <c r="I433" s="369">
        <f t="shared" si="153"/>
        <v>23</v>
      </c>
      <c r="J433" s="369">
        <f t="shared" si="153"/>
        <v>20</v>
      </c>
      <c r="K433" s="369">
        <f t="shared" si="153"/>
        <v>43</v>
      </c>
      <c r="L433" s="369">
        <f t="shared" si="153"/>
        <v>30</v>
      </c>
      <c r="M433" s="369">
        <f t="shared" si="153"/>
        <v>9</v>
      </c>
      <c r="N433" s="369">
        <f t="shared" si="153"/>
        <v>17</v>
      </c>
      <c r="O433" s="369">
        <f t="shared" si="153"/>
        <v>14</v>
      </c>
      <c r="P433" s="369">
        <f t="shared" si="153"/>
        <v>24</v>
      </c>
      <c r="Q433" s="369">
        <f t="shared" si="153"/>
        <v>12</v>
      </c>
      <c r="R433" s="369">
        <f t="shared" si="153"/>
        <v>55</v>
      </c>
      <c r="S433" s="369">
        <f t="shared" si="153"/>
        <v>16</v>
      </c>
      <c r="T433" s="369">
        <f t="shared" si="153"/>
        <v>23</v>
      </c>
      <c r="U433" s="369">
        <f t="shared" si="153"/>
        <v>20</v>
      </c>
      <c r="V433" s="369">
        <f t="shared" si="153"/>
        <v>30</v>
      </c>
      <c r="W433" s="369">
        <f t="shared" si="153"/>
        <v>27</v>
      </c>
      <c r="X433" s="369">
        <f t="shared" si="153"/>
        <v>30</v>
      </c>
      <c r="Y433" s="369">
        <f t="shared" si="153"/>
        <v>28</v>
      </c>
      <c r="Z433" s="369">
        <f t="shared" si="153"/>
        <v>20</v>
      </c>
      <c r="AA433" s="369">
        <f t="shared" si="153"/>
        <v>28</v>
      </c>
      <c r="AB433" s="369">
        <f t="shared" si="153"/>
        <v>24</v>
      </c>
      <c r="AC433" s="369">
        <f t="shared" si="153"/>
        <v>30</v>
      </c>
      <c r="AD433" s="369">
        <f t="shared" si="153"/>
        <v>25</v>
      </c>
      <c r="AE433" s="369">
        <f t="shared" si="153"/>
        <v>22</v>
      </c>
      <c r="AF433" s="369">
        <f t="shared" si="153"/>
        <v>29</v>
      </c>
      <c r="AG433" s="290">
        <f t="shared" ref="AG433:AG440" si="155">SUM(B433:AF433)</f>
        <v>1389</v>
      </c>
    </row>
    <row r="434">
      <c r="A434" s="470" t="s">
        <v>1131</v>
      </c>
      <c r="B434" s="369">
        <f t="shared" ref="B434:AF434" si="154">B209-B282</f>
        <v>6</v>
      </c>
      <c r="C434" s="369">
        <f t="shared" si="154"/>
        <v>3</v>
      </c>
      <c r="D434" s="369">
        <f t="shared" si="154"/>
        <v>5</v>
      </c>
      <c r="E434" s="369">
        <f t="shared" si="154"/>
        <v>1</v>
      </c>
      <c r="F434" s="369">
        <f t="shared" si="154"/>
        <v>2</v>
      </c>
      <c r="G434" s="369">
        <f t="shared" si="154"/>
        <v>92</v>
      </c>
      <c r="H434" s="369">
        <f t="shared" si="154"/>
        <v>127</v>
      </c>
      <c r="I434" s="369">
        <f t="shared" si="154"/>
        <v>89</v>
      </c>
      <c r="J434" s="369">
        <f t="shared" si="154"/>
        <v>76</v>
      </c>
      <c r="K434" s="369">
        <f t="shared" si="154"/>
        <v>90</v>
      </c>
      <c r="L434" s="369">
        <f t="shared" si="154"/>
        <v>70</v>
      </c>
      <c r="M434" s="369">
        <f t="shared" si="154"/>
        <v>55</v>
      </c>
      <c r="N434" s="369">
        <f t="shared" si="154"/>
        <v>68</v>
      </c>
      <c r="O434" s="369">
        <f t="shared" si="154"/>
        <v>60</v>
      </c>
      <c r="P434" s="369">
        <f t="shared" si="154"/>
        <v>77</v>
      </c>
      <c r="Q434" s="369">
        <f t="shared" si="154"/>
        <v>61</v>
      </c>
      <c r="R434" s="369">
        <f t="shared" si="154"/>
        <v>48</v>
      </c>
      <c r="S434" s="369">
        <f t="shared" si="154"/>
        <v>47</v>
      </c>
      <c r="T434" s="369">
        <f t="shared" si="154"/>
        <v>67</v>
      </c>
      <c r="U434" s="369">
        <f t="shared" si="154"/>
        <v>66</v>
      </c>
      <c r="V434" s="369">
        <f t="shared" si="154"/>
        <v>75</v>
      </c>
      <c r="W434" s="369">
        <f t="shared" si="154"/>
        <v>62</v>
      </c>
      <c r="X434" s="369">
        <f t="shared" si="154"/>
        <v>57</v>
      </c>
      <c r="Y434" s="369">
        <f t="shared" si="154"/>
        <v>76</v>
      </c>
      <c r="Z434" s="369">
        <f t="shared" si="154"/>
        <v>68</v>
      </c>
      <c r="AA434" s="369">
        <f t="shared" si="154"/>
        <v>48</v>
      </c>
      <c r="AB434" s="369">
        <f t="shared" si="154"/>
        <v>71</v>
      </c>
      <c r="AC434" s="369">
        <f t="shared" si="154"/>
        <v>65</v>
      </c>
      <c r="AD434" s="369">
        <f t="shared" si="154"/>
        <v>81</v>
      </c>
      <c r="AE434" s="369">
        <f t="shared" si="154"/>
        <v>79</v>
      </c>
      <c r="AF434" s="369">
        <f t="shared" si="154"/>
        <v>77</v>
      </c>
      <c r="AG434" s="290">
        <f t="shared" si="155"/>
        <v>1869</v>
      </c>
    </row>
    <row r="435">
      <c r="A435" s="470" t="s">
        <v>1132</v>
      </c>
      <c r="B435" s="418">
        <f t="shared" ref="B435:AF435" si="156">B210-B283</f>
        <v>5</v>
      </c>
      <c r="C435" s="418">
        <f t="shared" si="156"/>
        <v>7</v>
      </c>
      <c r="D435" s="418">
        <f t="shared" si="156"/>
        <v>9</v>
      </c>
      <c r="E435" s="418">
        <f t="shared" si="156"/>
        <v>9</v>
      </c>
      <c r="F435" s="418">
        <f t="shared" si="156"/>
        <v>14</v>
      </c>
      <c r="G435" s="418">
        <f t="shared" si="156"/>
        <v>8</v>
      </c>
      <c r="H435" s="418">
        <f t="shared" si="156"/>
        <v>5</v>
      </c>
      <c r="I435" s="418">
        <f t="shared" si="156"/>
        <v>3</v>
      </c>
      <c r="J435" s="418">
        <f t="shared" si="156"/>
        <v>-3</v>
      </c>
      <c r="K435" s="418">
        <f t="shared" si="156"/>
        <v>0</v>
      </c>
      <c r="L435" s="418">
        <f t="shared" si="156"/>
        <v>1</v>
      </c>
      <c r="M435" s="418">
        <f t="shared" si="156"/>
        <v>0</v>
      </c>
      <c r="N435" s="418">
        <f t="shared" si="156"/>
        <v>0</v>
      </c>
      <c r="O435" s="418">
        <f t="shared" si="156"/>
        <v>0</v>
      </c>
      <c r="P435" s="418">
        <f t="shared" si="156"/>
        <v>3</v>
      </c>
      <c r="Q435" s="418">
        <f t="shared" si="156"/>
        <v>1</v>
      </c>
      <c r="R435" s="418">
        <f t="shared" si="156"/>
        <v>0</v>
      </c>
      <c r="S435" s="418">
        <f t="shared" si="156"/>
        <v>5</v>
      </c>
      <c r="T435" s="418">
        <f t="shared" si="156"/>
        <v>6</v>
      </c>
      <c r="U435" s="418">
        <f t="shared" si="156"/>
        <v>3</v>
      </c>
      <c r="V435" s="418">
        <f t="shared" si="156"/>
        <v>2</v>
      </c>
      <c r="W435" s="418">
        <f t="shared" si="156"/>
        <v>8</v>
      </c>
      <c r="X435" s="418">
        <f t="shared" si="156"/>
        <v>1</v>
      </c>
      <c r="Y435" s="418">
        <f t="shared" si="156"/>
        <v>7</v>
      </c>
      <c r="Z435" s="418">
        <f t="shared" si="156"/>
        <v>0</v>
      </c>
      <c r="AA435" s="418">
        <f t="shared" si="156"/>
        <v>3</v>
      </c>
      <c r="AB435" s="418">
        <f t="shared" si="156"/>
        <v>2</v>
      </c>
      <c r="AC435" s="418">
        <f t="shared" si="156"/>
        <v>5</v>
      </c>
      <c r="AD435" s="418">
        <f t="shared" si="156"/>
        <v>2</v>
      </c>
      <c r="AE435" s="418">
        <f t="shared" si="156"/>
        <v>1</v>
      </c>
      <c r="AF435" s="418">
        <f t="shared" si="156"/>
        <v>2</v>
      </c>
      <c r="AG435" s="290">
        <f t="shared" si="155"/>
        <v>109</v>
      </c>
    </row>
    <row r="436">
      <c r="A436" s="470" t="s">
        <v>1139</v>
      </c>
      <c r="B436" s="418">
        <f t="shared" ref="B436:AF436" si="157">B211-B284</f>
        <v>0</v>
      </c>
      <c r="C436" s="418">
        <f t="shared" si="157"/>
        <v>0</v>
      </c>
      <c r="D436" s="418">
        <f t="shared" si="157"/>
        <v>0</v>
      </c>
      <c r="E436" s="418">
        <f t="shared" si="157"/>
        <v>-3</v>
      </c>
      <c r="F436" s="418">
        <f t="shared" si="157"/>
        <v>0</v>
      </c>
      <c r="G436" s="418">
        <f t="shared" si="157"/>
        <v>10</v>
      </c>
      <c r="H436" s="418">
        <f t="shared" si="157"/>
        <v>15</v>
      </c>
      <c r="I436" s="418">
        <f t="shared" si="157"/>
        <v>9</v>
      </c>
      <c r="J436" s="418">
        <f t="shared" si="157"/>
        <v>11</v>
      </c>
      <c r="K436" s="418">
        <f t="shared" si="157"/>
        <v>-5</v>
      </c>
      <c r="L436" s="418">
        <f t="shared" si="157"/>
        <v>0</v>
      </c>
      <c r="M436" s="418">
        <f t="shared" si="157"/>
        <v>1</v>
      </c>
      <c r="N436" s="418">
        <f t="shared" si="157"/>
        <v>7</v>
      </c>
      <c r="O436" s="418">
        <f t="shared" si="157"/>
        <v>6</v>
      </c>
      <c r="P436" s="418">
        <f t="shared" si="157"/>
        <v>8</v>
      </c>
      <c r="Q436" s="418">
        <f t="shared" si="157"/>
        <v>11</v>
      </c>
      <c r="R436" s="418">
        <f t="shared" si="157"/>
        <v>2</v>
      </c>
      <c r="S436" s="418">
        <f t="shared" si="157"/>
        <v>11</v>
      </c>
      <c r="T436" s="418">
        <f t="shared" si="157"/>
        <v>6</v>
      </c>
      <c r="U436" s="418">
        <f t="shared" si="157"/>
        <v>6</v>
      </c>
      <c r="V436" s="418">
        <f t="shared" si="157"/>
        <v>10</v>
      </c>
      <c r="W436" s="418">
        <f t="shared" si="157"/>
        <v>10</v>
      </c>
      <c r="X436" s="418">
        <f t="shared" si="157"/>
        <v>6</v>
      </c>
      <c r="Y436" s="418">
        <f t="shared" si="157"/>
        <v>4</v>
      </c>
      <c r="Z436" s="418">
        <f t="shared" si="157"/>
        <v>13</v>
      </c>
      <c r="AA436" s="418">
        <f t="shared" si="157"/>
        <v>8</v>
      </c>
      <c r="AB436" s="418">
        <f t="shared" si="157"/>
        <v>10</v>
      </c>
      <c r="AC436" s="418">
        <f t="shared" si="157"/>
        <v>11</v>
      </c>
      <c r="AD436" s="418">
        <f t="shared" si="157"/>
        <v>9</v>
      </c>
      <c r="AE436" s="418">
        <f t="shared" si="157"/>
        <v>9</v>
      </c>
      <c r="AF436" s="418">
        <f t="shared" si="157"/>
        <v>10</v>
      </c>
      <c r="AG436" s="290">
        <f t="shared" si="155"/>
        <v>195</v>
      </c>
    </row>
    <row r="437">
      <c r="A437" s="470" t="s">
        <v>1140</v>
      </c>
      <c r="B437" s="416">
        <f t="shared" ref="B437:AF437" si="158">B212-B285</f>
        <v>0</v>
      </c>
      <c r="C437" s="416">
        <f t="shared" si="158"/>
        <v>0</v>
      </c>
      <c r="D437" s="416">
        <f t="shared" si="158"/>
        <v>0</v>
      </c>
      <c r="E437" s="416">
        <f t="shared" si="158"/>
        <v>0</v>
      </c>
      <c r="F437" s="416">
        <f t="shared" si="158"/>
        <v>0</v>
      </c>
      <c r="G437" s="416">
        <f t="shared" si="158"/>
        <v>0</v>
      </c>
      <c r="H437" s="416">
        <f t="shared" si="158"/>
        <v>0</v>
      </c>
      <c r="I437" s="416">
        <f t="shared" si="158"/>
        <v>0</v>
      </c>
      <c r="J437" s="416">
        <f t="shared" si="158"/>
        <v>-1</v>
      </c>
      <c r="K437" s="416">
        <f t="shared" si="158"/>
        <v>-1</v>
      </c>
      <c r="L437" s="416">
        <f t="shared" si="158"/>
        <v>-1</v>
      </c>
      <c r="M437" s="416">
        <f t="shared" si="158"/>
        <v>0</v>
      </c>
      <c r="N437" s="416">
        <f t="shared" si="158"/>
        <v>-2</v>
      </c>
      <c r="O437" s="416">
        <f t="shared" si="158"/>
        <v>0</v>
      </c>
      <c r="P437" s="416">
        <f t="shared" si="158"/>
        <v>0</v>
      </c>
      <c r="Q437" s="416">
        <f t="shared" si="158"/>
        <v>0</v>
      </c>
      <c r="R437" s="416">
        <f t="shared" si="158"/>
        <v>0</v>
      </c>
      <c r="S437" s="416">
        <f t="shared" si="158"/>
        <v>0</v>
      </c>
      <c r="T437" s="416">
        <f t="shared" si="158"/>
        <v>0</v>
      </c>
      <c r="U437" s="416">
        <f t="shared" si="158"/>
        <v>0</v>
      </c>
      <c r="V437" s="416">
        <f t="shared" si="158"/>
        <v>0</v>
      </c>
      <c r="W437" s="416">
        <f t="shared" si="158"/>
        <v>0</v>
      </c>
      <c r="X437" s="416">
        <f t="shared" si="158"/>
        <v>0</v>
      </c>
      <c r="Y437" s="416">
        <f t="shared" si="158"/>
        <v>0</v>
      </c>
      <c r="Z437" s="416">
        <f t="shared" si="158"/>
        <v>0</v>
      </c>
      <c r="AA437" s="416">
        <f t="shared" si="158"/>
        <v>-1</v>
      </c>
      <c r="AB437" s="416">
        <f t="shared" si="158"/>
        <v>0</v>
      </c>
      <c r="AC437" s="416">
        <f t="shared" si="158"/>
        <v>0</v>
      </c>
      <c r="AD437" s="416">
        <f t="shared" si="158"/>
        <v>0</v>
      </c>
      <c r="AE437" s="416">
        <f t="shared" si="158"/>
        <v>0</v>
      </c>
      <c r="AF437" s="416">
        <f t="shared" si="158"/>
        <v>0</v>
      </c>
      <c r="AG437" s="290">
        <f t="shared" si="155"/>
        <v>-6</v>
      </c>
    </row>
    <row r="438">
      <c r="A438" s="470" t="s">
        <v>1148</v>
      </c>
      <c r="B438" s="416">
        <f t="shared" ref="B438:AF438" si="159">B213-B286</f>
        <v>0</v>
      </c>
      <c r="C438" s="416">
        <f t="shared" si="159"/>
        <v>0</v>
      </c>
      <c r="D438" s="416">
        <f t="shared" si="159"/>
        <v>0</v>
      </c>
      <c r="E438" s="416">
        <f t="shared" si="159"/>
        <v>0</v>
      </c>
      <c r="F438" s="416">
        <f t="shared" si="159"/>
        <v>0</v>
      </c>
      <c r="G438" s="416">
        <f t="shared" si="159"/>
        <v>0</v>
      </c>
      <c r="H438" s="416">
        <f t="shared" si="159"/>
        <v>0</v>
      </c>
      <c r="I438" s="416">
        <f t="shared" si="159"/>
        <v>0</v>
      </c>
      <c r="J438" s="416">
        <f t="shared" si="159"/>
        <v>0</v>
      </c>
      <c r="K438" s="416">
        <f t="shared" si="159"/>
        <v>0</v>
      </c>
      <c r="L438" s="416">
        <f t="shared" si="159"/>
        <v>0</v>
      </c>
      <c r="M438" s="416">
        <f t="shared" si="159"/>
        <v>0</v>
      </c>
      <c r="N438" s="416">
        <f t="shared" si="159"/>
        <v>0</v>
      </c>
      <c r="O438" s="416">
        <f t="shared" si="159"/>
        <v>0</v>
      </c>
      <c r="P438" s="416">
        <f t="shared" si="159"/>
        <v>0</v>
      </c>
      <c r="Q438" s="416">
        <f t="shared" si="159"/>
        <v>0</v>
      </c>
      <c r="R438" s="416">
        <f t="shared" si="159"/>
        <v>-1</v>
      </c>
      <c r="S438" s="416">
        <f t="shared" si="159"/>
        <v>0</v>
      </c>
      <c r="T438" s="416">
        <f t="shared" si="159"/>
        <v>0</v>
      </c>
      <c r="U438" s="416">
        <f t="shared" si="159"/>
        <v>0</v>
      </c>
      <c r="V438" s="416">
        <f t="shared" si="159"/>
        <v>0</v>
      </c>
      <c r="W438" s="416">
        <f t="shared" si="159"/>
        <v>0</v>
      </c>
      <c r="X438" s="416">
        <f t="shared" si="159"/>
        <v>0</v>
      </c>
      <c r="Y438" s="416">
        <f t="shared" si="159"/>
        <v>0</v>
      </c>
      <c r="Z438" s="416">
        <f t="shared" si="159"/>
        <v>0</v>
      </c>
      <c r="AA438" s="416">
        <f t="shared" si="159"/>
        <v>-1</v>
      </c>
      <c r="AB438" s="416">
        <f t="shared" si="159"/>
        <v>0</v>
      </c>
      <c r="AC438" s="416">
        <f t="shared" si="159"/>
        <v>0</v>
      </c>
      <c r="AD438" s="416">
        <f t="shared" si="159"/>
        <v>0</v>
      </c>
      <c r="AE438" s="416">
        <f t="shared" si="159"/>
        <v>0</v>
      </c>
      <c r="AF438" s="416">
        <f t="shared" si="159"/>
        <v>0</v>
      </c>
      <c r="AG438" s="290">
        <f t="shared" si="155"/>
        <v>-2</v>
      </c>
    </row>
    <row r="439">
      <c r="A439" s="471" t="s">
        <v>871</v>
      </c>
      <c r="B439" s="472">
        <f t="shared" ref="B439:AF439" si="160">B433+B435+B437</f>
        <v>90</v>
      </c>
      <c r="C439" s="472">
        <f t="shared" si="160"/>
        <v>76</v>
      </c>
      <c r="D439" s="472">
        <f t="shared" si="160"/>
        <v>67</v>
      </c>
      <c r="E439" s="472">
        <f t="shared" si="160"/>
        <v>272</v>
      </c>
      <c r="F439" s="472">
        <f t="shared" si="160"/>
        <v>227</v>
      </c>
      <c r="G439" s="472">
        <f t="shared" si="160"/>
        <v>80</v>
      </c>
      <c r="H439" s="472">
        <f t="shared" si="160"/>
        <v>35</v>
      </c>
      <c r="I439" s="472">
        <f t="shared" si="160"/>
        <v>26</v>
      </c>
      <c r="J439" s="472">
        <f t="shared" si="160"/>
        <v>16</v>
      </c>
      <c r="K439" s="472">
        <f t="shared" si="160"/>
        <v>42</v>
      </c>
      <c r="L439" s="472">
        <f t="shared" si="160"/>
        <v>30</v>
      </c>
      <c r="M439" s="472">
        <f t="shared" si="160"/>
        <v>9</v>
      </c>
      <c r="N439" s="472">
        <f t="shared" si="160"/>
        <v>15</v>
      </c>
      <c r="O439" s="472">
        <f t="shared" si="160"/>
        <v>14</v>
      </c>
      <c r="P439" s="472">
        <f t="shared" si="160"/>
        <v>27</v>
      </c>
      <c r="Q439" s="472">
        <f t="shared" si="160"/>
        <v>13</v>
      </c>
      <c r="R439" s="472">
        <f t="shared" si="160"/>
        <v>55</v>
      </c>
      <c r="S439" s="472">
        <f t="shared" si="160"/>
        <v>21</v>
      </c>
      <c r="T439" s="472">
        <f t="shared" si="160"/>
        <v>29</v>
      </c>
      <c r="U439" s="472">
        <f t="shared" si="160"/>
        <v>23</v>
      </c>
      <c r="V439" s="472">
        <f t="shared" si="160"/>
        <v>32</v>
      </c>
      <c r="W439" s="472">
        <f t="shared" si="160"/>
        <v>35</v>
      </c>
      <c r="X439" s="472">
        <f t="shared" si="160"/>
        <v>31</v>
      </c>
      <c r="Y439" s="472">
        <f t="shared" si="160"/>
        <v>35</v>
      </c>
      <c r="Z439" s="472">
        <f t="shared" si="160"/>
        <v>20</v>
      </c>
      <c r="AA439" s="472">
        <f t="shared" si="160"/>
        <v>30</v>
      </c>
      <c r="AB439" s="472">
        <f t="shared" si="160"/>
        <v>26</v>
      </c>
      <c r="AC439" s="472">
        <f t="shared" si="160"/>
        <v>35</v>
      </c>
      <c r="AD439" s="472">
        <f t="shared" si="160"/>
        <v>27</v>
      </c>
      <c r="AE439" s="472">
        <f t="shared" si="160"/>
        <v>23</v>
      </c>
      <c r="AF439" s="472">
        <f t="shared" si="160"/>
        <v>31</v>
      </c>
      <c r="AG439" s="290">
        <f t="shared" si="155"/>
        <v>1492</v>
      </c>
    </row>
    <row r="440">
      <c r="A440" s="471" t="s">
        <v>1264</v>
      </c>
      <c r="B440" s="472">
        <f t="shared" ref="B440:AF440" si="161">B434+B436+B438</f>
        <v>6</v>
      </c>
      <c r="C440" s="472">
        <f t="shared" si="161"/>
        <v>3</v>
      </c>
      <c r="D440" s="472">
        <f t="shared" si="161"/>
        <v>5</v>
      </c>
      <c r="E440" s="472">
        <f t="shared" si="161"/>
        <v>-2</v>
      </c>
      <c r="F440" s="472">
        <f t="shared" si="161"/>
        <v>2</v>
      </c>
      <c r="G440" s="472">
        <f t="shared" si="161"/>
        <v>102</v>
      </c>
      <c r="H440" s="472">
        <f t="shared" si="161"/>
        <v>142</v>
      </c>
      <c r="I440" s="472">
        <f t="shared" si="161"/>
        <v>98</v>
      </c>
      <c r="J440" s="472">
        <f t="shared" si="161"/>
        <v>87</v>
      </c>
      <c r="K440" s="472">
        <f t="shared" si="161"/>
        <v>85</v>
      </c>
      <c r="L440" s="472">
        <f t="shared" si="161"/>
        <v>70</v>
      </c>
      <c r="M440" s="472">
        <f t="shared" si="161"/>
        <v>56</v>
      </c>
      <c r="N440" s="472">
        <f t="shared" si="161"/>
        <v>75</v>
      </c>
      <c r="O440" s="472">
        <f t="shared" si="161"/>
        <v>66</v>
      </c>
      <c r="P440" s="472">
        <f t="shared" si="161"/>
        <v>85</v>
      </c>
      <c r="Q440" s="472">
        <f t="shared" si="161"/>
        <v>72</v>
      </c>
      <c r="R440" s="472">
        <f t="shared" si="161"/>
        <v>49</v>
      </c>
      <c r="S440" s="472">
        <f t="shared" si="161"/>
        <v>58</v>
      </c>
      <c r="T440" s="472">
        <f t="shared" si="161"/>
        <v>73</v>
      </c>
      <c r="U440" s="472">
        <f t="shared" si="161"/>
        <v>72</v>
      </c>
      <c r="V440" s="472">
        <f t="shared" si="161"/>
        <v>85</v>
      </c>
      <c r="W440" s="472">
        <f t="shared" si="161"/>
        <v>72</v>
      </c>
      <c r="X440" s="472">
        <f t="shared" si="161"/>
        <v>63</v>
      </c>
      <c r="Y440" s="472">
        <f t="shared" si="161"/>
        <v>80</v>
      </c>
      <c r="Z440" s="472">
        <f t="shared" si="161"/>
        <v>81</v>
      </c>
      <c r="AA440" s="472">
        <f t="shared" si="161"/>
        <v>55</v>
      </c>
      <c r="AB440" s="472">
        <f t="shared" si="161"/>
        <v>81</v>
      </c>
      <c r="AC440" s="472">
        <f t="shared" si="161"/>
        <v>76</v>
      </c>
      <c r="AD440" s="472">
        <f t="shared" si="161"/>
        <v>90</v>
      </c>
      <c r="AE440" s="472">
        <f t="shared" si="161"/>
        <v>88</v>
      </c>
      <c r="AF440" s="472">
        <f t="shared" si="161"/>
        <v>87</v>
      </c>
      <c r="AG440" s="290">
        <f t="shared" si="155"/>
        <v>2062</v>
      </c>
    </row>
    <row r="441">
      <c r="A441" s="26"/>
      <c r="B441" s="217"/>
      <c r="C441" s="217"/>
      <c r="D441" s="217"/>
      <c r="E441" s="217"/>
      <c r="F441" s="217"/>
      <c r="G441" s="217"/>
      <c r="H441" s="217"/>
      <c r="I441" s="217"/>
      <c r="J441" s="217"/>
      <c r="K441" s="217"/>
      <c r="L441" s="217"/>
      <c r="M441" s="217"/>
      <c r="N441" s="217"/>
      <c r="O441" s="217"/>
      <c r="P441" s="217"/>
      <c r="Q441" s="217"/>
      <c r="R441" s="217"/>
      <c r="S441" s="217"/>
      <c r="T441" s="217"/>
      <c r="U441" s="217"/>
      <c r="V441" s="217"/>
      <c r="W441" s="217"/>
      <c r="X441" s="217"/>
      <c r="Y441" s="217"/>
      <c r="Z441" s="217"/>
      <c r="AA441" s="217"/>
      <c r="AB441" s="217"/>
      <c r="AC441" s="217"/>
      <c r="AD441" s="217"/>
      <c r="AE441" s="217"/>
      <c r="AF441" s="217"/>
      <c r="AG441" s="290"/>
    </row>
    <row r="442">
      <c r="A442" s="470" t="s">
        <v>1166</v>
      </c>
      <c r="B442" s="369">
        <f t="shared" ref="B442:AF442" si="162">B217-B290</f>
        <v>66</v>
      </c>
      <c r="C442" s="369">
        <f t="shared" si="162"/>
        <v>58</v>
      </c>
      <c r="D442" s="369">
        <f t="shared" si="162"/>
        <v>38</v>
      </c>
      <c r="E442" s="369">
        <f t="shared" si="162"/>
        <v>139</v>
      </c>
      <c r="F442" s="369">
        <f t="shared" si="162"/>
        <v>115</v>
      </c>
      <c r="G442" s="369">
        <f t="shared" si="162"/>
        <v>86</v>
      </c>
      <c r="H442" s="369">
        <f t="shared" si="162"/>
        <v>102</v>
      </c>
      <c r="I442" s="369">
        <f t="shared" si="162"/>
        <v>70</v>
      </c>
      <c r="J442" s="369">
        <f t="shared" si="162"/>
        <v>68</v>
      </c>
      <c r="K442" s="369">
        <f t="shared" si="162"/>
        <v>92</v>
      </c>
      <c r="L442" s="369">
        <f t="shared" si="162"/>
        <v>55</v>
      </c>
      <c r="M442" s="369">
        <f t="shared" si="162"/>
        <v>33</v>
      </c>
      <c r="N442" s="369">
        <f t="shared" si="162"/>
        <v>47</v>
      </c>
      <c r="O442" s="369">
        <f t="shared" si="162"/>
        <v>45</v>
      </c>
      <c r="P442" s="369">
        <f t="shared" si="162"/>
        <v>62</v>
      </c>
      <c r="Q442" s="369">
        <f t="shared" si="162"/>
        <v>41</v>
      </c>
      <c r="R442" s="369">
        <f t="shared" si="162"/>
        <v>43</v>
      </c>
      <c r="S442" s="369">
        <f t="shared" si="162"/>
        <v>35</v>
      </c>
      <c r="T442" s="369">
        <f t="shared" si="162"/>
        <v>36</v>
      </c>
      <c r="U442" s="369">
        <f t="shared" si="162"/>
        <v>36</v>
      </c>
      <c r="V442" s="369">
        <f t="shared" si="162"/>
        <v>58</v>
      </c>
      <c r="W442" s="369">
        <f t="shared" si="162"/>
        <v>31</v>
      </c>
      <c r="X442" s="369">
        <f t="shared" si="162"/>
        <v>36</v>
      </c>
      <c r="Y442" s="369">
        <f t="shared" si="162"/>
        <v>43</v>
      </c>
      <c r="Z442" s="369">
        <f t="shared" si="162"/>
        <v>37</v>
      </c>
      <c r="AA442" s="369">
        <f t="shared" si="162"/>
        <v>39</v>
      </c>
      <c r="AB442" s="369">
        <f t="shared" si="162"/>
        <v>52</v>
      </c>
      <c r="AC442" s="369">
        <f t="shared" si="162"/>
        <v>40</v>
      </c>
      <c r="AD442" s="369">
        <f t="shared" si="162"/>
        <v>51</v>
      </c>
      <c r="AE442" s="369">
        <f t="shared" si="162"/>
        <v>45</v>
      </c>
      <c r="AF442" s="369">
        <f t="shared" si="162"/>
        <v>43</v>
      </c>
      <c r="AG442" s="290">
        <f t="shared" ref="AG442:AG447" si="164">SUM(B442:AF442)</f>
        <v>1742</v>
      </c>
    </row>
    <row r="443">
      <c r="A443" s="470" t="s">
        <v>1173</v>
      </c>
      <c r="B443" s="369">
        <f t="shared" ref="B443:AF443" si="163">B218-B291</f>
        <v>0</v>
      </c>
      <c r="C443" s="369">
        <f t="shared" si="163"/>
        <v>0</v>
      </c>
      <c r="D443" s="369">
        <f t="shared" si="163"/>
        <v>-1</v>
      </c>
      <c r="E443" s="369">
        <f t="shared" si="163"/>
        <v>-1</v>
      </c>
      <c r="F443" s="369">
        <f t="shared" si="163"/>
        <v>0</v>
      </c>
      <c r="G443" s="369">
        <f t="shared" si="163"/>
        <v>0</v>
      </c>
      <c r="H443" s="369">
        <f t="shared" si="163"/>
        <v>0</v>
      </c>
      <c r="I443" s="369">
        <f t="shared" si="163"/>
        <v>0</v>
      </c>
      <c r="J443" s="369">
        <f t="shared" si="163"/>
        <v>0</v>
      </c>
      <c r="K443" s="369">
        <f t="shared" si="163"/>
        <v>0</v>
      </c>
      <c r="L443" s="369">
        <f t="shared" si="163"/>
        <v>0</v>
      </c>
      <c r="M443" s="369">
        <f t="shared" si="163"/>
        <v>-1</v>
      </c>
      <c r="N443" s="369">
        <f t="shared" si="163"/>
        <v>0</v>
      </c>
      <c r="O443" s="369">
        <f t="shared" si="163"/>
        <v>0</v>
      </c>
      <c r="P443" s="369">
        <f t="shared" si="163"/>
        <v>-1</v>
      </c>
      <c r="Q443" s="369">
        <f t="shared" si="163"/>
        <v>0</v>
      </c>
      <c r="R443" s="369">
        <f t="shared" si="163"/>
        <v>5</v>
      </c>
      <c r="S443" s="369">
        <f t="shared" si="163"/>
        <v>0</v>
      </c>
      <c r="T443" s="369">
        <f t="shared" si="163"/>
        <v>0</v>
      </c>
      <c r="U443" s="369">
        <f t="shared" si="163"/>
        <v>0</v>
      </c>
      <c r="V443" s="369">
        <f t="shared" si="163"/>
        <v>0</v>
      </c>
      <c r="W443" s="369">
        <f t="shared" si="163"/>
        <v>0</v>
      </c>
      <c r="X443" s="369">
        <f t="shared" si="163"/>
        <v>-4</v>
      </c>
      <c r="Y443" s="369">
        <f t="shared" si="163"/>
        <v>0</v>
      </c>
      <c r="Z443" s="369">
        <f t="shared" si="163"/>
        <v>0</v>
      </c>
      <c r="AA443" s="369">
        <f t="shared" si="163"/>
        <v>1</v>
      </c>
      <c r="AB443" s="369">
        <f t="shared" si="163"/>
        <v>-2</v>
      </c>
      <c r="AC443" s="369">
        <f t="shared" si="163"/>
        <v>0</v>
      </c>
      <c r="AD443" s="369">
        <f t="shared" si="163"/>
        <v>0</v>
      </c>
      <c r="AE443" s="369">
        <f t="shared" si="163"/>
        <v>0</v>
      </c>
      <c r="AF443" s="369">
        <f t="shared" si="163"/>
        <v>0</v>
      </c>
      <c r="AG443" s="290">
        <f t="shared" si="164"/>
        <v>-4</v>
      </c>
    </row>
    <row r="444">
      <c r="A444" s="470" t="s">
        <v>1177</v>
      </c>
      <c r="B444" s="369">
        <f t="shared" ref="B444:AF444" si="165">B219-B292</f>
        <v>109</v>
      </c>
      <c r="C444" s="369">
        <f t="shared" si="165"/>
        <v>88</v>
      </c>
      <c r="D444" s="369">
        <f t="shared" si="165"/>
        <v>52</v>
      </c>
      <c r="E444" s="369">
        <f t="shared" si="165"/>
        <v>265</v>
      </c>
      <c r="F444" s="369">
        <f t="shared" si="165"/>
        <v>231</v>
      </c>
      <c r="G444" s="369">
        <f t="shared" si="165"/>
        <v>173</v>
      </c>
      <c r="H444" s="369">
        <f t="shared" si="165"/>
        <v>173</v>
      </c>
      <c r="I444" s="369">
        <f t="shared" si="165"/>
        <v>123</v>
      </c>
      <c r="J444" s="369">
        <f t="shared" si="165"/>
        <v>109</v>
      </c>
      <c r="K444" s="369">
        <f t="shared" si="165"/>
        <v>160</v>
      </c>
      <c r="L444" s="369">
        <f t="shared" si="165"/>
        <v>122</v>
      </c>
      <c r="M444" s="369">
        <f t="shared" si="165"/>
        <v>74</v>
      </c>
      <c r="N444" s="369">
        <f t="shared" si="165"/>
        <v>99</v>
      </c>
      <c r="O444" s="369">
        <f t="shared" si="165"/>
        <v>80</v>
      </c>
      <c r="P444" s="369">
        <f t="shared" si="165"/>
        <v>110</v>
      </c>
      <c r="Q444" s="369">
        <f t="shared" si="165"/>
        <v>84</v>
      </c>
      <c r="R444" s="369">
        <f t="shared" si="165"/>
        <v>92</v>
      </c>
      <c r="S444" s="369">
        <f t="shared" si="165"/>
        <v>74</v>
      </c>
      <c r="T444" s="369">
        <f t="shared" si="165"/>
        <v>96</v>
      </c>
      <c r="U444" s="369">
        <f t="shared" si="165"/>
        <v>92</v>
      </c>
      <c r="V444" s="369">
        <f t="shared" si="165"/>
        <v>115</v>
      </c>
      <c r="W444" s="369">
        <f t="shared" si="165"/>
        <v>101</v>
      </c>
      <c r="X444" s="369">
        <f t="shared" si="165"/>
        <v>90</v>
      </c>
      <c r="Y444" s="369">
        <f t="shared" si="165"/>
        <v>108</v>
      </c>
      <c r="Z444" s="369">
        <f t="shared" si="165"/>
        <v>99</v>
      </c>
      <c r="AA444" s="369">
        <f t="shared" si="165"/>
        <v>75</v>
      </c>
      <c r="AB444" s="369">
        <f t="shared" si="165"/>
        <v>103</v>
      </c>
      <c r="AC444" s="369">
        <f t="shared" si="165"/>
        <v>101</v>
      </c>
      <c r="AD444" s="369">
        <f t="shared" si="165"/>
        <v>115</v>
      </c>
      <c r="AE444" s="369">
        <f t="shared" si="165"/>
        <v>103</v>
      </c>
      <c r="AF444" s="369">
        <f t="shared" si="165"/>
        <v>107</v>
      </c>
      <c r="AG444" s="290">
        <f t="shared" si="164"/>
        <v>3523</v>
      </c>
    </row>
    <row r="445">
      <c r="A445" s="470" t="s">
        <v>1180</v>
      </c>
      <c r="B445" s="369">
        <f t="shared" ref="B445:AF445" si="166">B220-B293</f>
        <v>48</v>
      </c>
      <c r="C445" s="369">
        <f t="shared" si="166"/>
        <v>33</v>
      </c>
      <c r="D445" s="369">
        <f t="shared" si="166"/>
        <v>23</v>
      </c>
      <c r="E445" s="369">
        <f t="shared" si="166"/>
        <v>105</v>
      </c>
      <c r="F445" s="369">
        <f t="shared" si="166"/>
        <v>86</v>
      </c>
      <c r="G445" s="369">
        <f t="shared" si="166"/>
        <v>69</v>
      </c>
      <c r="H445" s="369">
        <f t="shared" si="166"/>
        <v>65</v>
      </c>
      <c r="I445" s="369">
        <f t="shared" si="166"/>
        <v>52</v>
      </c>
      <c r="J445" s="369">
        <f t="shared" si="166"/>
        <v>50</v>
      </c>
      <c r="K445" s="369">
        <f t="shared" si="166"/>
        <v>74</v>
      </c>
      <c r="L445" s="369">
        <f t="shared" si="166"/>
        <v>44</v>
      </c>
      <c r="M445" s="369">
        <f t="shared" si="166"/>
        <v>25</v>
      </c>
      <c r="N445" s="369">
        <f t="shared" si="166"/>
        <v>36</v>
      </c>
      <c r="O445" s="369">
        <f t="shared" si="166"/>
        <v>36</v>
      </c>
      <c r="P445" s="369">
        <f t="shared" si="166"/>
        <v>38</v>
      </c>
      <c r="Q445" s="369">
        <f t="shared" si="166"/>
        <v>34</v>
      </c>
      <c r="R445" s="369">
        <f t="shared" si="166"/>
        <v>23</v>
      </c>
      <c r="S445" s="369">
        <f t="shared" si="166"/>
        <v>31</v>
      </c>
      <c r="T445" s="369">
        <f t="shared" si="166"/>
        <v>29</v>
      </c>
      <c r="U445" s="369">
        <f t="shared" si="166"/>
        <v>31</v>
      </c>
      <c r="V445" s="369">
        <f t="shared" si="166"/>
        <v>40</v>
      </c>
      <c r="W445" s="369">
        <f t="shared" si="166"/>
        <v>31</v>
      </c>
      <c r="X445" s="369">
        <f t="shared" si="166"/>
        <v>27</v>
      </c>
      <c r="Y445" s="369">
        <f t="shared" si="166"/>
        <v>29</v>
      </c>
      <c r="Z445" s="369">
        <f t="shared" si="166"/>
        <v>24</v>
      </c>
      <c r="AA445" s="369">
        <f t="shared" si="166"/>
        <v>26</v>
      </c>
      <c r="AB445" s="369">
        <f t="shared" si="166"/>
        <v>39</v>
      </c>
      <c r="AC445" s="369">
        <f t="shared" si="166"/>
        <v>29</v>
      </c>
      <c r="AD445" s="369">
        <f t="shared" si="166"/>
        <v>43</v>
      </c>
      <c r="AE445" s="369">
        <f t="shared" si="166"/>
        <v>31</v>
      </c>
      <c r="AF445" s="369">
        <f t="shared" si="166"/>
        <v>35</v>
      </c>
      <c r="AG445" s="290">
        <f t="shared" si="164"/>
        <v>1286</v>
      </c>
    </row>
    <row r="446">
      <c r="A446" s="470" t="s">
        <v>1184</v>
      </c>
      <c r="B446" s="369">
        <f t="shared" ref="B446:AF446" si="167">B221-B294</f>
        <v>105</v>
      </c>
      <c r="C446" s="369">
        <f t="shared" si="167"/>
        <v>93</v>
      </c>
      <c r="D446" s="369">
        <f t="shared" si="167"/>
        <v>70</v>
      </c>
      <c r="E446" s="369">
        <f t="shared" si="167"/>
        <v>260</v>
      </c>
      <c r="F446" s="369">
        <f t="shared" si="167"/>
        <v>205</v>
      </c>
      <c r="G446" s="369">
        <f t="shared" si="167"/>
        <v>73</v>
      </c>
      <c r="H446" s="369">
        <f t="shared" si="167"/>
        <v>40</v>
      </c>
      <c r="I446" s="369">
        <f t="shared" si="167"/>
        <v>38</v>
      </c>
      <c r="J446" s="369">
        <f t="shared" si="167"/>
        <v>24</v>
      </c>
      <c r="K446" s="369">
        <f t="shared" si="167"/>
        <v>85</v>
      </c>
      <c r="L446" s="369">
        <f t="shared" si="167"/>
        <v>33</v>
      </c>
      <c r="M446" s="369">
        <f t="shared" si="167"/>
        <v>7</v>
      </c>
      <c r="N446" s="369">
        <f t="shared" si="167"/>
        <v>24</v>
      </c>
      <c r="O446" s="369">
        <f t="shared" si="167"/>
        <v>14</v>
      </c>
      <c r="P446" s="369">
        <f t="shared" si="167"/>
        <v>29</v>
      </c>
      <c r="Q446" s="369">
        <f t="shared" si="167"/>
        <v>13</v>
      </c>
      <c r="R446" s="369">
        <f t="shared" si="167"/>
        <v>45</v>
      </c>
      <c r="S446" s="369">
        <f t="shared" si="167"/>
        <v>11</v>
      </c>
      <c r="T446" s="369">
        <f t="shared" si="167"/>
        <v>11</v>
      </c>
      <c r="U446" s="369">
        <f t="shared" si="167"/>
        <v>16</v>
      </c>
      <c r="V446" s="369">
        <f t="shared" si="167"/>
        <v>19</v>
      </c>
      <c r="W446" s="369">
        <f t="shared" si="167"/>
        <v>25</v>
      </c>
      <c r="X446" s="369">
        <f t="shared" si="167"/>
        <v>18</v>
      </c>
      <c r="Y446" s="369">
        <f t="shared" si="167"/>
        <v>21</v>
      </c>
      <c r="Z446" s="369">
        <f t="shared" si="167"/>
        <v>16</v>
      </c>
      <c r="AA446" s="369">
        <f t="shared" si="167"/>
        <v>11</v>
      </c>
      <c r="AB446" s="369">
        <f t="shared" si="167"/>
        <v>14</v>
      </c>
      <c r="AC446" s="369">
        <f t="shared" si="167"/>
        <v>20</v>
      </c>
      <c r="AD446" s="369">
        <f t="shared" si="167"/>
        <v>22</v>
      </c>
      <c r="AE446" s="369">
        <f t="shared" si="167"/>
        <v>14</v>
      </c>
      <c r="AF446" s="369">
        <f t="shared" si="167"/>
        <v>9</v>
      </c>
      <c r="AG446" s="290">
        <f t="shared" si="164"/>
        <v>1385</v>
      </c>
    </row>
    <row r="447">
      <c r="A447" s="473" t="s">
        <v>1189</v>
      </c>
      <c r="B447" s="472">
        <f t="shared" ref="B447:AF447" si="168">SUM(B442:B446)</f>
        <v>328</v>
      </c>
      <c r="C447" s="472">
        <f t="shared" si="168"/>
        <v>272</v>
      </c>
      <c r="D447" s="472">
        <f t="shared" si="168"/>
        <v>182</v>
      </c>
      <c r="E447" s="472">
        <f t="shared" si="168"/>
        <v>768</v>
      </c>
      <c r="F447" s="472">
        <f t="shared" si="168"/>
        <v>637</v>
      </c>
      <c r="G447" s="472">
        <f t="shared" si="168"/>
        <v>401</v>
      </c>
      <c r="H447" s="472">
        <f t="shared" si="168"/>
        <v>380</v>
      </c>
      <c r="I447" s="472">
        <f t="shared" si="168"/>
        <v>283</v>
      </c>
      <c r="J447" s="472">
        <f t="shared" si="168"/>
        <v>251</v>
      </c>
      <c r="K447" s="472">
        <f t="shared" si="168"/>
        <v>411</v>
      </c>
      <c r="L447" s="472">
        <f t="shared" si="168"/>
        <v>254</v>
      </c>
      <c r="M447" s="472">
        <f t="shared" si="168"/>
        <v>138</v>
      </c>
      <c r="N447" s="472">
        <f t="shared" si="168"/>
        <v>206</v>
      </c>
      <c r="O447" s="472">
        <f t="shared" si="168"/>
        <v>175</v>
      </c>
      <c r="P447" s="472">
        <f t="shared" si="168"/>
        <v>238</v>
      </c>
      <c r="Q447" s="472">
        <f t="shared" si="168"/>
        <v>172</v>
      </c>
      <c r="R447" s="472">
        <f t="shared" si="168"/>
        <v>208</v>
      </c>
      <c r="S447" s="472">
        <f t="shared" si="168"/>
        <v>151</v>
      </c>
      <c r="T447" s="472">
        <f t="shared" si="168"/>
        <v>172</v>
      </c>
      <c r="U447" s="472">
        <f t="shared" si="168"/>
        <v>175</v>
      </c>
      <c r="V447" s="472">
        <f t="shared" si="168"/>
        <v>232</v>
      </c>
      <c r="W447" s="472">
        <f t="shared" si="168"/>
        <v>188</v>
      </c>
      <c r="X447" s="472">
        <f t="shared" si="168"/>
        <v>167</v>
      </c>
      <c r="Y447" s="472">
        <f t="shared" si="168"/>
        <v>201</v>
      </c>
      <c r="Z447" s="472">
        <f t="shared" si="168"/>
        <v>176</v>
      </c>
      <c r="AA447" s="472">
        <f t="shared" si="168"/>
        <v>152</v>
      </c>
      <c r="AB447" s="472">
        <f t="shared" si="168"/>
        <v>206</v>
      </c>
      <c r="AC447" s="472">
        <f t="shared" si="168"/>
        <v>190</v>
      </c>
      <c r="AD447" s="472">
        <f t="shared" si="168"/>
        <v>231</v>
      </c>
      <c r="AE447" s="472">
        <f t="shared" si="168"/>
        <v>193</v>
      </c>
      <c r="AF447" s="472">
        <f t="shared" si="168"/>
        <v>194</v>
      </c>
      <c r="AG447" s="290">
        <f t="shared" si="164"/>
        <v>7932</v>
      </c>
    </row>
    <row r="448">
      <c r="A448" s="26"/>
      <c r="B448" s="217"/>
      <c r="C448" s="217"/>
      <c r="D448" s="217"/>
      <c r="E448" s="217"/>
      <c r="F448" s="217"/>
      <c r="G448" s="217"/>
      <c r="H448" s="217"/>
      <c r="I448" s="217"/>
      <c r="J448" s="217"/>
      <c r="K448" s="217"/>
      <c r="L448" s="217"/>
      <c r="M448" s="217"/>
      <c r="N448" s="217"/>
      <c r="O448" s="217"/>
      <c r="P448" s="217"/>
      <c r="Q448" s="217"/>
      <c r="R448" s="217"/>
      <c r="S448" s="217"/>
      <c r="T448" s="217"/>
      <c r="U448" s="217"/>
      <c r="V448" s="217"/>
      <c r="W448" s="217"/>
      <c r="X448" s="217"/>
      <c r="Y448" s="217"/>
      <c r="Z448" s="217"/>
      <c r="AA448" s="217"/>
      <c r="AB448" s="217"/>
      <c r="AC448" s="217"/>
      <c r="AD448" s="217"/>
      <c r="AE448" s="217"/>
      <c r="AF448" s="217"/>
      <c r="AG448" s="290"/>
    </row>
    <row r="449">
      <c r="A449" s="470" t="s">
        <v>1194</v>
      </c>
      <c r="B449" s="418">
        <f t="shared" ref="B449:AF449" si="169">B224-B297</f>
        <v>9</v>
      </c>
      <c r="C449" s="418">
        <f t="shared" si="169"/>
        <v>11</v>
      </c>
      <c r="D449" s="418">
        <f t="shared" si="169"/>
        <v>15</v>
      </c>
      <c r="E449" s="418">
        <f t="shared" si="169"/>
        <v>10</v>
      </c>
      <c r="F449" s="418">
        <f t="shared" si="169"/>
        <v>12</v>
      </c>
      <c r="G449" s="418">
        <f t="shared" si="169"/>
        <v>19</v>
      </c>
      <c r="H449" s="418">
        <f t="shared" si="169"/>
        <v>20</v>
      </c>
      <c r="I449" s="418">
        <f t="shared" si="169"/>
        <v>11</v>
      </c>
      <c r="J449" s="418">
        <f t="shared" si="169"/>
        <v>11</v>
      </c>
      <c r="K449" s="418">
        <f t="shared" si="169"/>
        <v>3</v>
      </c>
      <c r="L449" s="418">
        <f t="shared" si="169"/>
        <v>4</v>
      </c>
      <c r="M449" s="418">
        <f t="shared" si="169"/>
        <v>6</v>
      </c>
      <c r="N449" s="418">
        <f t="shared" si="169"/>
        <v>12</v>
      </c>
      <c r="O449" s="418">
        <f t="shared" si="169"/>
        <v>9</v>
      </c>
      <c r="P449" s="418">
        <f t="shared" si="169"/>
        <v>17</v>
      </c>
      <c r="Q449" s="418">
        <f t="shared" si="169"/>
        <v>10</v>
      </c>
      <c r="R449" s="418">
        <f t="shared" si="169"/>
        <v>5</v>
      </c>
      <c r="S449" s="418">
        <f t="shared" si="169"/>
        <v>10</v>
      </c>
      <c r="T449" s="418">
        <f t="shared" si="169"/>
        <v>10</v>
      </c>
      <c r="U449" s="418">
        <f t="shared" si="169"/>
        <v>7</v>
      </c>
      <c r="V449" s="418">
        <f t="shared" si="169"/>
        <v>18</v>
      </c>
      <c r="W449" s="418">
        <f t="shared" si="169"/>
        <v>9</v>
      </c>
      <c r="X449" s="418">
        <f t="shared" si="169"/>
        <v>9</v>
      </c>
      <c r="Y449" s="418">
        <f t="shared" si="169"/>
        <v>10</v>
      </c>
      <c r="Z449" s="418">
        <f t="shared" si="169"/>
        <v>8</v>
      </c>
      <c r="AA449" s="418">
        <f t="shared" si="169"/>
        <v>15</v>
      </c>
      <c r="AB449" s="418">
        <f t="shared" si="169"/>
        <v>13</v>
      </c>
      <c r="AC449" s="418">
        <f t="shared" si="169"/>
        <v>11</v>
      </c>
      <c r="AD449" s="418">
        <f t="shared" si="169"/>
        <v>13</v>
      </c>
      <c r="AE449" s="418">
        <f t="shared" si="169"/>
        <v>5</v>
      </c>
      <c r="AF449" s="418">
        <f t="shared" si="169"/>
        <v>16</v>
      </c>
      <c r="AG449" s="290">
        <f t="shared" ref="AG449:AG454" si="171">SUM(B449:AF449)</f>
        <v>338</v>
      </c>
    </row>
    <row r="450">
      <c r="A450" s="470" t="s">
        <v>1195</v>
      </c>
      <c r="B450" s="418">
        <f t="shared" ref="B450:AF450" si="170">B225-B298</f>
        <v>0</v>
      </c>
      <c r="C450" s="418">
        <f t="shared" si="170"/>
        <v>0</v>
      </c>
      <c r="D450" s="418">
        <f t="shared" si="170"/>
        <v>-1</v>
      </c>
      <c r="E450" s="418">
        <f t="shared" si="170"/>
        <v>1</v>
      </c>
      <c r="F450" s="418">
        <f t="shared" si="170"/>
        <v>0</v>
      </c>
      <c r="G450" s="418">
        <f t="shared" si="170"/>
        <v>-3</v>
      </c>
      <c r="H450" s="418">
        <f t="shared" si="170"/>
        <v>0</v>
      </c>
      <c r="I450" s="418">
        <f t="shared" si="170"/>
        <v>0</v>
      </c>
      <c r="J450" s="418">
        <f t="shared" si="170"/>
        <v>0</v>
      </c>
      <c r="K450" s="418">
        <f t="shared" si="170"/>
        <v>-5</v>
      </c>
      <c r="L450" s="418">
        <f t="shared" si="170"/>
        <v>-1</v>
      </c>
      <c r="M450" s="418">
        <f t="shared" si="170"/>
        <v>0</v>
      </c>
      <c r="N450" s="418">
        <f t="shared" si="170"/>
        <v>0</v>
      </c>
      <c r="O450" s="418">
        <f t="shared" si="170"/>
        <v>0</v>
      </c>
      <c r="P450" s="418">
        <f t="shared" si="170"/>
        <v>0</v>
      </c>
      <c r="Q450" s="418">
        <f t="shared" si="170"/>
        <v>0</v>
      </c>
      <c r="R450" s="418">
        <f t="shared" si="170"/>
        <v>-2</v>
      </c>
      <c r="S450" s="418">
        <f t="shared" si="170"/>
        <v>-1</v>
      </c>
      <c r="T450" s="418">
        <f t="shared" si="170"/>
        <v>-3</v>
      </c>
      <c r="U450" s="418">
        <f t="shared" si="170"/>
        <v>-2</v>
      </c>
      <c r="V450" s="418">
        <f t="shared" si="170"/>
        <v>0</v>
      </c>
      <c r="W450" s="418">
        <f t="shared" si="170"/>
        <v>0</v>
      </c>
      <c r="X450" s="418">
        <f t="shared" si="170"/>
        <v>-5</v>
      </c>
      <c r="Y450" s="418">
        <f t="shared" si="170"/>
        <v>0</v>
      </c>
      <c r="Z450" s="418">
        <f t="shared" si="170"/>
        <v>-1</v>
      </c>
      <c r="AA450" s="418">
        <f t="shared" si="170"/>
        <v>0</v>
      </c>
      <c r="AB450" s="418">
        <f t="shared" si="170"/>
        <v>0</v>
      </c>
      <c r="AC450" s="418">
        <f t="shared" si="170"/>
        <v>-2</v>
      </c>
      <c r="AD450" s="418">
        <f t="shared" si="170"/>
        <v>0</v>
      </c>
      <c r="AE450" s="418">
        <f t="shared" si="170"/>
        <v>-1</v>
      </c>
      <c r="AF450" s="418">
        <f t="shared" si="170"/>
        <v>0</v>
      </c>
      <c r="AG450" s="290">
        <f t="shared" si="171"/>
        <v>-26</v>
      </c>
    </row>
    <row r="451">
      <c r="A451" s="470" t="s">
        <v>1198</v>
      </c>
      <c r="B451" s="418">
        <f t="shared" ref="B451:AF451" si="172">B226-B299</f>
        <v>10</v>
      </c>
      <c r="C451" s="418">
        <f t="shared" si="172"/>
        <v>15</v>
      </c>
      <c r="D451" s="418">
        <f t="shared" si="172"/>
        <v>20</v>
      </c>
      <c r="E451" s="418">
        <f t="shared" si="172"/>
        <v>11</v>
      </c>
      <c r="F451" s="418">
        <f t="shared" si="172"/>
        <v>17</v>
      </c>
      <c r="G451" s="418">
        <f t="shared" si="172"/>
        <v>27</v>
      </c>
      <c r="H451" s="418">
        <f t="shared" si="172"/>
        <v>26</v>
      </c>
      <c r="I451" s="418">
        <f t="shared" si="172"/>
        <v>15</v>
      </c>
      <c r="J451" s="418">
        <f t="shared" si="172"/>
        <v>14</v>
      </c>
      <c r="K451" s="418">
        <f t="shared" si="172"/>
        <v>7</v>
      </c>
      <c r="L451" s="418">
        <f t="shared" si="172"/>
        <v>9</v>
      </c>
      <c r="M451" s="418">
        <f t="shared" si="172"/>
        <v>7</v>
      </c>
      <c r="N451" s="418">
        <f t="shared" si="172"/>
        <v>13</v>
      </c>
      <c r="O451" s="418">
        <f t="shared" si="172"/>
        <v>9</v>
      </c>
      <c r="P451" s="418">
        <f t="shared" si="172"/>
        <v>19</v>
      </c>
      <c r="Q451" s="418">
        <f t="shared" si="172"/>
        <v>15</v>
      </c>
      <c r="R451" s="418">
        <f t="shared" si="172"/>
        <v>9</v>
      </c>
      <c r="S451" s="418">
        <f t="shared" si="172"/>
        <v>17</v>
      </c>
      <c r="T451" s="418">
        <f t="shared" si="172"/>
        <v>19</v>
      </c>
      <c r="U451" s="418">
        <f t="shared" si="172"/>
        <v>16</v>
      </c>
      <c r="V451" s="418">
        <f t="shared" si="172"/>
        <v>19</v>
      </c>
      <c r="W451" s="418">
        <f t="shared" si="172"/>
        <v>23</v>
      </c>
      <c r="X451" s="418">
        <f t="shared" si="172"/>
        <v>11</v>
      </c>
      <c r="Y451" s="418">
        <f t="shared" si="172"/>
        <v>15</v>
      </c>
      <c r="Z451" s="418">
        <f t="shared" si="172"/>
        <v>13</v>
      </c>
      <c r="AA451" s="418">
        <f t="shared" si="172"/>
        <v>12</v>
      </c>
      <c r="AB451" s="418">
        <f t="shared" si="172"/>
        <v>15</v>
      </c>
      <c r="AC451" s="418">
        <f t="shared" si="172"/>
        <v>19</v>
      </c>
      <c r="AD451" s="418">
        <f t="shared" si="172"/>
        <v>15</v>
      </c>
      <c r="AE451" s="418">
        <f t="shared" si="172"/>
        <v>12</v>
      </c>
      <c r="AF451" s="418">
        <f t="shared" si="172"/>
        <v>16</v>
      </c>
      <c r="AG451" s="290">
        <f t="shared" si="171"/>
        <v>465</v>
      </c>
    </row>
    <row r="452">
      <c r="A452" s="470" t="s">
        <v>1199</v>
      </c>
      <c r="B452" s="418">
        <f t="shared" ref="B452:AF452" si="173">B227-B300</f>
        <v>11</v>
      </c>
      <c r="C452" s="418">
        <f t="shared" si="173"/>
        <v>9</v>
      </c>
      <c r="D452" s="418">
        <f t="shared" si="173"/>
        <v>11</v>
      </c>
      <c r="E452" s="418">
        <f t="shared" si="173"/>
        <v>14</v>
      </c>
      <c r="F452" s="418">
        <f t="shared" si="173"/>
        <v>14</v>
      </c>
      <c r="G452" s="418">
        <f t="shared" si="173"/>
        <v>19</v>
      </c>
      <c r="H452" s="418">
        <f t="shared" si="173"/>
        <v>14</v>
      </c>
      <c r="I452" s="418">
        <f t="shared" si="173"/>
        <v>15</v>
      </c>
      <c r="J452" s="418">
        <f t="shared" si="173"/>
        <v>10</v>
      </c>
      <c r="K452" s="418">
        <f t="shared" si="173"/>
        <v>4</v>
      </c>
      <c r="L452" s="418">
        <f t="shared" si="173"/>
        <v>9</v>
      </c>
      <c r="M452" s="418">
        <f t="shared" si="173"/>
        <v>5</v>
      </c>
      <c r="N452" s="418">
        <f t="shared" si="173"/>
        <v>13</v>
      </c>
      <c r="O452" s="418">
        <f t="shared" si="173"/>
        <v>11</v>
      </c>
      <c r="P452" s="418">
        <f t="shared" si="173"/>
        <v>13</v>
      </c>
      <c r="Q452" s="418">
        <f t="shared" si="173"/>
        <v>13</v>
      </c>
      <c r="R452" s="418">
        <f t="shared" si="173"/>
        <v>6</v>
      </c>
      <c r="S452" s="418">
        <f t="shared" si="173"/>
        <v>7</v>
      </c>
      <c r="T452" s="418">
        <f t="shared" si="173"/>
        <v>13</v>
      </c>
      <c r="U452" s="418">
        <f t="shared" si="173"/>
        <v>5</v>
      </c>
      <c r="V452" s="418">
        <f t="shared" si="173"/>
        <v>17</v>
      </c>
      <c r="W452" s="418">
        <f t="shared" si="173"/>
        <v>11</v>
      </c>
      <c r="X452" s="418">
        <f t="shared" si="173"/>
        <v>6</v>
      </c>
      <c r="Y452" s="418">
        <f t="shared" si="173"/>
        <v>9</v>
      </c>
      <c r="Z452" s="418">
        <f t="shared" si="173"/>
        <v>9</v>
      </c>
      <c r="AA452" s="418">
        <f t="shared" si="173"/>
        <v>10</v>
      </c>
      <c r="AB452" s="418">
        <f t="shared" si="173"/>
        <v>14</v>
      </c>
      <c r="AC452" s="418">
        <f t="shared" si="173"/>
        <v>15</v>
      </c>
      <c r="AD452" s="418">
        <f t="shared" si="173"/>
        <v>10</v>
      </c>
      <c r="AE452" s="418">
        <f t="shared" si="173"/>
        <v>3</v>
      </c>
      <c r="AF452" s="418">
        <f t="shared" si="173"/>
        <v>11</v>
      </c>
      <c r="AG452" s="290">
        <f t="shared" si="171"/>
        <v>331</v>
      </c>
    </row>
    <row r="453">
      <c r="A453" s="470" t="s">
        <v>1203</v>
      </c>
      <c r="B453" s="418">
        <f t="shared" ref="B453:AF453" si="174">B228-B301</f>
        <v>14</v>
      </c>
      <c r="C453" s="418">
        <f t="shared" si="174"/>
        <v>17</v>
      </c>
      <c r="D453" s="418">
        <f t="shared" si="174"/>
        <v>17</v>
      </c>
      <c r="E453" s="418">
        <f t="shared" si="174"/>
        <v>17</v>
      </c>
      <c r="F453" s="418">
        <f t="shared" si="174"/>
        <v>18</v>
      </c>
      <c r="G453" s="418">
        <f t="shared" si="174"/>
        <v>21</v>
      </c>
      <c r="H453" s="418">
        <f t="shared" si="174"/>
        <v>10</v>
      </c>
      <c r="I453" s="418">
        <f t="shared" si="174"/>
        <v>13</v>
      </c>
      <c r="J453" s="418">
        <f t="shared" si="174"/>
        <v>6</v>
      </c>
      <c r="K453" s="418">
        <f t="shared" si="174"/>
        <v>2</v>
      </c>
      <c r="L453" s="418">
        <f t="shared" si="174"/>
        <v>7</v>
      </c>
      <c r="M453" s="418">
        <f t="shared" si="174"/>
        <v>3</v>
      </c>
      <c r="N453" s="418">
        <f t="shared" si="174"/>
        <v>4</v>
      </c>
      <c r="O453" s="418">
        <f t="shared" si="174"/>
        <v>8</v>
      </c>
      <c r="P453" s="418">
        <f t="shared" si="174"/>
        <v>6</v>
      </c>
      <c r="Q453" s="418">
        <f t="shared" si="174"/>
        <v>6</v>
      </c>
      <c r="R453" s="418">
        <f t="shared" si="174"/>
        <v>4</v>
      </c>
      <c r="S453" s="418">
        <f t="shared" si="174"/>
        <v>-1</v>
      </c>
      <c r="T453" s="418">
        <f t="shared" si="174"/>
        <v>5</v>
      </c>
      <c r="U453" s="418">
        <f t="shared" si="174"/>
        <v>7</v>
      </c>
      <c r="V453" s="418">
        <f t="shared" si="174"/>
        <v>7</v>
      </c>
      <c r="W453" s="418">
        <f t="shared" si="174"/>
        <v>9</v>
      </c>
      <c r="X453" s="418">
        <f t="shared" si="174"/>
        <v>3</v>
      </c>
      <c r="Y453" s="418">
        <f t="shared" si="174"/>
        <v>3</v>
      </c>
      <c r="Z453" s="418">
        <f t="shared" si="174"/>
        <v>3</v>
      </c>
      <c r="AA453" s="418">
        <f t="shared" si="174"/>
        <v>4</v>
      </c>
      <c r="AB453" s="418">
        <f t="shared" si="174"/>
        <v>3</v>
      </c>
      <c r="AC453" s="418">
        <f t="shared" si="174"/>
        <v>7</v>
      </c>
      <c r="AD453" s="418">
        <f t="shared" si="174"/>
        <v>6</v>
      </c>
      <c r="AE453" s="418">
        <f t="shared" si="174"/>
        <v>5</v>
      </c>
      <c r="AF453" s="418">
        <f t="shared" si="174"/>
        <v>5</v>
      </c>
      <c r="AG453" s="290">
        <f t="shared" si="171"/>
        <v>239</v>
      </c>
    </row>
    <row r="454">
      <c r="A454" s="473" t="s">
        <v>1204</v>
      </c>
      <c r="B454" s="474">
        <f t="shared" ref="B454:AF454" si="175">SUM(B449:B453)</f>
        <v>44</v>
      </c>
      <c r="C454" s="472">
        <f t="shared" si="175"/>
        <v>52</v>
      </c>
      <c r="D454" s="472">
        <f t="shared" si="175"/>
        <v>62</v>
      </c>
      <c r="E454" s="472">
        <f t="shared" si="175"/>
        <v>53</v>
      </c>
      <c r="F454" s="472">
        <f t="shared" si="175"/>
        <v>61</v>
      </c>
      <c r="G454" s="472">
        <f t="shared" si="175"/>
        <v>83</v>
      </c>
      <c r="H454" s="472">
        <f t="shared" si="175"/>
        <v>70</v>
      </c>
      <c r="I454" s="472">
        <f t="shared" si="175"/>
        <v>54</v>
      </c>
      <c r="J454" s="472">
        <f t="shared" si="175"/>
        <v>41</v>
      </c>
      <c r="K454" s="472">
        <f t="shared" si="175"/>
        <v>11</v>
      </c>
      <c r="L454" s="472">
        <f t="shared" si="175"/>
        <v>28</v>
      </c>
      <c r="M454" s="472">
        <f t="shared" si="175"/>
        <v>21</v>
      </c>
      <c r="N454" s="472">
        <f t="shared" si="175"/>
        <v>42</v>
      </c>
      <c r="O454" s="472">
        <f t="shared" si="175"/>
        <v>37</v>
      </c>
      <c r="P454" s="472">
        <f t="shared" si="175"/>
        <v>55</v>
      </c>
      <c r="Q454" s="472">
        <f t="shared" si="175"/>
        <v>44</v>
      </c>
      <c r="R454" s="472">
        <f t="shared" si="175"/>
        <v>22</v>
      </c>
      <c r="S454" s="472">
        <f t="shared" si="175"/>
        <v>32</v>
      </c>
      <c r="T454" s="472">
        <f t="shared" si="175"/>
        <v>44</v>
      </c>
      <c r="U454" s="472">
        <f t="shared" si="175"/>
        <v>33</v>
      </c>
      <c r="V454" s="472">
        <f t="shared" si="175"/>
        <v>61</v>
      </c>
      <c r="W454" s="472">
        <f t="shared" si="175"/>
        <v>52</v>
      </c>
      <c r="X454" s="472">
        <f t="shared" si="175"/>
        <v>24</v>
      </c>
      <c r="Y454" s="472">
        <f t="shared" si="175"/>
        <v>37</v>
      </c>
      <c r="Z454" s="472">
        <f t="shared" si="175"/>
        <v>32</v>
      </c>
      <c r="AA454" s="472">
        <f t="shared" si="175"/>
        <v>41</v>
      </c>
      <c r="AB454" s="472">
        <f t="shared" si="175"/>
        <v>45</v>
      </c>
      <c r="AC454" s="472">
        <f t="shared" si="175"/>
        <v>50</v>
      </c>
      <c r="AD454" s="472">
        <f t="shared" si="175"/>
        <v>44</v>
      </c>
      <c r="AE454" s="472">
        <f t="shared" si="175"/>
        <v>24</v>
      </c>
      <c r="AF454" s="472">
        <f t="shared" si="175"/>
        <v>48</v>
      </c>
      <c r="AG454" s="290">
        <f t="shared" si="171"/>
        <v>1347</v>
      </c>
    </row>
    <row r="455">
      <c r="A455" s="26"/>
      <c r="B455" s="217"/>
      <c r="C455" s="217"/>
      <c r="D455" s="217"/>
      <c r="E455" s="217"/>
      <c r="F455" s="217"/>
      <c r="G455" s="217"/>
      <c r="H455" s="217"/>
      <c r="I455" s="217"/>
      <c r="J455" s="217"/>
      <c r="K455" s="217"/>
      <c r="L455" s="217"/>
      <c r="M455" s="217"/>
      <c r="N455" s="217"/>
      <c r="O455" s="217"/>
      <c r="P455" s="217"/>
      <c r="Q455" s="217"/>
      <c r="R455" s="217"/>
      <c r="S455" s="217"/>
      <c r="T455" s="217"/>
      <c r="U455" s="217"/>
      <c r="V455" s="217"/>
      <c r="W455" s="217"/>
      <c r="X455" s="217"/>
      <c r="Y455" s="217"/>
      <c r="Z455" s="217"/>
      <c r="AA455" s="217"/>
      <c r="AB455" s="217"/>
      <c r="AC455" s="217"/>
      <c r="AD455" s="217"/>
      <c r="AE455" s="217"/>
      <c r="AF455" s="217"/>
      <c r="AG455" s="290"/>
    </row>
    <row r="456">
      <c r="A456" s="470" t="s">
        <v>1211</v>
      </c>
      <c r="B456" s="416">
        <f t="shared" ref="B456:AF456" si="176">B231-B304</f>
        <v>0</v>
      </c>
      <c r="C456" s="416">
        <f t="shared" si="176"/>
        <v>0</v>
      </c>
      <c r="D456" s="416">
        <f t="shared" si="176"/>
        <v>0</v>
      </c>
      <c r="E456" s="416">
        <f t="shared" si="176"/>
        <v>0</v>
      </c>
      <c r="F456" s="416">
        <f t="shared" si="176"/>
        <v>0</v>
      </c>
      <c r="G456" s="416">
        <f t="shared" si="176"/>
        <v>0</v>
      </c>
      <c r="H456" s="416">
        <f t="shared" si="176"/>
        <v>0</v>
      </c>
      <c r="I456" s="416">
        <f t="shared" si="176"/>
        <v>0</v>
      </c>
      <c r="J456" s="416">
        <f t="shared" si="176"/>
        <v>-1</v>
      </c>
      <c r="K456" s="416">
        <f t="shared" si="176"/>
        <v>0</v>
      </c>
      <c r="L456" s="416">
        <f t="shared" si="176"/>
        <v>0</v>
      </c>
      <c r="M456" s="416">
        <f t="shared" si="176"/>
        <v>0</v>
      </c>
      <c r="N456" s="416">
        <f t="shared" si="176"/>
        <v>0</v>
      </c>
      <c r="O456" s="416">
        <f t="shared" si="176"/>
        <v>0</v>
      </c>
      <c r="P456" s="416">
        <f t="shared" si="176"/>
        <v>0</v>
      </c>
      <c r="Q456" s="416">
        <f t="shared" si="176"/>
        <v>0</v>
      </c>
      <c r="R456" s="416">
        <f t="shared" si="176"/>
        <v>0</v>
      </c>
      <c r="S456" s="416">
        <f t="shared" si="176"/>
        <v>0</v>
      </c>
      <c r="T456" s="416">
        <f t="shared" si="176"/>
        <v>0</v>
      </c>
      <c r="U456" s="416">
        <f t="shared" si="176"/>
        <v>0</v>
      </c>
      <c r="V456" s="416">
        <f t="shared" si="176"/>
        <v>0</v>
      </c>
      <c r="W456" s="416">
        <f t="shared" si="176"/>
        <v>0</v>
      </c>
      <c r="X456" s="416">
        <f t="shared" si="176"/>
        <v>0</v>
      </c>
      <c r="Y456" s="416">
        <f t="shared" si="176"/>
        <v>0</v>
      </c>
      <c r="Z456" s="416">
        <f t="shared" si="176"/>
        <v>0</v>
      </c>
      <c r="AA456" s="416">
        <f t="shared" si="176"/>
        <v>0</v>
      </c>
      <c r="AB456" s="416">
        <f t="shared" si="176"/>
        <v>0</v>
      </c>
      <c r="AC456" s="416">
        <f t="shared" si="176"/>
        <v>0</v>
      </c>
      <c r="AD456" s="416">
        <f t="shared" si="176"/>
        <v>0</v>
      </c>
      <c r="AE456" s="416">
        <f t="shared" si="176"/>
        <v>0</v>
      </c>
      <c r="AF456" s="416">
        <f t="shared" si="176"/>
        <v>0</v>
      </c>
      <c r="AG456" s="290">
        <f t="shared" ref="AG456:AG461" si="178">SUM(B456:AF456)</f>
        <v>-1</v>
      </c>
    </row>
    <row r="457">
      <c r="A457" s="470" t="s">
        <v>1218</v>
      </c>
      <c r="B457" s="416">
        <f t="shared" ref="B457:AF457" si="177">B232-B305</f>
        <v>0</v>
      </c>
      <c r="C457" s="416">
        <f t="shared" si="177"/>
        <v>0</v>
      </c>
      <c r="D457" s="416">
        <f t="shared" si="177"/>
        <v>0</v>
      </c>
      <c r="E457" s="416">
        <f t="shared" si="177"/>
        <v>0</v>
      </c>
      <c r="F457" s="416">
        <f t="shared" si="177"/>
        <v>0</v>
      </c>
      <c r="G457" s="416">
        <f t="shared" si="177"/>
        <v>0</v>
      </c>
      <c r="H457" s="416">
        <f t="shared" si="177"/>
        <v>0</v>
      </c>
      <c r="I457" s="416">
        <f t="shared" si="177"/>
        <v>0</v>
      </c>
      <c r="J457" s="416">
        <f t="shared" si="177"/>
        <v>-1</v>
      </c>
      <c r="K457" s="416">
        <f t="shared" si="177"/>
        <v>0</v>
      </c>
      <c r="L457" s="416">
        <f t="shared" si="177"/>
        <v>0</v>
      </c>
      <c r="M457" s="416">
        <f t="shared" si="177"/>
        <v>0</v>
      </c>
      <c r="N457" s="416">
        <f t="shared" si="177"/>
        <v>0</v>
      </c>
      <c r="O457" s="416">
        <f t="shared" si="177"/>
        <v>0</v>
      </c>
      <c r="P457" s="416">
        <f t="shared" si="177"/>
        <v>0</v>
      </c>
      <c r="Q457" s="416">
        <f t="shared" si="177"/>
        <v>0</v>
      </c>
      <c r="R457" s="416">
        <f t="shared" si="177"/>
        <v>0</v>
      </c>
      <c r="S457" s="416">
        <f t="shared" si="177"/>
        <v>0</v>
      </c>
      <c r="T457" s="416">
        <f t="shared" si="177"/>
        <v>-1</v>
      </c>
      <c r="U457" s="416">
        <f t="shared" si="177"/>
        <v>0</v>
      </c>
      <c r="V457" s="416">
        <f t="shared" si="177"/>
        <v>0</v>
      </c>
      <c r="W457" s="416">
        <f t="shared" si="177"/>
        <v>0</v>
      </c>
      <c r="X457" s="416">
        <f t="shared" si="177"/>
        <v>0</v>
      </c>
      <c r="Y457" s="416">
        <f t="shared" si="177"/>
        <v>0</v>
      </c>
      <c r="Z457" s="416">
        <f t="shared" si="177"/>
        <v>0</v>
      </c>
      <c r="AA457" s="416">
        <f t="shared" si="177"/>
        <v>0</v>
      </c>
      <c r="AB457" s="416">
        <f t="shared" si="177"/>
        <v>0</v>
      </c>
      <c r="AC457" s="416">
        <f t="shared" si="177"/>
        <v>0</v>
      </c>
      <c r="AD457" s="416">
        <f t="shared" si="177"/>
        <v>0</v>
      </c>
      <c r="AE457" s="416">
        <f t="shared" si="177"/>
        <v>0</v>
      </c>
      <c r="AF457" s="416">
        <f t="shared" si="177"/>
        <v>0</v>
      </c>
      <c r="AG457" s="290">
        <f t="shared" si="178"/>
        <v>-2</v>
      </c>
    </row>
    <row r="458">
      <c r="A458" s="470" t="s">
        <v>1221</v>
      </c>
      <c r="B458" s="416">
        <f t="shared" ref="B458:AF458" si="179">B233-B306</f>
        <v>0</v>
      </c>
      <c r="C458" s="416">
        <f t="shared" si="179"/>
        <v>0</v>
      </c>
      <c r="D458" s="416">
        <f t="shared" si="179"/>
        <v>0</v>
      </c>
      <c r="E458" s="416">
        <f t="shared" si="179"/>
        <v>0</v>
      </c>
      <c r="F458" s="416">
        <f t="shared" si="179"/>
        <v>0</v>
      </c>
      <c r="G458" s="416">
        <f t="shared" si="179"/>
        <v>0</v>
      </c>
      <c r="H458" s="416">
        <f t="shared" si="179"/>
        <v>0</v>
      </c>
      <c r="I458" s="416">
        <f t="shared" si="179"/>
        <v>0</v>
      </c>
      <c r="J458" s="416">
        <f t="shared" si="179"/>
        <v>0</v>
      </c>
      <c r="K458" s="416">
        <f t="shared" si="179"/>
        <v>0</v>
      </c>
      <c r="L458" s="416">
        <f t="shared" si="179"/>
        <v>0</v>
      </c>
      <c r="M458" s="416">
        <f t="shared" si="179"/>
        <v>0</v>
      </c>
      <c r="N458" s="416">
        <f t="shared" si="179"/>
        <v>0</v>
      </c>
      <c r="O458" s="416">
        <f t="shared" si="179"/>
        <v>0</v>
      </c>
      <c r="P458" s="416">
        <f t="shared" si="179"/>
        <v>0</v>
      </c>
      <c r="Q458" s="416">
        <f t="shared" si="179"/>
        <v>0</v>
      </c>
      <c r="R458" s="416">
        <f t="shared" si="179"/>
        <v>0</v>
      </c>
      <c r="S458" s="416">
        <f t="shared" si="179"/>
        <v>0</v>
      </c>
      <c r="T458" s="416">
        <f t="shared" si="179"/>
        <v>0</v>
      </c>
      <c r="U458" s="416">
        <f t="shared" si="179"/>
        <v>0</v>
      </c>
      <c r="V458" s="416">
        <f t="shared" si="179"/>
        <v>0</v>
      </c>
      <c r="W458" s="416">
        <f t="shared" si="179"/>
        <v>0</v>
      </c>
      <c r="X458" s="416">
        <f t="shared" si="179"/>
        <v>0</v>
      </c>
      <c r="Y458" s="416">
        <f t="shared" si="179"/>
        <v>0</v>
      </c>
      <c r="Z458" s="416">
        <f t="shared" si="179"/>
        <v>0</v>
      </c>
      <c r="AA458" s="416">
        <f t="shared" si="179"/>
        <v>0</v>
      </c>
      <c r="AB458" s="416">
        <f t="shared" si="179"/>
        <v>0</v>
      </c>
      <c r="AC458" s="416">
        <f t="shared" si="179"/>
        <v>0</v>
      </c>
      <c r="AD458" s="416">
        <f t="shared" si="179"/>
        <v>0</v>
      </c>
      <c r="AE458" s="416">
        <f t="shared" si="179"/>
        <v>0</v>
      </c>
      <c r="AF458" s="416">
        <f t="shared" si="179"/>
        <v>0</v>
      </c>
      <c r="AG458" s="290">
        <f t="shared" si="178"/>
        <v>0</v>
      </c>
    </row>
    <row r="459">
      <c r="A459" s="470" t="s">
        <v>1223</v>
      </c>
      <c r="B459" s="416">
        <f t="shared" ref="B459:AF459" si="180">B234-B307</f>
        <v>0</v>
      </c>
      <c r="C459" s="416">
        <f t="shared" si="180"/>
        <v>0</v>
      </c>
      <c r="D459" s="416">
        <f t="shared" si="180"/>
        <v>0</v>
      </c>
      <c r="E459" s="416">
        <f t="shared" si="180"/>
        <v>0</v>
      </c>
      <c r="F459" s="416">
        <f t="shared" si="180"/>
        <v>0</v>
      </c>
      <c r="G459" s="416">
        <f t="shared" si="180"/>
        <v>0</v>
      </c>
      <c r="H459" s="416">
        <f t="shared" si="180"/>
        <v>0</v>
      </c>
      <c r="I459" s="416">
        <f t="shared" si="180"/>
        <v>0</v>
      </c>
      <c r="J459" s="416">
        <f t="shared" si="180"/>
        <v>0</v>
      </c>
      <c r="K459" s="416">
        <f t="shared" si="180"/>
        <v>0</v>
      </c>
      <c r="L459" s="416">
        <f t="shared" si="180"/>
        <v>0</v>
      </c>
      <c r="M459" s="416">
        <f t="shared" si="180"/>
        <v>0</v>
      </c>
      <c r="N459" s="416">
        <f t="shared" si="180"/>
        <v>0</v>
      </c>
      <c r="O459" s="416">
        <f t="shared" si="180"/>
        <v>0</v>
      </c>
      <c r="P459" s="416">
        <f t="shared" si="180"/>
        <v>0</v>
      </c>
      <c r="Q459" s="416">
        <f t="shared" si="180"/>
        <v>0</v>
      </c>
      <c r="R459" s="416">
        <f t="shared" si="180"/>
        <v>0</v>
      </c>
      <c r="S459" s="416">
        <f t="shared" si="180"/>
        <v>0</v>
      </c>
      <c r="T459" s="416">
        <f t="shared" si="180"/>
        <v>0</v>
      </c>
      <c r="U459" s="416">
        <f t="shared" si="180"/>
        <v>0</v>
      </c>
      <c r="V459" s="416">
        <f t="shared" si="180"/>
        <v>0</v>
      </c>
      <c r="W459" s="416">
        <f t="shared" si="180"/>
        <v>0</v>
      </c>
      <c r="X459" s="416">
        <f t="shared" si="180"/>
        <v>0</v>
      </c>
      <c r="Y459" s="416">
        <f t="shared" si="180"/>
        <v>0</v>
      </c>
      <c r="Z459" s="416">
        <f t="shared" si="180"/>
        <v>0</v>
      </c>
      <c r="AA459" s="416">
        <f t="shared" si="180"/>
        <v>0</v>
      </c>
      <c r="AB459" s="416">
        <f t="shared" si="180"/>
        <v>0</v>
      </c>
      <c r="AC459" s="416">
        <f t="shared" si="180"/>
        <v>0</v>
      </c>
      <c r="AD459" s="416">
        <f t="shared" si="180"/>
        <v>0</v>
      </c>
      <c r="AE459" s="416">
        <f t="shared" si="180"/>
        <v>0</v>
      </c>
      <c r="AF459" s="416">
        <f t="shared" si="180"/>
        <v>0</v>
      </c>
      <c r="AG459" s="290">
        <f t="shared" si="178"/>
        <v>0</v>
      </c>
    </row>
    <row r="460">
      <c r="A460" s="470" t="s">
        <v>1230</v>
      </c>
      <c r="B460" s="418">
        <v>0.0</v>
      </c>
      <c r="C460" s="418">
        <v>0.0</v>
      </c>
      <c r="D460" s="418">
        <v>0.0</v>
      </c>
      <c r="E460" s="418">
        <v>0.0</v>
      </c>
      <c r="F460" s="418">
        <v>0.0</v>
      </c>
      <c r="G460" s="418">
        <v>0.0</v>
      </c>
      <c r="H460" s="418">
        <v>0.0</v>
      </c>
      <c r="I460" s="418">
        <v>0.0</v>
      </c>
      <c r="J460" s="418">
        <v>0.0</v>
      </c>
      <c r="K460" s="418">
        <v>0.0</v>
      </c>
      <c r="L460" s="418">
        <v>0.0</v>
      </c>
      <c r="M460" s="418">
        <v>0.0</v>
      </c>
      <c r="N460" s="418">
        <v>0.0</v>
      </c>
      <c r="O460" s="418">
        <v>0.0</v>
      </c>
      <c r="P460" s="418">
        <v>0.0</v>
      </c>
      <c r="Q460" s="418">
        <v>0.0</v>
      </c>
      <c r="R460" s="418">
        <v>0.0</v>
      </c>
      <c r="S460" s="418">
        <v>0.0</v>
      </c>
      <c r="T460" s="418">
        <v>0.0</v>
      </c>
      <c r="U460" s="418">
        <v>0.0</v>
      </c>
      <c r="V460" s="418">
        <v>0.0</v>
      </c>
      <c r="W460" s="418">
        <v>0.0</v>
      </c>
      <c r="X460" s="418">
        <v>0.0</v>
      </c>
      <c r="Y460" s="418">
        <v>0.0</v>
      </c>
      <c r="Z460" s="418">
        <v>0.0</v>
      </c>
      <c r="AA460" s="418">
        <v>0.0</v>
      </c>
      <c r="AB460" s="418">
        <v>0.0</v>
      </c>
      <c r="AC460" s="418">
        <v>0.0</v>
      </c>
      <c r="AD460" s="418">
        <v>0.0</v>
      </c>
      <c r="AE460" s="418">
        <v>0.0</v>
      </c>
      <c r="AF460" s="418">
        <v>0.0</v>
      </c>
      <c r="AG460" s="290">
        <f t="shared" si="178"/>
        <v>0</v>
      </c>
    </row>
    <row r="461">
      <c r="A461" s="473" t="s">
        <v>1231</v>
      </c>
      <c r="B461" s="474">
        <f t="shared" ref="B461:AF461" si="181">SUM(B456:B460)</f>
        <v>0</v>
      </c>
      <c r="C461" s="472">
        <f t="shared" si="181"/>
        <v>0</v>
      </c>
      <c r="D461" s="472">
        <f t="shared" si="181"/>
        <v>0</v>
      </c>
      <c r="E461" s="472">
        <f t="shared" si="181"/>
        <v>0</v>
      </c>
      <c r="F461" s="472">
        <f t="shared" si="181"/>
        <v>0</v>
      </c>
      <c r="G461" s="472">
        <f t="shared" si="181"/>
        <v>0</v>
      </c>
      <c r="H461" s="472">
        <f t="shared" si="181"/>
        <v>0</v>
      </c>
      <c r="I461" s="472">
        <f t="shared" si="181"/>
        <v>0</v>
      </c>
      <c r="J461" s="472">
        <f t="shared" si="181"/>
        <v>-2</v>
      </c>
      <c r="K461" s="472">
        <f t="shared" si="181"/>
        <v>0</v>
      </c>
      <c r="L461" s="472">
        <f t="shared" si="181"/>
        <v>0</v>
      </c>
      <c r="M461" s="472">
        <f t="shared" si="181"/>
        <v>0</v>
      </c>
      <c r="N461" s="472">
        <f t="shared" si="181"/>
        <v>0</v>
      </c>
      <c r="O461" s="472">
        <f t="shared" si="181"/>
        <v>0</v>
      </c>
      <c r="P461" s="472">
        <f t="shared" si="181"/>
        <v>0</v>
      </c>
      <c r="Q461" s="472">
        <f t="shared" si="181"/>
        <v>0</v>
      </c>
      <c r="R461" s="472">
        <f t="shared" si="181"/>
        <v>0</v>
      </c>
      <c r="S461" s="472">
        <f t="shared" si="181"/>
        <v>0</v>
      </c>
      <c r="T461" s="472">
        <f t="shared" si="181"/>
        <v>-1</v>
      </c>
      <c r="U461" s="472">
        <f t="shared" si="181"/>
        <v>0</v>
      </c>
      <c r="V461" s="472">
        <f t="shared" si="181"/>
        <v>0</v>
      </c>
      <c r="W461" s="472">
        <f t="shared" si="181"/>
        <v>0</v>
      </c>
      <c r="X461" s="472">
        <f t="shared" si="181"/>
        <v>0</v>
      </c>
      <c r="Y461" s="472">
        <f t="shared" si="181"/>
        <v>0</v>
      </c>
      <c r="Z461" s="472">
        <f t="shared" si="181"/>
        <v>0</v>
      </c>
      <c r="AA461" s="472">
        <f t="shared" si="181"/>
        <v>0</v>
      </c>
      <c r="AB461" s="472">
        <f t="shared" si="181"/>
        <v>0</v>
      </c>
      <c r="AC461" s="472">
        <f t="shared" si="181"/>
        <v>0</v>
      </c>
      <c r="AD461" s="472">
        <f t="shared" si="181"/>
        <v>0</v>
      </c>
      <c r="AE461" s="472">
        <f t="shared" si="181"/>
        <v>0</v>
      </c>
      <c r="AF461" s="472">
        <f t="shared" si="181"/>
        <v>0</v>
      </c>
      <c r="AG461" s="290">
        <f t="shared" si="178"/>
        <v>-3</v>
      </c>
    </row>
    <row r="462">
      <c r="A462" s="328"/>
      <c r="B462" s="358"/>
      <c r="AG462" s="290"/>
    </row>
    <row r="463">
      <c r="A463" s="470" t="s">
        <v>1337</v>
      </c>
      <c r="B463" s="418">
        <f t="shared" ref="B463:AF463" si="182">B149-B311</f>
        <v>0</v>
      </c>
      <c r="C463" s="418">
        <f t="shared" si="182"/>
        <v>0</v>
      </c>
      <c r="D463" s="418">
        <f t="shared" si="182"/>
        <v>0</v>
      </c>
      <c r="E463" s="418">
        <f t="shared" si="182"/>
        <v>0</v>
      </c>
      <c r="F463" s="418">
        <f t="shared" si="182"/>
        <v>0</v>
      </c>
      <c r="G463" s="418">
        <f t="shared" si="182"/>
        <v>0</v>
      </c>
      <c r="H463" s="418">
        <f t="shared" si="182"/>
        <v>0</v>
      </c>
      <c r="I463" s="418">
        <f t="shared" si="182"/>
        <v>0</v>
      </c>
      <c r="J463" s="418">
        <f t="shared" si="182"/>
        <v>0</v>
      </c>
      <c r="K463" s="418">
        <f t="shared" si="182"/>
        <v>0</v>
      </c>
      <c r="L463" s="418">
        <f t="shared" si="182"/>
        <v>0</v>
      </c>
      <c r="M463" s="418">
        <f t="shared" si="182"/>
        <v>0</v>
      </c>
      <c r="N463" s="418">
        <f t="shared" si="182"/>
        <v>0</v>
      </c>
      <c r="O463" s="418">
        <f t="shared" si="182"/>
        <v>0</v>
      </c>
      <c r="P463" s="418">
        <f t="shared" si="182"/>
        <v>0</v>
      </c>
      <c r="Q463" s="418">
        <f t="shared" si="182"/>
        <v>0</v>
      </c>
      <c r="R463" s="418">
        <f t="shared" si="182"/>
        <v>0</v>
      </c>
      <c r="S463" s="418">
        <f t="shared" si="182"/>
        <v>0</v>
      </c>
      <c r="T463" s="418">
        <f t="shared" si="182"/>
        <v>0</v>
      </c>
      <c r="U463" s="418">
        <f t="shared" si="182"/>
        <v>0</v>
      </c>
      <c r="V463" s="418">
        <f t="shared" si="182"/>
        <v>0</v>
      </c>
      <c r="W463" s="418">
        <f t="shared" si="182"/>
        <v>0</v>
      </c>
      <c r="X463" s="418">
        <f t="shared" si="182"/>
        <v>0</v>
      </c>
      <c r="Y463" s="418">
        <f t="shared" si="182"/>
        <v>0</v>
      </c>
      <c r="Z463" s="418">
        <f t="shared" si="182"/>
        <v>0</v>
      </c>
      <c r="AA463" s="418">
        <f t="shared" si="182"/>
        <v>0</v>
      </c>
      <c r="AB463" s="418">
        <f t="shared" si="182"/>
        <v>0</v>
      </c>
      <c r="AC463" s="418">
        <f t="shared" si="182"/>
        <v>0</v>
      </c>
      <c r="AD463" s="418">
        <f t="shared" si="182"/>
        <v>-1</v>
      </c>
      <c r="AE463" s="418">
        <f t="shared" si="182"/>
        <v>0</v>
      </c>
      <c r="AF463" s="418">
        <f t="shared" si="182"/>
        <v>0</v>
      </c>
      <c r="AG463" s="290">
        <f t="shared" ref="AG463:AG465" si="184">SUM(B463:AF463)</f>
        <v>-1</v>
      </c>
    </row>
    <row r="464">
      <c r="A464" s="470" t="s">
        <v>1342</v>
      </c>
      <c r="B464" s="418">
        <f t="shared" ref="B464:AF464" si="183">B150-B312</f>
        <v>0</v>
      </c>
      <c r="C464" s="418">
        <f t="shared" si="183"/>
        <v>0</v>
      </c>
      <c r="D464" s="418">
        <f t="shared" si="183"/>
        <v>0</v>
      </c>
      <c r="E464" s="418">
        <f t="shared" si="183"/>
        <v>0</v>
      </c>
      <c r="F464" s="418">
        <f t="shared" si="183"/>
        <v>0</v>
      </c>
      <c r="G464" s="418">
        <f t="shared" si="183"/>
        <v>0</v>
      </c>
      <c r="H464" s="418">
        <f t="shared" si="183"/>
        <v>0</v>
      </c>
      <c r="I464" s="418">
        <f t="shared" si="183"/>
        <v>0</v>
      </c>
      <c r="J464" s="418">
        <f t="shared" si="183"/>
        <v>0</v>
      </c>
      <c r="K464" s="418">
        <f t="shared" si="183"/>
        <v>0</v>
      </c>
      <c r="L464" s="418">
        <f t="shared" si="183"/>
        <v>0</v>
      </c>
      <c r="M464" s="418">
        <f t="shared" si="183"/>
        <v>0</v>
      </c>
      <c r="N464" s="418">
        <f t="shared" si="183"/>
        <v>0</v>
      </c>
      <c r="O464" s="418">
        <f t="shared" si="183"/>
        <v>0</v>
      </c>
      <c r="P464" s="418">
        <f t="shared" si="183"/>
        <v>0</v>
      </c>
      <c r="Q464" s="418">
        <f t="shared" si="183"/>
        <v>0</v>
      </c>
      <c r="R464" s="418">
        <f t="shared" si="183"/>
        <v>0</v>
      </c>
      <c r="S464" s="418">
        <f t="shared" si="183"/>
        <v>0</v>
      </c>
      <c r="T464" s="418">
        <f t="shared" si="183"/>
        <v>0</v>
      </c>
      <c r="U464" s="418">
        <f t="shared" si="183"/>
        <v>0</v>
      </c>
      <c r="V464" s="418">
        <f t="shared" si="183"/>
        <v>0</v>
      </c>
      <c r="W464" s="418">
        <f t="shared" si="183"/>
        <v>0</v>
      </c>
      <c r="X464" s="418">
        <f t="shared" si="183"/>
        <v>0</v>
      </c>
      <c r="Y464" s="418">
        <f t="shared" si="183"/>
        <v>0</v>
      </c>
      <c r="Z464" s="418">
        <f t="shared" si="183"/>
        <v>0</v>
      </c>
      <c r="AA464" s="418">
        <f t="shared" si="183"/>
        <v>0</v>
      </c>
      <c r="AB464" s="418">
        <f t="shared" si="183"/>
        <v>0</v>
      </c>
      <c r="AC464" s="418">
        <f t="shared" si="183"/>
        <v>0</v>
      </c>
      <c r="AD464" s="418">
        <f t="shared" si="183"/>
        <v>0</v>
      </c>
      <c r="AE464" s="418">
        <f t="shared" si="183"/>
        <v>0</v>
      </c>
      <c r="AF464" s="418">
        <f t="shared" si="183"/>
        <v>0</v>
      </c>
      <c r="AG464" s="290">
        <f t="shared" si="184"/>
        <v>0</v>
      </c>
    </row>
    <row r="465">
      <c r="A465" s="473" t="s">
        <v>126</v>
      </c>
      <c r="B465" s="472">
        <f t="shared" ref="B465:AF465" si="185">SUM(B463:B464)</f>
        <v>0</v>
      </c>
      <c r="C465" s="472">
        <f t="shared" si="185"/>
        <v>0</v>
      </c>
      <c r="D465" s="472">
        <f t="shared" si="185"/>
        <v>0</v>
      </c>
      <c r="E465" s="472">
        <f t="shared" si="185"/>
        <v>0</v>
      </c>
      <c r="F465" s="472">
        <f t="shared" si="185"/>
        <v>0</v>
      </c>
      <c r="G465" s="472">
        <f t="shared" si="185"/>
        <v>0</v>
      </c>
      <c r="H465" s="472">
        <f t="shared" si="185"/>
        <v>0</v>
      </c>
      <c r="I465" s="472">
        <f t="shared" si="185"/>
        <v>0</v>
      </c>
      <c r="J465" s="472">
        <f t="shared" si="185"/>
        <v>0</v>
      </c>
      <c r="K465" s="472">
        <f t="shared" si="185"/>
        <v>0</v>
      </c>
      <c r="L465" s="472">
        <f t="shared" si="185"/>
        <v>0</v>
      </c>
      <c r="M465" s="472">
        <f t="shared" si="185"/>
        <v>0</v>
      </c>
      <c r="N465" s="472">
        <f t="shared" si="185"/>
        <v>0</v>
      </c>
      <c r="O465" s="472">
        <f t="shared" si="185"/>
        <v>0</v>
      </c>
      <c r="P465" s="472">
        <f t="shared" si="185"/>
        <v>0</v>
      </c>
      <c r="Q465" s="472">
        <f t="shared" si="185"/>
        <v>0</v>
      </c>
      <c r="R465" s="472">
        <f t="shared" si="185"/>
        <v>0</v>
      </c>
      <c r="S465" s="472">
        <f t="shared" si="185"/>
        <v>0</v>
      </c>
      <c r="T465" s="472">
        <f t="shared" si="185"/>
        <v>0</v>
      </c>
      <c r="U465" s="472">
        <f t="shared" si="185"/>
        <v>0</v>
      </c>
      <c r="V465" s="472">
        <f t="shared" si="185"/>
        <v>0</v>
      </c>
      <c r="W465" s="472">
        <f t="shared" si="185"/>
        <v>0</v>
      </c>
      <c r="X465" s="472">
        <f t="shared" si="185"/>
        <v>0</v>
      </c>
      <c r="Y465" s="472">
        <f t="shared" si="185"/>
        <v>0</v>
      </c>
      <c r="Z465" s="472">
        <f t="shared" si="185"/>
        <v>0</v>
      </c>
      <c r="AA465" s="472">
        <f t="shared" si="185"/>
        <v>0</v>
      </c>
      <c r="AB465" s="472">
        <f t="shared" si="185"/>
        <v>0</v>
      </c>
      <c r="AC465" s="472">
        <f t="shared" si="185"/>
        <v>0</v>
      </c>
      <c r="AD465" s="472">
        <f t="shared" si="185"/>
        <v>-1</v>
      </c>
      <c r="AE465" s="472">
        <f t="shared" si="185"/>
        <v>0</v>
      </c>
      <c r="AF465" s="472">
        <f t="shared" si="185"/>
        <v>0</v>
      </c>
      <c r="AG465" s="290">
        <f t="shared" si="184"/>
        <v>-1</v>
      </c>
    </row>
    <row r="466">
      <c r="A466" s="328"/>
      <c r="AG466" s="358"/>
    </row>
    <row r="467">
      <c r="A467" s="470" t="s">
        <v>910</v>
      </c>
      <c r="B467" s="418">
        <f t="shared" ref="B467:AF467" si="186">B153-B315</f>
        <v>0</v>
      </c>
      <c r="C467" s="418">
        <f t="shared" si="186"/>
        <v>0</v>
      </c>
      <c r="D467" s="418">
        <f t="shared" si="186"/>
        <v>0</v>
      </c>
      <c r="E467" s="418">
        <f t="shared" si="186"/>
        <v>0</v>
      </c>
      <c r="F467" s="418">
        <f t="shared" si="186"/>
        <v>0</v>
      </c>
      <c r="G467" s="418">
        <f t="shared" si="186"/>
        <v>0</v>
      </c>
      <c r="H467" s="418">
        <f t="shared" si="186"/>
        <v>0</v>
      </c>
      <c r="I467" s="418">
        <f t="shared" si="186"/>
        <v>0</v>
      </c>
      <c r="J467" s="418">
        <f t="shared" si="186"/>
        <v>0</v>
      </c>
      <c r="K467" s="418">
        <f t="shared" si="186"/>
        <v>0</v>
      </c>
      <c r="L467" s="418">
        <f t="shared" si="186"/>
        <v>0</v>
      </c>
      <c r="M467" s="418">
        <f t="shared" si="186"/>
        <v>0</v>
      </c>
      <c r="N467" s="418">
        <f t="shared" si="186"/>
        <v>0</v>
      </c>
      <c r="O467" s="418">
        <f t="shared" si="186"/>
        <v>0</v>
      </c>
      <c r="P467" s="418">
        <f t="shared" si="186"/>
        <v>0</v>
      </c>
      <c r="Q467" s="418">
        <f t="shared" si="186"/>
        <v>0</v>
      </c>
      <c r="R467" s="418">
        <f t="shared" si="186"/>
        <v>0</v>
      </c>
      <c r="S467" s="418">
        <f t="shared" si="186"/>
        <v>0</v>
      </c>
      <c r="T467" s="418">
        <f t="shared" si="186"/>
        <v>0</v>
      </c>
      <c r="U467" s="418">
        <f t="shared" si="186"/>
        <v>0</v>
      </c>
      <c r="V467" s="418">
        <f t="shared" si="186"/>
        <v>0</v>
      </c>
      <c r="W467" s="418">
        <f t="shared" si="186"/>
        <v>0</v>
      </c>
      <c r="X467" s="418">
        <f t="shared" si="186"/>
        <v>0</v>
      </c>
      <c r="Y467" s="418">
        <f t="shared" si="186"/>
        <v>0</v>
      </c>
      <c r="Z467" s="418">
        <f t="shared" si="186"/>
        <v>0</v>
      </c>
      <c r="AA467" s="418">
        <f t="shared" si="186"/>
        <v>0</v>
      </c>
      <c r="AB467" s="418">
        <f t="shared" si="186"/>
        <v>0</v>
      </c>
      <c r="AC467" s="418">
        <f t="shared" si="186"/>
        <v>0</v>
      </c>
      <c r="AD467" s="418">
        <f t="shared" si="186"/>
        <v>0</v>
      </c>
      <c r="AE467" s="418">
        <f t="shared" si="186"/>
        <v>0</v>
      </c>
      <c r="AF467" s="418">
        <f t="shared" si="186"/>
        <v>0</v>
      </c>
      <c r="AG467" s="290">
        <f t="shared" ref="AG467:AG469" si="188">SUM(B467:AF467)</f>
        <v>0</v>
      </c>
    </row>
    <row r="468">
      <c r="A468" s="470" t="s">
        <v>914</v>
      </c>
      <c r="B468" s="418">
        <f t="shared" ref="B468:AF468" si="187">B154-B316</f>
        <v>0</v>
      </c>
      <c r="C468" s="418">
        <f t="shared" si="187"/>
        <v>0</v>
      </c>
      <c r="D468" s="418">
        <f t="shared" si="187"/>
        <v>0</v>
      </c>
      <c r="E468" s="418">
        <f t="shared" si="187"/>
        <v>0</v>
      </c>
      <c r="F468" s="418">
        <f t="shared" si="187"/>
        <v>0</v>
      </c>
      <c r="G468" s="418">
        <f t="shared" si="187"/>
        <v>0</v>
      </c>
      <c r="H468" s="418">
        <f t="shared" si="187"/>
        <v>0</v>
      </c>
      <c r="I468" s="418">
        <f t="shared" si="187"/>
        <v>0</v>
      </c>
      <c r="J468" s="418">
        <f t="shared" si="187"/>
        <v>0</v>
      </c>
      <c r="K468" s="418">
        <f t="shared" si="187"/>
        <v>0</v>
      </c>
      <c r="L468" s="418">
        <f t="shared" si="187"/>
        <v>0</v>
      </c>
      <c r="M468" s="418">
        <f t="shared" si="187"/>
        <v>0</v>
      </c>
      <c r="N468" s="418">
        <f t="shared" si="187"/>
        <v>0</v>
      </c>
      <c r="O468" s="418">
        <f t="shared" si="187"/>
        <v>0</v>
      </c>
      <c r="P468" s="418">
        <f t="shared" si="187"/>
        <v>0</v>
      </c>
      <c r="Q468" s="418">
        <f t="shared" si="187"/>
        <v>0</v>
      </c>
      <c r="R468" s="418">
        <f t="shared" si="187"/>
        <v>0</v>
      </c>
      <c r="S468" s="418">
        <f t="shared" si="187"/>
        <v>0</v>
      </c>
      <c r="T468" s="418">
        <f t="shared" si="187"/>
        <v>0</v>
      </c>
      <c r="U468" s="418">
        <f t="shared" si="187"/>
        <v>0</v>
      </c>
      <c r="V468" s="418">
        <f t="shared" si="187"/>
        <v>0</v>
      </c>
      <c r="W468" s="418">
        <f t="shared" si="187"/>
        <v>0</v>
      </c>
      <c r="X468" s="418">
        <f t="shared" si="187"/>
        <v>0</v>
      </c>
      <c r="Y468" s="418">
        <f t="shared" si="187"/>
        <v>0</v>
      </c>
      <c r="Z468" s="418">
        <f t="shared" si="187"/>
        <v>0</v>
      </c>
      <c r="AA468" s="418">
        <f t="shared" si="187"/>
        <v>0</v>
      </c>
      <c r="AB468" s="418">
        <f t="shared" si="187"/>
        <v>0</v>
      </c>
      <c r="AC468" s="418">
        <f t="shared" si="187"/>
        <v>0</v>
      </c>
      <c r="AD468" s="418">
        <f t="shared" si="187"/>
        <v>0</v>
      </c>
      <c r="AE468" s="418">
        <f t="shared" si="187"/>
        <v>0</v>
      </c>
      <c r="AF468" s="418">
        <f t="shared" si="187"/>
        <v>0</v>
      </c>
      <c r="AG468" s="290">
        <f t="shared" si="188"/>
        <v>0</v>
      </c>
    </row>
    <row r="469">
      <c r="A469" s="473" t="s">
        <v>126</v>
      </c>
      <c r="B469" s="472">
        <f t="shared" ref="B469:AF469" si="189">SUM(B467:B468)</f>
        <v>0</v>
      </c>
      <c r="C469" s="472">
        <f t="shared" si="189"/>
        <v>0</v>
      </c>
      <c r="D469" s="472">
        <f t="shared" si="189"/>
        <v>0</v>
      </c>
      <c r="E469" s="472">
        <f t="shared" si="189"/>
        <v>0</v>
      </c>
      <c r="F469" s="472">
        <f t="shared" si="189"/>
        <v>0</v>
      </c>
      <c r="G469" s="472">
        <f t="shared" si="189"/>
        <v>0</v>
      </c>
      <c r="H469" s="472">
        <f t="shared" si="189"/>
        <v>0</v>
      </c>
      <c r="I469" s="472">
        <f t="shared" si="189"/>
        <v>0</v>
      </c>
      <c r="J469" s="472">
        <f t="shared" si="189"/>
        <v>0</v>
      </c>
      <c r="K469" s="472">
        <f t="shared" si="189"/>
        <v>0</v>
      </c>
      <c r="L469" s="472">
        <f t="shared" si="189"/>
        <v>0</v>
      </c>
      <c r="M469" s="472">
        <f t="shared" si="189"/>
        <v>0</v>
      </c>
      <c r="N469" s="472">
        <f t="shared" si="189"/>
        <v>0</v>
      </c>
      <c r="O469" s="472">
        <f t="shared" si="189"/>
        <v>0</v>
      </c>
      <c r="P469" s="472">
        <f t="shared" si="189"/>
        <v>0</v>
      </c>
      <c r="Q469" s="472">
        <f t="shared" si="189"/>
        <v>0</v>
      </c>
      <c r="R469" s="472">
        <f t="shared" si="189"/>
        <v>0</v>
      </c>
      <c r="S469" s="472">
        <f t="shared" si="189"/>
        <v>0</v>
      </c>
      <c r="T469" s="472">
        <f t="shared" si="189"/>
        <v>0</v>
      </c>
      <c r="U469" s="472">
        <f t="shared" si="189"/>
        <v>0</v>
      </c>
      <c r="V469" s="472">
        <f t="shared" si="189"/>
        <v>0</v>
      </c>
      <c r="W469" s="472">
        <f t="shared" si="189"/>
        <v>0</v>
      </c>
      <c r="X469" s="472">
        <f t="shared" si="189"/>
        <v>0</v>
      </c>
      <c r="Y469" s="472">
        <f t="shared" si="189"/>
        <v>0</v>
      </c>
      <c r="Z469" s="472">
        <f t="shared" si="189"/>
        <v>0</v>
      </c>
      <c r="AA469" s="472">
        <f t="shared" si="189"/>
        <v>0</v>
      </c>
      <c r="AB469" s="472">
        <f t="shared" si="189"/>
        <v>0</v>
      </c>
      <c r="AC469" s="472">
        <f t="shared" si="189"/>
        <v>0</v>
      </c>
      <c r="AD469" s="472">
        <f t="shared" si="189"/>
        <v>0</v>
      </c>
      <c r="AE469" s="472">
        <f t="shared" si="189"/>
        <v>0</v>
      </c>
      <c r="AF469" s="472">
        <f t="shared" si="189"/>
        <v>0</v>
      </c>
      <c r="AG469" s="290">
        <f t="shared" si="188"/>
        <v>0</v>
      </c>
    </row>
    <row r="470">
      <c r="A470" s="328"/>
      <c r="AG470" s="358"/>
    </row>
    <row r="471">
      <c r="A471" s="470" t="s">
        <v>64</v>
      </c>
      <c r="B471" s="418">
        <f t="shared" ref="B471:AF471" si="190">B157-B319</f>
        <v>1</v>
      </c>
      <c r="C471" s="418">
        <f t="shared" si="190"/>
        <v>1</v>
      </c>
      <c r="D471" s="418">
        <f t="shared" si="190"/>
        <v>0</v>
      </c>
      <c r="E471" s="418">
        <f t="shared" si="190"/>
        <v>4</v>
      </c>
      <c r="F471" s="418">
        <f t="shared" si="190"/>
        <v>7</v>
      </c>
      <c r="G471" s="418">
        <f t="shared" si="190"/>
        <v>9</v>
      </c>
      <c r="H471" s="418">
        <f t="shared" si="190"/>
        <v>6</v>
      </c>
      <c r="I471" s="418">
        <f t="shared" si="190"/>
        <v>2</v>
      </c>
      <c r="J471" s="418">
        <f t="shared" si="190"/>
        <v>1</v>
      </c>
      <c r="K471" s="418">
        <f t="shared" si="190"/>
        <v>2</v>
      </c>
      <c r="L471" s="418">
        <f t="shared" si="190"/>
        <v>0</v>
      </c>
      <c r="M471" s="418">
        <f t="shared" si="190"/>
        <v>4</v>
      </c>
      <c r="N471" s="418">
        <f t="shared" si="190"/>
        <v>1</v>
      </c>
      <c r="O471" s="418">
        <f t="shared" si="190"/>
        <v>2</v>
      </c>
      <c r="P471" s="418">
        <f t="shared" si="190"/>
        <v>4</v>
      </c>
      <c r="Q471" s="418">
        <f t="shared" si="190"/>
        <v>2</v>
      </c>
      <c r="R471" s="418">
        <f t="shared" si="190"/>
        <v>1</v>
      </c>
      <c r="S471" s="418">
        <f t="shared" si="190"/>
        <v>1</v>
      </c>
      <c r="T471" s="418">
        <f t="shared" si="190"/>
        <v>1</v>
      </c>
      <c r="U471" s="418">
        <f t="shared" si="190"/>
        <v>3</v>
      </c>
      <c r="V471" s="418">
        <f t="shared" si="190"/>
        <v>0</v>
      </c>
      <c r="W471" s="418">
        <f t="shared" si="190"/>
        <v>2</v>
      </c>
      <c r="X471" s="418">
        <f t="shared" si="190"/>
        <v>3</v>
      </c>
      <c r="Y471" s="418">
        <f t="shared" si="190"/>
        <v>4</v>
      </c>
      <c r="Z471" s="418">
        <f t="shared" si="190"/>
        <v>2</v>
      </c>
      <c r="AA471" s="418">
        <f t="shared" si="190"/>
        <v>4</v>
      </c>
      <c r="AB471" s="418">
        <f t="shared" si="190"/>
        <v>2</v>
      </c>
      <c r="AC471" s="418">
        <f t="shared" si="190"/>
        <v>1</v>
      </c>
      <c r="AD471" s="418">
        <f t="shared" si="190"/>
        <v>5</v>
      </c>
      <c r="AE471" s="418">
        <f t="shared" si="190"/>
        <v>1</v>
      </c>
      <c r="AF471" s="418">
        <f t="shared" si="190"/>
        <v>1</v>
      </c>
      <c r="AG471" s="290">
        <f t="shared" ref="AG471:AG472" si="192">SUM(B471:AF471)</f>
        <v>77</v>
      </c>
    </row>
    <row r="472">
      <c r="A472" s="473" t="s">
        <v>1368</v>
      </c>
      <c r="B472" s="472">
        <f t="shared" ref="B472:AF472" si="191">B158-B320</f>
        <v>1</v>
      </c>
      <c r="C472" s="472">
        <f t="shared" si="191"/>
        <v>1</v>
      </c>
      <c r="D472" s="472">
        <f t="shared" si="191"/>
        <v>0</v>
      </c>
      <c r="E472" s="472">
        <f t="shared" si="191"/>
        <v>4</v>
      </c>
      <c r="F472" s="472">
        <f t="shared" si="191"/>
        <v>7</v>
      </c>
      <c r="G472" s="472">
        <f t="shared" si="191"/>
        <v>9</v>
      </c>
      <c r="H472" s="472">
        <f t="shared" si="191"/>
        <v>6</v>
      </c>
      <c r="I472" s="472">
        <f t="shared" si="191"/>
        <v>2</v>
      </c>
      <c r="J472" s="472">
        <f t="shared" si="191"/>
        <v>1</v>
      </c>
      <c r="K472" s="472">
        <f t="shared" si="191"/>
        <v>2</v>
      </c>
      <c r="L472" s="472">
        <f t="shared" si="191"/>
        <v>0</v>
      </c>
      <c r="M472" s="472">
        <f t="shared" si="191"/>
        <v>4</v>
      </c>
      <c r="N472" s="472">
        <f t="shared" si="191"/>
        <v>1</v>
      </c>
      <c r="O472" s="472">
        <f t="shared" si="191"/>
        <v>2</v>
      </c>
      <c r="P472" s="472">
        <f t="shared" si="191"/>
        <v>4</v>
      </c>
      <c r="Q472" s="472">
        <f t="shared" si="191"/>
        <v>2</v>
      </c>
      <c r="R472" s="472">
        <f t="shared" si="191"/>
        <v>1</v>
      </c>
      <c r="S472" s="472">
        <f t="shared" si="191"/>
        <v>1</v>
      </c>
      <c r="T472" s="472">
        <f t="shared" si="191"/>
        <v>1</v>
      </c>
      <c r="U472" s="472">
        <f t="shared" si="191"/>
        <v>3</v>
      </c>
      <c r="V472" s="472">
        <f t="shared" si="191"/>
        <v>0</v>
      </c>
      <c r="W472" s="472">
        <f t="shared" si="191"/>
        <v>2</v>
      </c>
      <c r="X472" s="472">
        <f t="shared" si="191"/>
        <v>3</v>
      </c>
      <c r="Y472" s="472">
        <f t="shared" si="191"/>
        <v>4</v>
      </c>
      <c r="Z472" s="472">
        <f t="shared" si="191"/>
        <v>2</v>
      </c>
      <c r="AA472" s="472">
        <f t="shared" si="191"/>
        <v>4</v>
      </c>
      <c r="AB472" s="472">
        <f t="shared" si="191"/>
        <v>2</v>
      </c>
      <c r="AC472" s="472">
        <f t="shared" si="191"/>
        <v>1</v>
      </c>
      <c r="AD472" s="472">
        <f t="shared" si="191"/>
        <v>5</v>
      </c>
      <c r="AE472" s="472">
        <f t="shared" si="191"/>
        <v>1</v>
      </c>
      <c r="AF472" s="472">
        <f t="shared" si="191"/>
        <v>1</v>
      </c>
      <c r="AG472" s="290">
        <f t="shared" si="192"/>
        <v>77</v>
      </c>
    </row>
    <row r="473">
      <c r="A473" s="328"/>
      <c r="AG473" s="358"/>
    </row>
    <row r="474">
      <c r="A474" s="79" t="s">
        <v>234</v>
      </c>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82"/>
    </row>
    <row r="475">
      <c r="A475" s="34" t="s">
        <v>2166</v>
      </c>
      <c r="B475" s="478">
        <f t="shared" ref="B475:AF475" si="193">B30+B36+B33+B38+B29+B31+B39+B32+B40</f>
        <v>8686.52</v>
      </c>
      <c r="C475" s="479">
        <f t="shared" si="193"/>
        <v>8748.33</v>
      </c>
      <c r="D475" s="480">
        <f t="shared" si="193"/>
        <v>7896.83</v>
      </c>
      <c r="E475" s="481">
        <f t="shared" si="193"/>
        <v>8790.47</v>
      </c>
      <c r="F475" s="482">
        <f t="shared" si="193"/>
        <v>9101.08</v>
      </c>
      <c r="G475" s="483">
        <f t="shared" si="193"/>
        <v>8951.95</v>
      </c>
      <c r="H475" s="484">
        <f t="shared" si="193"/>
        <v>7856</v>
      </c>
      <c r="I475" s="485">
        <f t="shared" si="193"/>
        <v>7245.78</v>
      </c>
      <c r="J475" s="486">
        <f t="shared" si="193"/>
        <v>6444.7</v>
      </c>
      <c r="K475" s="487">
        <f t="shared" si="193"/>
        <v>6640.51</v>
      </c>
      <c r="L475" s="488">
        <f t="shared" si="193"/>
        <v>5904.22</v>
      </c>
      <c r="M475" s="489">
        <f t="shared" si="193"/>
        <v>5891.59</v>
      </c>
      <c r="N475" s="490">
        <f t="shared" si="193"/>
        <v>6423.15</v>
      </c>
      <c r="O475" s="491">
        <f t="shared" si="193"/>
        <v>7219.48</v>
      </c>
      <c r="P475" s="492">
        <f t="shared" si="193"/>
        <v>7863.64</v>
      </c>
      <c r="Q475" s="493">
        <f t="shared" si="193"/>
        <v>7953.83</v>
      </c>
      <c r="R475" s="494">
        <f t="shared" si="193"/>
        <v>7043.65</v>
      </c>
      <c r="S475" s="495">
        <f t="shared" si="193"/>
        <v>6618.8</v>
      </c>
      <c r="T475" s="495">
        <f t="shared" si="193"/>
        <v>7672.96</v>
      </c>
      <c r="U475" s="495">
        <f t="shared" si="193"/>
        <v>9052.89</v>
      </c>
      <c r="V475" s="495">
        <f t="shared" si="193"/>
        <v>10793.66</v>
      </c>
      <c r="W475" s="495">
        <f t="shared" si="193"/>
        <v>11750.06</v>
      </c>
      <c r="X475" s="495">
        <f t="shared" si="193"/>
        <v>11055.15</v>
      </c>
      <c r="Y475" s="495">
        <f t="shared" si="193"/>
        <v>10961.62</v>
      </c>
      <c r="Z475" s="495">
        <f t="shared" si="193"/>
        <v>10321.25</v>
      </c>
      <c r="AA475" s="495">
        <f t="shared" si="193"/>
        <v>10034.89</v>
      </c>
      <c r="AB475" s="495">
        <f t="shared" si="193"/>
        <v>9024.53</v>
      </c>
      <c r="AC475" s="495">
        <f t="shared" si="193"/>
        <v>9879.47</v>
      </c>
      <c r="AD475" s="495">
        <f t="shared" si="193"/>
        <v>9986.74</v>
      </c>
      <c r="AE475" s="495">
        <f t="shared" si="193"/>
        <v>11536.36</v>
      </c>
      <c r="AF475" s="495">
        <f t="shared" si="193"/>
        <v>11330.14</v>
      </c>
      <c r="AG475" s="77">
        <f t="shared" ref="AG475:AG498" si="195">SUM(B475:AF475)</f>
        <v>268680.25</v>
      </c>
    </row>
    <row r="476">
      <c r="A476" s="34" t="s">
        <v>2186</v>
      </c>
      <c r="B476" s="140">
        <f t="shared" ref="B476:AF476" si="194">B35+B37+B34</f>
        <v>0</v>
      </c>
      <c r="C476" s="140">
        <f t="shared" si="194"/>
        <v>0</v>
      </c>
      <c r="D476" s="140">
        <f t="shared" si="194"/>
        <v>0</v>
      </c>
      <c r="E476" s="140">
        <f t="shared" si="194"/>
        <v>0</v>
      </c>
      <c r="F476" s="140">
        <f t="shared" si="194"/>
        <v>0</v>
      </c>
      <c r="G476" s="140">
        <f t="shared" si="194"/>
        <v>0</v>
      </c>
      <c r="H476" s="140">
        <f t="shared" si="194"/>
        <v>0</v>
      </c>
      <c r="I476" s="140">
        <f t="shared" si="194"/>
        <v>0</v>
      </c>
      <c r="J476" s="140">
        <f t="shared" si="194"/>
        <v>0</v>
      </c>
      <c r="K476" s="140">
        <f t="shared" si="194"/>
        <v>15.47</v>
      </c>
      <c r="L476" s="140">
        <f t="shared" si="194"/>
        <v>0</v>
      </c>
      <c r="M476" s="140">
        <f t="shared" si="194"/>
        <v>0</v>
      </c>
      <c r="N476" s="140">
        <f t="shared" si="194"/>
        <v>0</v>
      </c>
      <c r="O476" s="140">
        <f t="shared" si="194"/>
        <v>0</v>
      </c>
      <c r="P476" s="140">
        <f t="shared" si="194"/>
        <v>0</v>
      </c>
      <c r="Q476" s="140">
        <f t="shared" si="194"/>
        <v>0</v>
      </c>
      <c r="R476" s="140">
        <f t="shared" si="194"/>
        <v>0</v>
      </c>
      <c r="S476" s="140">
        <f t="shared" si="194"/>
        <v>0</v>
      </c>
      <c r="T476" s="140">
        <f t="shared" si="194"/>
        <v>0</v>
      </c>
      <c r="U476" s="140">
        <f t="shared" si="194"/>
        <v>133.32</v>
      </c>
      <c r="V476" s="140">
        <f t="shared" si="194"/>
        <v>0</v>
      </c>
      <c r="W476" s="140">
        <f t="shared" si="194"/>
        <v>0</v>
      </c>
      <c r="X476" s="140">
        <f t="shared" si="194"/>
        <v>0</v>
      </c>
      <c r="Y476" s="140">
        <f t="shared" si="194"/>
        <v>0</v>
      </c>
      <c r="Z476" s="140">
        <f t="shared" si="194"/>
        <v>0</v>
      </c>
      <c r="AA476" s="140">
        <f t="shared" si="194"/>
        <v>0</v>
      </c>
      <c r="AB476" s="140">
        <f t="shared" si="194"/>
        <v>50.08</v>
      </c>
      <c r="AC476" s="140">
        <f t="shared" si="194"/>
        <v>0</v>
      </c>
      <c r="AD476" s="140">
        <f t="shared" si="194"/>
        <v>0</v>
      </c>
      <c r="AE476" s="140">
        <f t="shared" si="194"/>
        <v>0</v>
      </c>
      <c r="AF476" s="140">
        <f t="shared" si="194"/>
        <v>59.8</v>
      </c>
      <c r="AG476" s="77">
        <f t="shared" si="195"/>
        <v>258.67</v>
      </c>
    </row>
    <row r="477">
      <c r="A477" s="50" t="s">
        <v>2195</v>
      </c>
      <c r="B477" s="140">
        <f>B185*Formulas!$H4</f>
        <v>6347.7</v>
      </c>
      <c r="C477" s="140">
        <f>C185*Formulas!$H4</f>
        <v>5360.28</v>
      </c>
      <c r="D477" s="140">
        <f>D185*Formulas!$H4</f>
        <v>4796.04</v>
      </c>
      <c r="E477" s="140">
        <f>E185*Formulas!$H4</f>
        <v>17703.03</v>
      </c>
      <c r="F477" s="140">
        <f>F185*Formulas!$H4</f>
        <v>15939.78</v>
      </c>
      <c r="G477" s="140">
        <f>G185*Formulas!$H4</f>
        <v>5430.81</v>
      </c>
      <c r="H477" s="140">
        <f>H185*Formulas!$H4</f>
        <v>2256.96</v>
      </c>
      <c r="I477" s="140">
        <f>I185*Formulas!$H4</f>
        <v>1622.19</v>
      </c>
      <c r="J477" s="140">
        <f>J185*Formulas!$H4</f>
        <v>1128.48</v>
      </c>
      <c r="K477" s="140">
        <f>K185*Formulas!$H4</f>
        <v>1974.84</v>
      </c>
      <c r="L477" s="140">
        <f>L185*Formulas!$H4</f>
        <v>1622.19</v>
      </c>
      <c r="M477" s="140">
        <f>M185*Formulas!$H4</f>
        <v>423.18</v>
      </c>
      <c r="N477" s="140">
        <f>N185*Formulas!$H4</f>
        <v>987.42</v>
      </c>
      <c r="O477" s="140">
        <f>O185*Formulas!$H4</f>
        <v>846.36</v>
      </c>
      <c r="P477" s="140">
        <f>P185*Formulas!$H4</f>
        <v>1763.25</v>
      </c>
      <c r="Q477" s="140">
        <f>Q185*Formulas!$H4</f>
        <v>775.83</v>
      </c>
      <c r="R477" s="140">
        <f>R185*Formulas!$H4</f>
        <v>3738.09</v>
      </c>
      <c r="S477" s="140">
        <f>S185*Formulas!$H4</f>
        <v>1340.07</v>
      </c>
      <c r="T477" s="140">
        <f>T185*Formulas!$H4</f>
        <v>1974.84</v>
      </c>
      <c r="U477" s="140">
        <f>U185*Formulas!$H4</f>
        <v>1269.54</v>
      </c>
      <c r="V477" s="140">
        <f>V185*Formulas!$H4</f>
        <v>2045.37</v>
      </c>
      <c r="W477" s="140">
        <f>W185*Formulas!$H4</f>
        <v>2468.55</v>
      </c>
      <c r="X477" s="140">
        <f>X185*Formulas!$H4</f>
        <v>2045.37</v>
      </c>
      <c r="Y477" s="140">
        <f>Y185*Formulas!$H4</f>
        <v>2468.55</v>
      </c>
      <c r="Z477" s="140">
        <f>Z185*Formulas!$H4</f>
        <v>1199.01</v>
      </c>
      <c r="AA477" s="140">
        <f>AA185*Formulas!$H4</f>
        <v>1974.84</v>
      </c>
      <c r="AB477" s="140">
        <f>AB185*Formulas!$H4</f>
        <v>1622.19</v>
      </c>
      <c r="AC477" s="140">
        <f>AC185*Formulas!$H4</f>
        <v>2327.49</v>
      </c>
      <c r="AD477" s="140">
        <f>AD185*Formulas!$H4</f>
        <v>1904.31</v>
      </c>
      <c r="AE477" s="140">
        <f>AE185*Formulas!$H4</f>
        <v>1481.13</v>
      </c>
      <c r="AF477" s="140">
        <f>AF185*Formulas!$H4</f>
        <v>2680.14</v>
      </c>
      <c r="AG477" s="77">
        <f t="shared" si="195"/>
        <v>99517.83</v>
      </c>
    </row>
    <row r="478">
      <c r="A478" s="34" t="s">
        <v>2210</v>
      </c>
      <c r="B478" s="140">
        <f>(B477)*Formulas!$H37</f>
        <v>476.0775</v>
      </c>
      <c r="C478" s="140">
        <f>(C477)*Formulas!$H37</f>
        <v>402.021</v>
      </c>
      <c r="D478" s="140">
        <f>(D477)*Formulas!$H37</f>
        <v>359.703</v>
      </c>
      <c r="E478" s="140">
        <f>(E477)*Formulas!$H37</f>
        <v>1327.72725</v>
      </c>
      <c r="F478" s="140">
        <f>(F477)*Formulas!$H37</f>
        <v>1195.4835</v>
      </c>
      <c r="G478" s="140">
        <f>(G477)*Formulas!$H37</f>
        <v>407.31075</v>
      </c>
      <c r="H478" s="140">
        <f>(H477)*Formulas!$H37</f>
        <v>169.272</v>
      </c>
      <c r="I478" s="140">
        <f>(I477)*Formulas!$H37</f>
        <v>121.66425</v>
      </c>
      <c r="J478" s="140">
        <f>(J477)*Formulas!$H37</f>
        <v>84.636</v>
      </c>
      <c r="K478" s="140">
        <f>(K477)*Formulas!$H37</f>
        <v>148.113</v>
      </c>
      <c r="L478" s="140">
        <f>(L477)*Formulas!$H37</f>
        <v>121.66425</v>
      </c>
      <c r="M478" s="140">
        <f>(M477)*Formulas!$H37</f>
        <v>31.7385</v>
      </c>
      <c r="N478" s="140">
        <f>(N477)*Formulas!$H37</f>
        <v>74.0565</v>
      </c>
      <c r="O478" s="140">
        <f>(O477)*Formulas!$H37</f>
        <v>63.477</v>
      </c>
      <c r="P478" s="140">
        <f>(P477)*Formulas!$H37</f>
        <v>132.24375</v>
      </c>
      <c r="Q478" s="140">
        <f>(Q477)*Formulas!$H37</f>
        <v>58.18725</v>
      </c>
      <c r="R478" s="140">
        <f>(R477)*Formulas!$H37</f>
        <v>280.35675</v>
      </c>
      <c r="S478" s="140">
        <f>(S477)*Formulas!$H37</f>
        <v>100.50525</v>
      </c>
      <c r="T478" s="140">
        <f>(T477)*Formulas!$H37</f>
        <v>148.113</v>
      </c>
      <c r="U478" s="140">
        <f>(U477)*Formulas!$H37</f>
        <v>95.2155</v>
      </c>
      <c r="V478" s="140">
        <f>(V477)*Formulas!$H37</f>
        <v>153.40275</v>
      </c>
      <c r="W478" s="140">
        <f>(W477)*Formulas!$H37</f>
        <v>185.14125</v>
      </c>
      <c r="X478" s="140">
        <f>(X477)*Formulas!$H37</f>
        <v>153.40275</v>
      </c>
      <c r="Y478" s="140">
        <f>(Y477)*Formulas!$H37</f>
        <v>185.14125</v>
      </c>
      <c r="Z478" s="140">
        <f>(Z477)*Formulas!$H37</f>
        <v>89.92575</v>
      </c>
      <c r="AA478" s="140">
        <f>(AA477)*Formulas!$H37</f>
        <v>148.113</v>
      </c>
      <c r="AB478" s="140">
        <f>(AB477)*Formulas!$H37</f>
        <v>121.66425</v>
      </c>
      <c r="AC478" s="140">
        <f>(AC477)*Formulas!$H37</f>
        <v>174.56175</v>
      </c>
      <c r="AD478" s="140">
        <f>(AD477)*Formulas!$H37</f>
        <v>142.82325</v>
      </c>
      <c r="AE478" s="140">
        <f>(AE477)*Formulas!$H37</f>
        <v>111.08475</v>
      </c>
      <c r="AF478" s="140">
        <f>(AF477)*Formulas!$H37</f>
        <v>201.0105</v>
      </c>
      <c r="AG478" s="77">
        <f t="shared" si="195"/>
        <v>7463.83725</v>
      </c>
    </row>
    <row r="479">
      <c r="A479" s="50" t="s">
        <v>2227</v>
      </c>
      <c r="B479" s="140">
        <f>B186*Formulas!$H$5</f>
        <v>480.48</v>
      </c>
      <c r="C479" s="140">
        <f>C186*Formulas!$H$5</f>
        <v>240.24</v>
      </c>
      <c r="D479" s="140">
        <f>D186*Formulas!$H$5</f>
        <v>400.4</v>
      </c>
      <c r="E479" s="140">
        <f>E186*Formulas!$H$5</f>
        <v>-160.16</v>
      </c>
      <c r="F479" s="140">
        <f>F186*Formulas!$H$5</f>
        <v>160.16</v>
      </c>
      <c r="G479" s="140">
        <f>G186*Formulas!$H$5</f>
        <v>8248.24</v>
      </c>
      <c r="H479" s="140">
        <f>H186*Formulas!$H$5</f>
        <v>11931.92</v>
      </c>
      <c r="I479" s="140">
        <f>I186*Formulas!$H$5</f>
        <v>7847.84</v>
      </c>
      <c r="J479" s="140">
        <f>J186*Formulas!$H$5</f>
        <v>6966.96</v>
      </c>
      <c r="K479" s="140">
        <f>K186*Formulas!$H$5</f>
        <v>6806.8</v>
      </c>
      <c r="L479" s="140">
        <f>L186*Formulas!$H$5</f>
        <v>5605.6</v>
      </c>
      <c r="M479" s="140">
        <f>M186*Formulas!$H$5</f>
        <v>4484.48</v>
      </c>
      <c r="N479" s="140">
        <f>N186*Formulas!$H$5</f>
        <v>6006</v>
      </c>
      <c r="O479" s="140">
        <f>O186*Formulas!$H$5</f>
        <v>5285.28</v>
      </c>
      <c r="P479" s="140">
        <f>P186*Formulas!$H$5</f>
        <v>6806.8</v>
      </c>
      <c r="Q479" s="140">
        <f>Q186*Formulas!$H$5</f>
        <v>5845.84</v>
      </c>
      <c r="R479" s="140">
        <f>R186*Formulas!$H$5</f>
        <v>3923.92</v>
      </c>
      <c r="S479" s="140">
        <f>S186*Formulas!$H$5</f>
        <v>4644.64</v>
      </c>
      <c r="T479" s="140">
        <f>T186*Formulas!$H$5</f>
        <v>5845.84</v>
      </c>
      <c r="U479" s="140">
        <f>U186*Formulas!$H$5</f>
        <v>5765.76</v>
      </c>
      <c r="V479" s="140">
        <f>V186*Formulas!$H$5</f>
        <v>6806.8</v>
      </c>
      <c r="W479" s="140">
        <f>W186*Formulas!$H$5</f>
        <v>5765.76</v>
      </c>
      <c r="X479" s="140">
        <f>X186*Formulas!$H$5</f>
        <v>5045.04</v>
      </c>
      <c r="Y479" s="140">
        <f>Y186*Formulas!$H$5</f>
        <v>6406.4</v>
      </c>
      <c r="Z479" s="140">
        <f>Z186*Formulas!$H$5</f>
        <v>6486.48</v>
      </c>
      <c r="AA479" s="140">
        <f>AA186*Formulas!$H$5</f>
        <v>4404.4</v>
      </c>
      <c r="AB479" s="140">
        <f>AB186*Formulas!$H$5</f>
        <v>6486.48</v>
      </c>
      <c r="AC479" s="140">
        <f>AC186*Formulas!$H$5</f>
        <v>6086.08</v>
      </c>
      <c r="AD479" s="140">
        <f>AD186*Formulas!$H$5</f>
        <v>7207.2</v>
      </c>
      <c r="AE479" s="140">
        <f>AE186*Formulas!$H$5</f>
        <v>7047.04</v>
      </c>
      <c r="AF479" s="140">
        <f>AF186*Formulas!$H$5</f>
        <v>6966.96</v>
      </c>
      <c r="AG479" s="77">
        <f t="shared" si="195"/>
        <v>165845.68</v>
      </c>
    </row>
    <row r="480">
      <c r="A480" s="34" t="s">
        <v>2244</v>
      </c>
      <c r="B480" s="140">
        <f>(B479+B481)*Formulas!$H37</f>
        <v>36.036</v>
      </c>
      <c r="C480" s="140">
        <f>(C479+C481)*Formulas!$H37</f>
        <v>18.018</v>
      </c>
      <c r="D480" s="140">
        <f>(D479+D481)*Formulas!$H37</f>
        <v>29.0745</v>
      </c>
      <c r="E480" s="140">
        <f>(E479+E481)*Formulas!$H37</f>
        <v>-12.012</v>
      </c>
      <c r="F480" s="140">
        <f>(F479+F481)*Formulas!$H37</f>
        <v>12.012</v>
      </c>
      <c r="G480" s="140">
        <f>(G479+G481)*Formulas!$H37</f>
        <v>617.18475</v>
      </c>
      <c r="H480" s="140">
        <f>(H479+H481)*Formulas!$H37</f>
        <v>894.894</v>
      </c>
      <c r="I480" s="140">
        <f>(I479+I481)*Formulas!$H37</f>
        <v>588.588</v>
      </c>
      <c r="J480" s="140">
        <f>(J479+J481)*Formulas!$H37</f>
        <v>522.04425</v>
      </c>
      <c r="K480" s="140">
        <f>(K479+K481)*Formulas!$H37</f>
        <v>508.12125</v>
      </c>
      <c r="L480" s="140">
        <f>(L479+L481)*Formulas!$H37</f>
        <v>419.94225</v>
      </c>
      <c r="M480" s="140">
        <f>(M479+M481)*Formulas!$H37</f>
        <v>335.85825</v>
      </c>
      <c r="N480" s="140">
        <f>(N479+N481)*Formulas!$H37</f>
        <v>450.45</v>
      </c>
      <c r="O480" s="140">
        <f>(O479+O481)*Formulas!$H37</f>
        <v>396.87375</v>
      </c>
      <c r="P480" s="140">
        <f>(P479+P481)*Formulas!$H37</f>
        <v>510.03225</v>
      </c>
      <c r="Q480" s="140">
        <f>(Q479+Q481)*Formulas!$H37</f>
        <v>438.438</v>
      </c>
      <c r="R480" s="140">
        <f>(R479+R481)*Formulas!$H37</f>
        <v>295.72725</v>
      </c>
      <c r="S480" s="140">
        <f>(S479+S481)*Formulas!$H37</f>
        <v>347.87025</v>
      </c>
      <c r="T480" s="140">
        <f>(T479+T481)*Formulas!$H37</f>
        <v>436.527</v>
      </c>
      <c r="U480" s="140">
        <f>(U479+U481)*Formulas!$H37</f>
        <v>431.4765</v>
      </c>
      <c r="V480" s="140">
        <f>(V479+V481)*Formulas!$H37</f>
        <v>510.51</v>
      </c>
      <c r="W480" s="140">
        <f>(W479+W481)*Formulas!$H37</f>
        <v>432.432</v>
      </c>
      <c r="X480" s="140">
        <f>(X479+X481)*Formulas!$H37</f>
        <v>374.07825</v>
      </c>
      <c r="Y480" s="140">
        <f>(Y479+Y481)*Formulas!$H37</f>
        <v>480.48</v>
      </c>
      <c r="Z480" s="140">
        <f>(Z479+Z481)*Formulas!$H37</f>
        <v>486.00825</v>
      </c>
      <c r="AA480" s="140">
        <f>(AA479+AA481)*Formulas!$H37</f>
        <v>330.80775</v>
      </c>
      <c r="AB480" s="140">
        <f>(AB479+AB481)*Formulas!$H37</f>
        <v>485.5305</v>
      </c>
      <c r="AC480" s="140">
        <f>(AC479+AC481)*Formulas!$H37</f>
        <v>455.5005</v>
      </c>
      <c r="AD480" s="140">
        <f>(AD479+AD481)*Formulas!$H37</f>
        <v>540.54</v>
      </c>
      <c r="AE480" s="140">
        <f>(AE479+AE481)*Formulas!$H37</f>
        <v>528.05025</v>
      </c>
      <c r="AF480" s="140">
        <f>(AF479+AF481)*Formulas!$H37</f>
        <v>522.522</v>
      </c>
      <c r="AG480" s="77">
        <f t="shared" si="195"/>
        <v>12423.61575</v>
      </c>
    </row>
    <row r="481">
      <c r="A481" s="50" t="s">
        <v>2263</v>
      </c>
      <c r="B481" s="140">
        <f>B190*Formulas!$H8</f>
        <v>0</v>
      </c>
      <c r="C481" s="140">
        <f>C190*Formulas!$H8</f>
        <v>0</v>
      </c>
      <c r="D481" s="140">
        <f>D190*Formulas!$H8</f>
        <v>-12.74</v>
      </c>
      <c r="E481" s="140">
        <f>E190*Formulas!$H8</f>
        <v>0</v>
      </c>
      <c r="F481" s="140">
        <f>F190*Formulas!$H8</f>
        <v>0</v>
      </c>
      <c r="G481" s="140">
        <f>G190*Formulas!$H8</f>
        <v>-19.11</v>
      </c>
      <c r="H481" s="140">
        <f>H190*Formulas!$H8</f>
        <v>0</v>
      </c>
      <c r="I481" s="140">
        <f>I190*Formulas!$H8</f>
        <v>0</v>
      </c>
      <c r="J481" s="140">
        <f>J190*Formulas!$H8</f>
        <v>-6.37</v>
      </c>
      <c r="K481" s="140">
        <f>K190*Formulas!$H8</f>
        <v>-31.85</v>
      </c>
      <c r="L481" s="140">
        <f>L190*Formulas!$H8</f>
        <v>-6.37</v>
      </c>
      <c r="M481" s="140">
        <f>M190*Formulas!$H8</f>
        <v>-6.37</v>
      </c>
      <c r="N481" s="140">
        <f>N190*Formulas!$H8</f>
        <v>0</v>
      </c>
      <c r="O481" s="140">
        <f>O190*Formulas!$H8</f>
        <v>6.37</v>
      </c>
      <c r="P481" s="140">
        <f>P190*Formulas!$H8</f>
        <v>-6.37</v>
      </c>
      <c r="Q481" s="140">
        <f>Q190*Formulas!$H8</f>
        <v>0</v>
      </c>
      <c r="R481" s="140">
        <f>R190*Formulas!$H8</f>
        <v>19.11</v>
      </c>
      <c r="S481" s="140">
        <f>S190*Formulas!$H8</f>
        <v>-6.37</v>
      </c>
      <c r="T481" s="140">
        <f>T190*Formulas!$H8</f>
        <v>-25.48</v>
      </c>
      <c r="U481" s="140">
        <f>U190*Formulas!$H8</f>
        <v>-12.74</v>
      </c>
      <c r="V481" s="140">
        <f>V190*Formulas!$H8</f>
        <v>0</v>
      </c>
      <c r="W481" s="140">
        <f>W190*Formulas!$H8</f>
        <v>0</v>
      </c>
      <c r="X481" s="140">
        <f>X190*Formulas!$H8</f>
        <v>-57.33</v>
      </c>
      <c r="Y481" s="140">
        <f>Y190*Formulas!$H8</f>
        <v>0</v>
      </c>
      <c r="Z481" s="140">
        <f>Z190*Formulas!$H8</f>
        <v>-6.37</v>
      </c>
      <c r="AA481" s="140">
        <f>AA190*Formulas!$H8</f>
        <v>6.37</v>
      </c>
      <c r="AB481" s="140">
        <f>AB190*Formulas!$H8</f>
        <v>-12.74</v>
      </c>
      <c r="AC481" s="140">
        <f>AC190*Formulas!$H8</f>
        <v>-12.74</v>
      </c>
      <c r="AD481" s="140">
        <f>AD190*Formulas!$H8</f>
        <v>0</v>
      </c>
      <c r="AE481" s="140">
        <f>AE190*Formulas!$H8</f>
        <v>-6.37</v>
      </c>
      <c r="AF481" s="140">
        <f>AF190*Formulas!$H8</f>
        <v>0</v>
      </c>
      <c r="AG481" s="77">
        <f t="shared" si="195"/>
        <v>-197.47</v>
      </c>
    </row>
    <row r="482">
      <c r="A482" s="34" t="s">
        <v>2279</v>
      </c>
      <c r="B482" s="140">
        <f>B481*Formulas!$H37</f>
        <v>0</v>
      </c>
      <c r="C482" s="140">
        <f>C481*Formulas!$H37</f>
        <v>0</v>
      </c>
      <c r="D482" s="140">
        <f>D481*Formulas!$H37</f>
        <v>-0.9555</v>
      </c>
      <c r="E482" s="140">
        <f>E481*Formulas!$H37</f>
        <v>0</v>
      </c>
      <c r="F482" s="140">
        <f>F481*Formulas!$H37</f>
        <v>0</v>
      </c>
      <c r="G482" s="140">
        <f>G481*Formulas!$H37</f>
        <v>-1.43325</v>
      </c>
      <c r="H482" s="140">
        <f>H481*Formulas!$H37</f>
        <v>0</v>
      </c>
      <c r="I482" s="140">
        <f>I481*Formulas!$H37</f>
        <v>0</v>
      </c>
      <c r="J482" s="140">
        <f>J481*Formulas!$H37</f>
        <v>-0.47775</v>
      </c>
      <c r="K482" s="140">
        <f>K481*Formulas!$H37</f>
        <v>-2.38875</v>
      </c>
      <c r="L482" s="140">
        <f>L481*Formulas!$H37</f>
        <v>-0.47775</v>
      </c>
      <c r="M482" s="140">
        <f>M481*Formulas!$H37</f>
        <v>-0.47775</v>
      </c>
      <c r="N482" s="140">
        <f>N481*Formulas!$H37</f>
        <v>0</v>
      </c>
      <c r="O482" s="140">
        <f>O481*Formulas!$H37</f>
        <v>0.47775</v>
      </c>
      <c r="P482" s="140">
        <f>P481*Formulas!$H37</f>
        <v>-0.47775</v>
      </c>
      <c r="Q482" s="140">
        <f>Q481*Formulas!$H37</f>
        <v>0</v>
      </c>
      <c r="R482" s="140">
        <f>R481*Formulas!$H37</f>
        <v>1.43325</v>
      </c>
      <c r="S482" s="140">
        <f>S481*Formulas!$H37</f>
        <v>-0.47775</v>
      </c>
      <c r="T482" s="140">
        <f>T481*Formulas!$H37</f>
        <v>-1.911</v>
      </c>
      <c r="U482" s="140">
        <f>U481*Formulas!$H37</f>
        <v>-0.9555</v>
      </c>
      <c r="V482" s="140">
        <f>V481*Formulas!$H37</f>
        <v>0</v>
      </c>
      <c r="W482" s="140">
        <f>W481*Formulas!$H37</f>
        <v>0</v>
      </c>
      <c r="X482" s="140">
        <f>X481*Formulas!$H37</f>
        <v>-4.29975</v>
      </c>
      <c r="Y482" s="140">
        <f>Y481*Formulas!$H37</f>
        <v>0</v>
      </c>
      <c r="Z482" s="140">
        <f>Z481*Formulas!$H37</f>
        <v>-0.47775</v>
      </c>
      <c r="AA482" s="140">
        <f>AA481*Formulas!$H37</f>
        <v>0.47775</v>
      </c>
      <c r="AB482" s="140">
        <f>AB481*Formulas!$H37</f>
        <v>-0.9555</v>
      </c>
      <c r="AC482" s="140">
        <f>AC481*Formulas!$H37</f>
        <v>-0.9555</v>
      </c>
      <c r="AD482" s="140">
        <f>AD481*Formulas!$H37</f>
        <v>0</v>
      </c>
      <c r="AE482" s="140">
        <f>AE481*Formulas!$H37</f>
        <v>-0.47775</v>
      </c>
      <c r="AF482" s="140">
        <f>AF481*Formulas!$H37</f>
        <v>0</v>
      </c>
      <c r="AG482" s="77">
        <f t="shared" si="195"/>
        <v>-14.81025</v>
      </c>
    </row>
    <row r="483">
      <c r="A483" s="34" t="s">
        <v>2294</v>
      </c>
      <c r="B483" s="140">
        <f>B481*Formulas!$H36</f>
        <v>0</v>
      </c>
      <c r="C483" s="140">
        <f>C481*Formulas!$H36</f>
        <v>0</v>
      </c>
      <c r="D483" s="140">
        <f>D481*Formulas!$H36</f>
        <v>-0.43316</v>
      </c>
      <c r="E483" s="140">
        <f>E481*Formulas!$H36</f>
        <v>0</v>
      </c>
      <c r="F483" s="140">
        <f>F481*Formulas!$H36</f>
        <v>0</v>
      </c>
      <c r="G483" s="140">
        <f>G481*Formulas!$H36</f>
        <v>-0.64974</v>
      </c>
      <c r="H483" s="140">
        <f>H481*Formulas!$H36</f>
        <v>0</v>
      </c>
      <c r="I483" s="140">
        <f>I481*Formulas!$H36</f>
        <v>0</v>
      </c>
      <c r="J483" s="140">
        <f>J481*Formulas!$H36</f>
        <v>-0.21658</v>
      </c>
      <c r="K483" s="140">
        <f>K481*Formulas!$H36</f>
        <v>-1.0829</v>
      </c>
      <c r="L483" s="140">
        <f>L481*Formulas!$H36</f>
        <v>-0.21658</v>
      </c>
      <c r="M483" s="140">
        <f>M481*Formulas!$H36</f>
        <v>-0.21658</v>
      </c>
      <c r="N483" s="140">
        <f>N481*Formulas!$H36</f>
        <v>0</v>
      </c>
      <c r="O483" s="140">
        <f>O481*Formulas!$H36</f>
        <v>0.21658</v>
      </c>
      <c r="P483" s="140">
        <f>P481*Formulas!$H36</f>
        <v>-0.21658</v>
      </c>
      <c r="Q483" s="140">
        <f>Q481*Formulas!$H36</f>
        <v>0</v>
      </c>
      <c r="R483" s="140">
        <f>R481*Formulas!$H36</f>
        <v>0.64974</v>
      </c>
      <c r="S483" s="140">
        <f>S481*Formulas!$H36</f>
        <v>-0.21658</v>
      </c>
      <c r="T483" s="140">
        <f>T481*Formulas!$H36</f>
        <v>-0.86632</v>
      </c>
      <c r="U483" s="140">
        <f>U481*Formulas!$H36</f>
        <v>-0.43316</v>
      </c>
      <c r="V483" s="140">
        <f>V481*Formulas!$H36</f>
        <v>0</v>
      </c>
      <c r="W483" s="140">
        <f>W481*Formulas!$H36</f>
        <v>0</v>
      </c>
      <c r="X483" s="140">
        <f>X481*Formulas!$H36</f>
        <v>-1.94922</v>
      </c>
      <c r="Y483" s="140">
        <f>Y481*Formulas!$H36</f>
        <v>0</v>
      </c>
      <c r="Z483" s="140">
        <f>Z481*Formulas!$H36</f>
        <v>-0.21658</v>
      </c>
      <c r="AA483" s="140">
        <f>AA481*Formulas!$H36</f>
        <v>0.21658</v>
      </c>
      <c r="AB483" s="140">
        <f>AB481*Formulas!$H36</f>
        <v>-0.43316</v>
      </c>
      <c r="AC483" s="140">
        <f>AC481*Formulas!$H36</f>
        <v>-0.43316</v>
      </c>
      <c r="AD483" s="140">
        <f>AD481*Formulas!$H36</f>
        <v>0</v>
      </c>
      <c r="AE483" s="140">
        <f>AE481*Formulas!$H36</f>
        <v>-0.21658</v>
      </c>
      <c r="AF483" s="140">
        <f>AF481*Formulas!$H36</f>
        <v>0</v>
      </c>
      <c r="AG483" s="77">
        <f t="shared" si="195"/>
        <v>-6.71398</v>
      </c>
    </row>
    <row r="484">
      <c r="A484" s="50" t="s">
        <v>2307</v>
      </c>
      <c r="B484" s="140">
        <f>B189*Formulas!$H7</f>
        <v>369.75</v>
      </c>
      <c r="C484" s="140">
        <f>C189*Formulas!$H7</f>
        <v>340.17</v>
      </c>
      <c r="D484" s="140">
        <f>D189*Formulas!$H7</f>
        <v>261.29</v>
      </c>
      <c r="E484" s="140">
        <f>E189*Formulas!$H7</f>
        <v>734.57</v>
      </c>
      <c r="F484" s="140">
        <f>F189*Formulas!$H7</f>
        <v>626.11</v>
      </c>
      <c r="G484" s="140">
        <f>G189*Formulas!$H7</f>
        <v>522.58</v>
      </c>
      <c r="H484" s="140">
        <f>H189*Formulas!$H7</f>
        <v>626.11</v>
      </c>
      <c r="I484" s="140">
        <f>I189*Formulas!$H7</f>
        <v>399.33</v>
      </c>
      <c r="J484" s="140">
        <f>J189*Formulas!$H7</f>
        <v>384.54</v>
      </c>
      <c r="K484" s="140">
        <f>K189*Formulas!$H7</f>
        <v>468.35</v>
      </c>
      <c r="L484" s="140">
        <f>L189*Formulas!$H7</f>
        <v>290.87</v>
      </c>
      <c r="M484" s="140">
        <f>M189*Formulas!$H7</f>
        <v>192.27</v>
      </c>
      <c r="N484" s="140">
        <f>N189*Formulas!$H7</f>
        <v>290.87</v>
      </c>
      <c r="O484" s="140">
        <f>O189*Formulas!$H7</f>
        <v>271.15</v>
      </c>
      <c r="P484" s="140">
        <f>P189*Formulas!$H7</f>
        <v>389.47</v>
      </c>
      <c r="Q484" s="140">
        <f>Q189*Formulas!$H7</f>
        <v>251.43</v>
      </c>
      <c r="R484" s="140">
        <f>R189*Formulas!$H7</f>
        <v>241.57</v>
      </c>
      <c r="S484" s="140">
        <f>S189*Formulas!$H7</f>
        <v>221.85</v>
      </c>
      <c r="T484" s="140">
        <f>T189*Formulas!$H7</f>
        <v>226.78</v>
      </c>
      <c r="U484" s="140">
        <f>U189*Formulas!$H7</f>
        <v>211.99</v>
      </c>
      <c r="V484" s="140">
        <f>V189*Formulas!$H7</f>
        <v>374.68</v>
      </c>
      <c r="W484" s="140">
        <f>W189*Formulas!$H7</f>
        <v>197.2</v>
      </c>
      <c r="X484" s="140">
        <f>X189*Formulas!$H7</f>
        <v>221.85</v>
      </c>
      <c r="Y484" s="140">
        <f>Y189*Formulas!$H7</f>
        <v>261.29</v>
      </c>
      <c r="Z484" s="140">
        <f>Z189*Formulas!$H7</f>
        <v>216.92</v>
      </c>
      <c r="AA484" s="140">
        <f>AA189*Formulas!$H7</f>
        <v>261.29</v>
      </c>
      <c r="AB484" s="140">
        <f>AB189*Formulas!$H7</f>
        <v>320.45</v>
      </c>
      <c r="AC484" s="140">
        <f>AC189*Formulas!$H7</f>
        <v>251.43</v>
      </c>
      <c r="AD484" s="140">
        <f>AD189*Formulas!$H7</f>
        <v>315.52</v>
      </c>
      <c r="AE484" s="140">
        <f>AE189*Formulas!$H7</f>
        <v>246.5</v>
      </c>
      <c r="AF484" s="140">
        <f>AF189*Formulas!$H7</f>
        <v>290.87</v>
      </c>
      <c r="AG484" s="77">
        <f t="shared" si="195"/>
        <v>10279.05</v>
      </c>
    </row>
    <row r="485">
      <c r="A485" s="34" t="s">
        <v>2320</v>
      </c>
      <c r="B485" s="140">
        <f>B484*Formulas!$H37</f>
        <v>27.73125</v>
      </c>
      <c r="C485" s="140">
        <f>C484*Formulas!$H37</f>
        <v>25.51275</v>
      </c>
      <c r="D485" s="140">
        <f>D484*Formulas!$H37</f>
        <v>19.59675</v>
      </c>
      <c r="E485" s="140">
        <f>E484*Formulas!$H37</f>
        <v>55.09275</v>
      </c>
      <c r="F485" s="140">
        <f>F484*Formulas!$H37</f>
        <v>46.95825</v>
      </c>
      <c r="G485" s="140">
        <f>G484*Formulas!$H37</f>
        <v>39.1935</v>
      </c>
      <c r="H485" s="140">
        <f>H484*Formulas!$H37</f>
        <v>46.95825</v>
      </c>
      <c r="I485" s="140">
        <f>I484*Formulas!$H37</f>
        <v>29.94975</v>
      </c>
      <c r="J485" s="140">
        <f>J484*Formulas!$H37</f>
        <v>28.8405</v>
      </c>
      <c r="K485" s="140">
        <f>K484*Formulas!$H37</f>
        <v>35.12625</v>
      </c>
      <c r="L485" s="140">
        <f>L484*Formulas!$H37</f>
        <v>21.81525</v>
      </c>
      <c r="M485" s="140">
        <f>M484*Formulas!$H37</f>
        <v>14.42025</v>
      </c>
      <c r="N485" s="140">
        <f>N484*Formulas!$H37</f>
        <v>21.81525</v>
      </c>
      <c r="O485" s="140">
        <f>O484*Formulas!$H37</f>
        <v>20.33625</v>
      </c>
      <c r="P485" s="140">
        <f>P484*Formulas!$H37</f>
        <v>29.21025</v>
      </c>
      <c r="Q485" s="140">
        <f>Q484*Formulas!$H37</f>
        <v>18.85725</v>
      </c>
      <c r="R485" s="140">
        <f>R484*Formulas!$H37</f>
        <v>18.11775</v>
      </c>
      <c r="S485" s="140">
        <f>S484*Formulas!$H37</f>
        <v>16.63875</v>
      </c>
      <c r="T485" s="140">
        <f>T484*Formulas!$H37</f>
        <v>17.0085</v>
      </c>
      <c r="U485" s="140">
        <f>U484*Formulas!$H37</f>
        <v>15.89925</v>
      </c>
      <c r="V485" s="140">
        <f>V484*Formulas!$H37</f>
        <v>28.101</v>
      </c>
      <c r="W485" s="140">
        <f>W484*Formulas!$H37</f>
        <v>14.79</v>
      </c>
      <c r="X485" s="140">
        <f>X484*Formulas!$H37</f>
        <v>16.63875</v>
      </c>
      <c r="Y485" s="140">
        <f>Y484*Formulas!$H37</f>
        <v>19.59675</v>
      </c>
      <c r="Z485" s="140">
        <f>Z484*Formulas!$H37</f>
        <v>16.269</v>
      </c>
      <c r="AA485" s="140">
        <f>AA484*Formulas!$H37</f>
        <v>19.59675</v>
      </c>
      <c r="AB485" s="140">
        <f>AB484*Formulas!$H37</f>
        <v>24.03375</v>
      </c>
      <c r="AC485" s="140">
        <f>AC484*Formulas!$H37</f>
        <v>18.85725</v>
      </c>
      <c r="AD485" s="140">
        <f>AD484*Formulas!$H37</f>
        <v>23.664</v>
      </c>
      <c r="AE485" s="140">
        <f>AE484*Formulas!$H37</f>
        <v>18.4875</v>
      </c>
      <c r="AF485" s="140">
        <f>AF484*Formulas!$H37</f>
        <v>21.81525</v>
      </c>
      <c r="AG485" s="77">
        <f t="shared" si="195"/>
        <v>770.92875</v>
      </c>
    </row>
    <row r="486">
      <c r="A486" s="34" t="s">
        <v>2333</v>
      </c>
      <c r="B486" s="140">
        <f>B484*Formulas!$H36</f>
        <v>12.5715</v>
      </c>
      <c r="C486" s="140">
        <f>C484*Formulas!$H36</f>
        <v>11.56578</v>
      </c>
      <c r="D486" s="140">
        <f>D484*Formulas!$H36</f>
        <v>8.88386</v>
      </c>
      <c r="E486" s="140">
        <f>E484*Formulas!$H36</f>
        <v>24.97538</v>
      </c>
      <c r="F486" s="140">
        <f>F484*Formulas!$H36</f>
        <v>21.28774</v>
      </c>
      <c r="G486" s="140">
        <f>G484*Formulas!$H36</f>
        <v>17.76772</v>
      </c>
      <c r="H486" s="140">
        <f>H484*Formulas!$H36</f>
        <v>21.28774</v>
      </c>
      <c r="I486" s="140">
        <f>I484*Formulas!$H36</f>
        <v>13.57722</v>
      </c>
      <c r="J486" s="140">
        <f>J484*Formulas!$H36</f>
        <v>13.07436</v>
      </c>
      <c r="K486" s="140">
        <f>K484*Formulas!$H36</f>
        <v>15.9239</v>
      </c>
      <c r="L486" s="140">
        <f>L484*Formulas!$H36</f>
        <v>9.88958</v>
      </c>
      <c r="M486" s="140">
        <f>M484*Formulas!$H36</f>
        <v>6.53718</v>
      </c>
      <c r="N486" s="140">
        <f>N484*Formulas!$H36</f>
        <v>9.88958</v>
      </c>
      <c r="O486" s="140">
        <f>O484*Formulas!$H36</f>
        <v>9.2191</v>
      </c>
      <c r="P486" s="140">
        <f>P484*Formulas!$H36</f>
        <v>13.24198</v>
      </c>
      <c r="Q486" s="140">
        <f>Q484*Formulas!$H36</f>
        <v>8.54862</v>
      </c>
      <c r="R486" s="140">
        <f>R484*Formulas!$H36</f>
        <v>8.21338</v>
      </c>
      <c r="S486" s="140">
        <f>S484*Formulas!$H36</f>
        <v>7.5429</v>
      </c>
      <c r="T486" s="140">
        <f>T484*Formulas!$H36</f>
        <v>7.71052</v>
      </c>
      <c r="U486" s="140">
        <f>U484*Formulas!$H36</f>
        <v>7.20766</v>
      </c>
      <c r="V486" s="140">
        <f>V484*Formulas!$H36</f>
        <v>12.73912</v>
      </c>
      <c r="W486" s="140">
        <f>W484*Formulas!$H36</f>
        <v>6.7048</v>
      </c>
      <c r="X486" s="140">
        <f>X484*Formulas!$H36</f>
        <v>7.5429</v>
      </c>
      <c r="Y486" s="140">
        <f>Y484*Formulas!$H36</f>
        <v>8.88386</v>
      </c>
      <c r="Z486" s="140">
        <f>Z484*Formulas!$H36</f>
        <v>7.37528</v>
      </c>
      <c r="AA486" s="140">
        <f>AA484*Formulas!$H36</f>
        <v>8.88386</v>
      </c>
      <c r="AB486" s="140">
        <f>AB484*Formulas!$H36</f>
        <v>10.8953</v>
      </c>
      <c r="AC486" s="140">
        <f>AC484*Formulas!$H36</f>
        <v>8.54862</v>
      </c>
      <c r="AD486" s="140">
        <f>AD484*Formulas!$H36</f>
        <v>10.72768</v>
      </c>
      <c r="AE486" s="140">
        <f>AE484*Formulas!$H36</f>
        <v>8.381</v>
      </c>
      <c r="AF486" s="140">
        <f>AF484*Formulas!$H36</f>
        <v>9.88958</v>
      </c>
      <c r="AG486" s="77">
        <f t="shared" si="195"/>
        <v>349.4877</v>
      </c>
    </row>
    <row r="487">
      <c r="A487" s="50" t="s">
        <v>2347</v>
      </c>
      <c r="B487" s="140">
        <f>B191*Formulas!$H9</f>
        <v>127.33</v>
      </c>
      <c r="C487" s="140">
        <f>C191*Formulas!$H9</f>
        <v>110.21</v>
      </c>
      <c r="D487" s="140">
        <f>D191*Formulas!$H9</f>
        <v>73.83</v>
      </c>
      <c r="E487" s="140">
        <f>E191*Formulas!$H9</f>
        <v>304.95</v>
      </c>
      <c r="F487" s="140">
        <f>F191*Formulas!$H9</f>
        <v>265.36</v>
      </c>
      <c r="G487" s="140">
        <f>G191*Formulas!$H9</f>
        <v>214</v>
      </c>
      <c r="H487" s="140">
        <f>H191*Formulas!$H9</f>
        <v>221.49</v>
      </c>
      <c r="I487" s="140">
        <f>I191*Formulas!$H9</f>
        <v>147.66</v>
      </c>
      <c r="J487" s="140">
        <f>J191*Formulas!$H9</f>
        <v>131.61</v>
      </c>
      <c r="K487" s="140">
        <f>K191*Formulas!$H9</f>
        <v>178.69</v>
      </c>
      <c r="L487" s="140">
        <f>L191*Formulas!$H9</f>
        <v>140.17</v>
      </c>
      <c r="M487" s="140">
        <f>M191*Formulas!$H9</f>
        <v>86.67</v>
      </c>
      <c r="N487" s="140">
        <f>N191*Formulas!$H9</f>
        <v>119.84</v>
      </c>
      <c r="O487" s="140">
        <f>O191*Formulas!$H9</f>
        <v>95.23</v>
      </c>
      <c r="P487" s="140">
        <f>P191*Formulas!$H9</f>
        <v>138.03</v>
      </c>
      <c r="Q487" s="140">
        <f>Q191*Formulas!$H9</f>
        <v>107</v>
      </c>
      <c r="R487" s="140">
        <f>R191*Formulas!$H9</f>
        <v>109.14</v>
      </c>
      <c r="S487" s="140">
        <f>S191*Formulas!$H9</f>
        <v>97.37</v>
      </c>
      <c r="T487" s="140">
        <f>T191*Formulas!$H9</f>
        <v>123.05</v>
      </c>
      <c r="U487" s="140">
        <f>U191*Formulas!$H9</f>
        <v>115.56</v>
      </c>
      <c r="V487" s="140">
        <f>V191*Formulas!$H9</f>
        <v>143.38</v>
      </c>
      <c r="W487" s="140">
        <f>W191*Formulas!$H9</f>
        <v>132.68</v>
      </c>
      <c r="X487" s="140">
        <f>X191*Formulas!$H9</f>
        <v>108.07</v>
      </c>
      <c r="Y487" s="140">
        <f>Y191*Formulas!$H9</f>
        <v>131.61</v>
      </c>
      <c r="Z487" s="140">
        <f>Z191*Formulas!$H9</f>
        <v>119.84</v>
      </c>
      <c r="AA487" s="140">
        <f>AA191*Formulas!$H9</f>
        <v>93.09</v>
      </c>
      <c r="AB487" s="140">
        <f>AB191*Formulas!$H9</f>
        <v>126.26</v>
      </c>
      <c r="AC487" s="140">
        <f>AC191*Formulas!$H9</f>
        <v>128.4</v>
      </c>
      <c r="AD487" s="140">
        <f>AD191*Formulas!$H9</f>
        <v>138.03</v>
      </c>
      <c r="AE487" s="140">
        <f>AE191*Formulas!$H9</f>
        <v>123.05</v>
      </c>
      <c r="AF487" s="140">
        <f>AF191*Formulas!$H9</f>
        <v>131.61</v>
      </c>
      <c r="AG487" s="77">
        <f t="shared" si="195"/>
        <v>4283.21</v>
      </c>
    </row>
    <row r="488">
      <c r="A488" s="34" t="s">
        <v>2362</v>
      </c>
      <c r="B488" s="140">
        <f>B487*Formulas!$H37</f>
        <v>9.54975</v>
      </c>
      <c r="C488" s="140">
        <f>C487*Formulas!$H37</f>
        <v>8.26575</v>
      </c>
      <c r="D488" s="140">
        <f>D487*Formulas!$H37</f>
        <v>5.53725</v>
      </c>
      <c r="E488" s="140">
        <f>E487*Formulas!$H37</f>
        <v>22.87125</v>
      </c>
      <c r="F488" s="140">
        <f>F487*Formulas!$H37</f>
        <v>19.902</v>
      </c>
      <c r="G488" s="140">
        <f>G487*Formulas!$H37</f>
        <v>16.05</v>
      </c>
      <c r="H488" s="140">
        <f>H487*Formulas!$H37</f>
        <v>16.61175</v>
      </c>
      <c r="I488" s="140">
        <f>I487*Formulas!$H37</f>
        <v>11.0745</v>
      </c>
      <c r="J488" s="140">
        <f>J487*Formulas!$H37</f>
        <v>9.87075</v>
      </c>
      <c r="K488" s="140">
        <f>K487*Formulas!$H37</f>
        <v>13.40175</v>
      </c>
      <c r="L488" s="140">
        <f>L487*Formulas!$H37</f>
        <v>10.51275</v>
      </c>
      <c r="M488" s="140">
        <f>M487*Formulas!$H37</f>
        <v>6.50025</v>
      </c>
      <c r="N488" s="140">
        <f>N487*Formulas!$H37</f>
        <v>8.988</v>
      </c>
      <c r="O488" s="140">
        <f>O487*Formulas!$H37</f>
        <v>7.14225</v>
      </c>
      <c r="P488" s="140">
        <f>P487*Formulas!$H37</f>
        <v>10.35225</v>
      </c>
      <c r="Q488" s="140">
        <f>Q487*Formulas!$H37</f>
        <v>8.025</v>
      </c>
      <c r="R488" s="140">
        <f>R487*Formulas!$H37</f>
        <v>8.1855</v>
      </c>
      <c r="S488" s="140">
        <f>S487*Formulas!$H37</f>
        <v>7.30275</v>
      </c>
      <c r="T488" s="140">
        <f>T487*Formulas!$H37</f>
        <v>9.22875</v>
      </c>
      <c r="U488" s="140">
        <f>U487*Formulas!$H37</f>
        <v>8.667</v>
      </c>
      <c r="V488" s="140">
        <f>V487*Formulas!$H37</f>
        <v>10.7535</v>
      </c>
      <c r="W488" s="140">
        <f>W487*Formulas!$H37</f>
        <v>9.951</v>
      </c>
      <c r="X488" s="140">
        <f>X487*Formulas!$H37</f>
        <v>8.10525</v>
      </c>
      <c r="Y488" s="140">
        <f>Y487*Formulas!$H37</f>
        <v>9.87075</v>
      </c>
      <c r="Z488" s="140">
        <f>Z487*Formulas!$H37</f>
        <v>8.988</v>
      </c>
      <c r="AA488" s="140">
        <f>AA487*Formulas!$H37</f>
        <v>6.98175</v>
      </c>
      <c r="AB488" s="140">
        <f>AB487*Formulas!$H37</f>
        <v>9.4695</v>
      </c>
      <c r="AC488" s="140">
        <f>AC487*Formulas!$H37</f>
        <v>9.63</v>
      </c>
      <c r="AD488" s="140">
        <f>AD487*Formulas!$H37</f>
        <v>10.35225</v>
      </c>
      <c r="AE488" s="140">
        <f>AE487*Formulas!$H37</f>
        <v>9.22875</v>
      </c>
      <c r="AF488" s="140">
        <f>AF487*Formulas!$H37</f>
        <v>9.87075</v>
      </c>
      <c r="AG488" s="77">
        <f t="shared" si="195"/>
        <v>321.24075</v>
      </c>
    </row>
    <row r="489">
      <c r="A489" s="34" t="s">
        <v>2375</v>
      </c>
      <c r="B489" s="140">
        <f>B487*Formulas!$H36</f>
        <v>4.32922</v>
      </c>
      <c r="C489" s="140">
        <f>C487*Formulas!$H36</f>
        <v>3.74714</v>
      </c>
      <c r="D489" s="140">
        <f>D487*Formulas!$H36</f>
        <v>2.51022</v>
      </c>
      <c r="E489" s="140">
        <f>E487*Formulas!$H36</f>
        <v>10.3683</v>
      </c>
      <c r="F489" s="140">
        <f>F487*Formulas!$H36</f>
        <v>9.02224</v>
      </c>
      <c r="G489" s="140">
        <f>G487*Formulas!$H36</f>
        <v>7.276</v>
      </c>
      <c r="H489" s="140">
        <f>H487*Formulas!$H36</f>
        <v>7.53066</v>
      </c>
      <c r="I489" s="140">
        <f>I487*Formulas!$H36</f>
        <v>5.02044</v>
      </c>
      <c r="J489" s="140">
        <f>J487*Formulas!$H36</f>
        <v>4.47474</v>
      </c>
      <c r="K489" s="140">
        <f>K487*Formulas!$H36</f>
        <v>6.07546</v>
      </c>
      <c r="L489" s="140">
        <f>L487*Formulas!$H36</f>
        <v>4.76578</v>
      </c>
      <c r="M489" s="140">
        <f>M487*Formulas!$H36</f>
        <v>2.94678</v>
      </c>
      <c r="N489" s="140">
        <f>N487*Formulas!$H36</f>
        <v>4.07456</v>
      </c>
      <c r="O489" s="140">
        <f>O487*Formulas!$H36</f>
        <v>3.23782</v>
      </c>
      <c r="P489" s="140">
        <f>P487*Formulas!$H36</f>
        <v>4.69302</v>
      </c>
      <c r="Q489" s="140">
        <f>Q487*Formulas!$H36</f>
        <v>3.638</v>
      </c>
      <c r="R489" s="140">
        <f>R487*Formulas!$H36</f>
        <v>3.71076</v>
      </c>
      <c r="S489" s="140">
        <f>S487*Formulas!$H36</f>
        <v>3.31058</v>
      </c>
      <c r="T489" s="140">
        <f>T487*Formulas!$H36</f>
        <v>4.1837</v>
      </c>
      <c r="U489" s="140">
        <f>U487*Formulas!$H36</f>
        <v>3.92904</v>
      </c>
      <c r="V489" s="140">
        <f>V487*Formulas!$H36</f>
        <v>4.87492</v>
      </c>
      <c r="W489" s="140">
        <f>W487*Formulas!$H36</f>
        <v>4.51112</v>
      </c>
      <c r="X489" s="140">
        <f>X487*Formulas!$H36</f>
        <v>3.67438</v>
      </c>
      <c r="Y489" s="140">
        <f>Y487*Formulas!$H36</f>
        <v>4.47474</v>
      </c>
      <c r="Z489" s="140">
        <f>Z487*Formulas!$H36</f>
        <v>4.07456</v>
      </c>
      <c r="AA489" s="140">
        <f>AA487*Formulas!$H36</f>
        <v>3.16506</v>
      </c>
      <c r="AB489" s="140">
        <f>AB487*Formulas!$H36</f>
        <v>4.29284</v>
      </c>
      <c r="AC489" s="140">
        <f>AC487*Formulas!$H36</f>
        <v>4.3656</v>
      </c>
      <c r="AD489" s="140">
        <f>AD487*Formulas!$H36</f>
        <v>4.69302</v>
      </c>
      <c r="AE489" s="140">
        <f>AE487*Formulas!$H36</f>
        <v>4.1837</v>
      </c>
      <c r="AF489" s="140">
        <f>AF487*Formulas!$H36</f>
        <v>4.47474</v>
      </c>
      <c r="AG489" s="77">
        <f t="shared" si="195"/>
        <v>145.62914</v>
      </c>
    </row>
    <row r="490">
      <c r="A490" s="50" t="s">
        <v>2382</v>
      </c>
      <c r="B490" s="140">
        <f>B192*Formulas!$H10</f>
        <v>358.72</v>
      </c>
      <c r="C490" s="140">
        <f>C192*Formulas!$H10</f>
        <v>255.36</v>
      </c>
      <c r="D490" s="140">
        <f>D192*Formulas!$H10</f>
        <v>206.72</v>
      </c>
      <c r="E490" s="140">
        <f>E192*Formulas!$H10</f>
        <v>717.44</v>
      </c>
      <c r="F490" s="140">
        <f>F192*Formulas!$H10</f>
        <v>608</v>
      </c>
      <c r="G490" s="140">
        <f>G192*Formulas!$H10</f>
        <v>535.04</v>
      </c>
      <c r="H490" s="140">
        <f>H192*Formulas!$H10</f>
        <v>516.8</v>
      </c>
      <c r="I490" s="140">
        <f>I192*Formulas!$H10</f>
        <v>407.36</v>
      </c>
      <c r="J490" s="140">
        <f>J192*Formulas!$H10</f>
        <v>364.8</v>
      </c>
      <c r="K490" s="140">
        <f>K192*Formulas!$H10</f>
        <v>474.24</v>
      </c>
      <c r="L490" s="140">
        <f>L192*Formulas!$H10</f>
        <v>322.24</v>
      </c>
      <c r="M490" s="140">
        <f>M192*Formulas!$H10</f>
        <v>182.4</v>
      </c>
      <c r="N490" s="140">
        <f>N192*Formulas!$H10</f>
        <v>297.92</v>
      </c>
      <c r="O490" s="140">
        <f>O192*Formulas!$H10</f>
        <v>285.76</v>
      </c>
      <c r="P490" s="140">
        <f>P192*Formulas!$H10</f>
        <v>310.08</v>
      </c>
      <c r="Q490" s="140">
        <f>Q192*Formulas!$H10</f>
        <v>285.76</v>
      </c>
      <c r="R490" s="140">
        <f>R192*Formulas!$H10</f>
        <v>176.32</v>
      </c>
      <c r="S490" s="140">
        <f>S192*Formulas!$H10</f>
        <v>231.04</v>
      </c>
      <c r="T490" s="140">
        <f>T192*Formulas!$H10</f>
        <v>255.36</v>
      </c>
      <c r="U490" s="140">
        <f>U192*Formulas!$H10</f>
        <v>218.88</v>
      </c>
      <c r="V490" s="140">
        <f>V192*Formulas!$H10</f>
        <v>346.56</v>
      </c>
      <c r="W490" s="140">
        <f>W192*Formulas!$H10</f>
        <v>255.36</v>
      </c>
      <c r="X490" s="140">
        <f>X192*Formulas!$H10</f>
        <v>200.64</v>
      </c>
      <c r="Y490" s="140">
        <f>Y192*Formulas!$H10</f>
        <v>231.04</v>
      </c>
      <c r="Z490" s="140">
        <f>Z192*Formulas!$H10</f>
        <v>200.64</v>
      </c>
      <c r="AA490" s="140">
        <f>AA192*Formulas!$H10</f>
        <v>218.88</v>
      </c>
      <c r="AB490" s="140">
        <f>AB192*Formulas!$H10</f>
        <v>322.24</v>
      </c>
      <c r="AC490" s="140">
        <f>AC192*Formulas!$H10</f>
        <v>267.52</v>
      </c>
      <c r="AD490" s="140">
        <f>AD192*Formulas!$H10</f>
        <v>322.24</v>
      </c>
      <c r="AE490" s="140">
        <f>AE192*Formulas!$H10</f>
        <v>206.72</v>
      </c>
      <c r="AF490" s="140">
        <f>AF192*Formulas!$H10</f>
        <v>279.68</v>
      </c>
      <c r="AG490" s="77">
        <f t="shared" si="195"/>
        <v>9861.76</v>
      </c>
    </row>
    <row r="491">
      <c r="A491" s="34" t="s">
        <v>2392</v>
      </c>
      <c r="B491" s="140">
        <f>B490*Formulas!$H37</f>
        <v>26.904</v>
      </c>
      <c r="C491" s="140">
        <f>C490*Formulas!$H37</f>
        <v>19.152</v>
      </c>
      <c r="D491" s="140">
        <f>D490*Formulas!$H37</f>
        <v>15.504</v>
      </c>
      <c r="E491" s="140">
        <f>E490*Formulas!$H37</f>
        <v>53.808</v>
      </c>
      <c r="F491" s="140">
        <f>F490*Formulas!$H37</f>
        <v>45.6</v>
      </c>
      <c r="G491" s="140">
        <f>G490*Formulas!$H37</f>
        <v>40.128</v>
      </c>
      <c r="H491" s="140">
        <f>H490*Formulas!$H37</f>
        <v>38.76</v>
      </c>
      <c r="I491" s="140">
        <f>I490*Formulas!$H37</f>
        <v>30.552</v>
      </c>
      <c r="J491" s="140">
        <f>J490*Formulas!$H37</f>
        <v>27.36</v>
      </c>
      <c r="K491" s="140">
        <f>K490*Formulas!$H37</f>
        <v>35.568</v>
      </c>
      <c r="L491" s="140">
        <f>L490*Formulas!$H37</f>
        <v>24.168</v>
      </c>
      <c r="M491" s="140">
        <f>M490*Formulas!$H37</f>
        <v>13.68</v>
      </c>
      <c r="N491" s="140">
        <f>N490*Formulas!$H37</f>
        <v>22.344</v>
      </c>
      <c r="O491" s="140">
        <f>O490*Formulas!$H37</f>
        <v>21.432</v>
      </c>
      <c r="P491" s="140">
        <f>P490*Formulas!$H37</f>
        <v>23.256</v>
      </c>
      <c r="Q491" s="140">
        <f>Q490*Formulas!$H37</f>
        <v>21.432</v>
      </c>
      <c r="R491" s="140">
        <f>R490*Formulas!$H37</f>
        <v>13.224</v>
      </c>
      <c r="S491" s="140">
        <f>S490*Formulas!$H37</f>
        <v>17.328</v>
      </c>
      <c r="T491" s="140">
        <f>T490*Formulas!$H37</f>
        <v>19.152</v>
      </c>
      <c r="U491" s="140">
        <f>U490*Formulas!$H37</f>
        <v>16.416</v>
      </c>
      <c r="V491" s="140">
        <f>V490*Formulas!$H37</f>
        <v>25.992</v>
      </c>
      <c r="W491" s="140">
        <f>W490*Formulas!$H37</f>
        <v>19.152</v>
      </c>
      <c r="X491" s="140">
        <f>X490*Formulas!$H37</f>
        <v>15.048</v>
      </c>
      <c r="Y491" s="140">
        <f>Y490*Formulas!$H37</f>
        <v>17.328</v>
      </c>
      <c r="Z491" s="140">
        <f>Z490*Formulas!$H37</f>
        <v>15.048</v>
      </c>
      <c r="AA491" s="140">
        <f>AA490*Formulas!$H37</f>
        <v>16.416</v>
      </c>
      <c r="AB491" s="140">
        <f>AB490*Formulas!$H37</f>
        <v>24.168</v>
      </c>
      <c r="AC491" s="140">
        <f>AC490*Formulas!$H37</f>
        <v>20.064</v>
      </c>
      <c r="AD491" s="140">
        <f>AD490*Formulas!$H37</f>
        <v>24.168</v>
      </c>
      <c r="AE491" s="140">
        <f>AE490*Formulas!$H37</f>
        <v>15.504</v>
      </c>
      <c r="AF491" s="140">
        <f>AF490*Formulas!$H37</f>
        <v>20.976</v>
      </c>
      <c r="AG491" s="77">
        <f t="shared" si="195"/>
        <v>739.632</v>
      </c>
    </row>
    <row r="492">
      <c r="A492" s="34" t="s">
        <v>2402</v>
      </c>
      <c r="B492" s="140">
        <f>B490*Formulas!$H36</f>
        <v>12.19648</v>
      </c>
      <c r="C492" s="140">
        <f>C490*Formulas!$H36</f>
        <v>8.68224</v>
      </c>
      <c r="D492" s="140">
        <f>D490*Formulas!$H36</f>
        <v>7.02848</v>
      </c>
      <c r="E492" s="140">
        <f>E490*Formulas!$H36</f>
        <v>24.39296</v>
      </c>
      <c r="F492" s="140">
        <f>F490*Formulas!$H36</f>
        <v>20.672</v>
      </c>
      <c r="G492" s="140">
        <f>G490*Formulas!$H36</f>
        <v>18.19136</v>
      </c>
      <c r="H492" s="140">
        <f>H490*Formulas!$H36</f>
        <v>17.5712</v>
      </c>
      <c r="I492" s="140">
        <f>I490*Formulas!$H36</f>
        <v>13.85024</v>
      </c>
      <c r="J492" s="140">
        <f>J490*Formulas!$H36</f>
        <v>12.4032</v>
      </c>
      <c r="K492" s="140">
        <f>K490*Formulas!$H36</f>
        <v>16.12416</v>
      </c>
      <c r="L492" s="140">
        <f>L490*Formulas!$H36</f>
        <v>10.95616</v>
      </c>
      <c r="M492" s="140">
        <f>M490*Formulas!$H36</f>
        <v>6.2016</v>
      </c>
      <c r="N492" s="140">
        <f>N490*Formulas!$H36</f>
        <v>10.12928</v>
      </c>
      <c r="O492" s="140">
        <f>O490*Formulas!$H36</f>
        <v>9.71584</v>
      </c>
      <c r="P492" s="140">
        <f>P490*Formulas!$H36</f>
        <v>10.54272</v>
      </c>
      <c r="Q492" s="140">
        <f>Q490*Formulas!$H36</f>
        <v>9.71584</v>
      </c>
      <c r="R492" s="140">
        <f>R490*Formulas!$H36</f>
        <v>5.99488</v>
      </c>
      <c r="S492" s="140">
        <f>S490*Formulas!$H36</f>
        <v>7.85536</v>
      </c>
      <c r="T492" s="140">
        <f>T490*Formulas!$H36</f>
        <v>8.68224</v>
      </c>
      <c r="U492" s="140">
        <f>U490*Formulas!$H36</f>
        <v>7.44192</v>
      </c>
      <c r="V492" s="140">
        <f>V490*Formulas!$H36</f>
        <v>11.78304</v>
      </c>
      <c r="W492" s="140">
        <f>W490*Formulas!$H36</f>
        <v>8.68224</v>
      </c>
      <c r="X492" s="140">
        <f>X490*Formulas!$H36</f>
        <v>6.82176</v>
      </c>
      <c r="Y492" s="140">
        <f>Y490*Formulas!$H36</f>
        <v>7.85536</v>
      </c>
      <c r="Z492" s="140">
        <f>Z490*Formulas!$H36</f>
        <v>6.82176</v>
      </c>
      <c r="AA492" s="140">
        <f>AA490*Formulas!$H36</f>
        <v>7.44192</v>
      </c>
      <c r="AB492" s="140">
        <f>AB490*Formulas!$H36</f>
        <v>10.95616</v>
      </c>
      <c r="AC492" s="140">
        <f>AC490*Formulas!$H36</f>
        <v>9.09568</v>
      </c>
      <c r="AD492" s="140">
        <f>AD490*Formulas!$H36</f>
        <v>10.95616</v>
      </c>
      <c r="AE492" s="140">
        <f>AE490*Formulas!$H36</f>
        <v>7.02848</v>
      </c>
      <c r="AF492" s="140">
        <f>AF490*Formulas!$H36</f>
        <v>9.50912</v>
      </c>
      <c r="AG492" s="77">
        <f t="shared" si="195"/>
        <v>335.29984</v>
      </c>
    </row>
    <row r="493">
      <c r="A493" s="50" t="s">
        <v>2409</v>
      </c>
      <c r="B493" s="140">
        <f>B193*Formulas!$H6</f>
        <v>1187.62</v>
      </c>
      <c r="C493" s="140">
        <f>C193*Formulas!$H6</f>
        <v>1097.8</v>
      </c>
      <c r="D493" s="140">
        <f>D193*Formulas!$H6</f>
        <v>828.34</v>
      </c>
      <c r="E493" s="140">
        <f>E193*Formulas!$H6</f>
        <v>2754.48</v>
      </c>
      <c r="F493" s="140">
        <f>F193*Formulas!$H6</f>
        <v>2215.56</v>
      </c>
      <c r="G493" s="140">
        <f>G193*Formulas!$H6</f>
        <v>938.12</v>
      </c>
      <c r="H493" s="140">
        <f>H193*Formulas!$H6</f>
        <v>499</v>
      </c>
      <c r="I493" s="140">
        <f>I193*Formulas!$H6</f>
        <v>508.98</v>
      </c>
      <c r="J493" s="140">
        <f>J193*Formulas!$H6</f>
        <v>299.4</v>
      </c>
      <c r="K493" s="140">
        <f>K193*Formulas!$H6</f>
        <v>868.26</v>
      </c>
      <c r="L493" s="140">
        <f>L193*Formulas!$H6</f>
        <v>389.22</v>
      </c>
      <c r="M493" s="140">
        <f>M193*Formulas!$H6</f>
        <v>99.8</v>
      </c>
      <c r="N493" s="140">
        <f>N193*Formulas!$H6</f>
        <v>279.44</v>
      </c>
      <c r="O493" s="140">
        <f>O193*Formulas!$H6</f>
        <v>219.56</v>
      </c>
      <c r="P493" s="140">
        <f>P193*Formulas!$H6</f>
        <v>349.3</v>
      </c>
      <c r="Q493" s="140">
        <f>Q193*Formulas!$H6</f>
        <v>189.62</v>
      </c>
      <c r="R493" s="140">
        <f>R193*Formulas!$H6</f>
        <v>499</v>
      </c>
      <c r="S493" s="140">
        <f>S193*Formulas!$H6</f>
        <v>99.8</v>
      </c>
      <c r="T493" s="140">
        <f>T193*Formulas!$H6</f>
        <v>159.68</v>
      </c>
      <c r="U493" s="140">
        <f>U193*Formulas!$H6</f>
        <v>229.54</v>
      </c>
      <c r="V493" s="140">
        <f>V193*Formulas!$H6</f>
        <v>259.48</v>
      </c>
      <c r="W493" s="140">
        <f>W193*Formulas!$H6</f>
        <v>339.32</v>
      </c>
      <c r="X493" s="140">
        <f>X193*Formulas!$H6</f>
        <v>209.58</v>
      </c>
      <c r="Y493" s="140">
        <f>Y193*Formulas!$H6</f>
        <v>249.5</v>
      </c>
      <c r="Z493" s="140">
        <f>Z193*Formulas!$H6</f>
        <v>189.62</v>
      </c>
      <c r="AA493" s="140">
        <f>AA193*Formulas!$H6</f>
        <v>149.7</v>
      </c>
      <c r="AB493" s="140">
        <f>AB193*Formulas!$H6</f>
        <v>169.66</v>
      </c>
      <c r="AC493" s="140">
        <f>AC193*Formulas!$H6</f>
        <v>269.46</v>
      </c>
      <c r="AD493" s="140">
        <f>AD193*Formulas!$H6</f>
        <v>279.44</v>
      </c>
      <c r="AE493" s="140">
        <f>AE193*Formulas!$H6</f>
        <v>189.62</v>
      </c>
      <c r="AF493" s="140">
        <f>AF193*Formulas!$H6</f>
        <v>139.72</v>
      </c>
      <c r="AG493" s="77">
        <f t="shared" si="195"/>
        <v>16157.62</v>
      </c>
    </row>
    <row r="494">
      <c r="A494" s="34" t="s">
        <v>2419</v>
      </c>
      <c r="B494" s="140">
        <f>B493*Formulas!$H40</f>
        <v>296.905</v>
      </c>
      <c r="C494" s="140">
        <f>C493*Formulas!$H40</f>
        <v>274.45</v>
      </c>
      <c r="D494" s="140">
        <f>D493*Formulas!$H40</f>
        <v>207.085</v>
      </c>
      <c r="E494" s="140">
        <f>E493*Formulas!$H40</f>
        <v>688.62</v>
      </c>
      <c r="F494" s="140">
        <f>F493*Formulas!$H40</f>
        <v>553.89</v>
      </c>
      <c r="G494" s="140">
        <f>G493*Formulas!$H40</f>
        <v>234.53</v>
      </c>
      <c r="H494" s="140">
        <f>H493*Formulas!$H40</f>
        <v>124.75</v>
      </c>
      <c r="I494" s="140">
        <f>I493*Formulas!$H40</f>
        <v>127.245</v>
      </c>
      <c r="J494" s="140">
        <f>J493*Formulas!$H40</f>
        <v>74.85</v>
      </c>
      <c r="K494" s="140">
        <f>K493*Formulas!$H40</f>
        <v>217.065</v>
      </c>
      <c r="L494" s="140">
        <f>L493*Formulas!$H40</f>
        <v>97.305</v>
      </c>
      <c r="M494" s="140">
        <f>M493*Formulas!$H40</f>
        <v>24.95</v>
      </c>
      <c r="N494" s="140">
        <f>N493*Formulas!$H40</f>
        <v>69.86</v>
      </c>
      <c r="O494" s="140">
        <f>O493*Formulas!$H40</f>
        <v>54.89</v>
      </c>
      <c r="P494" s="140">
        <f>P493*Formulas!$H40</f>
        <v>87.325</v>
      </c>
      <c r="Q494" s="140">
        <f>Q493*Formulas!$H40</f>
        <v>47.405</v>
      </c>
      <c r="R494" s="140">
        <f>R493*Formulas!$H40</f>
        <v>124.75</v>
      </c>
      <c r="S494" s="140">
        <f>S493*Formulas!$H40</f>
        <v>24.95</v>
      </c>
      <c r="T494" s="140">
        <f>T493*Formulas!$H40</f>
        <v>39.92</v>
      </c>
      <c r="U494" s="140">
        <f>U493*Formulas!$H40</f>
        <v>57.385</v>
      </c>
      <c r="V494" s="140">
        <f>V493*Formulas!$H40</f>
        <v>64.87</v>
      </c>
      <c r="W494" s="140">
        <f>W493*Formulas!$H40</f>
        <v>84.83</v>
      </c>
      <c r="X494" s="140">
        <f>X493*Formulas!$H40</f>
        <v>52.395</v>
      </c>
      <c r="Y494" s="140">
        <f>Y493*Formulas!$H40</f>
        <v>62.375</v>
      </c>
      <c r="Z494" s="140">
        <f>Z493*Formulas!$H40</f>
        <v>47.405</v>
      </c>
      <c r="AA494" s="140">
        <f>AA493*Formulas!$H40</f>
        <v>37.425</v>
      </c>
      <c r="AB494" s="140">
        <f>AB493*Formulas!$H40</f>
        <v>42.415</v>
      </c>
      <c r="AC494" s="140">
        <f>AC493*Formulas!$H40</f>
        <v>67.365</v>
      </c>
      <c r="AD494" s="140">
        <f>AD493*Formulas!$H40</f>
        <v>69.86</v>
      </c>
      <c r="AE494" s="140">
        <f>AE493*Formulas!$H40</f>
        <v>47.405</v>
      </c>
      <c r="AF494" s="140">
        <f>AF493*Formulas!$H40</f>
        <v>34.93</v>
      </c>
      <c r="AG494" s="77">
        <f t="shared" si="195"/>
        <v>4039.405</v>
      </c>
    </row>
    <row r="495">
      <c r="A495" s="34" t="s">
        <v>2426</v>
      </c>
      <c r="B495" s="140">
        <f>B493*Formulas!$H41</f>
        <v>29.6905</v>
      </c>
      <c r="C495" s="140">
        <f>C493*Formulas!$H41</f>
        <v>27.445</v>
      </c>
      <c r="D495" s="140">
        <f>D493*Formulas!$H41</f>
        <v>20.7085</v>
      </c>
      <c r="E495" s="140">
        <f>E493*Formulas!$H41</f>
        <v>68.862</v>
      </c>
      <c r="F495" s="140">
        <f>F493*Formulas!$H41</f>
        <v>55.389</v>
      </c>
      <c r="G495" s="140">
        <f>G493*Formulas!$H41</f>
        <v>23.453</v>
      </c>
      <c r="H495" s="140">
        <f>H493*Formulas!$H41</f>
        <v>12.475</v>
      </c>
      <c r="I495" s="140">
        <f>I493*Formulas!$H41</f>
        <v>12.7245</v>
      </c>
      <c r="J495" s="140">
        <f>J493*Formulas!$H41</f>
        <v>7.485</v>
      </c>
      <c r="K495" s="140">
        <f>K493*Formulas!$H41</f>
        <v>21.7065</v>
      </c>
      <c r="L495" s="140">
        <f>L493*Formulas!$H41</f>
        <v>9.7305</v>
      </c>
      <c r="M495" s="140">
        <f>M493*Formulas!$H41</f>
        <v>2.495</v>
      </c>
      <c r="N495" s="140">
        <f>N493*Formulas!$H41</f>
        <v>6.986</v>
      </c>
      <c r="O495" s="140">
        <f>O493*Formulas!$H41</f>
        <v>5.489</v>
      </c>
      <c r="P495" s="140">
        <f>P493*Formulas!$H41</f>
        <v>8.7325</v>
      </c>
      <c r="Q495" s="140">
        <f>Q493*Formulas!$H41</f>
        <v>4.7405</v>
      </c>
      <c r="R495" s="140">
        <f>R493*Formulas!$H41</f>
        <v>12.475</v>
      </c>
      <c r="S495" s="140">
        <f>S493*Formulas!$H41</f>
        <v>2.495</v>
      </c>
      <c r="T495" s="140">
        <f>T493*Formulas!$H41</f>
        <v>3.992</v>
      </c>
      <c r="U495" s="140">
        <f>U493*Formulas!$H41</f>
        <v>5.7385</v>
      </c>
      <c r="V495" s="140">
        <f>V493*Formulas!$H41</f>
        <v>6.487</v>
      </c>
      <c r="W495" s="140">
        <f>W493*Formulas!$H41</f>
        <v>8.483</v>
      </c>
      <c r="X495" s="140">
        <f>X493*Formulas!$H41</f>
        <v>5.2395</v>
      </c>
      <c r="Y495" s="140">
        <f>Y493*Formulas!$H41</f>
        <v>6.2375</v>
      </c>
      <c r="Z495" s="140">
        <f>Z493*Formulas!$H41</f>
        <v>4.7405</v>
      </c>
      <c r="AA495" s="140">
        <f>AA493*Formulas!$H41</f>
        <v>3.7425</v>
      </c>
      <c r="AB495" s="140">
        <f>AB493*Formulas!$H41</f>
        <v>4.2415</v>
      </c>
      <c r="AC495" s="140">
        <f>AC493*Formulas!$H41</f>
        <v>6.7365</v>
      </c>
      <c r="AD495" s="140">
        <f>AD493*Formulas!$H41</f>
        <v>6.986</v>
      </c>
      <c r="AE495" s="140">
        <f>AE493*Formulas!$H41</f>
        <v>4.7405</v>
      </c>
      <c r="AF495" s="140">
        <f>AF493*Formulas!$H41</f>
        <v>3.493</v>
      </c>
      <c r="AG495" s="77">
        <f t="shared" si="195"/>
        <v>403.9405</v>
      </c>
    </row>
    <row r="496">
      <c r="A496" s="34" t="s">
        <v>348</v>
      </c>
      <c r="B496" s="140">
        <f t="shared" ref="B496:AF496" si="196">(B131*0.2059)*0.0349+(B131*0.1138)*0.0499+(B131*0.0277)*0.05+(B131*0.5015)*0.0215+(B131*0.1511)*0.0315</f>
        <v>1149.324472</v>
      </c>
      <c r="C496" s="140">
        <f t="shared" si="196"/>
        <v>997.898208</v>
      </c>
      <c r="D496" s="140">
        <f t="shared" si="196"/>
        <v>673.4197836</v>
      </c>
      <c r="E496" s="140">
        <f t="shared" si="196"/>
        <v>2819.048026</v>
      </c>
      <c r="F496" s="140">
        <f t="shared" si="196"/>
        <v>2497.361356</v>
      </c>
      <c r="G496" s="140">
        <f t="shared" si="196"/>
        <v>2348.468556</v>
      </c>
      <c r="H496" s="140">
        <f t="shared" si="196"/>
        <v>2134.333715</v>
      </c>
      <c r="I496" s="140">
        <f t="shared" si="196"/>
        <v>1462.66388</v>
      </c>
      <c r="J496" s="140">
        <f t="shared" si="196"/>
        <v>1314.891536</v>
      </c>
      <c r="K496" s="140">
        <f t="shared" si="196"/>
        <v>1839.069363</v>
      </c>
      <c r="L496" s="140">
        <f t="shared" si="196"/>
        <v>1221.055085</v>
      </c>
      <c r="M496" s="140">
        <f t="shared" si="196"/>
        <v>845.9854502</v>
      </c>
      <c r="N496" s="140">
        <f t="shared" si="196"/>
        <v>1115.721824</v>
      </c>
      <c r="O496" s="140">
        <f t="shared" si="196"/>
        <v>973.1111424</v>
      </c>
      <c r="P496" s="140">
        <f t="shared" si="196"/>
        <v>1287.506955</v>
      </c>
      <c r="Q496" s="140">
        <f t="shared" si="196"/>
        <v>1040.267282</v>
      </c>
      <c r="R496" s="140">
        <f t="shared" si="196"/>
        <v>1066.780165</v>
      </c>
      <c r="S496" s="140">
        <f t="shared" si="196"/>
        <v>891.6289001</v>
      </c>
      <c r="T496" s="140">
        <f t="shared" si="196"/>
        <v>1060.445911</v>
      </c>
      <c r="U496" s="140">
        <f t="shared" si="196"/>
        <v>1088.520461</v>
      </c>
      <c r="V496" s="140">
        <f t="shared" si="196"/>
        <v>1240.688829</v>
      </c>
      <c r="W496" s="140">
        <f t="shared" si="196"/>
        <v>1139.460231</v>
      </c>
      <c r="X496" s="140">
        <f t="shared" si="196"/>
        <v>1024.069681</v>
      </c>
      <c r="Y496" s="140">
        <f t="shared" si="196"/>
        <v>1190.6574</v>
      </c>
      <c r="Z496" s="140">
        <f t="shared" si="196"/>
        <v>1125.428468</v>
      </c>
      <c r="AA496" s="140">
        <f t="shared" si="196"/>
        <v>879.9884947</v>
      </c>
      <c r="AB496" s="140">
        <f t="shared" si="196"/>
        <v>1184.784913</v>
      </c>
      <c r="AC496" s="140">
        <f t="shared" si="196"/>
        <v>1202.851926</v>
      </c>
      <c r="AD496" s="140">
        <f t="shared" si="196"/>
        <v>1259.837271</v>
      </c>
      <c r="AE496" s="140">
        <f t="shared" si="196"/>
        <v>1198.815187</v>
      </c>
      <c r="AF496" s="140">
        <f t="shared" si="196"/>
        <v>1246.697761</v>
      </c>
      <c r="AG496" s="77">
        <f t="shared" si="195"/>
        <v>40520.78223</v>
      </c>
    </row>
    <row r="497">
      <c r="A497" s="34" t="s">
        <v>361</v>
      </c>
      <c r="B497" s="140">
        <f t="shared" ref="B497:AF497" si="197">(B125*0.2059)*0.49+(B125*0.1138)*0.49+(B125*0.0277)*0.3+(B125*0.5015)*0.3+(B125*0.1511)*0.3</f>
        <v>66.376712</v>
      </c>
      <c r="C497" s="140">
        <f t="shared" si="197"/>
        <v>62.769282</v>
      </c>
      <c r="D497" s="140">
        <f t="shared" si="197"/>
        <v>49.061048</v>
      </c>
      <c r="E497" s="140">
        <f t="shared" si="197"/>
        <v>134.196396</v>
      </c>
      <c r="F497" s="140">
        <f t="shared" si="197"/>
        <v>113.273302</v>
      </c>
      <c r="G497" s="140">
        <f t="shared" si="197"/>
        <v>102.090269</v>
      </c>
      <c r="H497" s="140">
        <f t="shared" si="197"/>
        <v>94.514666</v>
      </c>
      <c r="I497" s="140">
        <f t="shared" si="197"/>
        <v>76.477516</v>
      </c>
      <c r="J497" s="140">
        <f t="shared" si="197"/>
        <v>64.212254</v>
      </c>
      <c r="K497" s="140">
        <f t="shared" si="197"/>
        <v>104.254727</v>
      </c>
      <c r="L497" s="140">
        <f t="shared" si="197"/>
        <v>61.687053</v>
      </c>
      <c r="M497" s="140">
        <f t="shared" si="197"/>
        <v>40.763959</v>
      </c>
      <c r="N497" s="140">
        <f t="shared" si="197"/>
        <v>51.946992</v>
      </c>
      <c r="O497" s="140">
        <f t="shared" si="197"/>
        <v>49.061048</v>
      </c>
      <c r="P497" s="140">
        <f t="shared" si="197"/>
        <v>63.490768</v>
      </c>
      <c r="Q497" s="140">
        <f t="shared" si="197"/>
        <v>52.668478</v>
      </c>
      <c r="R497" s="140">
        <f t="shared" si="197"/>
        <v>66.376712</v>
      </c>
      <c r="S497" s="140">
        <f t="shared" si="197"/>
        <v>42.928417</v>
      </c>
      <c r="T497" s="140">
        <f t="shared" si="197"/>
        <v>49.782534</v>
      </c>
      <c r="U497" s="140">
        <f t="shared" si="197"/>
        <v>47.978819</v>
      </c>
      <c r="V497" s="140">
        <f t="shared" si="197"/>
        <v>56.997394</v>
      </c>
      <c r="W497" s="140">
        <f t="shared" si="197"/>
        <v>56.636651</v>
      </c>
      <c r="X497" s="140">
        <f t="shared" si="197"/>
        <v>45.814361</v>
      </c>
      <c r="Y497" s="140">
        <f t="shared" si="197"/>
        <v>54.832936</v>
      </c>
      <c r="Z497" s="140">
        <f t="shared" si="197"/>
        <v>50.864763</v>
      </c>
      <c r="AA497" s="140">
        <f t="shared" si="197"/>
        <v>40.403216</v>
      </c>
      <c r="AB497" s="140">
        <f t="shared" si="197"/>
        <v>52.307735</v>
      </c>
      <c r="AC497" s="140">
        <f t="shared" si="197"/>
        <v>56.275908</v>
      </c>
      <c r="AD497" s="140">
        <f t="shared" si="197"/>
        <v>59.161852</v>
      </c>
      <c r="AE497" s="140">
        <f t="shared" si="197"/>
        <v>48.700305</v>
      </c>
      <c r="AF497" s="140">
        <f t="shared" si="197"/>
        <v>50.50402</v>
      </c>
      <c r="AG497" s="77">
        <f t="shared" si="195"/>
        <v>1966.410093</v>
      </c>
    </row>
    <row r="498">
      <c r="A498" s="34" t="s">
        <v>2443</v>
      </c>
      <c r="B498" s="499">
        <f>(B477+B479+B481+B484+B487+B490+B493)*Formulas!$H38</f>
        <v>11.0895</v>
      </c>
      <c r="C498" s="499">
        <f>(C477+C479+C481+C484+C487+C490+C493)*Formulas!$H38</f>
        <v>9.255075</v>
      </c>
      <c r="D498" s="499">
        <f>(D477+D479+D481+D484+D487+D490+D493)*Formulas!$H38</f>
        <v>8.19235</v>
      </c>
      <c r="E498" s="499">
        <f>(E477+E479+E481+E484+E487+E490+E493)*Formulas!$H38</f>
        <v>27.5678875</v>
      </c>
      <c r="F498" s="499">
        <f>(F477+F479+F481+F484+F487+F490+F493)*Formulas!$H38</f>
        <v>24.7687125</v>
      </c>
      <c r="G498" s="499">
        <f>(G477+G479+G481+G484+G487+G490+G493)*Formulas!$H38</f>
        <v>19.8371</v>
      </c>
      <c r="H498" s="499">
        <f>(H477+H479+H481+H484+H487+H490+H493)*Formulas!$H38</f>
        <v>20.06535</v>
      </c>
      <c r="I498" s="499">
        <f>(I477+I479+I481+I484+I487+I490+I493)*Formulas!$H38</f>
        <v>13.6667</v>
      </c>
      <c r="J498" s="499">
        <f>(J477+J479+J481+J484+J487+J490+J493)*Formulas!$H38</f>
        <v>11.586775</v>
      </c>
      <c r="K498" s="499">
        <f>(K477+K479+K481+K484+K487+K490+K493)*Formulas!$H38</f>
        <v>13.4241625</v>
      </c>
      <c r="L498" s="499">
        <f>(L477+L479+L481+L484+L487+L490+L493)*Formulas!$H38</f>
        <v>10.4549</v>
      </c>
      <c r="M498" s="499">
        <f>(M477+M479+M481+M484+M487+M490+M493)*Formulas!$H38</f>
        <v>6.8280375</v>
      </c>
      <c r="N498" s="499">
        <f>(N477+N479+N481+N484+N487+N490+N493)*Formulas!$H38</f>
        <v>9.9768625</v>
      </c>
      <c r="O498" s="499">
        <f>(O477+O479+O481+O484+O487+O490+O493)*Formulas!$H38</f>
        <v>8.7621375</v>
      </c>
      <c r="P498" s="499">
        <f>(P477+P479+P481+P484+P487+P490+P493)*Formulas!$H38</f>
        <v>12.1882</v>
      </c>
      <c r="Q498" s="499">
        <f>(Q477+Q479+Q481+Q484+Q487+Q490+Q493)*Formulas!$H38</f>
        <v>9.31935</v>
      </c>
      <c r="R498" s="499">
        <f>(R477+R479+R481+R484+R487+R490+R493)*Formulas!$H38</f>
        <v>10.8839375</v>
      </c>
      <c r="S498" s="499">
        <f>(S477+S479+S481+S484+S487+S490+S493)*Formulas!$H38</f>
        <v>8.2855</v>
      </c>
      <c r="T498" s="499">
        <f>(T477+T479+T481+T484+T487+T490+T493)*Formulas!$H38</f>
        <v>10.7000875</v>
      </c>
      <c r="U498" s="499">
        <f>(U477+U479+U481+U484+U487+U490+U493)*Formulas!$H38</f>
        <v>9.7481625</v>
      </c>
      <c r="V498" s="499">
        <f>(V477+V479+V481+V484+V487+V490+V493)*Formulas!$H38</f>
        <v>12.4703375</v>
      </c>
      <c r="W498" s="499">
        <f>(W477+W479+W481+W484+W487+W490+W493)*Formulas!$H38</f>
        <v>11.4485875</v>
      </c>
      <c r="X498" s="499">
        <f>(X477+X479+X481+X484+X487+X490+X493)*Formulas!$H38</f>
        <v>9.716525</v>
      </c>
      <c r="Y498" s="499">
        <f>(Y477+Y479+Y481+Y484+Y487+Y490+Y493)*Formulas!$H38</f>
        <v>12.1854875</v>
      </c>
      <c r="Z498" s="499">
        <f>(Z477+Z479+Z481+Z484+Z487+Z490+Z493)*Formulas!$H38</f>
        <v>10.507675</v>
      </c>
      <c r="AA498" s="499">
        <f>(AA477+AA479+AA481+AA484+AA487+AA490+AA493)*Formulas!$H38</f>
        <v>8.8857125</v>
      </c>
      <c r="AB498" s="499">
        <f>(AB477+AB479+AB481+AB484+AB487+AB490+AB493)*Formulas!$H38</f>
        <v>11.293175</v>
      </c>
      <c r="AC498" s="499">
        <f>(AC477+AC479+AC481+AC484+AC487+AC490+AC493)*Formulas!$H38</f>
        <v>11.64705</v>
      </c>
      <c r="AD498" s="499">
        <f>(AD477+AD479+AD481+AD484+AD487+AD490+AD493)*Formulas!$H38</f>
        <v>12.708425</v>
      </c>
      <c r="AE498" s="499">
        <f>(AE477+AE479+AE481+AE484+AE487+AE490+AE493)*Formulas!$H38</f>
        <v>11.6096125</v>
      </c>
      <c r="AF498" s="499">
        <f>(AF477+AF479+AF481+AF484+AF487+AF490+AF493)*Formulas!$H38</f>
        <v>13.111225</v>
      </c>
      <c r="AG498" s="77">
        <f t="shared" si="195"/>
        <v>382.1846</v>
      </c>
    </row>
    <row r="499">
      <c r="A499" s="34" t="s">
        <v>2460</v>
      </c>
      <c r="B499" s="499">
        <f t="shared" ref="B499:AF499" si="198">$AG499/30</f>
        <v>17.94666667</v>
      </c>
      <c r="C499" s="499">
        <f t="shared" si="198"/>
        <v>17.94666667</v>
      </c>
      <c r="D499" s="499">
        <f t="shared" si="198"/>
        <v>17.94666667</v>
      </c>
      <c r="E499" s="499">
        <f t="shared" si="198"/>
        <v>17.94666667</v>
      </c>
      <c r="F499" s="499">
        <f t="shared" si="198"/>
        <v>17.94666667</v>
      </c>
      <c r="G499" s="499">
        <f t="shared" si="198"/>
        <v>17.94666667</v>
      </c>
      <c r="H499" s="499">
        <f t="shared" si="198"/>
        <v>17.94666667</v>
      </c>
      <c r="I499" s="499">
        <f t="shared" si="198"/>
        <v>17.94666667</v>
      </c>
      <c r="J499" s="499">
        <f t="shared" si="198"/>
        <v>17.94666667</v>
      </c>
      <c r="K499" s="499">
        <f t="shared" si="198"/>
        <v>17.94666667</v>
      </c>
      <c r="L499" s="499">
        <f t="shared" si="198"/>
        <v>17.94666667</v>
      </c>
      <c r="M499" s="499">
        <f t="shared" si="198"/>
        <v>17.94666667</v>
      </c>
      <c r="N499" s="499">
        <f t="shared" si="198"/>
        <v>17.94666667</v>
      </c>
      <c r="O499" s="499">
        <f t="shared" si="198"/>
        <v>17.94666667</v>
      </c>
      <c r="P499" s="499">
        <f t="shared" si="198"/>
        <v>17.94666667</v>
      </c>
      <c r="Q499" s="499">
        <f t="shared" si="198"/>
        <v>17.94666667</v>
      </c>
      <c r="R499" s="499">
        <f t="shared" si="198"/>
        <v>17.94666667</v>
      </c>
      <c r="S499" s="499">
        <f t="shared" si="198"/>
        <v>17.94666667</v>
      </c>
      <c r="T499" s="499">
        <f t="shared" si="198"/>
        <v>17.94666667</v>
      </c>
      <c r="U499" s="499">
        <f t="shared" si="198"/>
        <v>17.94666667</v>
      </c>
      <c r="V499" s="499">
        <f t="shared" si="198"/>
        <v>17.94666667</v>
      </c>
      <c r="W499" s="499">
        <f t="shared" si="198"/>
        <v>17.94666667</v>
      </c>
      <c r="X499" s="499">
        <f t="shared" si="198"/>
        <v>17.94666667</v>
      </c>
      <c r="Y499" s="499">
        <f t="shared" si="198"/>
        <v>17.94666667</v>
      </c>
      <c r="Z499" s="499">
        <f t="shared" si="198"/>
        <v>17.94666667</v>
      </c>
      <c r="AA499" s="499">
        <f t="shared" si="198"/>
        <v>17.94666667</v>
      </c>
      <c r="AB499" s="499">
        <f t="shared" si="198"/>
        <v>17.94666667</v>
      </c>
      <c r="AC499" s="499">
        <f t="shared" si="198"/>
        <v>17.94666667</v>
      </c>
      <c r="AD499" s="499">
        <f t="shared" si="198"/>
        <v>17.94666667</v>
      </c>
      <c r="AE499" s="499">
        <f t="shared" si="198"/>
        <v>17.94666667</v>
      </c>
      <c r="AF499" s="499">
        <f t="shared" si="198"/>
        <v>17.94666667</v>
      </c>
      <c r="AG499" s="77">
        <v>538.4</v>
      </c>
    </row>
    <row r="500">
      <c r="A500" s="34" t="s">
        <v>2464</v>
      </c>
      <c r="B500" s="140">
        <f>((B433+B434)*Formulas!$H13)+((B435+B436)*Formulas!$H14)+((B437+B438)*Formulas!$H15)</f>
        <v>1702.03</v>
      </c>
      <c r="C500" s="140">
        <f>((C433+C434)*Formulas!$H13)+((C435+C436)*Formulas!$H14)+((C437+C438)*Formulas!$H15)</f>
        <v>1361.82</v>
      </c>
      <c r="D500" s="140">
        <f>((D433+D434)*Formulas!$H13)+((D435+D436)*Formulas!$H14)+((D437+D438)*Formulas!$H15)</f>
        <v>1205.91</v>
      </c>
      <c r="E500" s="140">
        <f>((E433+E434)*Formulas!$H13)+((E435+E436)*Formulas!$H14)+((E437+E438)*Formulas!$H15)</f>
        <v>4895.4</v>
      </c>
      <c r="F500" s="140">
        <f>((F433+F434)*Formulas!$H13)+((F435+F436)*Formulas!$H14)+((F437+F438)*Formulas!$H15)</f>
        <v>4032.17</v>
      </c>
      <c r="G500" s="140">
        <f>((G433+G434)*Formulas!$H13)+((G435+G436)*Formulas!$H14)+((G437+G438)*Formulas!$H15)</f>
        <v>3112.16</v>
      </c>
      <c r="H500" s="140">
        <f>((H433+H434)*Formulas!$H13)+((H435+H436)*Formulas!$H14)+((H437+H438)*Formulas!$H15)</f>
        <v>2993.11</v>
      </c>
      <c r="I500" s="140">
        <f>((I433+I434)*Formulas!$H13)+((I435+I436)*Formulas!$H14)+((I437+I438)*Formulas!$H15)</f>
        <v>2123.92</v>
      </c>
      <c r="J500" s="140">
        <f>((J433+J434)*Formulas!$H13)+((J435+J436)*Formulas!$H14)+((J437+J438)*Formulas!$H15)</f>
        <v>1799.12</v>
      </c>
      <c r="K500" s="140">
        <f>((K433+K434)*Formulas!$H13)+((K435+K436)*Formulas!$H14)+((K437+K438)*Formulas!$H15)</f>
        <v>2416.29</v>
      </c>
      <c r="L500" s="140">
        <f>((L433+L434)*Formulas!$H13)+((L435+L436)*Formulas!$H14)+((L437+L438)*Formulas!$H15)</f>
        <v>1837.98</v>
      </c>
      <c r="M500" s="140">
        <f>((M433+M434)*Formulas!$H13)+((M435+M436)*Formulas!$H14)+((M437+M438)*Formulas!$H15)</f>
        <v>1184.5</v>
      </c>
      <c r="N500" s="140">
        <f>((N433+N434)*Formulas!$H13)+((N435+N436)*Formulas!$H14)+((N437+N438)*Formulas!$H15)</f>
        <v>1581.41</v>
      </c>
      <c r="O500" s="140">
        <f>((O433+O434)*Formulas!$H13)+((O435+O436)*Formulas!$H14)+((O437+O438)*Formulas!$H15)</f>
        <v>1393.7</v>
      </c>
      <c r="P500" s="140">
        <f>((P433+P434)*Formulas!$H13)+((P435+P436)*Formulas!$H14)+((P437+P438)*Formulas!$H15)</f>
        <v>1916.21</v>
      </c>
      <c r="Q500" s="140">
        <f>((Q433+Q434)*Formulas!$H13)+((Q435+Q436)*Formulas!$H14)+((Q437+Q438)*Formulas!$H15)</f>
        <v>1405.15</v>
      </c>
      <c r="R500" s="140">
        <f>((R433+R434)*Formulas!$H13)+((R435+R436)*Formulas!$H14)+((R437+R438)*Formulas!$H15)</f>
        <v>1898.25</v>
      </c>
      <c r="S500" s="140">
        <f>((S433+S434)*Formulas!$H13)+((S435+S436)*Formulas!$H14)+((S437+S438)*Formulas!$H15)</f>
        <v>1240.77</v>
      </c>
      <c r="T500" s="140">
        <f>((T433+T434)*Formulas!$H13)+((T435+T436)*Formulas!$H14)+((T437+T438)*Formulas!$H15)</f>
        <v>1718.46</v>
      </c>
      <c r="U500" s="140">
        <f>((U433+U434)*Formulas!$H13)+((U435+U436)*Formulas!$H14)+((U437+U438)*Formulas!$H15)</f>
        <v>1629.8</v>
      </c>
      <c r="V500" s="140">
        <f>((V433+V434)*Formulas!$H13)+((V435+V436)*Formulas!$H14)+((V437+V438)*Formulas!$H15)</f>
        <v>1994.91</v>
      </c>
      <c r="W500" s="140">
        <f>((W433+W434)*Formulas!$H13)+((W435+W436)*Formulas!$H14)+((W437+W438)*Formulas!$H15)</f>
        <v>1729.91</v>
      </c>
      <c r="X500" s="140">
        <f>((X433+X434)*Formulas!$H13)+((X435+X436)*Formulas!$H14)+((X437+X438)*Formulas!$H15)</f>
        <v>1638.27</v>
      </c>
      <c r="Y500" s="140">
        <f>((Y433+Y434)*Formulas!$H13)+((Y435+Y436)*Formulas!$H14)+((Y437+Y438)*Formulas!$H15)</f>
        <v>1971.5</v>
      </c>
      <c r="Z500" s="140">
        <f>((Z433+Z434)*Formulas!$H13)+((Z435+Z436)*Formulas!$H14)+((Z437+Z438)*Formulas!$H15)</f>
        <v>1686.58</v>
      </c>
      <c r="AA500" s="140">
        <f>((AA433+AA434)*Formulas!$H13)+((AA435+AA436)*Formulas!$H14)+((AA437+AA438)*Formulas!$H15)</f>
        <v>1435.46</v>
      </c>
      <c r="AB500" s="140">
        <f>((AB433+AB434)*Formulas!$H13)+((AB435+AB436)*Formulas!$H14)+((AB437+AB438)*Formulas!$H15)</f>
        <v>1810.61</v>
      </c>
      <c r="AC500" s="140">
        <f>((AC433+AC434)*Formulas!$H13)+((AC435+AC436)*Formulas!$H14)+((AC437+AC438)*Formulas!$H15)</f>
        <v>1830.53</v>
      </c>
      <c r="AD500" s="140">
        <f>((AD433+AD434)*Formulas!$H13)+((AD435+AD436)*Formulas!$H14)+((AD437+AD438)*Formulas!$H15)</f>
        <v>2008.36</v>
      </c>
      <c r="AE500" s="140">
        <f>((AE433+AE434)*Formulas!$H13)+((AE435+AE436)*Formulas!$H14)+((AE437+AE438)*Formulas!$H15)</f>
        <v>1911.23</v>
      </c>
      <c r="AF500" s="140">
        <f>((AF433+AF434)*Formulas!$H13)+((AF435+AF436)*Formulas!$H14)+((AF437+AF438)*Formulas!$H15)</f>
        <v>2013.34</v>
      </c>
      <c r="AG500" s="77">
        <f t="shared" ref="AG500:AG513" si="199">SUM(B500:AF500)</f>
        <v>61478.86</v>
      </c>
    </row>
    <row r="501">
      <c r="A501" s="34" t="s">
        <v>2490</v>
      </c>
      <c r="B501" s="499">
        <f>((B433+B434)*Formulas!$H16)+((B435+B436)*Formulas!$H17)+((B437+B438)*Formulas!$H18)</f>
        <v>1129.69</v>
      </c>
      <c r="C501" s="499">
        <f>((C433+C434)*Formulas!$H16)+((C435+C436)*Formulas!$H17)+((C437+C438)*Formulas!$H18)</f>
        <v>939.48</v>
      </c>
      <c r="D501" s="499">
        <f>((D433+D434)*Formulas!$H16)+((D435+D436)*Formulas!$H17)+((D437+D438)*Formulas!$H18)</f>
        <v>865.17</v>
      </c>
      <c r="E501" s="499">
        <f>((E433+E434)*Formulas!$H16)+((E435+E436)*Formulas!$H17)+((E437+E438)*Formulas!$H18)</f>
        <v>3149.76</v>
      </c>
      <c r="F501" s="499">
        <f>((F433+F434)*Formulas!$H16)+((F435+F436)*Formulas!$H17)+((F437+F438)*Formulas!$H18)</f>
        <v>2701.85</v>
      </c>
      <c r="G501" s="499">
        <f>((G433+G434)*Formulas!$H16)+((G435+G436)*Formulas!$H17)+((G437+G438)*Formulas!$H18)</f>
        <v>2170.76</v>
      </c>
      <c r="H501" s="499">
        <f>((H433+H434)*Formulas!$H16)+((H435+H436)*Formulas!$H17)+((H437+H438)*Formulas!$H18)</f>
        <v>2119.63</v>
      </c>
      <c r="I501" s="499">
        <f>((I433+I434)*Formulas!$H16)+((I435+I436)*Formulas!$H17)+((I437+I438)*Formulas!$H18)</f>
        <v>1478.08</v>
      </c>
      <c r="J501" s="499">
        <f>((J433+J434)*Formulas!$H16)+((J435+J436)*Formulas!$H17)+((J437+J438)*Formulas!$H18)</f>
        <v>1212.64</v>
      </c>
      <c r="K501" s="499">
        <f>((K433+K434)*Formulas!$H16)+((K435+K436)*Formulas!$H17)+((K437+K438)*Formulas!$H18)</f>
        <v>1446.47</v>
      </c>
      <c r="L501" s="499">
        <f>((L433+L434)*Formulas!$H16)+((L435+L436)*Formulas!$H17)+((L437+L438)*Formulas!$H18)</f>
        <v>1154</v>
      </c>
      <c r="M501" s="499">
        <f>((M433+M434)*Formulas!$H16)+((M435+M436)*Formulas!$H17)+((M437+M438)*Formulas!$H18)</f>
        <v>756.76</v>
      </c>
      <c r="N501" s="499">
        <f>((N433+N434)*Formulas!$H16)+((N435+N436)*Formulas!$H17)+((N437+N438)*Formulas!$H18)</f>
        <v>1050.15</v>
      </c>
      <c r="O501" s="499">
        <f>((O433+O434)*Formulas!$H16)+((O435+O436)*Formulas!$H17)+((O437+O438)*Formulas!$H18)</f>
        <v>947.66</v>
      </c>
      <c r="P501" s="499">
        <f>((P433+P434)*Formulas!$H16)+((P435+P436)*Formulas!$H17)+((P437+P438)*Formulas!$H18)</f>
        <v>1335.59</v>
      </c>
      <c r="Q501" s="499">
        <f>((Q433+Q434)*Formulas!$H16)+((Q435+Q436)*Formulas!$H17)+((Q437+Q438)*Formulas!$H18)</f>
        <v>1026.07</v>
      </c>
      <c r="R501" s="499">
        <f>((R433+R434)*Formulas!$H16)+((R435+R436)*Formulas!$H17)+((R437+R438)*Formulas!$H18)</f>
        <v>1203.77</v>
      </c>
      <c r="S501" s="499">
        <f>((S433+S434)*Formulas!$H16)+((S435+S436)*Formulas!$H17)+((S437+S438)*Formulas!$H18)</f>
        <v>970.17</v>
      </c>
      <c r="T501" s="499">
        <f>((T433+T434)*Formulas!$H16)+((T435+T436)*Formulas!$H17)+((T437+T438)*Formulas!$H18)</f>
        <v>1223.1</v>
      </c>
      <c r="U501" s="499">
        <f>((U433+U434)*Formulas!$H16)+((U435+U436)*Formulas!$H17)+((U437+U438)*Formulas!$H18)</f>
        <v>1131.74</v>
      </c>
      <c r="V501" s="499">
        <f>((V433+V434)*Formulas!$H16)+((V435+V436)*Formulas!$H17)+((V437+V438)*Formulas!$H18)</f>
        <v>1396.95</v>
      </c>
      <c r="W501" s="499">
        <f>((W433+W434)*Formulas!$H16)+((W435+W436)*Formulas!$H17)+((W437+W438)*Formulas!$H18)</f>
        <v>1301.51</v>
      </c>
      <c r="X501" s="499">
        <f>((X433+X434)*Formulas!$H16)+((X435+X436)*Formulas!$H17)+((X437+X438)*Formulas!$H18)</f>
        <v>1113.33</v>
      </c>
      <c r="Y501" s="499">
        <f>((Y433+Y434)*Formulas!$H16)+((Y435+Y436)*Formulas!$H17)+((Y437+Y438)*Formulas!$H18)</f>
        <v>1370.36</v>
      </c>
      <c r="Z501" s="499">
        <f>((Z433+Z434)*Formulas!$H16)+((Z435+Z436)*Formulas!$H17)+((Z437+Z438)*Formulas!$H18)</f>
        <v>1214.92</v>
      </c>
      <c r="AA501" s="499">
        <f>((AA433+AA434)*Formulas!$H16)+((AA435+AA436)*Formulas!$H17)+((AA437+AA438)*Formulas!$H18)</f>
        <v>1005.84</v>
      </c>
      <c r="AB501" s="499">
        <f>((AB433+AB434)*Formulas!$H16)+((AB435+AB436)*Formulas!$H17)+((AB437+AB438)*Formulas!$H18)</f>
        <v>1281.05</v>
      </c>
      <c r="AC501" s="499">
        <f>((AC433+AC434)*Formulas!$H16)+((AC435+AC436)*Formulas!$H17)+((AC437+AC438)*Formulas!$H18)</f>
        <v>1341.05</v>
      </c>
      <c r="AD501" s="499">
        <f>((AD433+AD434)*Formulas!$H16)+((AD435+AD436)*Formulas!$H17)+((AD437+AD438)*Formulas!$H18)</f>
        <v>1393.54</v>
      </c>
      <c r="AE501" s="499">
        <f>((AE433+AE434)*Formulas!$H16)+((AE435+AE436)*Formulas!$H17)+((AE437+AE438)*Formulas!$H18)</f>
        <v>1320.59</v>
      </c>
      <c r="AF501" s="499">
        <f>((AF433+AF434)*Formulas!$H16)+((AF435+AF436)*Formulas!$H17)+((AF437+AF438)*Formulas!$H18)</f>
        <v>1408.54</v>
      </c>
      <c r="AG501" s="77">
        <f t="shared" si="199"/>
        <v>42160.22</v>
      </c>
    </row>
    <row r="502">
      <c r="A502" s="34" t="s">
        <v>2509</v>
      </c>
      <c r="B502" s="165">
        <f>(B447* Formulas!$K13)+ (B454*Formulas!$K14)+(B461*Formulas!$K15)</f>
        <v>400.16</v>
      </c>
      <c r="C502" s="165">
        <f>(C447* Formulas!$K13)+ (C454*Formulas!$K14)+(C461*Formulas!$K15)</f>
        <v>331.84</v>
      </c>
      <c r="D502" s="165">
        <f>(D447* Formulas!$K13)+ (D454*Formulas!$K14)+(D461*Formulas!$K15)</f>
        <v>222.04</v>
      </c>
      <c r="E502" s="165">
        <f>(E447* Formulas!$K13)+ (E454*Formulas!$K14)+(E461*Formulas!$K15)</f>
        <v>936.96</v>
      </c>
      <c r="F502" s="165">
        <f>(F447* Formulas!$K13)+ (F454*Formulas!$K14)+(F461*Formulas!$K15)</f>
        <v>777.14</v>
      </c>
      <c r="G502" s="165">
        <f>(G447* Formulas!$K13)+ (G454*Formulas!$K14)+(G461*Formulas!$K15)</f>
        <v>489.22</v>
      </c>
      <c r="H502" s="165">
        <f>(H447* Formulas!$K13)+ (H454*Formulas!$K14)+(H461*Formulas!$K15)</f>
        <v>463.6</v>
      </c>
      <c r="I502" s="165">
        <f>(I447* Formulas!$K13)+ (I454*Formulas!$K14)+(I461*Formulas!$K15)</f>
        <v>345.26</v>
      </c>
      <c r="J502" s="165">
        <f>(J447* Formulas!$K13)+ (J454*Formulas!$K14)+(J461*Formulas!$K15)</f>
        <v>306.22</v>
      </c>
      <c r="K502" s="165">
        <f>(K447* Formulas!$K13)+ (K454*Formulas!$K14)+(K461*Formulas!$K15)</f>
        <v>501.42</v>
      </c>
      <c r="L502" s="165">
        <f>(L447* Formulas!$K13)+ (L454*Formulas!$K14)+(L461*Formulas!$K15)</f>
        <v>309.88</v>
      </c>
      <c r="M502" s="165">
        <f>(M447* Formulas!$K13)+ (M454*Formulas!$K14)+(M461*Formulas!$K15)</f>
        <v>168.36</v>
      </c>
      <c r="N502" s="165">
        <f>(N447* Formulas!$K13)+ (N454*Formulas!$K14)+(N461*Formulas!$K15)</f>
        <v>251.32</v>
      </c>
      <c r="O502" s="165">
        <f>(O447* Formulas!$K13)+ (O454*Formulas!$K14)+(O461*Formulas!$K15)</f>
        <v>213.5</v>
      </c>
      <c r="P502" s="165">
        <f>(P447* Formulas!$K13)+ (P454*Formulas!$K14)+(P461*Formulas!$K15)</f>
        <v>290.36</v>
      </c>
      <c r="Q502" s="165">
        <f>(Q447* Formulas!$K13)+ (Q454*Formulas!$K14)+(Q461*Formulas!$K15)</f>
        <v>209.84</v>
      </c>
      <c r="R502" s="165">
        <f>(R447* Formulas!$K13)+ (R454*Formulas!$K14)+(R461*Formulas!$K15)</f>
        <v>253.76</v>
      </c>
      <c r="S502" s="165">
        <f>(S447* Formulas!$K13)+ (S454*Formulas!$K14)+(S461*Formulas!$K15)</f>
        <v>184.22</v>
      </c>
      <c r="T502" s="165">
        <f>(T447* Formulas!$K13)+ (T454*Formulas!$K14)+(T461*Formulas!$K15)</f>
        <v>209.84</v>
      </c>
      <c r="U502" s="165">
        <f>(U447* Formulas!$K13)+ (U454*Formulas!$K14)+(U461*Formulas!$K15)</f>
        <v>213.5</v>
      </c>
      <c r="V502" s="165">
        <f>(V447* Formulas!$K13)+ (V454*Formulas!$K14)+(V461*Formulas!$K15)</f>
        <v>283.04</v>
      </c>
      <c r="W502" s="165">
        <f>(W447* Formulas!$K13)+ (W454*Formulas!$K14)+(W461*Formulas!$K15)</f>
        <v>229.36</v>
      </c>
      <c r="X502" s="165">
        <f>(X447* Formulas!$K13)+ (X454*Formulas!$K14)+(X461*Formulas!$K15)</f>
        <v>203.74</v>
      </c>
      <c r="Y502" s="165">
        <f>(Y447* Formulas!$K13)+ (Y454*Formulas!$K14)+(Y461*Formulas!$K15)</f>
        <v>245.22</v>
      </c>
      <c r="Z502" s="165">
        <f>(Z447* Formulas!$K13)+ (Z454*Formulas!$K14)+(Z461*Formulas!$K15)</f>
        <v>214.72</v>
      </c>
      <c r="AA502" s="165">
        <f>(AA447* Formulas!$K13)+ (AA454*Formulas!$K14)+(AA461*Formulas!$K15)</f>
        <v>185.44</v>
      </c>
      <c r="AB502" s="165">
        <f>(AB447* Formulas!$K13)+ (AB454*Formulas!$K14)+(AB461*Formulas!$K15)</f>
        <v>251.32</v>
      </c>
      <c r="AC502" s="165">
        <f>(AC447* Formulas!$K13)+ (AC454*Formulas!$K14)+(AC461*Formulas!$K15)</f>
        <v>231.8</v>
      </c>
      <c r="AD502" s="165">
        <f>(AD447* Formulas!$K13)+ (AD454*Formulas!$K14)+(AD461*Formulas!$K15)</f>
        <v>281.82</v>
      </c>
      <c r="AE502" s="165">
        <f>(AE447* Formulas!$K13)+ (AE454*Formulas!$K14)+(AE461*Formulas!$K15)</f>
        <v>235.46</v>
      </c>
      <c r="AF502" s="165">
        <f>(AF447* Formulas!$K13)+ (AF454*Formulas!$K14)+(AF461*Formulas!$K15)</f>
        <v>236.68</v>
      </c>
      <c r="AG502" s="77">
        <f t="shared" si="199"/>
        <v>9677.04</v>
      </c>
    </row>
    <row r="503">
      <c r="A503" s="34" t="s">
        <v>2525</v>
      </c>
      <c r="B503" s="165">
        <f>B182* Formulas!K16</f>
        <v>0</v>
      </c>
      <c r="C503" s="165">
        <f>C182* Formulas!L16</f>
        <v>0</v>
      </c>
      <c r="D503" s="165">
        <f>D182* Formulas!M16</f>
        <v>0</v>
      </c>
      <c r="E503" s="165">
        <f>E182* Formulas!N16</f>
        <v>0</v>
      </c>
      <c r="F503" s="165">
        <f>F182* Formulas!O16</f>
        <v>0</v>
      </c>
      <c r="G503" s="165">
        <f>G182* Formulas!P16</f>
        <v>0</v>
      </c>
      <c r="H503" s="165">
        <f>H182* Formulas!Q16</f>
        <v>0</v>
      </c>
      <c r="I503" s="165">
        <f>I182* Formulas!R16</f>
        <v>0</v>
      </c>
      <c r="J503" s="165">
        <f>J182* Formulas!S16</f>
        <v>0</v>
      </c>
      <c r="K503" s="165">
        <f>K182* Formulas!T16</f>
        <v>0</v>
      </c>
      <c r="L503" s="165">
        <f>L182* Formulas!U16</f>
        <v>0</v>
      </c>
      <c r="M503" s="165">
        <f>M182* Formulas!V16</f>
        <v>0</v>
      </c>
      <c r="N503" s="165">
        <f>N182* Formulas!W16</f>
        <v>0</v>
      </c>
      <c r="O503" s="165">
        <f>O182* Formulas!X16</f>
        <v>0</v>
      </c>
      <c r="P503" s="165">
        <f>P182* Formulas!Y16</f>
        <v>0</v>
      </c>
      <c r="Q503" s="165">
        <f>Q182* Formulas!Z16</f>
        <v>0</v>
      </c>
      <c r="R503" s="165">
        <f>R182* Formulas!AA16</f>
        <v>0</v>
      </c>
      <c r="S503" s="165">
        <f>S182* Formulas!AB16</f>
        <v>0</v>
      </c>
      <c r="T503" s="165">
        <f>T182* Formulas!AC16</f>
        <v>0</v>
      </c>
      <c r="U503" s="165">
        <f>U182* Formulas!AD16</f>
        <v>0</v>
      </c>
      <c r="V503" s="165">
        <f>V182* Formulas!AE16</f>
        <v>0</v>
      </c>
      <c r="W503" s="165">
        <f>W182* Formulas!AF16</f>
        <v>0</v>
      </c>
      <c r="X503" s="165">
        <f>X182* Formulas!AG16</f>
        <v>0</v>
      </c>
      <c r="Y503" s="165">
        <f>Y182* Formulas!AH16</f>
        <v>0</v>
      </c>
      <c r="Z503" s="165">
        <f>Z182* Formulas!AI16</f>
        <v>0</v>
      </c>
      <c r="AA503" s="165">
        <f>AA182* Formulas!AJ16</f>
        <v>0</v>
      </c>
      <c r="AB503" s="165">
        <f>AB182* Formulas!AK16</f>
        <v>0</v>
      </c>
      <c r="AC503" s="165">
        <f>AC182* Formulas!AL16</f>
        <v>0</v>
      </c>
      <c r="AD503" s="165">
        <f>AD182* Formulas!AM16</f>
        <v>0</v>
      </c>
      <c r="AE503" s="165">
        <f>AE182* Formulas!AN16</f>
        <v>0</v>
      </c>
      <c r="AF503" s="165">
        <f>AF182* Formulas!AO16</f>
        <v>0</v>
      </c>
      <c r="AG503" s="77">
        <f t="shared" si="199"/>
        <v>0</v>
      </c>
    </row>
    <row r="504">
      <c r="A504" s="34" t="s">
        <v>2532</v>
      </c>
      <c r="B504" s="165">
        <f t="shared" ref="B504:AF504" si="200">B130</f>
        <v>1796.03</v>
      </c>
      <c r="C504" s="165">
        <f t="shared" si="200"/>
        <v>1637.18</v>
      </c>
      <c r="D504" s="165">
        <f t="shared" si="200"/>
        <v>758.68</v>
      </c>
      <c r="E504" s="165">
        <f t="shared" si="200"/>
        <v>4570.44</v>
      </c>
      <c r="F504" s="165">
        <f t="shared" si="200"/>
        <v>4210.18</v>
      </c>
      <c r="G504" s="165">
        <f t="shared" si="200"/>
        <v>3494.74</v>
      </c>
      <c r="H504" s="165">
        <f t="shared" si="200"/>
        <v>3288.54</v>
      </c>
      <c r="I504" s="165">
        <f t="shared" si="200"/>
        <v>2145.9</v>
      </c>
      <c r="J504" s="165">
        <f t="shared" si="200"/>
        <v>1796.27</v>
      </c>
      <c r="K504" s="165">
        <f t="shared" si="200"/>
        <v>2656.99</v>
      </c>
      <c r="L504" s="165">
        <f t="shared" si="200"/>
        <v>1893.59</v>
      </c>
      <c r="M504" s="165">
        <f t="shared" si="200"/>
        <v>1098.34</v>
      </c>
      <c r="N504" s="165">
        <f t="shared" si="200"/>
        <v>1896</v>
      </c>
      <c r="O504" s="165">
        <f t="shared" si="200"/>
        <v>1402.43</v>
      </c>
      <c r="P504" s="165">
        <f t="shared" si="200"/>
        <v>2120.56</v>
      </c>
      <c r="Q504" s="165">
        <f t="shared" si="200"/>
        <v>1447.34</v>
      </c>
      <c r="R504" s="165">
        <f t="shared" si="200"/>
        <v>995.2</v>
      </c>
      <c r="S504" s="165">
        <f t="shared" si="200"/>
        <v>855.04</v>
      </c>
      <c r="T504" s="165">
        <f t="shared" si="200"/>
        <v>1417.67</v>
      </c>
      <c r="U504" s="165">
        <f t="shared" si="200"/>
        <v>1746.04</v>
      </c>
      <c r="V504" s="165">
        <f t="shared" si="200"/>
        <v>1462.93</v>
      </c>
      <c r="W504" s="165">
        <f t="shared" si="200"/>
        <v>1612.42</v>
      </c>
      <c r="X504" s="165">
        <f t="shared" si="200"/>
        <v>1541.64</v>
      </c>
      <c r="Y504" s="165">
        <f t="shared" si="200"/>
        <v>1811.33</v>
      </c>
      <c r="Z504" s="165">
        <f t="shared" si="200"/>
        <v>1237.92</v>
      </c>
      <c r="AA504" s="165">
        <f t="shared" si="200"/>
        <v>77.31</v>
      </c>
      <c r="AB504" s="165">
        <f t="shared" si="200"/>
        <v>1390.32</v>
      </c>
      <c r="AC504" s="165">
        <f t="shared" si="200"/>
        <v>1624.77</v>
      </c>
      <c r="AD504" s="165">
        <f t="shared" si="200"/>
        <v>1494.58</v>
      </c>
      <c r="AE504" s="165">
        <f t="shared" si="200"/>
        <v>1782.17</v>
      </c>
      <c r="AF504" s="165">
        <f t="shared" si="200"/>
        <v>2063.53</v>
      </c>
      <c r="AG504" s="77">
        <f t="shared" si="199"/>
        <v>57326.08</v>
      </c>
    </row>
    <row r="505">
      <c r="A505" s="34" t="s">
        <v>2536</v>
      </c>
      <c r="B505" s="503">
        <f>(((B241+B242)+(B260))-B377)*Formulas!$K21</f>
        <v>541.5124</v>
      </c>
      <c r="C505" s="503">
        <f>(((C241+C242)+(C260))-C377)*Formulas!$K21</f>
        <v>692.12</v>
      </c>
      <c r="D505" s="503">
        <f>(((D241+D242)+(D260))-D377)*Formulas!$K21</f>
        <v>852.46568</v>
      </c>
      <c r="E505" s="503">
        <f>(((E241+E242)+(E260))-E377)*Formulas!$K21</f>
        <v>884.4286</v>
      </c>
      <c r="F505" s="503">
        <f>(((F241+F242)+(F260))-F377)*Formulas!$K21</f>
        <v>1032.2752</v>
      </c>
      <c r="G505" s="503">
        <f>(((G241+G242)+(G260))-G377)*Formulas!$K21</f>
        <v>1586.9216</v>
      </c>
      <c r="H505" s="503">
        <f>(((H241+H242)+(H260))-H377)*Formulas!$K21</f>
        <v>1541.79124</v>
      </c>
      <c r="I505" s="503">
        <f>(((I241+I242)+(I260))-I377)*Formulas!$K21</f>
        <v>1053.1664</v>
      </c>
      <c r="J505" s="503">
        <f>(((J241+J242)+(J260))-J377)*Formulas!$K21</f>
        <v>863.201284</v>
      </c>
      <c r="K505" s="503">
        <f>(((K241+K242)+(K260))-K377)*Formulas!$K21</f>
        <v>607.022416</v>
      </c>
      <c r="L505" s="503">
        <f>(((L241+L242)+(L260))-L377)*Formulas!$K21</f>
        <v>483.88956</v>
      </c>
      <c r="M505" s="503">
        <f>(((M241+M242)+(M260))-M377)*Formulas!$K21</f>
        <v>225.4648</v>
      </c>
      <c r="N505" s="503">
        <f>(((N241+N242)+(N260))-N377)*Formulas!$K21</f>
        <v>705.17876</v>
      </c>
      <c r="O505" s="503">
        <f>(((O241+O242)+(O260))-O377)*Formulas!$K21</f>
        <v>628.74724</v>
      </c>
      <c r="P505" s="503">
        <f>(((P241+P242)+(P260))-P377)*Formulas!$K21</f>
        <v>911.32976</v>
      </c>
      <c r="Q505" s="503">
        <f>(((Q241+Q242)+(Q260))-Q377)*Formulas!$K21</f>
        <v>899.162</v>
      </c>
      <c r="R505" s="503">
        <f>(((R241+R242)+(R260))-R377)*Formulas!$K21</f>
        <v>397.17656</v>
      </c>
      <c r="S505" s="503">
        <f>(((S241+S242)+(S260))-S377)*Formulas!$K21</f>
        <v>967.538</v>
      </c>
      <c r="T505" s="503">
        <f>(((T241+T242)+(T260))-T377)*Formulas!$K21</f>
        <v>829.41188</v>
      </c>
      <c r="U505" s="503">
        <f>(((U241+U242)+(U260))-U377)*Formulas!$K21</f>
        <v>739.2</v>
      </c>
      <c r="V505" s="503">
        <f>(((V241+V242)+(V260))-V377)*Formulas!$K21</f>
        <v>1035.0868</v>
      </c>
      <c r="W505" s="503">
        <f>(((W241+W242)+(W260))-W377)*Formulas!$K21</f>
        <v>1183.402</v>
      </c>
      <c r="X505" s="503">
        <f>(((X241+X242)+(X260))-X377)*Formulas!$K21</f>
        <v>568.48044</v>
      </c>
      <c r="Y505" s="503">
        <f>(((Y241+Y242)+(Y260))-Y377)*Formulas!$K21</f>
        <v>695.86</v>
      </c>
      <c r="Z505" s="503">
        <f>(((Z241+Z242)+(Z260))-Z377)*Formulas!$K21</f>
        <v>978.3576</v>
      </c>
      <c r="AA505" s="503">
        <f>(((AA241+AA242)+(AA260))-AA377)*Formulas!$K21</f>
        <v>794.86</v>
      </c>
      <c r="AB505" s="503">
        <f>(((AB241+AB242)+(AB260))-AB377)*Formulas!$K21</f>
        <v>869</v>
      </c>
      <c r="AC505" s="503">
        <f>(((AC241+AC242)+(AC260))-AC377)*Formulas!$K21</f>
        <v>1124.53528</v>
      </c>
      <c r="AD505" s="503">
        <f>(((AD241+AD242)+(AD260))-AD377)*Formulas!$K21</f>
        <v>838.86</v>
      </c>
      <c r="AE505" s="503">
        <f>(((AE241+AE242)+(AE260))-AE377)*Formulas!$K21</f>
        <v>752.46248</v>
      </c>
      <c r="AF505" s="503">
        <f>(((AF241+AF242)+(AF260))-AF377)*Formulas!$K21</f>
        <v>901.8284</v>
      </c>
      <c r="AG505" s="77">
        <f t="shared" si="199"/>
        <v>26184.73638</v>
      </c>
    </row>
    <row r="506">
      <c r="A506" s="34" t="s">
        <v>2549</v>
      </c>
      <c r="B506" s="504">
        <f>(((B243+B244)+(B267))-B382)*Formulas!$K22</f>
        <v>0</v>
      </c>
      <c r="C506" s="504">
        <f>(((C243+C244)+(C267))-C382)*Formulas!$K22</f>
        <v>0</v>
      </c>
      <c r="D506" s="504">
        <f>(((D243+D244)+(D267))-D382)*Formulas!$K22</f>
        <v>0</v>
      </c>
      <c r="E506" s="504">
        <f>(((E243+E244)+(E267))-E382)*Formulas!$K22</f>
        <v>0</v>
      </c>
      <c r="F506" s="504">
        <f>(((F243+F244)+(F267))-F382)*Formulas!$K22</f>
        <v>0</v>
      </c>
      <c r="G506" s="504">
        <f>(((G243+G244)+(G267))-G382)*Formulas!$K22</f>
        <v>0</v>
      </c>
      <c r="H506" s="504">
        <f>(((H243+H244)+(H267))-H382)*Formulas!$K22</f>
        <v>0</v>
      </c>
      <c r="I506" s="504">
        <f>(((I243+I244)+(I267))-I382)*Formulas!$K22</f>
        <v>0</v>
      </c>
      <c r="J506" s="504">
        <f>(((J243+J244)+(J267))-J382)*Formulas!$K22</f>
        <v>0</v>
      </c>
      <c r="K506" s="504">
        <f>(((K243+K244)+(K267))-K382)*Formulas!$K22</f>
        <v>0</v>
      </c>
      <c r="L506" s="504">
        <f>(((L243+L244)+(L267))-L382)*Formulas!$K22</f>
        <v>0</v>
      </c>
      <c r="M506" s="504">
        <f>(((M243+M244)+(M267))-M382)*Formulas!$K22</f>
        <v>0</v>
      </c>
      <c r="N506" s="504">
        <f>(((N243+N244)+(N267))-N382)*Formulas!$K22</f>
        <v>0</v>
      </c>
      <c r="O506" s="504">
        <f>(((O243+O244)+(O267))-O382)*Formulas!$K22</f>
        <v>0</v>
      </c>
      <c r="P506" s="504">
        <f>(((P243+P244)+(P267))-P382)*Formulas!$K22</f>
        <v>0</v>
      </c>
      <c r="Q506" s="504">
        <f>(((Q243+Q244)+(Q267))-Q382)*Formulas!$K22</f>
        <v>0</v>
      </c>
      <c r="R506" s="504">
        <f>(((R243+R244)+(R267))-R382)*Formulas!$K22</f>
        <v>0</v>
      </c>
      <c r="S506" s="504">
        <f>(((S243+S244)+(S267))-S382)*Formulas!$K22</f>
        <v>0</v>
      </c>
      <c r="T506" s="504">
        <f>(((T243+T244)+(T267))-T382)*Formulas!$K22</f>
        <v>0</v>
      </c>
      <c r="U506" s="504">
        <f>(((U243+U244)+(U267))-U382)*Formulas!$K22</f>
        <v>0</v>
      </c>
      <c r="V506" s="504">
        <f>(((V243+V244)+(V267))-V382)*Formulas!$K22</f>
        <v>0</v>
      </c>
      <c r="W506" s="504">
        <f>(((W243+W244)+(W267))-W382)*Formulas!$K22</f>
        <v>0</v>
      </c>
      <c r="X506" s="504">
        <f>(((X243+X244)+(X267))-X382)*Formulas!$K22</f>
        <v>0</v>
      </c>
      <c r="Y506" s="504">
        <f>(((Y243+Y244)+(Y267))-Y382)*Formulas!$K22</f>
        <v>0</v>
      </c>
      <c r="Z506" s="504">
        <f>(((Z243+Z244)+(Z267))-Z382)*Formulas!$K22</f>
        <v>0</v>
      </c>
      <c r="AA506" s="504">
        <f>(((AA243+AA244)+(AA267))-AA382)*Formulas!$K22</f>
        <v>0</v>
      </c>
      <c r="AB506" s="504">
        <f>(((AB243+AB244)+(AB267))-AB382)*Formulas!$K22</f>
        <v>0</v>
      </c>
      <c r="AC506" s="504">
        <f>(((AC243+AC244)+(AC267))-AC382)*Formulas!$K22</f>
        <v>0</v>
      </c>
      <c r="AD506" s="504">
        <f>(((AD243+AD244)+(AD267))-AD382)*Formulas!$K22</f>
        <v>0</v>
      </c>
      <c r="AE506" s="504">
        <f>(((AE243+AE244)+(AE267))-AE382)*Formulas!$K22</f>
        <v>0</v>
      </c>
      <c r="AF506" s="504">
        <f>(((AF243+AF244)+(AF267))-AF382)*Formulas!$K22</f>
        <v>0</v>
      </c>
      <c r="AG506" s="77">
        <f t="shared" si="199"/>
        <v>0</v>
      </c>
    </row>
    <row r="507">
      <c r="A507" s="34" t="s">
        <v>2562</v>
      </c>
      <c r="B507" s="503">
        <v>202.0</v>
      </c>
      <c r="C507" s="503">
        <v>242.74</v>
      </c>
      <c r="D507" s="503">
        <v>401.79</v>
      </c>
      <c r="E507" s="503">
        <v>3048.12</v>
      </c>
      <c r="F507" s="503">
        <v>24.0</v>
      </c>
      <c r="G507" s="503">
        <v>5431.58</v>
      </c>
      <c r="H507" s="503">
        <v>2684.34</v>
      </c>
      <c r="I507" s="392">
        <v>1645.28</v>
      </c>
      <c r="J507" s="503">
        <v>4931.95</v>
      </c>
      <c r="K507" s="503">
        <v>8722.53</v>
      </c>
      <c r="L507" s="503">
        <v>3854.36</v>
      </c>
      <c r="M507" s="503">
        <v>4145.15</v>
      </c>
      <c r="N507" s="503">
        <v>3354.59</v>
      </c>
      <c r="O507" s="503">
        <v>1937.27</v>
      </c>
      <c r="P507" s="503">
        <v>917.61</v>
      </c>
      <c r="Q507" s="503">
        <v>2892.72</v>
      </c>
      <c r="R507" s="505">
        <v>2864.96</v>
      </c>
      <c r="S507" s="505">
        <v>3402.4</v>
      </c>
      <c r="T507" s="505">
        <v>1213.14</v>
      </c>
      <c r="U507" s="505">
        <v>2389.87</v>
      </c>
      <c r="V507" s="505">
        <v>1756.39</v>
      </c>
      <c r="W507" s="505">
        <v>518.4</v>
      </c>
      <c r="X507" s="505">
        <v>1408.35</v>
      </c>
      <c r="Y507" s="505">
        <v>240.94</v>
      </c>
      <c r="Z507" s="505">
        <v>2603.87</v>
      </c>
      <c r="AA507" s="505">
        <v>1697.25</v>
      </c>
      <c r="AB507" s="505">
        <v>3305.63</v>
      </c>
      <c r="AC507" s="505">
        <v>2375.6</v>
      </c>
      <c r="AD507" s="505">
        <v>408.86</v>
      </c>
      <c r="AE507" s="505">
        <v>2226.44</v>
      </c>
      <c r="AF507" s="505">
        <v>1052.03</v>
      </c>
      <c r="AG507" s="77">
        <f t="shared" si="199"/>
        <v>71900.16</v>
      </c>
    </row>
    <row r="508">
      <c r="A508" s="34" t="s">
        <v>2566</v>
      </c>
      <c r="B508" s="499">
        <f t="shared" ref="B508:AF508" si="201">(B389+B394+B399)</f>
        <v>207</v>
      </c>
      <c r="C508" s="499">
        <f t="shared" si="201"/>
        <v>18</v>
      </c>
      <c r="D508" s="499">
        <f t="shared" si="201"/>
        <v>0</v>
      </c>
      <c r="E508" s="499">
        <f t="shared" si="201"/>
        <v>219.8</v>
      </c>
      <c r="F508" s="499">
        <f t="shared" si="201"/>
        <v>2857.8</v>
      </c>
      <c r="G508" s="499">
        <f t="shared" si="201"/>
        <v>4251.38</v>
      </c>
      <c r="H508" s="499">
        <f t="shared" si="201"/>
        <v>59</v>
      </c>
      <c r="I508" s="499">
        <f t="shared" si="201"/>
        <v>4019.34</v>
      </c>
      <c r="J508" s="499">
        <f t="shared" si="201"/>
        <v>0</v>
      </c>
      <c r="K508" s="499">
        <f t="shared" si="201"/>
        <v>828.56</v>
      </c>
      <c r="L508" s="499">
        <f t="shared" si="201"/>
        <v>1380.91</v>
      </c>
      <c r="M508" s="499">
        <f t="shared" si="201"/>
        <v>640.18</v>
      </c>
      <c r="N508" s="499">
        <f t="shared" si="201"/>
        <v>4915.47</v>
      </c>
      <c r="O508" s="499">
        <f t="shared" si="201"/>
        <v>6873.44</v>
      </c>
      <c r="P508" s="499">
        <f t="shared" si="201"/>
        <v>1903.67</v>
      </c>
      <c r="Q508" s="499">
        <f t="shared" si="201"/>
        <v>2594.78</v>
      </c>
      <c r="R508" s="499">
        <f t="shared" si="201"/>
        <v>18017.94</v>
      </c>
      <c r="S508" s="499">
        <f t="shared" si="201"/>
        <v>9675.04</v>
      </c>
      <c r="T508" s="499">
        <f t="shared" si="201"/>
        <v>11167.99</v>
      </c>
      <c r="U508" s="499">
        <f t="shared" si="201"/>
        <v>12813.82</v>
      </c>
      <c r="V508" s="499">
        <f t="shared" si="201"/>
        <v>14008.1</v>
      </c>
      <c r="W508" s="499">
        <f t="shared" si="201"/>
        <v>206</v>
      </c>
      <c r="X508" s="499">
        <f t="shared" si="201"/>
        <v>3048.27</v>
      </c>
      <c r="Y508" s="499">
        <f t="shared" si="201"/>
        <v>350.7</v>
      </c>
      <c r="Z508" s="499">
        <f t="shared" si="201"/>
        <v>8412.53</v>
      </c>
      <c r="AA508" s="499">
        <f t="shared" si="201"/>
        <v>16419.47</v>
      </c>
      <c r="AB508" s="499">
        <f t="shared" si="201"/>
        <v>12278.34</v>
      </c>
      <c r="AC508" s="499">
        <f t="shared" si="201"/>
        <v>3988.96</v>
      </c>
      <c r="AD508" s="499">
        <f t="shared" si="201"/>
        <v>10343.78</v>
      </c>
      <c r="AE508" s="499">
        <f t="shared" si="201"/>
        <v>4361.63</v>
      </c>
      <c r="AF508" s="499">
        <f t="shared" si="201"/>
        <v>2409.52</v>
      </c>
      <c r="AG508" s="77">
        <f t="shared" si="199"/>
        <v>158271.42</v>
      </c>
    </row>
    <row r="509">
      <c r="A509" s="34" t="s">
        <v>2570</v>
      </c>
      <c r="B509" s="499">
        <f>(B364*Formulas!$K35)+(B365*Formulas!$K38)+(B366*Formulas!$K36)</f>
        <v>20</v>
      </c>
      <c r="C509" s="499">
        <f>(C364*Formulas!$K35)+(C365*Formulas!$K38)+(C366*Formulas!$K36)</f>
        <v>10</v>
      </c>
      <c r="D509" s="499">
        <f>(D364*Formulas!$K35)+(D365*Formulas!$K38)+(D366*Formulas!$K36)</f>
        <v>0</v>
      </c>
      <c r="E509" s="499">
        <f>(E364*Formulas!$K35)+(E365*Formulas!$K38)+(E366*Formulas!$K36)</f>
        <v>20</v>
      </c>
      <c r="F509" s="499">
        <f>(F364*Formulas!$K35)+(F365*Formulas!$K38)+(F366*Formulas!$K36)</f>
        <v>100</v>
      </c>
      <c r="G509" s="499">
        <f>(G364*Formulas!$K35)+(G365*Formulas!$K38)+(G366*Formulas!$K36)</f>
        <v>170</v>
      </c>
      <c r="H509" s="499">
        <f>(H364*Formulas!$K35)+(H365*Formulas!$K38)+(H366*Formulas!$K36)</f>
        <v>10</v>
      </c>
      <c r="I509" s="499">
        <f>(I364*Formulas!$K35)+(I365*Formulas!$K38)+(I366*Formulas!$K36)</f>
        <v>160</v>
      </c>
      <c r="J509" s="499">
        <f>(J364*Formulas!$K35)+(J365*Formulas!$K38)+(J366*Formulas!$K36)</f>
        <v>0</v>
      </c>
      <c r="K509" s="499">
        <f>(K364*Formulas!$K35)+(K365*Formulas!$K38)+(K366*Formulas!$K36)</f>
        <v>30</v>
      </c>
      <c r="L509" s="499">
        <f>(L364*Formulas!$K35)+(L365*Formulas!$K38)+(L366*Formulas!$K36)</f>
        <v>40</v>
      </c>
      <c r="M509" s="499">
        <f>(M364*Formulas!$K35)+(M365*Formulas!$K38)+(M366*Formulas!$K36)</f>
        <v>20</v>
      </c>
      <c r="N509" s="499">
        <f>(N364*Formulas!$K35)+(N365*Formulas!$K38)+(N366*Formulas!$K36)</f>
        <v>210</v>
      </c>
      <c r="O509" s="499">
        <f>(O364*Formulas!$K35)+(O365*Formulas!$K38)+(O366*Formulas!$K36)</f>
        <v>280</v>
      </c>
      <c r="P509" s="499">
        <f>(P364*Formulas!$K35)+(P365*Formulas!$K38)+(P366*Formulas!$K36)</f>
        <v>60</v>
      </c>
      <c r="Q509" s="499">
        <f>(Q364*Formulas!$K35)+(Q365*Formulas!$K38)+(Q366*Formulas!$K36)</f>
        <v>100</v>
      </c>
      <c r="R509" s="499">
        <f>(R364*Formulas!$K35)+(R365*Formulas!$K38)+(R366*Formulas!$K36)</f>
        <v>690</v>
      </c>
      <c r="S509" s="499">
        <f>(S364*Formulas!$K35)+(S365*Formulas!$K38)+(S366*Formulas!$K36)</f>
        <v>370</v>
      </c>
      <c r="T509" s="499">
        <f>(T364*Formulas!$K35)+(T365*Formulas!$K38)+(T366*Formulas!$K36)</f>
        <v>380</v>
      </c>
      <c r="U509" s="499">
        <f>(U364*Formulas!$K35)+(U365*Formulas!$K38)+(U366*Formulas!$K36)</f>
        <v>470</v>
      </c>
      <c r="V509" s="499">
        <f>(V364*Formulas!$K35)+(V365*Formulas!$K38)+(V366*Formulas!$K36)</f>
        <v>510</v>
      </c>
      <c r="W509" s="499">
        <f>(W364*Formulas!$K35)+(W365*Formulas!$K38)+(W366*Formulas!$K36)</f>
        <v>10</v>
      </c>
      <c r="X509" s="499">
        <f>(X364*Formulas!$K35)+(X365*Formulas!$K38)+(X366*Formulas!$K36)</f>
        <v>130</v>
      </c>
      <c r="Y509" s="499">
        <f>(Y364*Formulas!$K35)+(Y365*Formulas!$K38)+(Y366*Formulas!$K36)</f>
        <v>10</v>
      </c>
      <c r="Z509" s="499">
        <f>(Z364*Formulas!$K35)+(Z365*Formulas!$K38)+(Z366*Formulas!$K36)</f>
        <v>310</v>
      </c>
      <c r="AA509" s="499">
        <f>(AA364*Formulas!$K35)+(AA365*Formulas!$K38)+(AA366*Formulas!$K36)</f>
        <v>580</v>
      </c>
      <c r="AB509" s="499">
        <f>(AB364*Formulas!$K35)+(AB365*Formulas!$K38)+(AB366*Formulas!$K36)</f>
        <v>450</v>
      </c>
      <c r="AC509" s="499">
        <f>(AC364*Formulas!$K35)+(AC365*Formulas!$K38)+(AC366*Formulas!$K36)</f>
        <v>150</v>
      </c>
      <c r="AD509" s="499">
        <f>(AD364*Formulas!$K35)+(AD365*Formulas!$K38)+(AD366*Formulas!$K36)</f>
        <v>390</v>
      </c>
      <c r="AE509" s="499">
        <f>(AE364*Formulas!$K35)+(AE365*Formulas!$K38)+(AE366*Formulas!$K36)</f>
        <v>170</v>
      </c>
      <c r="AF509" s="499">
        <f>(AF364*Formulas!$K35)+(AF365*Formulas!$K38)+(AF366*Formulas!$K36)</f>
        <v>110</v>
      </c>
      <c r="AG509" s="77">
        <f t="shared" si="199"/>
        <v>5960</v>
      </c>
    </row>
    <row r="510">
      <c r="A510" s="34" t="s">
        <v>2580</v>
      </c>
      <c r="B510" s="506">
        <v>0.0</v>
      </c>
      <c r="C510" s="506">
        <v>0.0</v>
      </c>
      <c r="D510" s="506">
        <f>322.06+324.23+339.57+248.78+261.87+359.31+285.7+305.81+329.55+330.14+255.73+260.89</f>
        <v>3623.64</v>
      </c>
      <c r="E510" s="506">
        <v>256.44</v>
      </c>
      <c r="F510" s="506">
        <f>375.97+261.92</f>
        <v>637.89</v>
      </c>
      <c r="G510" s="506">
        <v>334.28</v>
      </c>
      <c r="H510" s="506">
        <v>0.0</v>
      </c>
      <c r="I510" s="506">
        <v>0.0</v>
      </c>
      <c r="J510" s="506">
        <f>322.79+336.19+256.44+357.38+350.7+256.6+330.14</f>
        <v>2210.24</v>
      </c>
      <c r="K510" s="506">
        <f>326.54+258.43</f>
        <v>584.97</v>
      </c>
      <c r="L510" s="506">
        <v>0.0</v>
      </c>
      <c r="M510" s="506">
        <v>0.0</v>
      </c>
      <c r="N510" s="506">
        <v>314.93</v>
      </c>
      <c r="O510" s="506">
        <v>0.0</v>
      </c>
      <c r="P510" s="506">
        <v>0.0</v>
      </c>
      <c r="Q510" s="506">
        <v>0.0</v>
      </c>
      <c r="R510" s="506">
        <f>363.84+259.86+231+262.33+294+330.45+380.7+338.67+247.69+247.14</f>
        <v>2955.68</v>
      </c>
      <c r="S510" s="506">
        <v>277.63</v>
      </c>
      <c r="T510" s="506">
        <f>255.94+257.74+314</f>
        <v>827.68</v>
      </c>
      <c r="U510" s="506">
        <v>259.46</v>
      </c>
      <c r="V510" s="506">
        <v>0.0</v>
      </c>
      <c r="W510" s="506">
        <v>0.0</v>
      </c>
      <c r="X510" s="506">
        <v>0.0</v>
      </c>
      <c r="Y510" s="506">
        <f>268+336.53+228.43+358.2+309.23+273.19+330.82+299.68+249.43+283.18+358.03+257.74</f>
        <v>3552.46</v>
      </c>
      <c r="Z510" s="506">
        <v>0.0</v>
      </c>
      <c r="AA510" s="506">
        <f>304.9+316.94+331.94+322.35</f>
        <v>1276.13</v>
      </c>
      <c r="AB510" s="506">
        <v>0.0</v>
      </c>
      <c r="AC510" s="506">
        <v>0.0</v>
      </c>
      <c r="AD510" s="506">
        <v>0.0</v>
      </c>
      <c r="AE510" s="506">
        <v>0.0</v>
      </c>
      <c r="AF510" s="506">
        <v>0.0</v>
      </c>
      <c r="AG510" s="77">
        <f t="shared" si="199"/>
        <v>17111.43</v>
      </c>
    </row>
    <row r="511">
      <c r="A511" s="34" t="s">
        <v>2584</v>
      </c>
      <c r="B511" s="499">
        <f>B125*Formulas!$K4</f>
        <v>276</v>
      </c>
      <c r="C511" s="499">
        <f>C125*Formulas!$K4</f>
        <v>261</v>
      </c>
      <c r="D511" s="499">
        <f>D125*Formulas!$K4</f>
        <v>204</v>
      </c>
      <c r="E511" s="499">
        <f>E125*Formulas!$K4</f>
        <v>558</v>
      </c>
      <c r="F511" s="499">
        <f>F125*Formulas!$K4</f>
        <v>471</v>
      </c>
      <c r="G511" s="499">
        <f>G125*Formulas!$K4</f>
        <v>424.5</v>
      </c>
      <c r="H511" s="499">
        <f>H125*Formulas!$K4</f>
        <v>393</v>
      </c>
      <c r="I511" s="499">
        <f>I125*Formulas!$K4</f>
        <v>318</v>
      </c>
      <c r="J511" s="499">
        <f>J125*Formulas!$K4</f>
        <v>267</v>
      </c>
      <c r="K511" s="499">
        <f>K125*Formulas!$K4</f>
        <v>433.5</v>
      </c>
      <c r="L511" s="499">
        <f>L125*Formulas!$K4</f>
        <v>256.5</v>
      </c>
      <c r="M511" s="499">
        <f>M125*Formulas!$K4</f>
        <v>169.5</v>
      </c>
      <c r="N511" s="499">
        <f>N125*Formulas!$K4</f>
        <v>216</v>
      </c>
      <c r="O511" s="499">
        <f>O125*Formulas!$K4</f>
        <v>204</v>
      </c>
      <c r="P511" s="499">
        <f>P125*Formulas!$K4</f>
        <v>264</v>
      </c>
      <c r="Q511" s="499">
        <f>Q125*Formulas!$K4</f>
        <v>219</v>
      </c>
      <c r="R511" s="499">
        <f>R125*Formulas!$K4</f>
        <v>276</v>
      </c>
      <c r="S511" s="499">
        <f>S125*Formulas!$K4</f>
        <v>178.5</v>
      </c>
      <c r="T511" s="499">
        <f>T125*Formulas!$K4</f>
        <v>207</v>
      </c>
      <c r="U511" s="499">
        <f>U125*Formulas!$K4</f>
        <v>199.5</v>
      </c>
      <c r="V511" s="499">
        <f>V125*Formulas!$K4</f>
        <v>237</v>
      </c>
      <c r="W511" s="499">
        <f>W125*Formulas!$K4</f>
        <v>235.5</v>
      </c>
      <c r="X511" s="499">
        <f>X125*Formulas!$K4</f>
        <v>190.5</v>
      </c>
      <c r="Y511" s="499">
        <f>Y125*Formulas!$K4</f>
        <v>228</v>
      </c>
      <c r="Z511" s="499">
        <f>Z125*Formulas!$K4</f>
        <v>211.5</v>
      </c>
      <c r="AA511" s="499">
        <f>AA125*Formulas!$K4</f>
        <v>168</v>
      </c>
      <c r="AB511" s="499">
        <f>AB125*Formulas!$K4</f>
        <v>217.5</v>
      </c>
      <c r="AC511" s="499">
        <f>AC125*Formulas!$K4</f>
        <v>234</v>
      </c>
      <c r="AD511" s="499">
        <f>AD125*Formulas!$K4</f>
        <v>246</v>
      </c>
      <c r="AE511" s="499">
        <f>AE125*Formulas!$K4</f>
        <v>202.5</v>
      </c>
      <c r="AF511" s="499">
        <f>AF125*Formulas!$K4</f>
        <v>210</v>
      </c>
      <c r="AG511" s="77">
        <f t="shared" si="199"/>
        <v>8176.5</v>
      </c>
    </row>
    <row r="512">
      <c r="A512" s="34" t="s">
        <v>2591</v>
      </c>
      <c r="B512" s="499">
        <f>B125*Formulas!$K22</f>
        <v>23.92</v>
      </c>
      <c r="C512" s="499">
        <f>C125*Formulas!$K22</f>
        <v>22.62</v>
      </c>
      <c r="D512" s="499">
        <f>D125*Formulas!$K22</f>
        <v>17.68</v>
      </c>
      <c r="E512" s="499">
        <f>E125*Formulas!$K22</f>
        <v>48.36</v>
      </c>
      <c r="F512" s="499">
        <f>F125*Formulas!$K22</f>
        <v>40.82</v>
      </c>
      <c r="G512" s="499">
        <f>G125*Formulas!$K22</f>
        <v>36.79</v>
      </c>
      <c r="H512" s="499">
        <f>H125*Formulas!$K22</f>
        <v>34.06</v>
      </c>
      <c r="I512" s="499">
        <f>I125*Formulas!$K22</f>
        <v>27.56</v>
      </c>
      <c r="J512" s="499">
        <f>J125*Formulas!$K22</f>
        <v>23.14</v>
      </c>
      <c r="K512" s="499">
        <f>K125*Formulas!$K22</f>
        <v>37.57</v>
      </c>
      <c r="L512" s="499">
        <f>L125*Formulas!$K22</f>
        <v>22.23</v>
      </c>
      <c r="M512" s="499">
        <f>M125*Formulas!$K22</f>
        <v>14.69</v>
      </c>
      <c r="N512" s="499">
        <f>N125*Formulas!$K22</f>
        <v>18.72</v>
      </c>
      <c r="O512" s="499">
        <f>O125*Formulas!$K22</f>
        <v>17.68</v>
      </c>
      <c r="P512" s="499">
        <f>P125*Formulas!$K22</f>
        <v>22.88</v>
      </c>
      <c r="Q512" s="499">
        <f>Q125*Formulas!$K22</f>
        <v>18.98</v>
      </c>
      <c r="R512" s="499">
        <f>R125*Formulas!$K22</f>
        <v>23.92</v>
      </c>
      <c r="S512" s="499">
        <f>S125*Formulas!$K22</f>
        <v>15.47</v>
      </c>
      <c r="T512" s="499">
        <f>T125*Formulas!$K22</f>
        <v>17.94</v>
      </c>
      <c r="U512" s="499">
        <f>U125*Formulas!$K22</f>
        <v>17.29</v>
      </c>
      <c r="V512" s="499">
        <f>V125*Formulas!$K22</f>
        <v>20.54</v>
      </c>
      <c r="W512" s="499">
        <f>W125*Formulas!$K22</f>
        <v>20.41</v>
      </c>
      <c r="X512" s="499">
        <f>X125*Formulas!$K22</f>
        <v>16.51</v>
      </c>
      <c r="Y512" s="499">
        <f>Y125*Formulas!$K22</f>
        <v>19.76</v>
      </c>
      <c r="Z512" s="499">
        <f>Z125*Formulas!$K22</f>
        <v>18.33</v>
      </c>
      <c r="AA512" s="499">
        <f>AA125*Formulas!$K22</f>
        <v>14.56</v>
      </c>
      <c r="AB512" s="499">
        <f>AB125*Formulas!$K22</f>
        <v>18.85</v>
      </c>
      <c r="AC512" s="499">
        <f>AC125*Formulas!$K22</f>
        <v>20.28</v>
      </c>
      <c r="AD512" s="499">
        <f>AD125*Formulas!$K22</f>
        <v>21.32</v>
      </c>
      <c r="AE512" s="499">
        <f>AE125*Formulas!$K22</f>
        <v>17.55</v>
      </c>
      <c r="AF512" s="499">
        <f>AF125*Formulas!$K22</f>
        <v>18.2</v>
      </c>
      <c r="AG512" s="77">
        <f t="shared" si="199"/>
        <v>708.63</v>
      </c>
    </row>
    <row r="513">
      <c r="A513" s="470" t="s">
        <v>2601</v>
      </c>
      <c r="B513" s="508">
        <f>B140*Formulas!$K$6</f>
        <v>30.07</v>
      </c>
      <c r="C513" s="508">
        <f>C140*Formulas!$K$6</f>
        <v>25.42</v>
      </c>
      <c r="D513" s="508">
        <f>D140*Formulas!$K$6</f>
        <v>10.54</v>
      </c>
      <c r="E513" s="508">
        <f>E140*Formulas!$K$6</f>
        <v>82.15</v>
      </c>
      <c r="F513" s="508">
        <f>F140*Formulas!$K$6</f>
        <v>70.68</v>
      </c>
      <c r="G513" s="508">
        <f>G140*Formulas!$K$6</f>
        <v>62</v>
      </c>
      <c r="H513" s="508">
        <f>H140*Formulas!$K$6</f>
        <v>59.52</v>
      </c>
      <c r="I513" s="508">
        <f>I140*Formulas!$K$6</f>
        <v>39.99</v>
      </c>
      <c r="J513" s="508">
        <f>J140*Formulas!$K$6</f>
        <v>37.82</v>
      </c>
      <c r="K513" s="508">
        <f>K140*Formulas!$K$6</f>
        <v>49.6</v>
      </c>
      <c r="L513" s="508">
        <f>L140*Formulas!$K$6</f>
        <v>35.03</v>
      </c>
      <c r="M513" s="508">
        <f>M140*Formulas!$K$6</f>
        <v>24.49</v>
      </c>
      <c r="N513" s="508">
        <f>N140*Formulas!$K$6</f>
        <v>31.31</v>
      </c>
      <c r="O513" s="508">
        <f>O140*Formulas!$K$6</f>
        <v>26.97</v>
      </c>
      <c r="P513" s="508">
        <f>P140*Formulas!$K$6</f>
        <v>35.65</v>
      </c>
      <c r="Q513" s="508">
        <f>Q140*Formulas!$K$6</f>
        <v>28.83</v>
      </c>
      <c r="R513" s="508">
        <f>R140*Formulas!$K$6</f>
        <v>35.65</v>
      </c>
      <c r="S513" s="508">
        <f>S140*Formulas!$K$6</f>
        <v>27.28</v>
      </c>
      <c r="T513" s="508">
        <f>T140*Formulas!$K$6</f>
        <v>32.55</v>
      </c>
      <c r="U513" s="508">
        <f>U140*Formulas!$K$6</f>
        <v>31.93</v>
      </c>
      <c r="V513" s="508">
        <f>V140*Formulas!$K$6</f>
        <v>37.82</v>
      </c>
      <c r="W513" s="508">
        <f>W140*Formulas!$K$6</f>
        <v>33.48</v>
      </c>
      <c r="X513" s="508">
        <f>X140*Formulas!$K$6</f>
        <v>30.38</v>
      </c>
      <c r="Y513" s="508">
        <f>Y140*Formulas!$K$6</f>
        <v>35.96</v>
      </c>
      <c r="Z513" s="508">
        <f>Z140*Formulas!$K$6</f>
        <v>34.1</v>
      </c>
      <c r="AA513" s="508">
        <f>AA140*Formulas!$K$6</f>
        <v>28.21</v>
      </c>
      <c r="AB513" s="508">
        <f>AB140*Formulas!$K$6</f>
        <v>36.27</v>
      </c>
      <c r="AC513" s="508">
        <f>AC140*Formulas!$K$6</f>
        <v>36.58</v>
      </c>
      <c r="AD513" s="508">
        <f>AD140*Formulas!$K$6</f>
        <v>36.89</v>
      </c>
      <c r="AE513" s="508">
        <f>AE140*Formulas!$K$6</f>
        <v>36.58</v>
      </c>
      <c r="AF513" s="508">
        <f>AF140*Formulas!$K$6</f>
        <v>40.61</v>
      </c>
      <c r="AG513" s="508">
        <f t="shared" si="199"/>
        <v>1164.36</v>
      </c>
    </row>
    <row r="514">
      <c r="A514" s="509" t="s">
        <v>2613</v>
      </c>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row>
    <row r="515" hidden="1">
      <c r="A515" s="510" t="s">
        <v>2195</v>
      </c>
      <c r="B515" s="390">
        <f>B408*Formulas!$H4</f>
        <v>0</v>
      </c>
      <c r="C515" s="390">
        <f>C408*Formulas!$H4</f>
        <v>0</v>
      </c>
      <c r="D515" s="390">
        <f>D408*Formulas!$H4</f>
        <v>1410.6</v>
      </c>
      <c r="E515" s="390">
        <f>E408*Formulas!$H4</f>
        <v>1128.48</v>
      </c>
      <c r="F515" s="390">
        <f>F408*Formulas!$H4</f>
        <v>0</v>
      </c>
      <c r="G515" s="390">
        <f>G408*Formulas!$H4</f>
        <v>987.42</v>
      </c>
      <c r="H515" s="390">
        <f>H408*Formulas!$H4</f>
        <v>0</v>
      </c>
      <c r="I515" s="390">
        <f>I408*Formulas!$H4</f>
        <v>1481.13</v>
      </c>
      <c r="J515" s="390">
        <f>J408*Formulas!$H4</f>
        <v>0</v>
      </c>
      <c r="K515" s="390">
        <f>K408*Formulas!$H4</f>
        <v>0</v>
      </c>
      <c r="L515" s="390">
        <f>L408*Formulas!$H4</f>
        <v>0</v>
      </c>
      <c r="M515" s="390">
        <f>M408*Formulas!$H4</f>
        <v>0</v>
      </c>
      <c r="N515" s="390">
        <f>N408*Formulas!$H4</f>
        <v>0</v>
      </c>
      <c r="O515" s="390">
        <f>O408*Formulas!$H4</f>
        <v>0</v>
      </c>
      <c r="P515" s="390">
        <f>P408*Formulas!$H4</f>
        <v>0</v>
      </c>
      <c r="Q515" s="390">
        <f>Q408*Formulas!$H4</f>
        <v>0</v>
      </c>
      <c r="R515" s="390">
        <f>R408*Formulas!$H4</f>
        <v>3314.91</v>
      </c>
      <c r="S515" s="390">
        <f>S408*Formulas!$H4</f>
        <v>0</v>
      </c>
      <c r="T515" s="390">
        <f>T408*Formulas!$H4</f>
        <v>0</v>
      </c>
      <c r="U515" s="390">
        <f>U408*Formulas!$H4</f>
        <v>0</v>
      </c>
      <c r="V515" s="390">
        <f>V408*Formulas!$H4</f>
        <v>0</v>
      </c>
      <c r="W515" s="390">
        <f>W408*Formulas!$H4</f>
        <v>0</v>
      </c>
      <c r="X515" s="390">
        <f>X408*Formulas!$H4</f>
        <v>0</v>
      </c>
      <c r="Y515" s="390">
        <f>Y408*Formulas!$H4</f>
        <v>4513.92</v>
      </c>
      <c r="Z515" s="390">
        <f>Z408*Formulas!$H4</f>
        <v>0</v>
      </c>
      <c r="AA515" s="390">
        <f>AA408*Formulas!$H4</f>
        <v>0</v>
      </c>
      <c r="AB515" s="390">
        <f>AB408*Formulas!$H4</f>
        <v>0</v>
      </c>
      <c r="AC515" s="390">
        <f>AC408*Formulas!$H4</f>
        <v>0</v>
      </c>
      <c r="AD515" s="390">
        <f>AD408*Formulas!$H4</f>
        <v>0</v>
      </c>
      <c r="AE515" s="390">
        <f>AE408*Formulas!$H4</f>
        <v>0</v>
      </c>
      <c r="AF515" s="390">
        <f>AF408*Formulas!$H4</f>
        <v>8181.48</v>
      </c>
      <c r="AG515" s="511">
        <f t="shared" ref="AG515:AG542" si="202">SUM(B515:AF515)</f>
        <v>21017.94</v>
      </c>
    </row>
    <row r="516" hidden="1">
      <c r="A516" s="26" t="s">
        <v>2210</v>
      </c>
      <c r="B516" s="390">
        <f>B515*Formulas!$H37</f>
        <v>0</v>
      </c>
      <c r="C516" s="390">
        <f>C515*Formulas!$H37</f>
        <v>0</v>
      </c>
      <c r="D516" s="390">
        <f>D515*Formulas!$H37</f>
        <v>105.795</v>
      </c>
      <c r="E516" s="390">
        <f>E515*Formulas!$H37</f>
        <v>84.636</v>
      </c>
      <c r="F516" s="390">
        <f>F515*Formulas!$H37</f>
        <v>0</v>
      </c>
      <c r="G516" s="390">
        <f>G515*Formulas!$H37</f>
        <v>74.0565</v>
      </c>
      <c r="H516" s="390">
        <f>H515*Formulas!$H37</f>
        <v>0</v>
      </c>
      <c r="I516" s="390">
        <f>I515*Formulas!$H37</f>
        <v>111.08475</v>
      </c>
      <c r="J516" s="390">
        <f>J515*Formulas!$H37</f>
        <v>0</v>
      </c>
      <c r="K516" s="390">
        <f>K515*Formulas!$H37</f>
        <v>0</v>
      </c>
      <c r="L516" s="390">
        <f>L515*Formulas!$H37</f>
        <v>0</v>
      </c>
      <c r="M516" s="390">
        <f>M515*Formulas!$H37</f>
        <v>0</v>
      </c>
      <c r="N516" s="390">
        <f>N515*Formulas!$H37</f>
        <v>0</v>
      </c>
      <c r="O516" s="390">
        <f>O515*Formulas!$H37</f>
        <v>0</v>
      </c>
      <c r="P516" s="390">
        <f>P515*Formulas!$H37</f>
        <v>0</v>
      </c>
      <c r="Q516" s="390">
        <f>Q515*Formulas!$H37</f>
        <v>0</v>
      </c>
      <c r="R516" s="390">
        <f>R515*Formulas!$H37</f>
        <v>248.61825</v>
      </c>
      <c r="S516" s="390">
        <f>S515*Formulas!$H37</f>
        <v>0</v>
      </c>
      <c r="T516" s="390">
        <f>T515*Formulas!$H37</f>
        <v>0</v>
      </c>
      <c r="U516" s="390">
        <f>U515*Formulas!$H37</f>
        <v>0</v>
      </c>
      <c r="V516" s="390">
        <f>V515*Formulas!$H37</f>
        <v>0</v>
      </c>
      <c r="W516" s="390">
        <f>W515*Formulas!$H37</f>
        <v>0</v>
      </c>
      <c r="X516" s="390">
        <f>X515*Formulas!$H37</f>
        <v>0</v>
      </c>
      <c r="Y516" s="390">
        <f>Y515*Formulas!$H37</f>
        <v>338.544</v>
      </c>
      <c r="Z516" s="390">
        <f>Z515*Formulas!$H37</f>
        <v>0</v>
      </c>
      <c r="AA516" s="390">
        <f>AA515*Formulas!$H37</f>
        <v>0</v>
      </c>
      <c r="AB516" s="390">
        <f>AB515*Formulas!$H37</f>
        <v>0</v>
      </c>
      <c r="AC516" s="390">
        <f>AC515*Formulas!$H37</f>
        <v>0</v>
      </c>
      <c r="AD516" s="390">
        <f>AD515*Formulas!$H37</f>
        <v>0</v>
      </c>
      <c r="AE516" s="390">
        <f>AE515*Formulas!$H37</f>
        <v>0</v>
      </c>
      <c r="AF516" s="390">
        <f>AF515*Formulas!$H37</f>
        <v>613.611</v>
      </c>
      <c r="AG516" s="511">
        <f t="shared" si="202"/>
        <v>1576.3455</v>
      </c>
    </row>
    <row r="517" hidden="1">
      <c r="A517" s="510" t="s">
        <v>2227</v>
      </c>
      <c r="B517" s="390">
        <f>B409*Formulas!$H5</f>
        <v>0</v>
      </c>
      <c r="C517" s="390">
        <f>C409*Formulas!$H5</f>
        <v>0</v>
      </c>
      <c r="D517" s="390">
        <f>D409*Formulas!$H5</f>
        <v>0</v>
      </c>
      <c r="E517" s="390">
        <f>E409*Formulas!$H5</f>
        <v>0</v>
      </c>
      <c r="F517" s="390">
        <f>F409*Formulas!$H5</f>
        <v>0</v>
      </c>
      <c r="G517" s="390">
        <f>G409*Formulas!$H5</f>
        <v>0</v>
      </c>
      <c r="H517" s="390">
        <f>H409*Formulas!$H5</f>
        <v>0</v>
      </c>
      <c r="I517" s="390">
        <f>I409*Formulas!$H5</f>
        <v>0</v>
      </c>
      <c r="J517" s="390">
        <f>J409*Formulas!$H5</f>
        <v>0</v>
      </c>
      <c r="K517" s="390">
        <f>K409*Formulas!$H5</f>
        <v>0</v>
      </c>
      <c r="L517" s="390">
        <f>L409*Formulas!$H5</f>
        <v>0</v>
      </c>
      <c r="M517" s="390">
        <f>M409*Formulas!$H5</f>
        <v>0</v>
      </c>
      <c r="N517" s="390">
        <f>N409*Formulas!$H5</f>
        <v>0</v>
      </c>
      <c r="O517" s="390">
        <f>O409*Formulas!$H5</f>
        <v>0</v>
      </c>
      <c r="P517" s="390">
        <f>P409*Formulas!$H5</f>
        <v>0</v>
      </c>
      <c r="Q517" s="390">
        <f>Q409*Formulas!$H5</f>
        <v>0</v>
      </c>
      <c r="R517" s="390">
        <f>R409*Formulas!$H5</f>
        <v>0</v>
      </c>
      <c r="S517" s="390">
        <f>S409*Formulas!$H5</f>
        <v>0</v>
      </c>
      <c r="T517" s="390">
        <f>T409*Formulas!$H5</f>
        <v>0</v>
      </c>
      <c r="U517" s="390">
        <f>U409*Formulas!$H5</f>
        <v>0</v>
      </c>
      <c r="V517" s="390">
        <f>V409*Formulas!$H5</f>
        <v>0</v>
      </c>
      <c r="W517" s="390">
        <f>W409*Formulas!$H5</f>
        <v>0</v>
      </c>
      <c r="X517" s="390">
        <f>X409*Formulas!$H5</f>
        <v>0</v>
      </c>
      <c r="Y517" s="390">
        <f>Y409*Formulas!$H5</f>
        <v>0</v>
      </c>
      <c r="Z517" s="390">
        <f>Z409*Formulas!$H5</f>
        <v>0</v>
      </c>
      <c r="AA517" s="390">
        <f>AA409*Formulas!$H5</f>
        <v>0</v>
      </c>
      <c r="AB517" s="390">
        <f>AB409*Formulas!$H5</f>
        <v>0</v>
      </c>
      <c r="AC517" s="390">
        <f>AC409*Formulas!$H5</f>
        <v>0</v>
      </c>
      <c r="AD517" s="390">
        <f>AD409*Formulas!$H5</f>
        <v>0</v>
      </c>
      <c r="AE517" s="390">
        <f>AE409*Formulas!$H5</f>
        <v>0</v>
      </c>
      <c r="AF517" s="390">
        <f>AF409*Formulas!$H5</f>
        <v>0</v>
      </c>
      <c r="AG517" s="511">
        <f t="shared" si="202"/>
        <v>0</v>
      </c>
    </row>
    <row r="518" hidden="1">
      <c r="A518" s="26" t="s">
        <v>2244</v>
      </c>
      <c r="B518" s="390">
        <f>B517*Formulas!$H37</f>
        <v>0</v>
      </c>
      <c r="C518" s="390">
        <f>C517*Formulas!$H37</f>
        <v>0</v>
      </c>
      <c r="D518" s="390">
        <f>D517*Formulas!$H37</f>
        <v>0</v>
      </c>
      <c r="E518" s="390">
        <f>E517*Formulas!$H37</f>
        <v>0</v>
      </c>
      <c r="F518" s="390">
        <f>F517*Formulas!$H37</f>
        <v>0</v>
      </c>
      <c r="G518" s="390">
        <f>G517*Formulas!$H37</f>
        <v>0</v>
      </c>
      <c r="H518" s="390">
        <f>H517*Formulas!$H37</f>
        <v>0</v>
      </c>
      <c r="I518" s="390">
        <f>I517*Formulas!$H37</f>
        <v>0</v>
      </c>
      <c r="J518" s="390">
        <f>J517*Formulas!$H37</f>
        <v>0</v>
      </c>
      <c r="K518" s="390">
        <f>K517*Formulas!$H37</f>
        <v>0</v>
      </c>
      <c r="L518" s="390">
        <f>L517*Formulas!$H37</f>
        <v>0</v>
      </c>
      <c r="M518" s="390">
        <f>M517*Formulas!$H37</f>
        <v>0</v>
      </c>
      <c r="N518" s="390">
        <f>N517*Formulas!$H37</f>
        <v>0</v>
      </c>
      <c r="O518" s="390">
        <f>O517*Formulas!$H37</f>
        <v>0</v>
      </c>
      <c r="P518" s="390">
        <f>P517*Formulas!$H37</f>
        <v>0</v>
      </c>
      <c r="Q518" s="390">
        <f>Q517*Formulas!$H37</f>
        <v>0</v>
      </c>
      <c r="R518" s="390">
        <f>R517*Formulas!$H37</f>
        <v>0</v>
      </c>
      <c r="S518" s="390">
        <f>S517*Formulas!$H37</f>
        <v>0</v>
      </c>
      <c r="T518" s="390">
        <f>T517*Formulas!$H37</f>
        <v>0</v>
      </c>
      <c r="U518" s="390">
        <f>U517*Formulas!$H37</f>
        <v>0</v>
      </c>
      <c r="V518" s="390">
        <f>V517*Formulas!$H37</f>
        <v>0</v>
      </c>
      <c r="W518" s="390">
        <f>W517*Formulas!$H37</f>
        <v>0</v>
      </c>
      <c r="X518" s="390">
        <f>X517*Formulas!$H37</f>
        <v>0</v>
      </c>
      <c r="Y518" s="390">
        <f>Y517*Formulas!$H37</f>
        <v>0</v>
      </c>
      <c r="Z518" s="390">
        <f>Z517*Formulas!$H37</f>
        <v>0</v>
      </c>
      <c r="AA518" s="390">
        <f>AA517*Formulas!$H37</f>
        <v>0</v>
      </c>
      <c r="AB518" s="390">
        <f>AB517*Formulas!$H37</f>
        <v>0</v>
      </c>
      <c r="AC518" s="390">
        <f>AC517*Formulas!$H37</f>
        <v>0</v>
      </c>
      <c r="AD518" s="390">
        <f>AD517*Formulas!$H37</f>
        <v>0</v>
      </c>
      <c r="AE518" s="390">
        <f>AE517*Formulas!$H37</f>
        <v>0</v>
      </c>
      <c r="AF518" s="390">
        <f>AF517*Formulas!$H37</f>
        <v>0</v>
      </c>
      <c r="AG518" s="511">
        <f t="shared" si="202"/>
        <v>0</v>
      </c>
    </row>
    <row r="519" hidden="1">
      <c r="A519" s="510" t="s">
        <v>2263</v>
      </c>
      <c r="B519" s="390">
        <f>(B412+B419+B426)*Formulas!$H8</f>
        <v>0</v>
      </c>
      <c r="C519" s="390">
        <f>(C412+C419+C426)*Formulas!$H8</f>
        <v>0</v>
      </c>
      <c r="D519" s="390">
        <f>(D412+D419+D426)*Formulas!$H8</f>
        <v>0</v>
      </c>
      <c r="E519" s="390">
        <f>(E412+E419+E426)*Formulas!$H8</f>
        <v>0</v>
      </c>
      <c r="F519" s="390">
        <f>(F412+F419+F426)*Formulas!$H8</f>
        <v>0</v>
      </c>
      <c r="G519" s="390">
        <f>(G412+G419+G426)*Formulas!$H8</f>
        <v>0</v>
      </c>
      <c r="H519" s="390">
        <f>(H412+H419+H426)*Formulas!$H8</f>
        <v>0</v>
      </c>
      <c r="I519" s="390">
        <f>(I412+I419+I426)*Formulas!$H8</f>
        <v>0</v>
      </c>
      <c r="J519" s="390">
        <f>(J412+J419+J426)*Formulas!$H8</f>
        <v>0</v>
      </c>
      <c r="K519" s="390">
        <f>(K412+K419+K426)*Formulas!$H8</f>
        <v>0</v>
      </c>
      <c r="L519" s="390">
        <f>(L412+L419+L426)*Formulas!$H8</f>
        <v>0</v>
      </c>
      <c r="M519" s="390">
        <f>(M412+M419+M426)*Formulas!$H8</f>
        <v>0</v>
      </c>
      <c r="N519" s="390">
        <f>(N412+N419+N426)*Formulas!$H8</f>
        <v>0</v>
      </c>
      <c r="O519" s="390">
        <f>(O412+O419+O426)*Formulas!$H8</f>
        <v>0</v>
      </c>
      <c r="P519" s="390">
        <f>(P412+P419+P426)*Formulas!$H8</f>
        <v>0</v>
      </c>
      <c r="Q519" s="390">
        <f>(Q412+Q419+Q426)*Formulas!$H8</f>
        <v>0</v>
      </c>
      <c r="R519" s="390">
        <f>(R412+R419+R426)*Formulas!$H8</f>
        <v>0</v>
      </c>
      <c r="S519" s="390">
        <f>(S412+S419+S426)*Formulas!$H8</f>
        <v>0</v>
      </c>
      <c r="T519" s="390">
        <f>(T412+T419+T426)*Formulas!$H8</f>
        <v>0</v>
      </c>
      <c r="U519" s="390">
        <f>(U412+U419+U426)*Formulas!$H8</f>
        <v>0</v>
      </c>
      <c r="V519" s="390">
        <f>(V412+V419+V426)*Formulas!$H8</f>
        <v>0</v>
      </c>
      <c r="W519" s="390">
        <f>(W412+W419+W426)*Formulas!$H8</f>
        <v>0</v>
      </c>
      <c r="X519" s="390">
        <f>(X412+X419+X426)*Formulas!$H8</f>
        <v>0</v>
      </c>
      <c r="Y519" s="390">
        <f>(Y412+Y419+Y426)*Formulas!$H8</f>
        <v>0</v>
      </c>
      <c r="Z519" s="390">
        <f>(Z412+Z419+Z426)*Formulas!$H8</f>
        <v>0</v>
      </c>
      <c r="AA519" s="390">
        <f>(AA412+AA419+AA426)*Formulas!$H8</f>
        <v>0</v>
      </c>
      <c r="AB519" s="390">
        <f>(AB412+AB419+AB426)*Formulas!$H8</f>
        <v>0</v>
      </c>
      <c r="AC519" s="390">
        <f>(AC412+AC419+AC426)*Formulas!$H8</f>
        <v>0</v>
      </c>
      <c r="AD519" s="390">
        <f>(AD412+AD419+AD426)*Formulas!$H8</f>
        <v>0</v>
      </c>
      <c r="AE519" s="390">
        <f>(AE412+AE419+AE426)*Formulas!$H8</f>
        <v>0</v>
      </c>
      <c r="AF519" s="390">
        <f>(AF412+AF419+AF426)*Formulas!$H8</f>
        <v>0</v>
      </c>
      <c r="AG519" s="511">
        <f t="shared" si="202"/>
        <v>0</v>
      </c>
    </row>
    <row r="520" hidden="1">
      <c r="A520" s="26" t="s">
        <v>2279</v>
      </c>
      <c r="B520" s="390">
        <f>B519*Formulas!$H37</f>
        <v>0</v>
      </c>
      <c r="C520" s="390">
        <f>C519*Formulas!$H37</f>
        <v>0</v>
      </c>
      <c r="D520" s="390">
        <f>D519*Formulas!$H37</f>
        <v>0</v>
      </c>
      <c r="E520" s="390">
        <f>E519*Formulas!$H37</f>
        <v>0</v>
      </c>
      <c r="F520" s="390">
        <f>F519*Formulas!$H37</f>
        <v>0</v>
      </c>
      <c r="G520" s="390">
        <f>G519*Formulas!$H37</f>
        <v>0</v>
      </c>
      <c r="H520" s="390">
        <f>H519*Formulas!$H37</f>
        <v>0</v>
      </c>
      <c r="I520" s="390">
        <f>I519*Formulas!$H37</f>
        <v>0</v>
      </c>
      <c r="J520" s="390">
        <f>J519*Formulas!$H37</f>
        <v>0</v>
      </c>
      <c r="K520" s="390">
        <f>K519*Formulas!$H37</f>
        <v>0</v>
      </c>
      <c r="L520" s="390">
        <f>L519*Formulas!$H37</f>
        <v>0</v>
      </c>
      <c r="M520" s="390">
        <f>M519*Formulas!$H37</f>
        <v>0</v>
      </c>
      <c r="N520" s="390">
        <f>N519*Formulas!$H37</f>
        <v>0</v>
      </c>
      <c r="O520" s="390">
        <f>O519*Formulas!$H37</f>
        <v>0</v>
      </c>
      <c r="P520" s="390">
        <f>P519*Formulas!$H37</f>
        <v>0</v>
      </c>
      <c r="Q520" s="390">
        <f>Q519*Formulas!$H37</f>
        <v>0</v>
      </c>
      <c r="R520" s="390">
        <f>R519*Formulas!$H37</f>
        <v>0</v>
      </c>
      <c r="S520" s="390">
        <f>S519*Formulas!$H37</f>
        <v>0</v>
      </c>
      <c r="T520" s="390">
        <f>T519*Formulas!$H37</f>
        <v>0</v>
      </c>
      <c r="U520" s="390">
        <f>U519*Formulas!$H37</f>
        <v>0</v>
      </c>
      <c r="V520" s="390">
        <f>V519*Formulas!$H37</f>
        <v>0</v>
      </c>
      <c r="W520" s="390">
        <f>W519*Formulas!$H37</f>
        <v>0</v>
      </c>
      <c r="X520" s="390">
        <f>X519*Formulas!$H37</f>
        <v>0</v>
      </c>
      <c r="Y520" s="390">
        <f>Y519*Formulas!$H37</f>
        <v>0</v>
      </c>
      <c r="Z520" s="390">
        <f>Z519*Formulas!$H37</f>
        <v>0</v>
      </c>
      <c r="AA520" s="390">
        <f>AA519*Formulas!$H37</f>
        <v>0</v>
      </c>
      <c r="AB520" s="390">
        <f>AB519*Formulas!$H37</f>
        <v>0</v>
      </c>
      <c r="AC520" s="390">
        <f>AC519*Formulas!$H37</f>
        <v>0</v>
      </c>
      <c r="AD520" s="390">
        <f>AD519*Formulas!$H37</f>
        <v>0</v>
      </c>
      <c r="AE520" s="390">
        <f>AE519*Formulas!$H37</f>
        <v>0</v>
      </c>
      <c r="AF520" s="390">
        <f>AF519*Formulas!$H37</f>
        <v>0</v>
      </c>
      <c r="AG520" s="511">
        <f t="shared" si="202"/>
        <v>0</v>
      </c>
    </row>
    <row r="521" hidden="1">
      <c r="A521" s="26" t="s">
        <v>2294</v>
      </c>
      <c r="B521" s="390">
        <f>B519*Formulas!$H36</f>
        <v>0</v>
      </c>
      <c r="C521" s="390">
        <f>C519*Formulas!$H36</f>
        <v>0</v>
      </c>
      <c r="D521" s="390">
        <f>D519*Formulas!$H36</f>
        <v>0</v>
      </c>
      <c r="E521" s="390">
        <f>E519*Formulas!$H36</f>
        <v>0</v>
      </c>
      <c r="F521" s="390">
        <f>F519*Formulas!$H36</f>
        <v>0</v>
      </c>
      <c r="G521" s="390">
        <f>G519*Formulas!$H36</f>
        <v>0</v>
      </c>
      <c r="H521" s="390">
        <f>H519*Formulas!$H36</f>
        <v>0</v>
      </c>
      <c r="I521" s="390">
        <f>I519*Formulas!$H36</f>
        <v>0</v>
      </c>
      <c r="J521" s="390">
        <f>J519*Formulas!$H36</f>
        <v>0</v>
      </c>
      <c r="K521" s="390">
        <f>K519*Formulas!$H36</f>
        <v>0</v>
      </c>
      <c r="L521" s="390">
        <f>L519*Formulas!$H36</f>
        <v>0</v>
      </c>
      <c r="M521" s="390">
        <f>M519*Formulas!$H36</f>
        <v>0</v>
      </c>
      <c r="N521" s="390">
        <f>N519*Formulas!$H36</f>
        <v>0</v>
      </c>
      <c r="O521" s="390">
        <f>O519*Formulas!$H36</f>
        <v>0</v>
      </c>
      <c r="P521" s="390">
        <f>P519*Formulas!$H36</f>
        <v>0</v>
      </c>
      <c r="Q521" s="390">
        <f>Q519*Formulas!$H36</f>
        <v>0</v>
      </c>
      <c r="R521" s="390">
        <f>R519*Formulas!$H36</f>
        <v>0</v>
      </c>
      <c r="S521" s="390">
        <f>S519*Formulas!$H36</f>
        <v>0</v>
      </c>
      <c r="T521" s="390">
        <f>T519*Formulas!$H36</f>
        <v>0</v>
      </c>
      <c r="U521" s="390">
        <f>U519*Formulas!$H36</f>
        <v>0</v>
      </c>
      <c r="V521" s="390">
        <f>V519*Formulas!$H36</f>
        <v>0</v>
      </c>
      <c r="W521" s="390">
        <f>W519*Formulas!$H36</f>
        <v>0</v>
      </c>
      <c r="X521" s="390">
        <f>X519*Formulas!$H36</f>
        <v>0</v>
      </c>
      <c r="Y521" s="390">
        <f>Y519*Formulas!$H36</f>
        <v>0</v>
      </c>
      <c r="Z521" s="390">
        <f>Z519*Formulas!$H36</f>
        <v>0</v>
      </c>
      <c r="AA521" s="390">
        <f>AA519*Formulas!$H36</f>
        <v>0</v>
      </c>
      <c r="AB521" s="390">
        <f>AB519*Formulas!$H36</f>
        <v>0</v>
      </c>
      <c r="AC521" s="390">
        <f>AC519*Formulas!$H36</f>
        <v>0</v>
      </c>
      <c r="AD521" s="390">
        <f>AD519*Formulas!$H36</f>
        <v>0</v>
      </c>
      <c r="AE521" s="390">
        <f>AE519*Formulas!$H36</f>
        <v>0</v>
      </c>
      <c r="AF521" s="390">
        <f>AF519*Formulas!$H36</f>
        <v>0</v>
      </c>
      <c r="AG521" s="511">
        <f t="shared" si="202"/>
        <v>0</v>
      </c>
    </row>
    <row r="522" hidden="1">
      <c r="A522" s="510" t="s">
        <v>2307</v>
      </c>
      <c r="B522" s="390">
        <f>(B411+B418+B425)*Formulas!$H7</f>
        <v>0</v>
      </c>
      <c r="C522" s="390">
        <f>(C411+C418+C425)*Formulas!$H7</f>
        <v>0</v>
      </c>
      <c r="D522" s="390">
        <f>(D411+D418+D425)*Formulas!$H7</f>
        <v>0</v>
      </c>
      <c r="E522" s="390">
        <f>(E411+E418+E425)*Formulas!$H7</f>
        <v>0</v>
      </c>
      <c r="F522" s="390">
        <f>(F411+F418+F425)*Formulas!$H7</f>
        <v>0</v>
      </c>
      <c r="G522" s="390">
        <f>(G411+G418+G425)*Formulas!$H7</f>
        <v>0</v>
      </c>
      <c r="H522" s="390">
        <f>(H411+H418+H425)*Formulas!$H7</f>
        <v>0</v>
      </c>
      <c r="I522" s="390">
        <f>(I411+I418+I425)*Formulas!$H7</f>
        <v>0</v>
      </c>
      <c r="J522" s="390">
        <f>(J411+J418+J425)*Formulas!$H7</f>
        <v>0</v>
      </c>
      <c r="K522" s="390">
        <f>(K411+K418+K425)*Formulas!$H7</f>
        <v>0</v>
      </c>
      <c r="L522" s="390">
        <f>(L411+L418+L425)*Formulas!$H7</f>
        <v>0</v>
      </c>
      <c r="M522" s="390">
        <f>(M411+M418+M425)*Formulas!$H7</f>
        <v>0</v>
      </c>
      <c r="N522" s="390">
        <f>(N411+N418+N425)*Formulas!$H7</f>
        <v>0</v>
      </c>
      <c r="O522" s="390">
        <f>(O411+O418+O425)*Formulas!$H7</f>
        <v>0</v>
      </c>
      <c r="P522" s="390">
        <f>(P411+P418+P425)*Formulas!$H7</f>
        <v>0</v>
      </c>
      <c r="Q522" s="390">
        <f>(Q411+Q418+Q425)*Formulas!$H7</f>
        <v>0</v>
      </c>
      <c r="R522" s="390">
        <f>(R411+R418+R425)*Formulas!$H7</f>
        <v>0</v>
      </c>
      <c r="S522" s="390">
        <f>(S411+S418+S425)*Formulas!$H7</f>
        <v>0</v>
      </c>
      <c r="T522" s="390">
        <f>(T411+T418+T425)*Formulas!$H7</f>
        <v>0</v>
      </c>
      <c r="U522" s="390">
        <f>(U411+U418+U425)*Formulas!$H7</f>
        <v>0</v>
      </c>
      <c r="V522" s="390">
        <f>(V411+V418+V425)*Formulas!$H7</f>
        <v>0</v>
      </c>
      <c r="W522" s="390">
        <f>(W411+W418+W425)*Formulas!$H7</f>
        <v>0</v>
      </c>
      <c r="X522" s="390">
        <f>(X411+X418+X425)*Formulas!$H7</f>
        <v>0</v>
      </c>
      <c r="Y522" s="390">
        <f>(Y411+Y418+Y425)*Formulas!$H7</f>
        <v>0</v>
      </c>
      <c r="Z522" s="390">
        <f>(Z411+Z418+Z425)*Formulas!$H7</f>
        <v>0</v>
      </c>
      <c r="AA522" s="390">
        <f>(AA411+AA418+AA425)*Formulas!$H7</f>
        <v>0</v>
      </c>
      <c r="AB522" s="390">
        <f>(AB411+AB418+AB425)*Formulas!$H7</f>
        <v>0</v>
      </c>
      <c r="AC522" s="390">
        <f>(AC411+AC418+AC425)*Formulas!$H7</f>
        <v>0</v>
      </c>
      <c r="AD522" s="390">
        <f>(AD411+AD418+AD425)*Formulas!$H7</f>
        <v>0</v>
      </c>
      <c r="AE522" s="390">
        <f>(AE411+AE418+AE425)*Formulas!$H7</f>
        <v>0</v>
      </c>
      <c r="AF522" s="390">
        <f>(AF411+AF418+AF425)*Formulas!$H7</f>
        <v>0</v>
      </c>
      <c r="AG522" s="511">
        <f t="shared" si="202"/>
        <v>0</v>
      </c>
    </row>
    <row r="523" hidden="1">
      <c r="A523" s="26" t="s">
        <v>2320</v>
      </c>
      <c r="B523" s="390">
        <f>B522*Formulas!$H37</f>
        <v>0</v>
      </c>
      <c r="C523" s="390">
        <f>C522*Formulas!$H37</f>
        <v>0</v>
      </c>
      <c r="D523" s="390">
        <f>D522*Formulas!$H37</f>
        <v>0</v>
      </c>
      <c r="E523" s="390">
        <f>E522*Formulas!$H37</f>
        <v>0</v>
      </c>
      <c r="F523" s="390">
        <f>F522*Formulas!$H37</f>
        <v>0</v>
      </c>
      <c r="G523" s="390">
        <f>G522*Formulas!$H37</f>
        <v>0</v>
      </c>
      <c r="H523" s="390">
        <f>H522*Formulas!$H37</f>
        <v>0</v>
      </c>
      <c r="I523" s="390">
        <f>I522*Formulas!$H37</f>
        <v>0</v>
      </c>
      <c r="J523" s="390">
        <f>J522*Formulas!$H37</f>
        <v>0</v>
      </c>
      <c r="K523" s="390">
        <f>K522*Formulas!$H37</f>
        <v>0</v>
      </c>
      <c r="L523" s="390">
        <f>L522*Formulas!$H37</f>
        <v>0</v>
      </c>
      <c r="M523" s="390">
        <f>M522*Formulas!$H37</f>
        <v>0</v>
      </c>
      <c r="N523" s="390">
        <f>N522*Formulas!$H37</f>
        <v>0</v>
      </c>
      <c r="O523" s="390">
        <f>O522*Formulas!$H37</f>
        <v>0</v>
      </c>
      <c r="P523" s="390">
        <f>P522*Formulas!$H37</f>
        <v>0</v>
      </c>
      <c r="Q523" s="390">
        <f>Q522*Formulas!$H37</f>
        <v>0</v>
      </c>
      <c r="R523" s="390">
        <f>R522*Formulas!$H37</f>
        <v>0</v>
      </c>
      <c r="S523" s="390">
        <f>S522*Formulas!$H37</f>
        <v>0</v>
      </c>
      <c r="T523" s="390">
        <f>T522*Formulas!$H37</f>
        <v>0</v>
      </c>
      <c r="U523" s="390">
        <f>U522*Formulas!$H37</f>
        <v>0</v>
      </c>
      <c r="V523" s="390">
        <f>V522*Formulas!$H37</f>
        <v>0</v>
      </c>
      <c r="W523" s="390">
        <f>W522*Formulas!$H37</f>
        <v>0</v>
      </c>
      <c r="X523" s="390">
        <f>X522*Formulas!$H37</f>
        <v>0</v>
      </c>
      <c r="Y523" s="390">
        <f>Y522*Formulas!$H37</f>
        <v>0</v>
      </c>
      <c r="Z523" s="390">
        <f>Z522*Formulas!$H37</f>
        <v>0</v>
      </c>
      <c r="AA523" s="390">
        <f>AA522*Formulas!$H37</f>
        <v>0</v>
      </c>
      <c r="AB523" s="390">
        <f>AB522*Formulas!$H37</f>
        <v>0</v>
      </c>
      <c r="AC523" s="390">
        <f>AC522*Formulas!$H37</f>
        <v>0</v>
      </c>
      <c r="AD523" s="390">
        <f>AD522*Formulas!$H37</f>
        <v>0</v>
      </c>
      <c r="AE523" s="390">
        <f>AE522*Formulas!$H37</f>
        <v>0</v>
      </c>
      <c r="AF523" s="390">
        <f>AF522*Formulas!$H37</f>
        <v>0</v>
      </c>
      <c r="AG523" s="511">
        <f t="shared" si="202"/>
        <v>0</v>
      </c>
    </row>
    <row r="524" hidden="1">
      <c r="A524" s="26" t="s">
        <v>2333</v>
      </c>
      <c r="B524" s="390">
        <f>B522*Formulas!$H36</f>
        <v>0</v>
      </c>
      <c r="C524" s="390">
        <f>C522*Formulas!$H36</f>
        <v>0</v>
      </c>
      <c r="D524" s="390">
        <f>D522*Formulas!$H36</f>
        <v>0</v>
      </c>
      <c r="E524" s="390">
        <f>E522*Formulas!$H36</f>
        <v>0</v>
      </c>
      <c r="F524" s="390">
        <f>F522*Formulas!$H36</f>
        <v>0</v>
      </c>
      <c r="G524" s="390">
        <f>G522*Formulas!$H36</f>
        <v>0</v>
      </c>
      <c r="H524" s="390">
        <f>H522*Formulas!$H36</f>
        <v>0</v>
      </c>
      <c r="I524" s="390">
        <f>I522*Formulas!$H36</f>
        <v>0</v>
      </c>
      <c r="J524" s="390">
        <f>J522*Formulas!$H36</f>
        <v>0</v>
      </c>
      <c r="K524" s="390">
        <f>K522*Formulas!$H36</f>
        <v>0</v>
      </c>
      <c r="L524" s="390">
        <f>L522*Formulas!$H36</f>
        <v>0</v>
      </c>
      <c r="M524" s="390">
        <f>M522*Formulas!$H36</f>
        <v>0</v>
      </c>
      <c r="N524" s="390">
        <f>N522*Formulas!$H36</f>
        <v>0</v>
      </c>
      <c r="O524" s="390">
        <f>O522*Formulas!$H36</f>
        <v>0</v>
      </c>
      <c r="P524" s="390">
        <f>P522*Formulas!$H36</f>
        <v>0</v>
      </c>
      <c r="Q524" s="390">
        <f>Q522*Formulas!$H36</f>
        <v>0</v>
      </c>
      <c r="R524" s="390">
        <f>R522*Formulas!$H36</f>
        <v>0</v>
      </c>
      <c r="S524" s="390">
        <f>S522*Formulas!$H36</f>
        <v>0</v>
      </c>
      <c r="T524" s="390">
        <f>T522*Formulas!$H36</f>
        <v>0</v>
      </c>
      <c r="U524" s="390">
        <f>U522*Formulas!$H36</f>
        <v>0</v>
      </c>
      <c r="V524" s="390">
        <f>V522*Formulas!$H36</f>
        <v>0</v>
      </c>
      <c r="W524" s="390">
        <f>W522*Formulas!$H36</f>
        <v>0</v>
      </c>
      <c r="X524" s="390">
        <f>X522*Formulas!$H36</f>
        <v>0</v>
      </c>
      <c r="Y524" s="390">
        <f>Y522*Formulas!$H36</f>
        <v>0</v>
      </c>
      <c r="Z524" s="390">
        <f>Z522*Formulas!$H36</f>
        <v>0</v>
      </c>
      <c r="AA524" s="390">
        <f>AA522*Formulas!$H36</f>
        <v>0</v>
      </c>
      <c r="AB524" s="390">
        <f>AB522*Formulas!$H36</f>
        <v>0</v>
      </c>
      <c r="AC524" s="390">
        <f>AC522*Formulas!$H36</f>
        <v>0</v>
      </c>
      <c r="AD524" s="390">
        <f>AD522*Formulas!$H36</f>
        <v>0</v>
      </c>
      <c r="AE524" s="390">
        <f>AE522*Formulas!$H36</f>
        <v>0</v>
      </c>
      <c r="AF524" s="390">
        <f>AF522*Formulas!$H36</f>
        <v>0</v>
      </c>
      <c r="AG524" s="511">
        <f t="shared" si="202"/>
        <v>0</v>
      </c>
    </row>
    <row r="525" hidden="1">
      <c r="A525" s="510" t="s">
        <v>2347</v>
      </c>
      <c r="B525" s="390">
        <f>(B413+B420+B427)*Formulas!$H9</f>
        <v>0</v>
      </c>
      <c r="C525" s="390">
        <f>(C413+C420+C427)*Formulas!$H9</f>
        <v>0</v>
      </c>
      <c r="D525" s="390">
        <f>(D413+D420+D427)*Formulas!$H9</f>
        <v>1.07</v>
      </c>
      <c r="E525" s="390">
        <f>(E413+E420+E427)*Formulas!$H9</f>
        <v>0</v>
      </c>
      <c r="F525" s="390">
        <f>(F413+F420+F427)*Formulas!$H9</f>
        <v>0</v>
      </c>
      <c r="G525" s="390">
        <f>(G413+G420+G427)*Formulas!$H9</f>
        <v>0</v>
      </c>
      <c r="H525" s="390">
        <f>(H413+H420+H427)*Formulas!$H9</f>
        <v>0</v>
      </c>
      <c r="I525" s="390">
        <f>(I413+I420+I427)*Formulas!$H9</f>
        <v>0</v>
      </c>
      <c r="J525" s="390">
        <f>(J413+J420+J427)*Formulas!$H9</f>
        <v>0</v>
      </c>
      <c r="K525" s="390">
        <f>(K413+K420+K427)*Formulas!$H9</f>
        <v>0</v>
      </c>
      <c r="L525" s="390">
        <f>(L413+L420+L427)*Formulas!$H9</f>
        <v>0</v>
      </c>
      <c r="M525" s="390">
        <f>(M413+M420+M427)*Formulas!$H9</f>
        <v>0</v>
      </c>
      <c r="N525" s="390">
        <f>(N413+N420+N427)*Formulas!$H9</f>
        <v>0</v>
      </c>
      <c r="O525" s="390">
        <f>(O413+O420+O427)*Formulas!$H9</f>
        <v>0</v>
      </c>
      <c r="P525" s="390">
        <f>(P413+P420+P427)*Formulas!$H9</f>
        <v>0</v>
      </c>
      <c r="Q525" s="390">
        <f>(Q413+Q420+Q427)*Formulas!$H9</f>
        <v>0</v>
      </c>
      <c r="R525" s="390">
        <f>(R413+R420+R427)*Formulas!$H9</f>
        <v>0</v>
      </c>
      <c r="S525" s="390">
        <f>(S413+S420+S427)*Formulas!$H9</f>
        <v>0</v>
      </c>
      <c r="T525" s="390">
        <f>(T413+T420+T427)*Formulas!$H9</f>
        <v>0</v>
      </c>
      <c r="U525" s="390">
        <f>(U413+U420+U427)*Formulas!$H9</f>
        <v>0</v>
      </c>
      <c r="V525" s="390">
        <f>(V413+V420+V427)*Formulas!$H9</f>
        <v>0</v>
      </c>
      <c r="W525" s="390">
        <f>(W413+W420+W427)*Formulas!$H9</f>
        <v>0</v>
      </c>
      <c r="X525" s="390">
        <f>(X413+X420+X427)*Formulas!$H9</f>
        <v>0</v>
      </c>
      <c r="Y525" s="390">
        <f>(Y413+Y420+Y427)*Formulas!$H9</f>
        <v>1.07</v>
      </c>
      <c r="Z525" s="390">
        <f>(Z413+Z420+Z427)*Formulas!$H9</f>
        <v>0</v>
      </c>
      <c r="AA525" s="390">
        <f>(AA413+AA420+AA427)*Formulas!$H9</f>
        <v>0</v>
      </c>
      <c r="AB525" s="390">
        <f>(AB413+AB420+AB427)*Formulas!$H9</f>
        <v>0</v>
      </c>
      <c r="AC525" s="390">
        <f>(AC413+AC420+AC427)*Formulas!$H9</f>
        <v>0</v>
      </c>
      <c r="AD525" s="390">
        <f>(AD413+AD420+AD427)*Formulas!$H9</f>
        <v>0</v>
      </c>
      <c r="AE525" s="390">
        <f>(AE413+AE420+AE427)*Formulas!$H9</f>
        <v>0</v>
      </c>
      <c r="AF525" s="390">
        <f>(AF413+AF420+AF427)*Formulas!$H9</f>
        <v>1.07</v>
      </c>
      <c r="AG525" s="511">
        <f t="shared" si="202"/>
        <v>3.21</v>
      </c>
    </row>
    <row r="526" hidden="1">
      <c r="A526" s="26" t="s">
        <v>2362</v>
      </c>
      <c r="B526" s="390">
        <f>B525*Formulas!$H37</f>
        <v>0</v>
      </c>
      <c r="C526" s="390">
        <f>C525*Formulas!$H37</f>
        <v>0</v>
      </c>
      <c r="D526" s="390">
        <f>D525*Formulas!$H37</f>
        <v>0.08025</v>
      </c>
      <c r="E526" s="390">
        <f>E525*Formulas!$H37</f>
        <v>0</v>
      </c>
      <c r="F526" s="390">
        <f>F525*Formulas!$H37</f>
        <v>0</v>
      </c>
      <c r="G526" s="390">
        <f>G525*Formulas!$H37</f>
        <v>0</v>
      </c>
      <c r="H526" s="390">
        <f>H525*Formulas!$H37</f>
        <v>0</v>
      </c>
      <c r="I526" s="390">
        <f>I525*Formulas!$H37</f>
        <v>0</v>
      </c>
      <c r="J526" s="390">
        <f>J525*Formulas!$H37</f>
        <v>0</v>
      </c>
      <c r="K526" s="390">
        <f>K525*Formulas!$H37</f>
        <v>0</v>
      </c>
      <c r="L526" s="390">
        <f>L525*Formulas!$H37</f>
        <v>0</v>
      </c>
      <c r="M526" s="390">
        <f>M525*Formulas!$H37</f>
        <v>0</v>
      </c>
      <c r="N526" s="390">
        <f>N525*Formulas!$H37</f>
        <v>0</v>
      </c>
      <c r="O526" s="390">
        <f>O525*Formulas!$H37</f>
        <v>0</v>
      </c>
      <c r="P526" s="390">
        <f>P525*Formulas!$H37</f>
        <v>0</v>
      </c>
      <c r="Q526" s="390">
        <f>Q525*Formulas!$H37</f>
        <v>0</v>
      </c>
      <c r="R526" s="390">
        <f>R525*Formulas!$H37</f>
        <v>0</v>
      </c>
      <c r="S526" s="390">
        <f>S525*Formulas!$H37</f>
        <v>0</v>
      </c>
      <c r="T526" s="390">
        <f>T525*Formulas!$H37</f>
        <v>0</v>
      </c>
      <c r="U526" s="390">
        <f>U525*Formulas!$H37</f>
        <v>0</v>
      </c>
      <c r="V526" s="390">
        <f>V525*Formulas!$H37</f>
        <v>0</v>
      </c>
      <c r="W526" s="390">
        <f>W525*Formulas!$H37</f>
        <v>0</v>
      </c>
      <c r="X526" s="390">
        <f>X525*Formulas!$H37</f>
        <v>0</v>
      </c>
      <c r="Y526" s="390">
        <f>Y525*Formulas!$H37</f>
        <v>0.08025</v>
      </c>
      <c r="Z526" s="390">
        <f>Z525*Formulas!$H37</f>
        <v>0</v>
      </c>
      <c r="AA526" s="390">
        <f>AA525*Formulas!$H37</f>
        <v>0</v>
      </c>
      <c r="AB526" s="390">
        <f>AB525*Formulas!$H37</f>
        <v>0</v>
      </c>
      <c r="AC526" s="390">
        <f>AC525*Formulas!$H37</f>
        <v>0</v>
      </c>
      <c r="AD526" s="390">
        <f>AD525*Formulas!$H37</f>
        <v>0</v>
      </c>
      <c r="AE526" s="390">
        <f>AE525*Formulas!$H37</f>
        <v>0</v>
      </c>
      <c r="AF526" s="390">
        <f>AF525*Formulas!$H37</f>
        <v>0.08025</v>
      </c>
      <c r="AG526" s="511">
        <f t="shared" si="202"/>
        <v>0.24075</v>
      </c>
    </row>
    <row r="527" hidden="1">
      <c r="A527" s="26" t="s">
        <v>2375</v>
      </c>
      <c r="B527" s="390">
        <f>B525*Formulas!$H36</f>
        <v>0</v>
      </c>
      <c r="C527" s="390">
        <f>C525*Formulas!$H36</f>
        <v>0</v>
      </c>
      <c r="D527" s="390">
        <f>D525*Formulas!$H36</f>
        <v>0.03638</v>
      </c>
      <c r="E527" s="390">
        <f>E525*Formulas!$H36</f>
        <v>0</v>
      </c>
      <c r="F527" s="390">
        <f>F525*Formulas!$H36</f>
        <v>0</v>
      </c>
      <c r="G527" s="390">
        <f>G525*Formulas!$H36</f>
        <v>0</v>
      </c>
      <c r="H527" s="390">
        <f>H525*Formulas!$H36</f>
        <v>0</v>
      </c>
      <c r="I527" s="390">
        <f>I525*Formulas!$H36</f>
        <v>0</v>
      </c>
      <c r="J527" s="390">
        <f>J525*Formulas!$H36</f>
        <v>0</v>
      </c>
      <c r="K527" s="390">
        <f>K525*Formulas!$H36</f>
        <v>0</v>
      </c>
      <c r="L527" s="390">
        <f>L525*Formulas!$H36</f>
        <v>0</v>
      </c>
      <c r="M527" s="390">
        <f>M525*Formulas!$H36</f>
        <v>0</v>
      </c>
      <c r="N527" s="390">
        <f>N525*Formulas!$H36</f>
        <v>0</v>
      </c>
      <c r="O527" s="390">
        <f>O525*Formulas!$H36</f>
        <v>0</v>
      </c>
      <c r="P527" s="390">
        <f>P525*Formulas!$H36</f>
        <v>0</v>
      </c>
      <c r="Q527" s="390">
        <f>Q525*Formulas!$H36</f>
        <v>0</v>
      </c>
      <c r="R527" s="390">
        <f>R525*Formulas!$H36</f>
        <v>0</v>
      </c>
      <c r="S527" s="390">
        <f>S525*Formulas!$H36</f>
        <v>0</v>
      </c>
      <c r="T527" s="390">
        <f>T525*Formulas!$H36</f>
        <v>0</v>
      </c>
      <c r="U527" s="390">
        <f>U525*Formulas!$H36</f>
        <v>0</v>
      </c>
      <c r="V527" s="390">
        <f>V525*Formulas!$H36</f>
        <v>0</v>
      </c>
      <c r="W527" s="390">
        <f>W525*Formulas!$H36</f>
        <v>0</v>
      </c>
      <c r="X527" s="390">
        <f>X525*Formulas!$H36</f>
        <v>0</v>
      </c>
      <c r="Y527" s="390">
        <f>Y525*Formulas!$H36</f>
        <v>0.03638</v>
      </c>
      <c r="Z527" s="390">
        <f>Z525*Formulas!$H36</f>
        <v>0</v>
      </c>
      <c r="AA527" s="390">
        <f>AA525*Formulas!$H36</f>
        <v>0</v>
      </c>
      <c r="AB527" s="390">
        <f>AB525*Formulas!$H36</f>
        <v>0</v>
      </c>
      <c r="AC527" s="390">
        <f>AC525*Formulas!$H36</f>
        <v>0</v>
      </c>
      <c r="AD527" s="390">
        <f>AD525*Formulas!$H36</f>
        <v>0</v>
      </c>
      <c r="AE527" s="390">
        <f>AE525*Formulas!$H36</f>
        <v>0</v>
      </c>
      <c r="AF527" s="390">
        <f>AF525*Formulas!$H36</f>
        <v>0.03638</v>
      </c>
      <c r="AG527" s="511">
        <f t="shared" si="202"/>
        <v>0.10914</v>
      </c>
    </row>
    <row r="528" hidden="1">
      <c r="A528" s="510" t="s">
        <v>2382</v>
      </c>
      <c r="B528" s="390">
        <f>(B414+B421+B428)*Formulas!$H10</f>
        <v>0</v>
      </c>
      <c r="C528" s="390">
        <f>(C414+C421+C428)*Formulas!$H10</f>
        <v>0</v>
      </c>
      <c r="D528" s="390">
        <f>(D414+D421+D428)*Formulas!$H10</f>
        <v>0</v>
      </c>
      <c r="E528" s="390">
        <f>(E414+E421+E428)*Formulas!$H10</f>
        <v>0</v>
      </c>
      <c r="F528" s="390">
        <f>(F414+F421+F428)*Formulas!$H10</f>
        <v>0</v>
      </c>
      <c r="G528" s="390">
        <f>(G414+G421+G428)*Formulas!$H10</f>
        <v>6.08</v>
      </c>
      <c r="H528" s="390">
        <f>(H414+H421+H428)*Formulas!$H10</f>
        <v>0</v>
      </c>
      <c r="I528" s="390">
        <f>(I414+I421+I428)*Formulas!$H10</f>
        <v>0</v>
      </c>
      <c r="J528" s="390">
        <f>(J414+J421+J428)*Formulas!$H10</f>
        <v>0</v>
      </c>
      <c r="K528" s="390">
        <f>(K414+K421+K428)*Formulas!$H10</f>
        <v>0</v>
      </c>
      <c r="L528" s="390">
        <f>(L414+L421+L428)*Formulas!$H10</f>
        <v>0</v>
      </c>
      <c r="M528" s="390">
        <f>(M414+M421+M428)*Formulas!$H10</f>
        <v>0</v>
      </c>
      <c r="N528" s="390">
        <f>(N414+N421+N428)*Formulas!$H10</f>
        <v>0</v>
      </c>
      <c r="O528" s="390">
        <f>(O414+O421+O428)*Formulas!$H10</f>
        <v>0</v>
      </c>
      <c r="P528" s="390">
        <f>(P414+P421+P428)*Formulas!$H10</f>
        <v>0</v>
      </c>
      <c r="Q528" s="390">
        <f>(Q414+Q421+Q428)*Formulas!$H10</f>
        <v>0</v>
      </c>
      <c r="R528" s="390">
        <f>(R414+R421+R428)*Formulas!$H10</f>
        <v>6.08</v>
      </c>
      <c r="S528" s="390">
        <f>(S414+S421+S428)*Formulas!$H10</f>
        <v>0</v>
      </c>
      <c r="T528" s="390">
        <f>(T414+T421+T428)*Formulas!$H10</f>
        <v>0</v>
      </c>
      <c r="U528" s="390">
        <f>(U414+U421+U428)*Formulas!$H10</f>
        <v>0</v>
      </c>
      <c r="V528" s="390">
        <f>(V414+V421+V428)*Formulas!$H10</f>
        <v>0</v>
      </c>
      <c r="W528" s="390">
        <f>(W414+W421+W428)*Formulas!$H10</f>
        <v>0</v>
      </c>
      <c r="X528" s="390">
        <f>(X414+X421+X428)*Formulas!$H10</f>
        <v>0</v>
      </c>
      <c r="Y528" s="390">
        <f>(Y414+Y421+Y428)*Formulas!$H10</f>
        <v>0</v>
      </c>
      <c r="Z528" s="390">
        <f>(Z414+Z421+Z428)*Formulas!$H10</f>
        <v>0</v>
      </c>
      <c r="AA528" s="390">
        <f>(AA414+AA421+AA428)*Formulas!$H10</f>
        <v>0</v>
      </c>
      <c r="AB528" s="390">
        <f>(AB414+AB421+AB428)*Formulas!$H10</f>
        <v>0</v>
      </c>
      <c r="AC528" s="390">
        <f>(AC414+AC421+AC428)*Formulas!$H10</f>
        <v>0</v>
      </c>
      <c r="AD528" s="390">
        <f>(AD414+AD421+AD428)*Formulas!$H10</f>
        <v>0</v>
      </c>
      <c r="AE528" s="390">
        <f>(AE414+AE421+AE428)*Formulas!$H10</f>
        <v>0</v>
      </c>
      <c r="AF528" s="390">
        <f>(AF414+AF421+AF428)*Formulas!$H10</f>
        <v>0</v>
      </c>
      <c r="AG528" s="511">
        <f t="shared" si="202"/>
        <v>12.16</v>
      </c>
    </row>
    <row r="529" hidden="1">
      <c r="A529" s="26" t="s">
        <v>2392</v>
      </c>
      <c r="B529" s="390">
        <f>B528*Formulas!$H37</f>
        <v>0</v>
      </c>
      <c r="C529" s="390">
        <f>C528*Formulas!$H37</f>
        <v>0</v>
      </c>
      <c r="D529" s="390">
        <f>D528*Formulas!$H37</f>
        <v>0</v>
      </c>
      <c r="E529" s="390">
        <f>E528*Formulas!$H37</f>
        <v>0</v>
      </c>
      <c r="F529" s="390">
        <f>F528*Formulas!$H37</f>
        <v>0</v>
      </c>
      <c r="G529" s="390">
        <f>G528*Formulas!$H37</f>
        <v>0.456</v>
      </c>
      <c r="H529" s="390">
        <f>H528*Formulas!$H37</f>
        <v>0</v>
      </c>
      <c r="I529" s="390">
        <f>I528*Formulas!$H37</f>
        <v>0</v>
      </c>
      <c r="J529" s="390">
        <f>J528*Formulas!$H37</f>
        <v>0</v>
      </c>
      <c r="K529" s="390">
        <f>K528*Formulas!$H37</f>
        <v>0</v>
      </c>
      <c r="L529" s="390">
        <f>L528*Formulas!$H37</f>
        <v>0</v>
      </c>
      <c r="M529" s="390">
        <f>M528*Formulas!$H37</f>
        <v>0</v>
      </c>
      <c r="N529" s="390">
        <f>N528*Formulas!$H37</f>
        <v>0</v>
      </c>
      <c r="O529" s="390">
        <f>O528*Formulas!$H37</f>
        <v>0</v>
      </c>
      <c r="P529" s="390">
        <f>P528*Formulas!$H37</f>
        <v>0</v>
      </c>
      <c r="Q529" s="390">
        <f>Q528*Formulas!$H37</f>
        <v>0</v>
      </c>
      <c r="R529" s="390">
        <f>R528*Formulas!$H37</f>
        <v>0.456</v>
      </c>
      <c r="S529" s="390">
        <f>S528*Formulas!$H37</f>
        <v>0</v>
      </c>
      <c r="T529" s="390">
        <f>T528*Formulas!$H37</f>
        <v>0</v>
      </c>
      <c r="U529" s="390">
        <f>U528*Formulas!$H37</f>
        <v>0</v>
      </c>
      <c r="V529" s="390">
        <f>V528*Formulas!$H37</f>
        <v>0</v>
      </c>
      <c r="W529" s="390">
        <f>W528*Formulas!$H37</f>
        <v>0</v>
      </c>
      <c r="X529" s="390">
        <f>X528*Formulas!$H37</f>
        <v>0</v>
      </c>
      <c r="Y529" s="390">
        <f>Y528*Formulas!$H37</f>
        <v>0</v>
      </c>
      <c r="Z529" s="390">
        <f>Z528*Formulas!$H37</f>
        <v>0</v>
      </c>
      <c r="AA529" s="390">
        <f>AA528*Formulas!$H37</f>
        <v>0</v>
      </c>
      <c r="AB529" s="390">
        <f>AB528*Formulas!$H37</f>
        <v>0</v>
      </c>
      <c r="AC529" s="390">
        <f>AC528*Formulas!$H37</f>
        <v>0</v>
      </c>
      <c r="AD529" s="390">
        <f>AD528*Formulas!$H37</f>
        <v>0</v>
      </c>
      <c r="AE529" s="390">
        <f>AE528*Formulas!$H37</f>
        <v>0</v>
      </c>
      <c r="AF529" s="390">
        <f>AF528*Formulas!$H37</f>
        <v>0</v>
      </c>
      <c r="AG529" s="511">
        <f t="shared" si="202"/>
        <v>0.912</v>
      </c>
    </row>
    <row r="530" hidden="1">
      <c r="A530" s="26" t="s">
        <v>2402</v>
      </c>
      <c r="B530" s="390">
        <f>B528*Formulas!$H36</f>
        <v>0</v>
      </c>
      <c r="C530" s="390">
        <f>C528*Formulas!$H36</f>
        <v>0</v>
      </c>
      <c r="D530" s="390">
        <f>D528*Formulas!$H36</f>
        <v>0</v>
      </c>
      <c r="E530" s="390">
        <f>E528*Formulas!$H36</f>
        <v>0</v>
      </c>
      <c r="F530" s="390">
        <f>F528*Formulas!$H36</f>
        <v>0</v>
      </c>
      <c r="G530" s="390">
        <f>G528*Formulas!$H36</f>
        <v>0.20672</v>
      </c>
      <c r="H530" s="390">
        <f>H528*Formulas!$H36</f>
        <v>0</v>
      </c>
      <c r="I530" s="390">
        <f>I528*Formulas!$H36</f>
        <v>0</v>
      </c>
      <c r="J530" s="390">
        <f>J528*Formulas!$H36</f>
        <v>0</v>
      </c>
      <c r="K530" s="390">
        <f>K528*Formulas!$H36</f>
        <v>0</v>
      </c>
      <c r="L530" s="390">
        <f>L528*Formulas!$H36</f>
        <v>0</v>
      </c>
      <c r="M530" s="390">
        <f>M528*Formulas!$H36</f>
        <v>0</v>
      </c>
      <c r="N530" s="390">
        <f>N528*Formulas!$H36</f>
        <v>0</v>
      </c>
      <c r="O530" s="390">
        <f>O528*Formulas!$H36</f>
        <v>0</v>
      </c>
      <c r="P530" s="390">
        <f>P528*Formulas!$H36</f>
        <v>0</v>
      </c>
      <c r="Q530" s="390">
        <f>Q528*Formulas!$H36</f>
        <v>0</v>
      </c>
      <c r="R530" s="390">
        <f>R528*Formulas!$H36</f>
        <v>0.20672</v>
      </c>
      <c r="S530" s="390">
        <f>S528*Formulas!$H36</f>
        <v>0</v>
      </c>
      <c r="T530" s="390">
        <f>T528*Formulas!$H36</f>
        <v>0</v>
      </c>
      <c r="U530" s="390">
        <f>U528*Formulas!$H36</f>
        <v>0</v>
      </c>
      <c r="V530" s="390">
        <f>V528*Formulas!$H36</f>
        <v>0</v>
      </c>
      <c r="W530" s="390">
        <f>W528*Formulas!$H36</f>
        <v>0</v>
      </c>
      <c r="X530" s="390">
        <f>X528*Formulas!$H36</f>
        <v>0</v>
      </c>
      <c r="Y530" s="390">
        <f>Y528*Formulas!$H36</f>
        <v>0</v>
      </c>
      <c r="Z530" s="390">
        <f>Z528*Formulas!$H36</f>
        <v>0</v>
      </c>
      <c r="AA530" s="390">
        <f>AA528*Formulas!$H36</f>
        <v>0</v>
      </c>
      <c r="AB530" s="390">
        <f>AB528*Formulas!$H36</f>
        <v>0</v>
      </c>
      <c r="AC530" s="390">
        <f>AC528*Formulas!$H36</f>
        <v>0</v>
      </c>
      <c r="AD530" s="390">
        <f>AD528*Formulas!$H36</f>
        <v>0</v>
      </c>
      <c r="AE530" s="390">
        <f>AE528*Formulas!$H36</f>
        <v>0</v>
      </c>
      <c r="AF530" s="390">
        <f>AF528*Formulas!$H36</f>
        <v>0</v>
      </c>
      <c r="AG530" s="511">
        <f t="shared" si="202"/>
        <v>0.41344</v>
      </c>
    </row>
    <row r="531" hidden="1">
      <c r="A531" s="510" t="s">
        <v>2409</v>
      </c>
      <c r="B531" s="390">
        <f>(B415+B422+B429)*Formulas!$H6</f>
        <v>0</v>
      </c>
      <c r="C531" s="390">
        <f>(C415+C422+C429)*Formulas!$H6</f>
        <v>0</v>
      </c>
      <c r="D531" s="390">
        <f>(D415+D422+D429)*Formulas!$H6</f>
        <v>39.92</v>
      </c>
      <c r="E531" s="390">
        <f>(E415+E422+E429)*Formulas!$H6</f>
        <v>0</v>
      </c>
      <c r="F531" s="390">
        <f>(F415+F422+F429)*Formulas!$H6</f>
        <v>0</v>
      </c>
      <c r="G531" s="390">
        <f>(G415+G422+G429)*Formulas!$H6</f>
        <v>149.7</v>
      </c>
      <c r="H531" s="390">
        <f>(H415+H422+H429)*Formulas!$H6</f>
        <v>0</v>
      </c>
      <c r="I531" s="390">
        <f>(I415+I422+I429)*Formulas!$H6</f>
        <v>29.94</v>
      </c>
      <c r="J531" s="390">
        <f>(J415+J422+J429)*Formulas!$H6</f>
        <v>0</v>
      </c>
      <c r="K531" s="390">
        <f>(K415+K422+K429)*Formulas!$H6</f>
        <v>0</v>
      </c>
      <c r="L531" s="390">
        <f>(L415+L422+L429)*Formulas!$H6</f>
        <v>0</v>
      </c>
      <c r="M531" s="390">
        <f>(M415+M422+M429)*Formulas!$H6</f>
        <v>0</v>
      </c>
      <c r="N531" s="390">
        <f>(N415+N422+N429)*Formulas!$H6</f>
        <v>0</v>
      </c>
      <c r="O531" s="390">
        <f>(O415+O422+O429)*Formulas!$H6</f>
        <v>0</v>
      </c>
      <c r="P531" s="390">
        <f>(P415+P422+P429)*Formulas!$H6</f>
        <v>0</v>
      </c>
      <c r="Q531" s="390">
        <f>(Q415+Q422+Q429)*Formulas!$H6</f>
        <v>0</v>
      </c>
      <c r="R531" s="390">
        <f>(R415+R422+R429)*Formulas!$H6</f>
        <v>139.72</v>
      </c>
      <c r="S531" s="390">
        <f>(S415+S422+S429)*Formulas!$H6</f>
        <v>0</v>
      </c>
      <c r="T531" s="390">
        <f>(T415+T422+T429)*Formulas!$H6</f>
        <v>0</v>
      </c>
      <c r="U531" s="390">
        <f>(U415+U422+U429)*Formulas!$H6</f>
        <v>0</v>
      </c>
      <c r="V531" s="390">
        <f>(V415+V422+V429)*Formulas!$H6</f>
        <v>0</v>
      </c>
      <c r="W531" s="390">
        <f>(W415+W422+W429)*Formulas!$H6</f>
        <v>0</v>
      </c>
      <c r="X531" s="390">
        <f>(X415+X422+X429)*Formulas!$H6</f>
        <v>0</v>
      </c>
      <c r="Y531" s="390">
        <f>(Y415+Y422+Y429)*Formulas!$H6</f>
        <v>239.52</v>
      </c>
      <c r="Z531" s="390">
        <f>(Z415+Z422+Z429)*Formulas!$H6</f>
        <v>0</v>
      </c>
      <c r="AA531" s="390">
        <f>(AA415+AA422+AA429)*Formulas!$H6</f>
        <v>0</v>
      </c>
      <c r="AB531" s="390">
        <f>(AB415+AB422+AB429)*Formulas!$H6</f>
        <v>0</v>
      </c>
      <c r="AC531" s="390">
        <f>(AC415+AC422+AC429)*Formulas!$H6</f>
        <v>0</v>
      </c>
      <c r="AD531" s="390">
        <f>(AD415+AD422+AD429)*Formulas!$H6</f>
        <v>0</v>
      </c>
      <c r="AE531" s="390">
        <f>(AE415+AE422+AE429)*Formulas!$H6</f>
        <v>0</v>
      </c>
      <c r="AF531" s="390">
        <f>(AF415+AF422+AF429)*Formulas!$H6</f>
        <v>459.08</v>
      </c>
      <c r="AG531" s="511">
        <f t="shared" si="202"/>
        <v>1057.88</v>
      </c>
    </row>
    <row r="532" hidden="1">
      <c r="A532" s="26" t="s">
        <v>2419</v>
      </c>
      <c r="B532" s="390">
        <f>B531*Formulas!$H40</f>
        <v>0</v>
      </c>
      <c r="C532" s="390">
        <f>C531*Formulas!$H40</f>
        <v>0</v>
      </c>
      <c r="D532" s="390">
        <f>D531*Formulas!$H40</f>
        <v>9.98</v>
      </c>
      <c r="E532" s="390">
        <f>E531*Formulas!$H40</f>
        <v>0</v>
      </c>
      <c r="F532" s="390">
        <f>F531*Formulas!$H40</f>
        <v>0</v>
      </c>
      <c r="G532" s="390">
        <f>G531*Formulas!$H40</f>
        <v>37.425</v>
      </c>
      <c r="H532" s="390">
        <f>H531*Formulas!$H40</f>
        <v>0</v>
      </c>
      <c r="I532" s="390">
        <f>I531*Formulas!$H40</f>
        <v>7.485</v>
      </c>
      <c r="J532" s="390">
        <f>J531*Formulas!$H40</f>
        <v>0</v>
      </c>
      <c r="K532" s="390">
        <f>K531*Formulas!$H40</f>
        <v>0</v>
      </c>
      <c r="L532" s="390">
        <f>L531*Formulas!$H40</f>
        <v>0</v>
      </c>
      <c r="M532" s="390">
        <f>M531*Formulas!$H40</f>
        <v>0</v>
      </c>
      <c r="N532" s="390">
        <f>N531*Formulas!$H40</f>
        <v>0</v>
      </c>
      <c r="O532" s="390">
        <f>O531*Formulas!$H40</f>
        <v>0</v>
      </c>
      <c r="P532" s="390">
        <f>P531*Formulas!$H40</f>
        <v>0</v>
      </c>
      <c r="Q532" s="390">
        <f>Q531*Formulas!$H40</f>
        <v>0</v>
      </c>
      <c r="R532" s="390">
        <f>R531*Formulas!$H40</f>
        <v>34.93</v>
      </c>
      <c r="S532" s="390">
        <f>S531*Formulas!$H40</f>
        <v>0</v>
      </c>
      <c r="T532" s="390">
        <f>T531*Formulas!$H40</f>
        <v>0</v>
      </c>
      <c r="U532" s="390">
        <f>U531*Formulas!$H40</f>
        <v>0</v>
      </c>
      <c r="V532" s="390">
        <f>V531*Formulas!$H40</f>
        <v>0</v>
      </c>
      <c r="W532" s="390">
        <f>W531*Formulas!$H40</f>
        <v>0</v>
      </c>
      <c r="X532" s="390">
        <f>X531*Formulas!$H40</f>
        <v>0</v>
      </c>
      <c r="Y532" s="390">
        <f>Y531*Formulas!$H40</f>
        <v>59.88</v>
      </c>
      <c r="Z532" s="390">
        <f>Z531*Formulas!$H40</f>
        <v>0</v>
      </c>
      <c r="AA532" s="390">
        <f>AA531*Formulas!$H40</f>
        <v>0</v>
      </c>
      <c r="AB532" s="390">
        <f>AB531*Formulas!$H40</f>
        <v>0</v>
      </c>
      <c r="AC532" s="390">
        <f>AC531*Formulas!$H40</f>
        <v>0</v>
      </c>
      <c r="AD532" s="390">
        <f>AD531*Formulas!$H40</f>
        <v>0</v>
      </c>
      <c r="AE532" s="390">
        <f>AE531*Formulas!$H40</f>
        <v>0</v>
      </c>
      <c r="AF532" s="390">
        <f>AF531*Formulas!$H40</f>
        <v>114.77</v>
      </c>
      <c r="AG532" s="511">
        <f t="shared" si="202"/>
        <v>264.47</v>
      </c>
    </row>
    <row r="533" hidden="1">
      <c r="A533" s="26" t="s">
        <v>2426</v>
      </c>
      <c r="B533" s="390">
        <f>B531*Formulas!$H41</f>
        <v>0</v>
      </c>
      <c r="C533" s="390">
        <f>C531*Formulas!$H41</f>
        <v>0</v>
      </c>
      <c r="D533" s="390">
        <f>D531*Formulas!$H41</f>
        <v>0.998</v>
      </c>
      <c r="E533" s="390">
        <f>E531*Formulas!$H41</f>
        <v>0</v>
      </c>
      <c r="F533" s="390">
        <f>F531*Formulas!$H41</f>
        <v>0</v>
      </c>
      <c r="G533" s="390">
        <f>G531*Formulas!$H41</f>
        <v>3.7425</v>
      </c>
      <c r="H533" s="390">
        <f>H531*Formulas!$H41</f>
        <v>0</v>
      </c>
      <c r="I533" s="390">
        <f>I531*Formulas!$H41</f>
        <v>0.7485</v>
      </c>
      <c r="J533" s="390">
        <f>J531*Formulas!$H41</f>
        <v>0</v>
      </c>
      <c r="K533" s="390">
        <f>K531*Formulas!$H41</f>
        <v>0</v>
      </c>
      <c r="L533" s="390">
        <f>L531*Formulas!$H41</f>
        <v>0</v>
      </c>
      <c r="M533" s="390">
        <f>M531*Formulas!$H41</f>
        <v>0</v>
      </c>
      <c r="N533" s="390">
        <f>N531*Formulas!$H41</f>
        <v>0</v>
      </c>
      <c r="O533" s="390">
        <f>O531*Formulas!$H41</f>
        <v>0</v>
      </c>
      <c r="P533" s="390">
        <f>P531*Formulas!$H41</f>
        <v>0</v>
      </c>
      <c r="Q533" s="390">
        <f>Q531*Formulas!$H41</f>
        <v>0</v>
      </c>
      <c r="R533" s="390">
        <f>R531*Formulas!$H41</f>
        <v>3.493</v>
      </c>
      <c r="S533" s="390">
        <f>S531*Formulas!$H41</f>
        <v>0</v>
      </c>
      <c r="T533" s="390">
        <f>T531*Formulas!$H41</f>
        <v>0</v>
      </c>
      <c r="U533" s="390">
        <f>U531*Formulas!$H41</f>
        <v>0</v>
      </c>
      <c r="V533" s="390">
        <f>V531*Formulas!$H41</f>
        <v>0</v>
      </c>
      <c r="W533" s="390">
        <f>W531*Formulas!$H41</f>
        <v>0</v>
      </c>
      <c r="X533" s="390">
        <f>X531*Formulas!$H41</f>
        <v>0</v>
      </c>
      <c r="Y533" s="390">
        <f>Y531*Formulas!$H41</f>
        <v>5.988</v>
      </c>
      <c r="Z533" s="390">
        <f>Z531*Formulas!$H41</f>
        <v>0</v>
      </c>
      <c r="AA533" s="390">
        <f>AA531*Formulas!$H41</f>
        <v>0</v>
      </c>
      <c r="AB533" s="390">
        <f>AB531*Formulas!$H41</f>
        <v>0</v>
      </c>
      <c r="AC533" s="390">
        <f>AC531*Formulas!$H41</f>
        <v>0</v>
      </c>
      <c r="AD533" s="390">
        <f>AD531*Formulas!$H41</f>
        <v>0</v>
      </c>
      <c r="AE533" s="390">
        <f>AE531*Formulas!$H41</f>
        <v>0</v>
      </c>
      <c r="AF533" s="390">
        <f>AF531*Formulas!$H41</f>
        <v>11.477</v>
      </c>
      <c r="AG533" s="511">
        <f t="shared" si="202"/>
        <v>26.447</v>
      </c>
    </row>
    <row r="534" hidden="1">
      <c r="A534" s="26" t="s">
        <v>2443</v>
      </c>
      <c r="B534" s="390">
        <f>(B515+B517+B519+B522+B525+B528+B531)*Formulas!$H38</f>
        <v>0</v>
      </c>
      <c r="C534" s="390">
        <f>(C515+C517+C519+C522+C525+C528+C531)*Formulas!$H38</f>
        <v>0</v>
      </c>
      <c r="D534" s="390">
        <f>(D515+D517+D519+D522+D525+D528+D531)*Formulas!$H38</f>
        <v>1.8144875</v>
      </c>
      <c r="E534" s="390">
        <f>(E515+E517+E519+E522+E525+E528+E531)*Formulas!$H38</f>
        <v>1.4106</v>
      </c>
      <c r="F534" s="390">
        <f>(F515+F517+F519+F522+F525+F528+F531)*Formulas!$H38</f>
        <v>0</v>
      </c>
      <c r="G534" s="390">
        <f>(G515+G517+G519+G522+G525+G528+G531)*Formulas!$H38</f>
        <v>1.429</v>
      </c>
      <c r="H534" s="390">
        <f>(H515+H517+H519+H522+H525+H528+H531)*Formulas!$H38</f>
        <v>0</v>
      </c>
      <c r="I534" s="390">
        <f>(I515+I517+I519+I522+I525+I528+I531)*Formulas!$H38</f>
        <v>1.8888375</v>
      </c>
      <c r="J534" s="390">
        <f>(J515+J517+J519+J522+J525+J528+J531)*Formulas!$H38</f>
        <v>0</v>
      </c>
      <c r="K534" s="390">
        <f>(K515+K517+K519+K522+K525+K528+K531)*Formulas!$H38</f>
        <v>0</v>
      </c>
      <c r="L534" s="390">
        <f>(L515+L517+L519+L522+L525+L528+L531)*Formulas!$H38</f>
        <v>0</v>
      </c>
      <c r="M534" s="390">
        <f>(M515+M517+M519+M522+M525+M528+M531)*Formulas!$H38</f>
        <v>0</v>
      </c>
      <c r="N534" s="390">
        <f>(N515+N517+N519+N522+N525+N528+N531)*Formulas!$H38</f>
        <v>0</v>
      </c>
      <c r="O534" s="390">
        <f>(O515+O517+O519+O522+O525+O528+O531)*Formulas!$H38</f>
        <v>0</v>
      </c>
      <c r="P534" s="390">
        <f>(P515+P517+P519+P522+P525+P528+P531)*Formulas!$H38</f>
        <v>0</v>
      </c>
      <c r="Q534" s="390">
        <f>(Q515+Q517+Q519+Q522+Q525+Q528+Q531)*Formulas!$H38</f>
        <v>0</v>
      </c>
      <c r="R534" s="390">
        <f>(R515+R517+R519+R522+R525+R528+R531)*Formulas!$H38</f>
        <v>4.3258875</v>
      </c>
      <c r="S534" s="390">
        <f>(S515+S517+S519+S522+S525+S528+S531)*Formulas!$H38</f>
        <v>0</v>
      </c>
      <c r="T534" s="390">
        <f>(T515+T517+T519+T522+T525+T528+T531)*Formulas!$H38</f>
        <v>0</v>
      </c>
      <c r="U534" s="390">
        <f>(U515+U517+U519+U522+U525+U528+U531)*Formulas!$H38</f>
        <v>0</v>
      </c>
      <c r="V534" s="390">
        <f>(V515+V517+V519+V522+V525+V528+V531)*Formulas!$H38</f>
        <v>0</v>
      </c>
      <c r="W534" s="390">
        <f>(W515+W517+W519+W522+W525+W528+W531)*Formulas!$H38</f>
        <v>0</v>
      </c>
      <c r="X534" s="390">
        <f>(X515+X517+X519+X522+X525+X528+X531)*Formulas!$H38</f>
        <v>0</v>
      </c>
      <c r="Y534" s="390">
        <f>(Y515+Y517+Y519+Y522+Y525+Y528+Y531)*Formulas!$H38</f>
        <v>5.9431375</v>
      </c>
      <c r="Z534" s="390">
        <f>(Z515+Z517+Z519+Z522+Z525+Z528+Z531)*Formulas!$H38</f>
        <v>0</v>
      </c>
      <c r="AA534" s="390">
        <f>(AA515+AA517+AA519+AA522+AA525+AA528+AA531)*Formulas!$H38</f>
        <v>0</v>
      </c>
      <c r="AB534" s="390">
        <f>(AB515+AB517+AB519+AB522+AB525+AB528+AB531)*Formulas!$H38</f>
        <v>0</v>
      </c>
      <c r="AC534" s="390">
        <f>(AC515+AC517+AC519+AC522+AC525+AC528+AC531)*Formulas!$H38</f>
        <v>0</v>
      </c>
      <c r="AD534" s="390">
        <f>(AD515+AD517+AD519+AD522+AD525+AD528+AD531)*Formulas!$H38</f>
        <v>0</v>
      </c>
      <c r="AE534" s="390">
        <f>(AE515+AE517+AE519+AE522+AE525+AE528+AE531)*Formulas!$H38</f>
        <v>0</v>
      </c>
      <c r="AF534" s="390">
        <f>(AF515+AF517+AF519+AF522+AF525+AF528+AF531)*Formulas!$H38</f>
        <v>10.8020375</v>
      </c>
      <c r="AG534" s="511">
        <f t="shared" si="202"/>
        <v>27.6139875</v>
      </c>
    </row>
    <row r="535" hidden="1">
      <c r="A535" s="26" t="s">
        <v>2464</v>
      </c>
      <c r="B535" s="390">
        <f>((B402+B403)*Formulas!$H13)+((B404+B405)*Formulas!$H14)+((B406+B407)*Formulas!$H15)</f>
        <v>0</v>
      </c>
      <c r="C535" s="390">
        <f>((C402+C403)*Formulas!$H13)+((C404+C405)*Formulas!$H14)+((C406+C407)*Formulas!$H15)</f>
        <v>0</v>
      </c>
      <c r="D535" s="390">
        <f>((D402+D403)*Formulas!$H13)+((D404+D405)*Formulas!$H14)+((D406+D407)*Formulas!$H15)</f>
        <v>368.6</v>
      </c>
      <c r="E535" s="390">
        <f>((E402+E403)*Formulas!$H13)+((E404+E405)*Formulas!$H14)+((E406+E407)*Formulas!$H15)</f>
        <v>294.88</v>
      </c>
      <c r="F535" s="390">
        <f>((F402+F403)*Formulas!$H13)+((F404+F405)*Formulas!$H14)+((F406+F407)*Formulas!$H15)</f>
        <v>0</v>
      </c>
      <c r="G535" s="390">
        <f>((G402+G403)*Formulas!$H13)+((G404+G405)*Formulas!$H14)+((G406+G407)*Formulas!$H15)</f>
        <v>249.59</v>
      </c>
      <c r="H535" s="390">
        <f>((H402+H403)*Formulas!$H13)+((H404+H405)*Formulas!$H14)+((H406+H407)*Formulas!$H15)</f>
        <v>0</v>
      </c>
      <c r="I535" s="390">
        <f>((I402+I403)*Formulas!$H13)+((I404+I405)*Formulas!$H14)+((I406+I407)*Formulas!$H15)</f>
        <v>387.03</v>
      </c>
      <c r="J535" s="390">
        <f>((J402+J403)*Formulas!$H13)+((J404+J405)*Formulas!$H14)+((J406+J407)*Formulas!$H15)</f>
        <v>0</v>
      </c>
      <c r="K535" s="390">
        <f>((K402+K403)*Formulas!$H13)+((K404+K405)*Formulas!$H14)+((K406+K407)*Formulas!$H15)</f>
        <v>0</v>
      </c>
      <c r="L535" s="390">
        <f>((L402+L403)*Formulas!$H13)+((L404+L405)*Formulas!$H14)+((L406+L407)*Formulas!$H15)</f>
        <v>0</v>
      </c>
      <c r="M535" s="390">
        <f>((M402+M403)*Formulas!$H13)+((M404+M405)*Formulas!$H14)+((M406+M407)*Formulas!$H15)</f>
        <v>0</v>
      </c>
      <c r="N535" s="390">
        <f>((N402+N403)*Formulas!$H13)+((N404+N405)*Formulas!$H14)+((N406+N407)*Formulas!$H15)</f>
        <v>0</v>
      </c>
      <c r="O535" s="390">
        <f>((O402+O403)*Formulas!$H13)+((O404+O405)*Formulas!$H14)+((O406+O407)*Formulas!$H15)</f>
        <v>0</v>
      </c>
      <c r="P535" s="390">
        <f>((P402+P403)*Formulas!$H13)+((P404+P405)*Formulas!$H14)+((P406+P407)*Formulas!$H15)</f>
        <v>0</v>
      </c>
      <c r="Q535" s="390">
        <f>((Q402+Q403)*Formulas!$H13)+((Q404+Q405)*Formulas!$H14)+((Q406+Q407)*Formulas!$H15)</f>
        <v>0</v>
      </c>
      <c r="R535" s="390">
        <f>((R402+R403)*Formulas!$H13)+((R404+R405)*Formulas!$H14)+((R406+R407)*Formulas!$H15)</f>
        <v>866.21</v>
      </c>
      <c r="S535" s="390">
        <f>((S402+S403)*Formulas!$H13)+((S404+S405)*Formulas!$H14)+((S406+S407)*Formulas!$H15)</f>
        <v>0</v>
      </c>
      <c r="T535" s="390">
        <f>((T402+T403)*Formulas!$H13)+((T404+T405)*Formulas!$H14)+((T406+T407)*Formulas!$H15)</f>
        <v>0</v>
      </c>
      <c r="U535" s="390">
        <f>((U402+U403)*Formulas!$H13)+((U404+U405)*Formulas!$H14)+((U406+U407)*Formulas!$H15)</f>
        <v>0</v>
      </c>
      <c r="V535" s="390">
        <f>((V402+V403)*Formulas!$H13)+((V404+V405)*Formulas!$H14)+((V406+V407)*Formulas!$H15)</f>
        <v>0</v>
      </c>
      <c r="W535" s="390">
        <f>((W402+W403)*Formulas!$H13)+((W404+W405)*Formulas!$H14)+((W406+W407)*Formulas!$H15)</f>
        <v>0</v>
      </c>
      <c r="X535" s="390">
        <f>((X402+X403)*Formulas!$H13)+((X404+X405)*Formulas!$H14)+((X406+X407)*Formulas!$H15)</f>
        <v>0</v>
      </c>
      <c r="Y535" s="390">
        <f>((Y402+Y403)*Formulas!$H13)+((Y404+Y405)*Formulas!$H14)+((Y406+Y407)*Formulas!$H15)</f>
        <v>1179.52</v>
      </c>
      <c r="Z535" s="390">
        <f>((Z402+Z403)*Formulas!$H13)+((Z404+Z405)*Formulas!$H14)+((Z406+Z407)*Formulas!$H15)</f>
        <v>0</v>
      </c>
      <c r="AA535" s="390">
        <f>((AA402+AA403)*Formulas!$H13)+((AA404+AA405)*Formulas!$H14)+((AA406+AA407)*Formulas!$H15)</f>
        <v>0</v>
      </c>
      <c r="AB535" s="390">
        <f>((AB402+AB403)*Formulas!$H13)+((AB404+AB405)*Formulas!$H14)+((AB406+AB407)*Formulas!$H15)</f>
        <v>0</v>
      </c>
      <c r="AC535" s="390">
        <f>((AC402+AC403)*Formulas!$H13)+((AC404+AC405)*Formulas!$H14)+((AC406+AC407)*Formulas!$H15)</f>
        <v>0</v>
      </c>
      <c r="AD535" s="390">
        <f>((AD402+AD403)*Formulas!$H13)+((AD404+AD405)*Formulas!$H14)+((AD406+AD407)*Formulas!$H15)</f>
        <v>0</v>
      </c>
      <c r="AE535" s="390">
        <f>((AE402+AE403)*Formulas!$H13)+((AE404+AE405)*Formulas!$H14)+((AE406+AE407)*Formulas!$H15)</f>
        <v>0</v>
      </c>
      <c r="AF535" s="390">
        <f>((AF402+AF403)*Formulas!$H13)+((AF404+AF405)*Formulas!$H14)+((AF406+AF407)*Formulas!$H15)</f>
        <v>2137.88</v>
      </c>
      <c r="AG535" s="511">
        <f t="shared" si="202"/>
        <v>5483.71</v>
      </c>
    </row>
    <row r="536" hidden="1">
      <c r="A536" s="26" t="s">
        <v>2490</v>
      </c>
      <c r="B536" s="390">
        <f>((B402+B403)*Formulas!$H16)+((B404+B405)*Formulas!$H17)+((B406+B407)*Formulas!$H18)</f>
        <v>0</v>
      </c>
      <c r="C536" s="390">
        <f>((C402+C403)*Formulas!$H16)+((C404+C405)*Formulas!$H17)+((C406+C407)*Formulas!$H18)</f>
        <v>0</v>
      </c>
      <c r="D536" s="390">
        <f>((D402+D403)*Formulas!$H16)+((D404+D405)*Formulas!$H17)+((D406+D407)*Formulas!$H18)</f>
        <v>231.8</v>
      </c>
      <c r="E536" s="390">
        <f>((E402+E403)*Formulas!$H16)+((E404+E405)*Formulas!$H17)+((E406+E407)*Formulas!$H18)</f>
        <v>185.44</v>
      </c>
      <c r="F536" s="390">
        <f>((F402+F403)*Formulas!$H16)+((F404+F405)*Formulas!$H17)+((F406+F407)*Formulas!$H18)</f>
        <v>0</v>
      </c>
      <c r="G536" s="390">
        <f>((G402+G403)*Formulas!$H16)+((G404+G405)*Formulas!$H17)+((G406+G407)*Formulas!$H18)</f>
        <v>170.67</v>
      </c>
      <c r="H536" s="390">
        <f>((H402+H403)*Formulas!$H16)+((H404+H405)*Formulas!$H17)+((H406+H407)*Formulas!$H18)</f>
        <v>0</v>
      </c>
      <c r="I536" s="390">
        <f>((I402+I403)*Formulas!$H16)+((I404+I405)*Formulas!$H17)+((I406+I407)*Formulas!$H18)</f>
        <v>243.39</v>
      </c>
      <c r="J536" s="390">
        <f>((J402+J403)*Formulas!$H16)+((J404+J405)*Formulas!$H17)+((J406+J407)*Formulas!$H18)</f>
        <v>0</v>
      </c>
      <c r="K536" s="390">
        <f>((K402+K403)*Formulas!$H16)+((K404+K405)*Formulas!$H17)+((K406+K407)*Formulas!$H18)</f>
        <v>0</v>
      </c>
      <c r="L536" s="390">
        <f>((L402+L403)*Formulas!$H16)+((L404+L405)*Formulas!$H17)+((L406+L407)*Formulas!$H18)</f>
        <v>0</v>
      </c>
      <c r="M536" s="390">
        <f>((M402+M403)*Formulas!$H16)+((M404+M405)*Formulas!$H17)+((M406+M407)*Formulas!$H18)</f>
        <v>0</v>
      </c>
      <c r="N536" s="390">
        <f>((N402+N403)*Formulas!$H16)+((N404+N405)*Formulas!$H17)+((N406+N407)*Formulas!$H18)</f>
        <v>0</v>
      </c>
      <c r="O536" s="390">
        <f>((O402+O403)*Formulas!$H16)+((O404+O405)*Formulas!$H17)+((O406+O407)*Formulas!$H18)</f>
        <v>0</v>
      </c>
      <c r="P536" s="390">
        <f>((P402+P403)*Formulas!$H16)+((P404+P405)*Formulas!$H17)+((P406+P407)*Formulas!$H18)</f>
        <v>0</v>
      </c>
      <c r="Q536" s="390">
        <f>((Q402+Q403)*Formulas!$H16)+((Q404+Q405)*Formulas!$H17)+((Q406+Q407)*Formulas!$H18)</f>
        <v>0</v>
      </c>
      <c r="R536" s="390">
        <f>((R402+R403)*Formulas!$H16)+((R404+R405)*Formulas!$H17)+((R406+R407)*Formulas!$H18)</f>
        <v>544.73</v>
      </c>
      <c r="S536" s="390">
        <f>((S402+S403)*Formulas!$H16)+((S404+S405)*Formulas!$H17)+((S406+S407)*Formulas!$H18)</f>
        <v>0</v>
      </c>
      <c r="T536" s="390">
        <f>((T402+T403)*Formulas!$H16)+((T404+T405)*Formulas!$H17)+((T406+T407)*Formulas!$H18)</f>
        <v>0</v>
      </c>
      <c r="U536" s="390">
        <f>((U402+U403)*Formulas!$H16)+((U404+U405)*Formulas!$H17)+((U406+U407)*Formulas!$H18)</f>
        <v>0</v>
      </c>
      <c r="V536" s="390">
        <f>((V402+V403)*Formulas!$H16)+((V404+V405)*Formulas!$H17)+((V406+V407)*Formulas!$H18)</f>
        <v>0</v>
      </c>
      <c r="W536" s="390">
        <f>((W402+W403)*Formulas!$H16)+((W404+W405)*Formulas!$H17)+((W406+W407)*Formulas!$H18)</f>
        <v>0</v>
      </c>
      <c r="X536" s="390">
        <f>((X402+X403)*Formulas!$H16)+((X404+X405)*Formulas!$H17)+((X406+X407)*Formulas!$H18)</f>
        <v>0</v>
      </c>
      <c r="Y536" s="390">
        <f>((Y402+Y403)*Formulas!$H16)+((Y404+Y405)*Formulas!$H17)+((Y406+Y407)*Formulas!$H18)</f>
        <v>741.76</v>
      </c>
      <c r="Z536" s="390">
        <f>((Z402+Z403)*Formulas!$H16)+((Z404+Z405)*Formulas!$H17)+((Z406+Z407)*Formulas!$H18)</f>
        <v>0</v>
      </c>
      <c r="AA536" s="390">
        <f>((AA402+AA403)*Formulas!$H16)+((AA404+AA405)*Formulas!$H17)+((AA406+AA407)*Formulas!$H18)</f>
        <v>0</v>
      </c>
      <c r="AB536" s="390">
        <f>((AB402+AB403)*Formulas!$H16)+((AB404+AB405)*Formulas!$H17)+((AB406+AB407)*Formulas!$H18)</f>
        <v>0</v>
      </c>
      <c r="AC536" s="390">
        <f>((AC402+AC403)*Formulas!$H16)+((AC404+AC405)*Formulas!$H17)+((AC406+AC407)*Formulas!$H18)</f>
        <v>0</v>
      </c>
      <c r="AD536" s="390">
        <f>((AD402+AD403)*Formulas!$H16)+((AD404+AD405)*Formulas!$H17)+((AD406+AD407)*Formulas!$H18)</f>
        <v>0</v>
      </c>
      <c r="AE536" s="390">
        <f>((AE402+AE403)*Formulas!$H16)+((AE404+AE405)*Formulas!$H17)+((AE406+AE407)*Formulas!$H18)</f>
        <v>0</v>
      </c>
      <c r="AF536" s="390">
        <f>((AF402+AF403)*Formulas!$H16)+((AF404+AF405)*Formulas!$H17)+((AF406+AF407)*Formulas!$H18)</f>
        <v>1344.44</v>
      </c>
      <c r="AG536" s="511">
        <f t="shared" si="202"/>
        <v>3462.23</v>
      </c>
    </row>
    <row r="537" hidden="1">
      <c r="A537" s="26" t="s">
        <v>2509</v>
      </c>
      <c r="B537" s="390">
        <f>(B416*Formulas!$K13)+(B423*Formulas!$K14)+(B430*Formulas!$K15)</f>
        <v>0</v>
      </c>
      <c r="C537" s="390">
        <f>(C416*Formulas!$K13)+(C423*Formulas!$K14)+(C430*Formulas!$K15)</f>
        <v>0</v>
      </c>
      <c r="D537" s="390">
        <f>(D416*Formulas!$K13)+(D423*Formulas!$K14)+(D430*Formulas!$K15)</f>
        <v>6.1</v>
      </c>
      <c r="E537" s="390">
        <f>(E416*Formulas!$K13)+(E423*Formulas!$K14)+(E430*Formulas!$K15)</f>
        <v>0</v>
      </c>
      <c r="F537" s="390">
        <f>(F416*Formulas!$K13)+(F423*Formulas!$K14)+(F430*Formulas!$K15)</f>
        <v>0</v>
      </c>
      <c r="G537" s="390">
        <f>(G416*Formulas!$K13)+(G423*Formulas!$K14)+(G430*Formulas!$K15)</f>
        <v>18.3</v>
      </c>
      <c r="H537" s="390">
        <f>(H416*Formulas!$K13)+(H423*Formulas!$K14)+(H430*Formulas!$K15)</f>
        <v>0</v>
      </c>
      <c r="I537" s="390">
        <f>(I416*Formulas!$K13)+(I423*Formulas!$K14)+(I430*Formulas!$K15)</f>
        <v>3.66</v>
      </c>
      <c r="J537" s="390">
        <f>(J416*Formulas!$K13)+(J423*Formulas!$K14)+(J430*Formulas!$K15)</f>
        <v>0</v>
      </c>
      <c r="K537" s="390">
        <f>(K416*Formulas!$K13)+(K423*Formulas!$K14)+(K430*Formulas!$K15)</f>
        <v>0</v>
      </c>
      <c r="L537" s="390">
        <f>(L416*Formulas!$K13)+(L423*Formulas!$K14)+(L430*Formulas!$K15)</f>
        <v>0</v>
      </c>
      <c r="M537" s="390">
        <f>(M416*Formulas!$K13)+(M423*Formulas!$K14)+(M430*Formulas!$K15)</f>
        <v>0</v>
      </c>
      <c r="N537" s="390">
        <f>(N416*Formulas!$K13)+(N423*Formulas!$K14)+(N430*Formulas!$K15)</f>
        <v>0</v>
      </c>
      <c r="O537" s="390">
        <f>(O416*Formulas!$K13)+(O423*Formulas!$K14)+(O430*Formulas!$K15)</f>
        <v>0</v>
      </c>
      <c r="P537" s="390">
        <f>(P416*Formulas!$K13)+(P423*Formulas!$K14)+(P430*Formulas!$K15)</f>
        <v>0</v>
      </c>
      <c r="Q537" s="390">
        <f>(Q416*Formulas!$K13)+(Q423*Formulas!$K14)+(Q430*Formulas!$K15)</f>
        <v>0</v>
      </c>
      <c r="R537" s="390">
        <f>(R416*Formulas!$K13)+(R423*Formulas!$K14)+(R430*Formulas!$K15)</f>
        <v>18.3</v>
      </c>
      <c r="S537" s="390">
        <f>(S416*Formulas!$K13)+(S423*Formulas!$K14)+(S430*Formulas!$K15)</f>
        <v>0</v>
      </c>
      <c r="T537" s="390">
        <f>(T416*Formulas!$K13)+(T423*Formulas!$K14)+(T430*Formulas!$K15)</f>
        <v>0</v>
      </c>
      <c r="U537" s="390">
        <f>(U416*Formulas!$K13)+(U423*Formulas!$K14)+(U430*Formulas!$K15)</f>
        <v>0</v>
      </c>
      <c r="V537" s="390">
        <f>(V416*Formulas!$K13)+(V423*Formulas!$K14)+(V430*Formulas!$K15)</f>
        <v>0</v>
      </c>
      <c r="W537" s="390">
        <f>(W416*Formulas!$K13)+(W423*Formulas!$K14)+(W430*Formulas!$K15)</f>
        <v>0</v>
      </c>
      <c r="X537" s="390">
        <f>(X416*Formulas!$K13)+(X423*Formulas!$K14)+(X430*Formulas!$K15)</f>
        <v>0</v>
      </c>
      <c r="Y537" s="390">
        <f>(Y416*Formulas!$K13)+(Y423*Formulas!$K14)+(Y430*Formulas!$K15)</f>
        <v>30.5</v>
      </c>
      <c r="Z537" s="390">
        <f>(Z416*Formulas!$K13)+(Z423*Formulas!$K14)+(Z430*Formulas!$K15)</f>
        <v>0</v>
      </c>
      <c r="AA537" s="390">
        <f>(AA416*Formulas!$K13)+(AA423*Formulas!$K14)+(AA430*Formulas!$K15)</f>
        <v>0</v>
      </c>
      <c r="AB537" s="390">
        <f>(AB416*Formulas!$K13)+(AB423*Formulas!$K14)+(AB430*Formulas!$K15)</f>
        <v>0</v>
      </c>
      <c r="AC537" s="390">
        <f>(AC416*Formulas!$K13)+(AC423*Formulas!$K14)+(AC430*Formulas!$K15)</f>
        <v>0</v>
      </c>
      <c r="AD537" s="390">
        <f>(AD416*Formulas!$K13)+(AD423*Formulas!$K14)+(AD430*Formulas!$K15)</f>
        <v>0</v>
      </c>
      <c r="AE537" s="390">
        <f>(AE416*Formulas!$K13)+(AE423*Formulas!$K14)+(AE430*Formulas!$K15)</f>
        <v>0</v>
      </c>
      <c r="AF537" s="390">
        <f>(AF416*Formulas!$K13)+(AF423*Formulas!$K14)+(AF430*Formulas!$K15)</f>
        <v>57.34</v>
      </c>
      <c r="AG537" s="511">
        <f t="shared" si="202"/>
        <v>134.2</v>
      </c>
    </row>
    <row r="538" hidden="1">
      <c r="A538" s="26" t="s">
        <v>2525</v>
      </c>
      <c r="B538" s="390">
        <f>(B416*Formulas!$K16)+(B423*Formulas!$K17)+(B430*Formulas!$K18)</f>
        <v>0</v>
      </c>
      <c r="C538" s="390">
        <f>(C416*Formulas!$K16)+(C423*Formulas!$K17)+(C430*Formulas!$K18)</f>
        <v>0</v>
      </c>
      <c r="D538" s="390">
        <f>(D416*Formulas!$K16)+(D423*Formulas!$K17)+(D430*Formulas!$K18)</f>
        <v>0</v>
      </c>
      <c r="E538" s="390">
        <f>(E416*Formulas!$K16)+(E423*Formulas!$K17)+(E430*Formulas!$K18)</f>
        <v>0</v>
      </c>
      <c r="F538" s="390">
        <f>(F416*Formulas!$K16)+(F423*Formulas!$K17)+(F430*Formulas!$K18)</f>
        <v>0</v>
      </c>
      <c r="G538" s="390">
        <f>(G416*Formulas!$K16)+(G423*Formulas!$K17)+(G430*Formulas!$K18)</f>
        <v>0</v>
      </c>
      <c r="H538" s="390">
        <f>(H416*Formulas!$K16)+(H423*Formulas!$K17)+(H430*Formulas!$K18)</f>
        <v>0</v>
      </c>
      <c r="I538" s="390">
        <f>(I416*Formulas!$K16)+(I423*Formulas!$K17)+(I430*Formulas!$K18)</f>
        <v>0</v>
      </c>
      <c r="J538" s="390">
        <f>(J416*Formulas!$K16)+(J423*Formulas!$K17)+(J430*Formulas!$K18)</f>
        <v>0</v>
      </c>
      <c r="K538" s="390">
        <f>(K416*Formulas!$K16)+(K423*Formulas!$K17)+(K430*Formulas!$K18)</f>
        <v>0</v>
      </c>
      <c r="L538" s="390">
        <f>(L416*Formulas!$K16)+(L423*Formulas!$K17)+(L430*Formulas!$K18)</f>
        <v>0</v>
      </c>
      <c r="M538" s="390">
        <f>(M416*Formulas!$K16)+(M423*Formulas!$K17)+(M430*Formulas!$K18)</f>
        <v>0</v>
      </c>
      <c r="N538" s="390">
        <f>(N416*Formulas!$K16)+(N423*Formulas!$K17)+(N430*Formulas!$K18)</f>
        <v>0</v>
      </c>
      <c r="O538" s="390">
        <f>(O416*Formulas!$K16)+(O423*Formulas!$K17)+(O430*Formulas!$K18)</f>
        <v>0</v>
      </c>
      <c r="P538" s="390">
        <f>(P416*Formulas!$K16)+(P423*Formulas!$K17)+(P430*Formulas!$K18)</f>
        <v>0</v>
      </c>
      <c r="Q538" s="390">
        <f>(Q416*Formulas!$K16)+(Q423*Formulas!$K17)+(Q430*Formulas!$K18)</f>
        <v>0</v>
      </c>
      <c r="R538" s="390">
        <f>(R416*Formulas!$K16)+(R423*Formulas!$K17)+(R430*Formulas!$K18)</f>
        <v>0</v>
      </c>
      <c r="S538" s="390">
        <f>(S416*Formulas!$K16)+(S423*Formulas!$K17)+(S430*Formulas!$K18)</f>
        <v>0</v>
      </c>
      <c r="T538" s="390">
        <f>(T416*Formulas!$K16)+(T423*Formulas!$K17)+(T430*Formulas!$K18)</f>
        <v>0</v>
      </c>
      <c r="U538" s="390">
        <f>(U416*Formulas!$K16)+(U423*Formulas!$K17)+(U430*Formulas!$K18)</f>
        <v>0</v>
      </c>
      <c r="V538" s="390">
        <f>(V416*Formulas!$K16)+(V423*Formulas!$K17)+(V430*Formulas!$K18)</f>
        <v>0</v>
      </c>
      <c r="W538" s="390">
        <f>(W416*Formulas!$K16)+(W423*Formulas!$K17)+(W430*Formulas!$K18)</f>
        <v>0</v>
      </c>
      <c r="X538" s="390">
        <f>(X416*Formulas!$K16)+(X423*Formulas!$K17)+(X430*Formulas!$K18)</f>
        <v>0</v>
      </c>
      <c r="Y538" s="390">
        <f>(Y416*Formulas!$K16)+(Y423*Formulas!$K17)+(Y430*Formulas!$K18)</f>
        <v>0</v>
      </c>
      <c r="Z538" s="390">
        <f>(Z416*Formulas!$K16)+(Z423*Formulas!$K17)+(Z430*Formulas!$K18)</f>
        <v>0</v>
      </c>
      <c r="AA538" s="390">
        <f>(AA416*Formulas!$K16)+(AA423*Formulas!$K17)+(AA430*Formulas!$K18)</f>
        <v>0</v>
      </c>
      <c r="AB538" s="390">
        <f>(AB416*Formulas!$K16)+(AB423*Formulas!$K17)+(AB430*Formulas!$K18)</f>
        <v>0</v>
      </c>
      <c r="AC538" s="390">
        <f>(AC416*Formulas!$K16)+(AC423*Formulas!$K17)+(AC430*Formulas!$K18)</f>
        <v>0</v>
      </c>
      <c r="AD538" s="390">
        <f>(AD416*Formulas!$K16)+(AD423*Formulas!$K17)+(AD430*Formulas!$K18)</f>
        <v>0</v>
      </c>
      <c r="AE538" s="390">
        <f>(AE416*Formulas!$K16)+(AE423*Formulas!$K17)+(AE430*Formulas!$K18)</f>
        <v>0</v>
      </c>
      <c r="AF538" s="390">
        <f>(AF416*Formulas!$K16)+(AF423*Formulas!$K17)+(AF430*Formulas!$K18)</f>
        <v>0</v>
      </c>
      <c r="AG538" s="511">
        <f t="shared" si="202"/>
        <v>0</v>
      </c>
    </row>
    <row r="539" hidden="1">
      <c r="A539" s="26" t="s">
        <v>2584</v>
      </c>
      <c r="B539" s="390">
        <f>(B408+B409)*Formulas!$K4</f>
        <v>0</v>
      </c>
      <c r="C539" s="390">
        <f>(C408+C409)*Formulas!$K4</f>
        <v>0</v>
      </c>
      <c r="D539" s="390">
        <f>(D408+D409)*Formulas!$K4</f>
        <v>30</v>
      </c>
      <c r="E539" s="390">
        <f>(E408+E409)*Formulas!$K4</f>
        <v>24</v>
      </c>
      <c r="F539" s="390">
        <f>(F408+F409)*Formulas!$K4</f>
        <v>0</v>
      </c>
      <c r="G539" s="390">
        <f>(G408+G409)*Formulas!$K4</f>
        <v>21</v>
      </c>
      <c r="H539" s="390">
        <f>(H408+H409)*Formulas!$K4</f>
        <v>0</v>
      </c>
      <c r="I539" s="390">
        <f>(I408+I409)*Formulas!$K4</f>
        <v>31.5</v>
      </c>
      <c r="J539" s="390">
        <f>(J408+J409)*Formulas!$K4</f>
        <v>0</v>
      </c>
      <c r="K539" s="390">
        <f>(K408+K409)*Formulas!$K4</f>
        <v>0</v>
      </c>
      <c r="L539" s="390">
        <f>(L408+L409)*Formulas!$K4</f>
        <v>0</v>
      </c>
      <c r="M539" s="390">
        <f>(M408+M409)*Formulas!$K4</f>
        <v>0</v>
      </c>
      <c r="N539" s="390">
        <f>(N408+N409)*Formulas!$K4</f>
        <v>0</v>
      </c>
      <c r="O539" s="390">
        <f>(O408+O409)*Formulas!$K4</f>
        <v>0</v>
      </c>
      <c r="P539" s="390">
        <f>(P408+P409)*Formulas!$K4</f>
        <v>0</v>
      </c>
      <c r="Q539" s="390">
        <f>(Q408+Q409)*Formulas!$K4</f>
        <v>0</v>
      </c>
      <c r="R539" s="390">
        <f>(R408+R409)*Formulas!$K4</f>
        <v>70.5</v>
      </c>
      <c r="S539" s="390">
        <f>(S408+S409)*Formulas!$K4</f>
        <v>0</v>
      </c>
      <c r="T539" s="390">
        <f>(T408+T409)*Formulas!$K4</f>
        <v>0</v>
      </c>
      <c r="U539" s="390">
        <f>(U408+U409)*Formulas!$K4</f>
        <v>0</v>
      </c>
      <c r="V539" s="390">
        <f>(V408+V409)*Formulas!$K4</f>
        <v>0</v>
      </c>
      <c r="W539" s="390">
        <f>(W408+W409)*Formulas!$K4</f>
        <v>0</v>
      </c>
      <c r="X539" s="390">
        <f>(X408+X409)*Formulas!$K4</f>
        <v>0</v>
      </c>
      <c r="Y539" s="390">
        <f>(Y408+Y409)*Formulas!$K4</f>
        <v>96</v>
      </c>
      <c r="Z539" s="390">
        <f>(Z408+Z409)*Formulas!$K4</f>
        <v>0</v>
      </c>
      <c r="AA539" s="390">
        <f>(AA408+AA409)*Formulas!$K4</f>
        <v>0</v>
      </c>
      <c r="AB539" s="390">
        <f>(AB408+AB409)*Formulas!$K4</f>
        <v>0</v>
      </c>
      <c r="AC539" s="390">
        <f>(AC408+AC409)*Formulas!$K4</f>
        <v>0</v>
      </c>
      <c r="AD539" s="390">
        <f>(AD408+AD409)*Formulas!$K4</f>
        <v>0</v>
      </c>
      <c r="AE539" s="390">
        <f>(AE408+AE409)*Formulas!$K4</f>
        <v>0</v>
      </c>
      <c r="AF539" s="390">
        <f>(AF408+AF409)*Formulas!$K4</f>
        <v>174</v>
      </c>
      <c r="AG539" s="511">
        <f t="shared" si="202"/>
        <v>447</v>
      </c>
    </row>
    <row r="540" hidden="1">
      <c r="A540" s="26" t="s">
        <v>2591</v>
      </c>
      <c r="B540" s="390">
        <f>Formulas!$K5*(B408+B409)</f>
        <v>0</v>
      </c>
      <c r="C540" s="390">
        <f>Formulas!$K5*(C408+C409)</f>
        <v>0</v>
      </c>
      <c r="D540" s="390">
        <f>Formulas!$K5*(D408+D409)</f>
        <v>6</v>
      </c>
      <c r="E540" s="390">
        <f>Formulas!$K5*(E408+E409)</f>
        <v>4.8</v>
      </c>
      <c r="F540" s="390">
        <f>Formulas!$K5*(F408+F409)</f>
        <v>0</v>
      </c>
      <c r="G540" s="390">
        <f>Formulas!$K5*(G408+G409)</f>
        <v>4.2</v>
      </c>
      <c r="H540" s="390">
        <f>Formulas!$K5*(H408+H409)</f>
        <v>0</v>
      </c>
      <c r="I540" s="390">
        <f>Formulas!$K5*(I408+I409)</f>
        <v>6.3</v>
      </c>
      <c r="J540" s="390">
        <f>Formulas!$K5*(J408+J409)</f>
        <v>0</v>
      </c>
      <c r="K540" s="390">
        <f>Formulas!$K5*(K408+K409)</f>
        <v>0</v>
      </c>
      <c r="L540" s="390">
        <f>Formulas!$K5*(L408+L409)</f>
        <v>0</v>
      </c>
      <c r="M540" s="390">
        <f>Formulas!$K5*(M408+M409)</f>
        <v>0</v>
      </c>
      <c r="N540" s="390">
        <f>Formulas!$K5*(N408+N409)</f>
        <v>0</v>
      </c>
      <c r="O540" s="390">
        <f>Formulas!$K5*(O408+O409)</f>
        <v>0</v>
      </c>
      <c r="P540" s="390">
        <f>Formulas!$K5*(P408+P409)</f>
        <v>0</v>
      </c>
      <c r="Q540" s="390">
        <f>Formulas!$K5*(Q408+Q409)</f>
        <v>0</v>
      </c>
      <c r="R540" s="390">
        <f>Formulas!$K5*(R408+R409)</f>
        <v>14.1</v>
      </c>
      <c r="S540" s="390">
        <f>Formulas!$K5*(S408+S409)</f>
        <v>0</v>
      </c>
      <c r="T540" s="390">
        <f>Formulas!$K5*(T408+T409)</f>
        <v>0</v>
      </c>
      <c r="U540" s="390">
        <f>Formulas!$K5*(U408+U409)</f>
        <v>0</v>
      </c>
      <c r="V540" s="390">
        <f>Formulas!$K5*(V408+V409)</f>
        <v>0</v>
      </c>
      <c r="W540" s="390">
        <f>Formulas!$K5*(W408+W409)</f>
        <v>0</v>
      </c>
      <c r="X540" s="390">
        <f>Formulas!$K5*(X408+X409)</f>
        <v>0</v>
      </c>
      <c r="Y540" s="390">
        <f>Formulas!$K5*(Y408+Y409)</f>
        <v>19.2</v>
      </c>
      <c r="Z540" s="390">
        <f>Formulas!$K5*(Z408+Z409)</f>
        <v>0</v>
      </c>
      <c r="AA540" s="390">
        <f>Formulas!$K5*(AA408+AA409)</f>
        <v>0</v>
      </c>
      <c r="AB540" s="390">
        <f>Formulas!$K5*(AB408+AB409)</f>
        <v>0</v>
      </c>
      <c r="AC540" s="390">
        <f>Formulas!$K5*(AC408+AC409)</f>
        <v>0</v>
      </c>
      <c r="AD540" s="390">
        <f>Formulas!$K5*(AD408+AD409)</f>
        <v>0</v>
      </c>
      <c r="AE540" s="390">
        <f>Formulas!$K5*(AE408+AE409)</f>
        <v>0</v>
      </c>
      <c r="AF540" s="390">
        <f>Formulas!$K5*(AF408+AF409)</f>
        <v>34.8</v>
      </c>
      <c r="AG540" s="511">
        <f t="shared" si="202"/>
        <v>89.4</v>
      </c>
    </row>
    <row r="541" hidden="1">
      <c r="A541" s="26" t="s">
        <v>2601</v>
      </c>
      <c r="B541" s="390">
        <f>Formulas!$K6*(B408+B409)</f>
        <v>0</v>
      </c>
      <c r="C541" s="390">
        <f>Formulas!$K6*(C408+C409)</f>
        <v>0</v>
      </c>
      <c r="D541" s="390">
        <f>Formulas!$K6*(D408+D409)</f>
        <v>6.2</v>
      </c>
      <c r="E541" s="390">
        <f>Formulas!$K6*(E408+E409)</f>
        <v>4.96</v>
      </c>
      <c r="F541" s="390">
        <f>Formulas!$K6*(F408+F409)</f>
        <v>0</v>
      </c>
      <c r="G541" s="390">
        <f>Formulas!$K6*(G408+G409)</f>
        <v>4.34</v>
      </c>
      <c r="H541" s="390">
        <f>Formulas!$K6*(H408+H409)</f>
        <v>0</v>
      </c>
      <c r="I541" s="390">
        <f>Formulas!$K6*(I408+I409)</f>
        <v>6.51</v>
      </c>
      <c r="J541" s="390">
        <f>Formulas!$K6*(J408+J409)</f>
        <v>0</v>
      </c>
      <c r="K541" s="390">
        <f>Formulas!$K6*(K408+K409)</f>
        <v>0</v>
      </c>
      <c r="L541" s="390">
        <f>Formulas!$K6*(L408+L409)</f>
        <v>0</v>
      </c>
      <c r="M541" s="390">
        <f>Formulas!$K6*(M408+M409)</f>
        <v>0</v>
      </c>
      <c r="N541" s="390">
        <f>Formulas!$K6*(N408+N409)</f>
        <v>0</v>
      </c>
      <c r="O541" s="390">
        <f>Formulas!$K6*(O408+O409)</f>
        <v>0</v>
      </c>
      <c r="P541" s="390">
        <f>Formulas!$K6*(P408+P409)</f>
        <v>0</v>
      </c>
      <c r="Q541" s="390">
        <f>Formulas!$K6*(Q408+Q409)</f>
        <v>0</v>
      </c>
      <c r="R541" s="390">
        <f>Formulas!$K6*(R408+R409)</f>
        <v>14.57</v>
      </c>
      <c r="S541" s="390">
        <f>Formulas!$K6*(S408+S409)</f>
        <v>0</v>
      </c>
      <c r="T541" s="390">
        <f>Formulas!$K6*(T408+T409)</f>
        <v>0</v>
      </c>
      <c r="U541" s="390">
        <f>Formulas!$K6*(U408+U409)</f>
        <v>0</v>
      </c>
      <c r="V541" s="390">
        <f>Formulas!$K6*(V408+V409)</f>
        <v>0</v>
      </c>
      <c r="W541" s="390">
        <f>Formulas!$K6*(W408+W409)</f>
        <v>0</v>
      </c>
      <c r="X541" s="390">
        <f>Formulas!$K6*(X408+X409)</f>
        <v>0</v>
      </c>
      <c r="Y541" s="390">
        <f>Formulas!$K6*(Y408+Y409)</f>
        <v>19.84</v>
      </c>
      <c r="Z541" s="390">
        <f>Formulas!$K6*(Z408+Z409)</f>
        <v>0</v>
      </c>
      <c r="AA541" s="390">
        <f>Formulas!$K6*(AA408+AA409)</f>
        <v>0</v>
      </c>
      <c r="AB541" s="390">
        <f>Formulas!$K6*(AB408+AB409)</f>
        <v>0</v>
      </c>
      <c r="AC541" s="390">
        <f>Formulas!$K6*(AC408+AC409)</f>
        <v>0</v>
      </c>
      <c r="AD541" s="390">
        <f>Formulas!$K6*(AD408+AD409)</f>
        <v>0</v>
      </c>
      <c r="AE541" s="390">
        <f>Formulas!$K6*(AE408+AE409)</f>
        <v>0</v>
      </c>
      <c r="AF541" s="390">
        <f>Formulas!$K6*(AF408+AF409)</f>
        <v>35.96</v>
      </c>
      <c r="AG541" s="511">
        <f t="shared" si="202"/>
        <v>92.38</v>
      </c>
    </row>
    <row r="542">
      <c r="A542" s="510" t="s">
        <v>2884</v>
      </c>
      <c r="B542" s="390">
        <f t="shared" ref="B542:AF542" si="203">sum(B515:B541)</f>
        <v>0</v>
      </c>
      <c r="C542" s="390">
        <f t="shared" si="203"/>
        <v>0</v>
      </c>
      <c r="D542" s="390">
        <f t="shared" si="203"/>
        <v>2218.994118</v>
      </c>
      <c r="E542" s="390">
        <f t="shared" si="203"/>
        <v>1728.6066</v>
      </c>
      <c r="F542" s="390">
        <f t="shared" si="203"/>
        <v>0</v>
      </c>
      <c r="G542" s="390">
        <f t="shared" si="203"/>
        <v>1728.61572</v>
      </c>
      <c r="H542" s="390">
        <f t="shared" si="203"/>
        <v>0</v>
      </c>
      <c r="I542" s="390">
        <f t="shared" si="203"/>
        <v>2310.667088</v>
      </c>
      <c r="J542" s="390">
        <f t="shared" si="203"/>
        <v>0</v>
      </c>
      <c r="K542" s="390">
        <f t="shared" si="203"/>
        <v>0</v>
      </c>
      <c r="L542" s="390">
        <f t="shared" si="203"/>
        <v>0</v>
      </c>
      <c r="M542" s="390">
        <f t="shared" si="203"/>
        <v>0</v>
      </c>
      <c r="N542" s="390">
        <f t="shared" si="203"/>
        <v>0</v>
      </c>
      <c r="O542" s="390">
        <f t="shared" si="203"/>
        <v>0</v>
      </c>
      <c r="P542" s="390">
        <f t="shared" si="203"/>
        <v>0</v>
      </c>
      <c r="Q542" s="390">
        <f t="shared" si="203"/>
        <v>0</v>
      </c>
      <c r="R542" s="390">
        <f t="shared" si="203"/>
        <v>5281.149858</v>
      </c>
      <c r="S542" s="390">
        <f t="shared" si="203"/>
        <v>0</v>
      </c>
      <c r="T542" s="390">
        <f t="shared" si="203"/>
        <v>0</v>
      </c>
      <c r="U542" s="390">
        <f t="shared" si="203"/>
        <v>0</v>
      </c>
      <c r="V542" s="390">
        <f t="shared" si="203"/>
        <v>0</v>
      </c>
      <c r="W542" s="390">
        <f t="shared" si="203"/>
        <v>0</v>
      </c>
      <c r="X542" s="390">
        <f t="shared" si="203"/>
        <v>0</v>
      </c>
      <c r="Y542" s="390">
        <f t="shared" si="203"/>
        <v>7251.801768</v>
      </c>
      <c r="Z542" s="390">
        <f t="shared" si="203"/>
        <v>0</v>
      </c>
      <c r="AA542" s="390">
        <f t="shared" si="203"/>
        <v>0</v>
      </c>
      <c r="AB542" s="390">
        <f t="shared" si="203"/>
        <v>0</v>
      </c>
      <c r="AC542" s="390">
        <f t="shared" si="203"/>
        <v>0</v>
      </c>
      <c r="AD542" s="390">
        <f t="shared" si="203"/>
        <v>0</v>
      </c>
      <c r="AE542" s="390">
        <f t="shared" si="203"/>
        <v>0</v>
      </c>
      <c r="AF542" s="390">
        <f t="shared" si="203"/>
        <v>13176.82667</v>
      </c>
      <c r="AG542" s="511">
        <f t="shared" si="202"/>
        <v>33696.66182</v>
      </c>
    </row>
    <row r="543">
      <c r="A543" s="26"/>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10"/>
    </row>
    <row r="544">
      <c r="A544" s="519" t="s">
        <v>126</v>
      </c>
      <c r="B544" s="520">
        <f t="shared" ref="B544:AF544" si="204">(SUM(B475:B513))+B542</f>
        <v>26063.26095</v>
      </c>
      <c r="C544" s="520">
        <f t="shared" si="204"/>
        <v>23581.33889</v>
      </c>
      <c r="D544" s="520">
        <f t="shared" si="204"/>
        <v>26254.48255</v>
      </c>
      <c r="E544" s="520">
        <f t="shared" si="204"/>
        <v>56506.71007</v>
      </c>
      <c r="F544" s="520">
        <f t="shared" si="204"/>
        <v>50505.42197</v>
      </c>
      <c r="G544" s="520">
        <f t="shared" si="204"/>
        <v>52021.922</v>
      </c>
      <c r="H544" s="520">
        <f t="shared" si="204"/>
        <v>41171.84224</v>
      </c>
      <c r="I544" s="520">
        <f t="shared" si="204"/>
        <v>36371.30415</v>
      </c>
      <c r="J544" s="520">
        <f t="shared" si="204"/>
        <v>31354.70299</v>
      </c>
      <c r="K544" s="520">
        <f t="shared" si="204"/>
        <v>38698.68096</v>
      </c>
      <c r="L544" s="520">
        <f t="shared" si="204"/>
        <v>27577.70845</v>
      </c>
      <c r="M544" s="520">
        <f t="shared" si="204"/>
        <v>21157.61239</v>
      </c>
      <c r="N544" s="520">
        <f t="shared" si="204"/>
        <v>30823.90428</v>
      </c>
      <c r="O544" s="520">
        <f t="shared" si="204"/>
        <v>29795.97557</v>
      </c>
      <c r="P544" s="520">
        <f t="shared" si="204"/>
        <v>29602.12774</v>
      </c>
      <c r="Q544" s="520">
        <f t="shared" si="204"/>
        <v>27990.37124</v>
      </c>
      <c r="R544" s="520">
        <f t="shared" si="204"/>
        <v>52579.08216</v>
      </c>
      <c r="S544" s="520">
        <f t="shared" si="204"/>
        <v>32907.15199</v>
      </c>
      <c r="T544" s="520">
        <f t="shared" si="204"/>
        <v>37308.42747</v>
      </c>
      <c r="U544" s="520">
        <f t="shared" si="204"/>
        <v>40439.07182</v>
      </c>
      <c r="V544" s="520">
        <f t="shared" si="204"/>
        <v>45670.31336</v>
      </c>
      <c r="W544" s="520">
        <f t="shared" si="204"/>
        <v>29989.49155</v>
      </c>
      <c r="X544" s="520">
        <f t="shared" si="204"/>
        <v>30452.08524</v>
      </c>
      <c r="Y544" s="520">
        <f t="shared" si="204"/>
        <v>40571.76747</v>
      </c>
      <c r="Z544" s="520">
        <f t="shared" si="204"/>
        <v>37540.92694</v>
      </c>
      <c r="AA544" s="520">
        <f t="shared" si="204"/>
        <v>42356.48201</v>
      </c>
      <c r="AB544" s="520">
        <f t="shared" si="204"/>
        <v>42020.65063</v>
      </c>
      <c r="AC544" s="520">
        <f t="shared" si="204"/>
        <v>34217.27307</v>
      </c>
      <c r="AD544" s="520">
        <f t="shared" si="204"/>
        <v>39811.91457</v>
      </c>
      <c r="AE544" s="520">
        <f t="shared" si="204"/>
        <v>35871.13385</v>
      </c>
      <c r="AF544" s="520">
        <f t="shared" si="204"/>
        <v>47686.77568</v>
      </c>
      <c r="AG544" s="77">
        <f>SUM(B544:AF544)</f>
        <v>1138899.914</v>
      </c>
    </row>
    <row r="545">
      <c r="A545" s="26"/>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c r="AB545" s="165"/>
      <c r="AC545" s="165"/>
      <c r="AD545" s="165"/>
      <c r="AE545" s="165"/>
      <c r="AF545" s="165"/>
      <c r="AG545" s="10"/>
    </row>
    <row r="546">
      <c r="A546" s="53" t="s">
        <v>2897</v>
      </c>
      <c r="B546" s="140">
        <f t="shared" ref="B546:AF546" si="205">B134-B544</f>
        <v>8032.61905</v>
      </c>
      <c r="C546" s="140">
        <f t="shared" si="205"/>
        <v>8059.981108</v>
      </c>
      <c r="D546" s="140">
        <f t="shared" si="205"/>
        <v>-4969.852546</v>
      </c>
      <c r="E546" s="140">
        <f t="shared" si="205"/>
        <v>32357.91993</v>
      </c>
      <c r="F546" s="140">
        <f t="shared" si="205"/>
        <v>27154.71803</v>
      </c>
      <c r="G546" s="140">
        <f t="shared" si="205"/>
        <v>19579.448</v>
      </c>
      <c r="H546" s="140">
        <f t="shared" si="205"/>
        <v>26251.46776</v>
      </c>
      <c r="I546" s="140">
        <f t="shared" si="205"/>
        <v>8906.605849</v>
      </c>
      <c r="J546" s="140">
        <f t="shared" si="205"/>
        <v>11119.18701</v>
      </c>
      <c r="K546" s="140">
        <f t="shared" si="205"/>
        <v>15412.06904</v>
      </c>
      <c r="L546" s="140">
        <f t="shared" si="205"/>
        <v>9830.491545</v>
      </c>
      <c r="M546" s="140">
        <f t="shared" si="205"/>
        <v>5606.677607</v>
      </c>
      <c r="N546" s="140">
        <f t="shared" si="205"/>
        <v>4856.205725</v>
      </c>
      <c r="O546" s="140">
        <f t="shared" si="205"/>
        <v>1842.044425</v>
      </c>
      <c r="P546" s="140">
        <f t="shared" si="205"/>
        <v>11837.83226</v>
      </c>
      <c r="Q546" s="140">
        <f t="shared" si="205"/>
        <v>5194.688764</v>
      </c>
      <c r="R546" s="140">
        <f t="shared" si="205"/>
        <v>-26135.93216</v>
      </c>
      <c r="S546" s="140">
        <f t="shared" si="205"/>
        <v>-3634.491994</v>
      </c>
      <c r="T546" s="140">
        <f t="shared" si="205"/>
        <v>-2957.387469</v>
      </c>
      <c r="U546" s="140">
        <f t="shared" si="205"/>
        <v>-4988.661819</v>
      </c>
      <c r="V546" s="140">
        <f t="shared" si="205"/>
        <v>-4147.133357</v>
      </c>
      <c r="W546" s="140">
        <f t="shared" si="205"/>
        <v>6868.218454</v>
      </c>
      <c r="X546" s="140">
        <f t="shared" si="205"/>
        <v>2694.664756</v>
      </c>
      <c r="Y546" s="140">
        <f t="shared" si="205"/>
        <v>-4376.357467</v>
      </c>
      <c r="Z546" s="140">
        <f t="shared" si="205"/>
        <v>-1385.556942</v>
      </c>
      <c r="AA546" s="140">
        <f t="shared" si="205"/>
        <v>-11685.86201</v>
      </c>
      <c r="AB546" s="140">
        <f t="shared" si="205"/>
        <v>-2548.61063</v>
      </c>
      <c r="AC546" s="140">
        <f t="shared" si="205"/>
        <v>5116.97693</v>
      </c>
      <c r="AD546" s="140">
        <f t="shared" si="205"/>
        <v>1756.895425</v>
      </c>
      <c r="AE546" s="140">
        <f t="shared" si="205"/>
        <v>2966.226149</v>
      </c>
      <c r="AF546" s="140">
        <f t="shared" si="205"/>
        <v>-7998.74568</v>
      </c>
      <c r="AG546" s="77">
        <f>SUM(B546:AF546)</f>
        <v>140616.3458</v>
      </c>
    </row>
    <row r="547">
      <c r="A547" s="532">
        <f>SUM(B546:AF546)</f>
        <v>140616.3458</v>
      </c>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c r="AA547" s="165"/>
      <c r="AB547" s="165"/>
      <c r="AC547" s="165"/>
      <c r="AD547" s="165"/>
      <c r="AE547" s="165"/>
      <c r="AF547" s="165"/>
      <c r="AG547" s="534"/>
    </row>
    <row r="548">
      <c r="A548" s="26"/>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c r="AA548" s="165"/>
      <c r="AB548" s="165"/>
      <c r="AC548" s="165"/>
      <c r="AD548" s="165"/>
      <c r="AE548" s="165"/>
      <c r="AF548" s="165"/>
      <c r="AG548" s="534"/>
    </row>
    <row r="549">
      <c r="A549" s="537" t="s">
        <v>2917</v>
      </c>
      <c r="B549" s="540">
        <f t="shared" ref="B549:AF549" si="206">B134/B544</f>
        <v>1.308197008</v>
      </c>
      <c r="C549" s="540">
        <f t="shared" si="206"/>
        <v>1.341794889</v>
      </c>
      <c r="D549" s="540">
        <f t="shared" si="206"/>
        <v>0.8107046087</v>
      </c>
      <c r="E549" s="540">
        <f t="shared" si="206"/>
        <v>1.57263854</v>
      </c>
      <c r="F549" s="540">
        <f t="shared" si="206"/>
        <v>1.537659463</v>
      </c>
      <c r="G549" s="540">
        <f t="shared" si="206"/>
        <v>1.376369178</v>
      </c>
      <c r="H549" s="540">
        <f t="shared" si="206"/>
        <v>1.637607314</v>
      </c>
      <c r="I549" s="540">
        <f t="shared" si="206"/>
        <v>1.244880024</v>
      </c>
      <c r="J549" s="540">
        <f t="shared" si="206"/>
        <v>1.354625812</v>
      </c>
      <c r="K549" s="540">
        <f t="shared" si="206"/>
        <v>1.398258252</v>
      </c>
      <c r="L549" s="540">
        <f t="shared" si="206"/>
        <v>1.356465134</v>
      </c>
      <c r="M549" s="540">
        <f t="shared" si="206"/>
        <v>1.264995761</v>
      </c>
      <c r="N549" s="540">
        <f t="shared" si="206"/>
        <v>1.157546743</v>
      </c>
      <c r="O549" s="540">
        <f t="shared" si="206"/>
        <v>1.06182192</v>
      </c>
      <c r="P549" s="540">
        <f t="shared" si="206"/>
        <v>1.39989802</v>
      </c>
      <c r="Q549" s="540">
        <f t="shared" si="206"/>
        <v>1.18558842</v>
      </c>
      <c r="R549" s="540">
        <f t="shared" si="206"/>
        <v>0.5029214835</v>
      </c>
      <c r="S549" s="540">
        <f t="shared" si="206"/>
        <v>0.8895531283</v>
      </c>
      <c r="T549" s="540">
        <f t="shared" si="206"/>
        <v>0.9207313824</v>
      </c>
      <c r="U549" s="540">
        <f t="shared" si="206"/>
        <v>0.8766375786</v>
      </c>
      <c r="V549" s="540">
        <f t="shared" si="206"/>
        <v>0.909194112</v>
      </c>
      <c r="W549" s="540">
        <f t="shared" si="206"/>
        <v>1.229020837</v>
      </c>
      <c r="X549" s="540">
        <f t="shared" si="206"/>
        <v>1.088488678</v>
      </c>
      <c r="Y549" s="540">
        <f t="shared" si="206"/>
        <v>0.8921329353</v>
      </c>
      <c r="Z549" s="540">
        <f t="shared" si="206"/>
        <v>0.9630920956</v>
      </c>
      <c r="AA549" s="540">
        <f t="shared" si="206"/>
        <v>0.7241068792</v>
      </c>
      <c r="AB549" s="540">
        <f t="shared" si="206"/>
        <v>0.9393486157</v>
      </c>
      <c r="AC549" s="540">
        <f t="shared" si="206"/>
        <v>1.14954368</v>
      </c>
      <c r="AD549" s="540">
        <f t="shared" si="206"/>
        <v>1.04412989</v>
      </c>
      <c r="AE549" s="540">
        <f t="shared" si="206"/>
        <v>1.082691173</v>
      </c>
      <c r="AF549" s="540">
        <f t="shared" si="206"/>
        <v>0.8322649085</v>
      </c>
      <c r="AG549" s="534"/>
    </row>
    <row r="550">
      <c r="A550" s="543" t="s">
        <v>2922</v>
      </c>
      <c r="B550" s="544">
        <f t="shared" ref="B550:AF550" si="207">(B134-B504-B505-B506)/B475</f>
        <v>3.656048406</v>
      </c>
      <c r="C550" s="544">
        <f t="shared" si="207"/>
        <v>3.350584626</v>
      </c>
      <c r="D550" s="544">
        <f t="shared" si="207"/>
        <v>2.49131415</v>
      </c>
      <c r="E550" s="544">
        <f t="shared" si="207"/>
        <v>9.488657762</v>
      </c>
      <c r="F550" s="544">
        <f t="shared" si="207"/>
        <v>7.957042988</v>
      </c>
      <c r="G550" s="544">
        <f t="shared" si="207"/>
        <v>7.430750663</v>
      </c>
      <c r="H550" s="544">
        <f t="shared" si="207"/>
        <v>7.96753803</v>
      </c>
      <c r="I550" s="544">
        <f t="shared" si="207"/>
        <v>5.807358711</v>
      </c>
      <c r="J550" s="544">
        <f t="shared" si="207"/>
        <v>6.177854472</v>
      </c>
      <c r="K550" s="544">
        <f t="shared" si="207"/>
        <v>7.657053085</v>
      </c>
      <c r="L550" s="544">
        <f t="shared" si="207"/>
        <v>5.933166522</v>
      </c>
      <c r="M550" s="544">
        <f t="shared" si="207"/>
        <v>4.318101769</v>
      </c>
      <c r="N550" s="544">
        <f t="shared" si="207"/>
        <v>5.149954655</v>
      </c>
      <c r="O550" s="544">
        <f t="shared" si="207"/>
        <v>4.100966103</v>
      </c>
      <c r="P550" s="544">
        <f t="shared" si="207"/>
        <v>4.884261009</v>
      </c>
      <c r="Q550" s="544">
        <f t="shared" si="207"/>
        <v>3.877196018</v>
      </c>
      <c r="R550" s="544">
        <f t="shared" si="207"/>
        <v>3.556504574</v>
      </c>
      <c r="S550" s="544">
        <f t="shared" si="207"/>
        <v>4.147289841</v>
      </c>
      <c r="T550" s="544">
        <f t="shared" si="207"/>
        <v>4.184038249</v>
      </c>
      <c r="U550" s="544">
        <f t="shared" si="207"/>
        <v>3.641397388</v>
      </c>
      <c r="V550" s="544">
        <f t="shared" si="207"/>
        <v>3.615563507</v>
      </c>
      <c r="W550" s="544">
        <f t="shared" si="207"/>
        <v>2.898869282</v>
      </c>
      <c r="X550" s="544">
        <f t="shared" si="207"/>
        <v>2.807436313</v>
      </c>
      <c r="Y550" s="544">
        <f t="shared" si="207"/>
        <v>3.073288437</v>
      </c>
      <c r="Z550" s="544">
        <f t="shared" si="207"/>
        <v>3.288273455</v>
      </c>
      <c r="AA550" s="544">
        <f t="shared" si="207"/>
        <v>2.969484469</v>
      </c>
      <c r="AB550" s="544">
        <f t="shared" si="207"/>
        <v>4.123507817</v>
      </c>
      <c r="AC550" s="544">
        <f t="shared" si="207"/>
        <v>3.703128277</v>
      </c>
      <c r="AD550" s="544">
        <f t="shared" si="207"/>
        <v>3.928746518</v>
      </c>
      <c r="AE550" s="544">
        <f t="shared" si="207"/>
        <v>3.146809524</v>
      </c>
      <c r="AF550" s="544">
        <f t="shared" si="207"/>
        <v>3.241148971</v>
      </c>
      <c r="AG550" s="534"/>
    </row>
    <row r="551">
      <c r="A551" s="537" t="s">
        <v>2928</v>
      </c>
      <c r="B551" s="544">
        <f>Sales!B21</f>
        <v>3.925148391</v>
      </c>
      <c r="C551" s="544">
        <f>Sales!C21</f>
        <v>3.616841157</v>
      </c>
      <c r="D551" s="544">
        <f>Sales!D21</f>
        <v>2.697111373</v>
      </c>
      <c r="E551" s="544">
        <f>Sales!E21</f>
        <v>10.11766038</v>
      </c>
      <c r="F551" s="544">
        <f>Sales!F21</f>
        <v>8.55493414</v>
      </c>
      <c r="G551" s="544">
        <f>Sales!G21</f>
        <v>7.965009858</v>
      </c>
      <c r="H551" s="544">
        <f>Sales!H21</f>
        <v>8.579605397</v>
      </c>
      <c r="I551" s="544">
        <f>Sales!I21</f>
        <v>6.259131522</v>
      </c>
      <c r="J551" s="544">
        <f>Sales!J21</f>
        <v>6.530983599</v>
      </c>
      <c r="K551" s="544">
        <f>Sales!K21</f>
        <v>8.12964432</v>
      </c>
      <c r="L551" s="544">
        <f>Sales!L21</f>
        <v>6.335841144</v>
      </c>
      <c r="M551" s="544">
        <f>Sales!M21</f>
        <v>4.524082633</v>
      </c>
      <c r="N551" s="544">
        <f>Sales!N21</f>
        <v>5.554923986</v>
      </c>
      <c r="O551" s="544">
        <f>Sales!O21</f>
        <v>4.436550832</v>
      </c>
      <c r="P551" s="544">
        <f>Sales!P21</f>
        <v>5.269819066</v>
      </c>
      <c r="Q551" s="544">
        <f>Sales!Q21</f>
        <v>4.236190615</v>
      </c>
      <c r="R551" s="544">
        <f>Sales!R21</f>
        <v>4.962760785</v>
      </c>
      <c r="S551" s="544">
        <f>Sales!S21</f>
        <v>4.363741162</v>
      </c>
      <c r="T551" s="544">
        <f>Sales!T21</f>
        <v>4.476895488</v>
      </c>
      <c r="U551" s="544">
        <f>Sales!U21</f>
        <v>3.859089875</v>
      </c>
      <c r="V551" s="544">
        <f>Sales!V21</f>
        <v>3.846997219</v>
      </c>
      <c r="W551" s="544">
        <f>Sales!W21</f>
        <v>3.129782316</v>
      </c>
      <c r="X551" s="544">
        <f>Sales!X21</f>
        <v>3.019949074</v>
      </c>
      <c r="Y551" s="544">
        <f>Sales!Y21</f>
        <v>3.487150622</v>
      </c>
      <c r="Z551" s="544">
        <f>Sales!Z21</f>
        <v>3.585923217</v>
      </c>
      <c r="AA551" s="544">
        <f>Sales!AA21</f>
        <v>2.98224694</v>
      </c>
      <c r="AB551" s="544">
        <f>Sales!AB21</f>
        <v>4.349723018</v>
      </c>
      <c r="AC551" s="544">
        <f>Sales!AC21</f>
        <v>3.981412971</v>
      </c>
      <c r="AD551" s="544">
        <f>Sales!AD21</f>
        <v>4.162400343</v>
      </c>
      <c r="AE551" s="544">
        <f>Sales!AE21</f>
        <v>3.366517688</v>
      </c>
      <c r="AF551" s="544">
        <f>Sales!AF21</f>
        <v>3.484481042</v>
      </c>
      <c r="AG551" s="534"/>
    </row>
    <row r="552">
      <c r="A552" s="26"/>
      <c r="B552" s="167"/>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10"/>
    </row>
    <row r="553">
      <c r="A553" s="335"/>
      <c r="B553" s="551"/>
      <c r="C553" s="552"/>
      <c r="D553" s="552"/>
      <c r="E553" s="552"/>
      <c r="F553" s="552"/>
      <c r="G553" s="552"/>
      <c r="H553" s="552"/>
      <c r="I553" s="552"/>
      <c r="J553" s="552"/>
      <c r="K553" s="552"/>
      <c r="L553" s="552"/>
      <c r="M553" s="552"/>
      <c r="N553" s="552"/>
      <c r="O553" s="552"/>
      <c r="P553" s="552"/>
      <c r="Q553" s="552"/>
      <c r="R553" s="552"/>
      <c r="S553" s="552"/>
      <c r="T553" s="552"/>
      <c r="U553" s="335"/>
      <c r="V553" s="335"/>
      <c r="W553" s="555"/>
      <c r="X553" s="335"/>
      <c r="Y553" s="335"/>
      <c r="Z553" s="335"/>
      <c r="AA553" s="335"/>
      <c r="AB553" s="335"/>
      <c r="AC553" s="335"/>
      <c r="AD553" s="335"/>
      <c r="AE553" s="335"/>
      <c r="AF553" s="335"/>
      <c r="AG553" s="10"/>
    </row>
    <row r="554">
      <c r="A554" s="537" t="s">
        <v>131</v>
      </c>
      <c r="B554" s="556"/>
      <c r="C554" s="556"/>
      <c r="D554" s="556"/>
      <c r="E554" s="556"/>
      <c r="F554" s="556"/>
      <c r="G554" s="556"/>
      <c r="H554" s="556"/>
      <c r="I554" s="556"/>
      <c r="J554" s="556"/>
      <c r="K554" s="556"/>
      <c r="L554" s="556"/>
      <c r="M554" s="556"/>
      <c r="N554" s="556"/>
      <c r="O554" s="556"/>
      <c r="P554" s="556"/>
      <c r="Q554" s="556"/>
      <c r="R554" s="556"/>
      <c r="S554" s="556"/>
      <c r="T554" s="556"/>
      <c r="U554" s="556"/>
      <c r="V554" s="556"/>
      <c r="W554" s="557"/>
      <c r="X554" s="556"/>
      <c r="Y554" s="556"/>
      <c r="Z554" s="556"/>
      <c r="AA554" s="20"/>
      <c r="AB554" s="556"/>
      <c r="AC554" s="556"/>
      <c r="AD554" s="556"/>
      <c r="AE554" s="556"/>
      <c r="AF554" s="556"/>
      <c r="AG554" s="10"/>
    </row>
    <row r="555">
      <c r="A555" s="168">
        <f>SUM(B134:AF134)</f>
        <v>1279516.26</v>
      </c>
      <c r="B555" s="556"/>
      <c r="C555" s="556"/>
      <c r="D555" s="556"/>
      <c r="E555" s="556"/>
      <c r="F555" s="556"/>
      <c r="G555" s="556"/>
      <c r="H555" s="556"/>
      <c r="I555" s="556"/>
      <c r="J555" s="556"/>
      <c r="K555" s="556"/>
      <c r="L555" s="556"/>
      <c r="M555" s="556"/>
      <c r="N555" s="556"/>
      <c r="O555" s="556"/>
      <c r="P555" s="556"/>
      <c r="Q555" s="556"/>
      <c r="R555" s="556"/>
      <c r="S555" s="556"/>
      <c r="T555" s="556"/>
      <c r="U555" s="556"/>
      <c r="V555" s="556"/>
      <c r="W555" s="556"/>
      <c r="X555" s="556"/>
      <c r="Y555" s="556"/>
      <c r="Z555" s="556"/>
      <c r="AA555" s="556"/>
      <c r="AB555" s="556"/>
      <c r="AC555" s="556"/>
      <c r="AD555" s="556"/>
      <c r="AE555" s="556"/>
      <c r="AF555" s="556"/>
      <c r="AG555" s="559"/>
    </row>
    <row r="556">
      <c r="A556" s="26"/>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10"/>
    </row>
    <row r="557">
      <c r="A557" s="560" t="s">
        <v>234</v>
      </c>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10"/>
    </row>
    <row r="558">
      <c r="A558" s="168">
        <f>SUM(B544:AF544)</f>
        <v>1138899.914</v>
      </c>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10"/>
    </row>
    <row r="559">
      <c r="A559" s="26"/>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10"/>
    </row>
    <row r="560">
      <c r="A560" s="537" t="s">
        <v>444</v>
      </c>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10"/>
    </row>
    <row r="561">
      <c r="A561" s="565">
        <f>A555/A558</f>
        <v>1.123466816</v>
      </c>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10"/>
    </row>
    <row r="562">
      <c r="A562" s="26"/>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10"/>
    </row>
    <row r="563">
      <c r="A563" s="328"/>
      <c r="AG563" s="358"/>
    </row>
    <row r="564">
      <c r="A564" s="328"/>
      <c r="AG564" s="358"/>
    </row>
    <row r="565">
      <c r="A565" s="328"/>
      <c r="AG565" s="358"/>
    </row>
    <row r="566">
      <c r="A566" s="328"/>
      <c r="AG566" s="358"/>
    </row>
    <row r="567">
      <c r="A567" s="328"/>
      <c r="AG567" s="358"/>
    </row>
    <row r="568">
      <c r="A568" s="328"/>
      <c r="AG568" s="358"/>
    </row>
    <row r="569">
      <c r="A569" s="328"/>
      <c r="AG569" s="358"/>
    </row>
    <row r="570">
      <c r="A570" s="328"/>
      <c r="AG570" s="358"/>
    </row>
    <row r="571">
      <c r="A571" s="328"/>
      <c r="AG571" s="358"/>
    </row>
    <row r="572">
      <c r="A572" s="328"/>
      <c r="AG572" s="358"/>
    </row>
    <row r="573">
      <c r="A573" s="328"/>
      <c r="AG573" s="358"/>
    </row>
    <row r="574">
      <c r="A574" s="328"/>
      <c r="AG574" s="358"/>
    </row>
    <row r="575">
      <c r="A575" s="328"/>
      <c r="AG575" s="358"/>
    </row>
    <row r="576">
      <c r="A576" s="328"/>
      <c r="AG576" s="358"/>
    </row>
    <row r="577">
      <c r="A577" s="328"/>
      <c r="AG577" s="358"/>
    </row>
    <row r="578">
      <c r="A578" s="328"/>
      <c r="AG578" s="358"/>
    </row>
    <row r="579">
      <c r="A579" s="328"/>
      <c r="AG579" s="358"/>
    </row>
    <row r="580">
      <c r="A580" s="328"/>
      <c r="AG580" s="358"/>
    </row>
    <row r="581">
      <c r="A581" s="328"/>
      <c r="AG581" s="358"/>
    </row>
    <row r="582">
      <c r="A582" s="328"/>
      <c r="AG582" s="358"/>
    </row>
    <row r="583">
      <c r="A583" s="328"/>
      <c r="AG583" s="358"/>
    </row>
    <row r="584">
      <c r="A584" s="328"/>
      <c r="AG584" s="358"/>
    </row>
    <row r="585">
      <c r="A585" s="328"/>
      <c r="AG585" s="358"/>
    </row>
    <row r="586">
      <c r="A586" s="328"/>
      <c r="AG586" s="358"/>
    </row>
    <row r="587">
      <c r="A587" s="328"/>
      <c r="AG587" s="358"/>
    </row>
    <row r="588">
      <c r="A588" s="328"/>
      <c r="AG588" s="358"/>
    </row>
    <row r="589">
      <c r="A589" s="328"/>
      <c r="AG589" s="358"/>
    </row>
    <row r="590">
      <c r="A590" s="328"/>
      <c r="AG590" s="358"/>
    </row>
    <row r="591">
      <c r="A591" s="328"/>
      <c r="AG591" s="358"/>
    </row>
    <row r="592">
      <c r="A592" s="328"/>
      <c r="AG592" s="358"/>
    </row>
    <row r="593">
      <c r="A593" s="328"/>
      <c r="AG593" s="358"/>
    </row>
    <row r="594">
      <c r="A594" s="328"/>
      <c r="AG594" s="358"/>
    </row>
    <row r="595">
      <c r="A595" s="328"/>
      <c r="AG595" s="358"/>
    </row>
    <row r="596">
      <c r="A596" s="328"/>
      <c r="AG596" s="358"/>
    </row>
    <row r="597">
      <c r="A597" s="328"/>
      <c r="AG597" s="358"/>
    </row>
    <row r="598">
      <c r="A598" s="328"/>
      <c r="AG598" s="358"/>
    </row>
    <row r="599">
      <c r="A599" s="328"/>
      <c r="AG599" s="358"/>
    </row>
    <row r="600">
      <c r="A600" s="328"/>
      <c r="AG600" s="358"/>
    </row>
    <row r="601">
      <c r="A601" s="328"/>
      <c r="AG601" s="358"/>
    </row>
    <row r="602">
      <c r="A602" s="328"/>
      <c r="AG602" s="358"/>
    </row>
    <row r="603">
      <c r="A603" s="328"/>
      <c r="AG603" s="358"/>
    </row>
    <row r="604">
      <c r="A604" s="328"/>
      <c r="AG604" s="358"/>
    </row>
    <row r="605">
      <c r="A605" s="328"/>
      <c r="AG605" s="358"/>
    </row>
    <row r="606">
      <c r="A606" s="328"/>
      <c r="AG606" s="358"/>
    </row>
    <row r="607">
      <c r="A607" s="328"/>
      <c r="AG607" s="358"/>
    </row>
    <row r="608">
      <c r="A608" s="328"/>
      <c r="AG608" s="358"/>
    </row>
    <row r="609">
      <c r="A609" s="328"/>
      <c r="AG609" s="358"/>
    </row>
    <row r="610">
      <c r="A610" s="328"/>
      <c r="AG610" s="358"/>
    </row>
    <row r="611">
      <c r="A611" s="328"/>
      <c r="AG611" s="358"/>
    </row>
    <row r="612">
      <c r="A612" s="328"/>
      <c r="AG612" s="358"/>
    </row>
    <row r="613">
      <c r="A613" s="328"/>
      <c r="AG613" s="358"/>
    </row>
    <row r="614">
      <c r="A614" s="328"/>
      <c r="AG614" s="358"/>
    </row>
    <row r="615">
      <c r="A615" s="328"/>
      <c r="AG615" s="358"/>
    </row>
    <row r="616">
      <c r="A616" s="328"/>
      <c r="AG616" s="358"/>
    </row>
    <row r="617">
      <c r="A617" s="328"/>
      <c r="AG617" s="358"/>
    </row>
    <row r="618">
      <c r="A618" s="328"/>
      <c r="AG618" s="358"/>
    </row>
    <row r="619">
      <c r="A619" s="328"/>
      <c r="AG619" s="358"/>
    </row>
    <row r="620">
      <c r="A620" s="328"/>
      <c r="AG620" s="358"/>
    </row>
    <row r="621">
      <c r="A621" s="328"/>
      <c r="AG621" s="358"/>
    </row>
    <row r="622">
      <c r="A622" s="328"/>
      <c r="AG622" s="358"/>
    </row>
    <row r="623">
      <c r="A623" s="328"/>
      <c r="AG623" s="358"/>
    </row>
    <row r="624">
      <c r="A624" s="328"/>
      <c r="AG624" s="358"/>
    </row>
    <row r="625">
      <c r="A625" s="328"/>
      <c r="AG625" s="358"/>
    </row>
    <row r="626">
      <c r="A626" s="328"/>
      <c r="AG626" s="358"/>
    </row>
    <row r="627">
      <c r="A627" s="328"/>
      <c r="AG627" s="358"/>
    </row>
    <row r="628">
      <c r="A628" s="328"/>
      <c r="AG628" s="358"/>
    </row>
    <row r="629">
      <c r="A629" s="328"/>
      <c r="AG629" s="358"/>
    </row>
    <row r="630">
      <c r="A630" s="328"/>
      <c r="AG630" s="358"/>
    </row>
    <row r="631">
      <c r="A631" s="328"/>
      <c r="AG631" s="358"/>
    </row>
    <row r="632">
      <c r="A632" s="328"/>
      <c r="AG632" s="358"/>
    </row>
    <row r="633">
      <c r="A633" s="328"/>
      <c r="AG633" s="358"/>
    </row>
    <row r="634">
      <c r="A634" s="328"/>
      <c r="AG634" s="358"/>
    </row>
    <row r="635">
      <c r="A635" s="328"/>
      <c r="AG635" s="358"/>
    </row>
    <row r="636">
      <c r="A636" s="328"/>
      <c r="AG636" s="358"/>
    </row>
    <row r="637">
      <c r="A637" s="328"/>
      <c r="AG637" s="358"/>
    </row>
    <row r="638">
      <c r="A638" s="328"/>
      <c r="AG638" s="358"/>
    </row>
    <row r="639">
      <c r="A639" s="328"/>
      <c r="AG639" s="358"/>
    </row>
    <row r="640">
      <c r="A640" s="328"/>
      <c r="AG640" s="358"/>
    </row>
    <row r="641">
      <c r="A641" s="328"/>
      <c r="AG641" s="358"/>
    </row>
    <row r="642">
      <c r="A642" s="328"/>
      <c r="AG642" s="358"/>
    </row>
    <row r="643">
      <c r="A643" s="328"/>
      <c r="AG643" s="358"/>
    </row>
    <row r="644">
      <c r="A644" s="328"/>
      <c r="AG644" s="358"/>
    </row>
    <row r="645">
      <c r="A645" s="328"/>
      <c r="AG645" s="358"/>
    </row>
    <row r="646">
      <c r="A646" s="328"/>
      <c r="AG646" s="358"/>
    </row>
    <row r="647">
      <c r="A647" s="328"/>
      <c r="AG647" s="358"/>
    </row>
    <row r="648">
      <c r="A648" s="328"/>
      <c r="AG648" s="358"/>
    </row>
    <row r="649">
      <c r="A649" s="328"/>
      <c r="AG649" s="358"/>
    </row>
    <row r="650">
      <c r="A650" s="328"/>
      <c r="AG650" s="358"/>
    </row>
    <row r="651">
      <c r="A651" s="328"/>
      <c r="AG651" s="358"/>
    </row>
    <row r="652">
      <c r="A652" s="328"/>
      <c r="AG652" s="358"/>
    </row>
    <row r="653">
      <c r="A653" s="328"/>
      <c r="AG653" s="358"/>
    </row>
    <row r="654">
      <c r="A654" s="328"/>
      <c r="AG654" s="358"/>
    </row>
    <row r="655">
      <c r="A655" s="328"/>
      <c r="AG655" s="358"/>
    </row>
    <row r="656">
      <c r="A656" s="328"/>
      <c r="AG656" s="358"/>
    </row>
    <row r="657">
      <c r="A657" s="328"/>
      <c r="AG657" s="358"/>
    </row>
    <row r="658">
      <c r="A658" s="328"/>
      <c r="AG658" s="358"/>
    </row>
    <row r="659">
      <c r="A659" s="328"/>
      <c r="AG659" s="358"/>
    </row>
    <row r="660">
      <c r="A660" s="328"/>
      <c r="AG660" s="358"/>
    </row>
    <row r="661">
      <c r="A661" s="328"/>
      <c r="AG661" s="358"/>
    </row>
    <row r="662">
      <c r="A662" s="328"/>
      <c r="AG662" s="358"/>
    </row>
    <row r="663">
      <c r="A663" s="328"/>
      <c r="AG663" s="358"/>
    </row>
    <row r="664">
      <c r="A664" s="328"/>
      <c r="AG664" s="358"/>
    </row>
    <row r="665">
      <c r="A665" s="328"/>
      <c r="AG665" s="358"/>
    </row>
    <row r="666">
      <c r="A666" s="328"/>
      <c r="AG666" s="358"/>
    </row>
    <row r="667">
      <c r="A667" s="328"/>
      <c r="AG667" s="358"/>
    </row>
    <row r="668">
      <c r="A668" s="328"/>
      <c r="AG668" s="358"/>
    </row>
    <row r="669">
      <c r="A669" s="328"/>
      <c r="AG669" s="358"/>
    </row>
    <row r="670">
      <c r="A670" s="328"/>
      <c r="AG670" s="358"/>
    </row>
    <row r="671">
      <c r="A671" s="328"/>
      <c r="AG671" s="358"/>
    </row>
    <row r="672">
      <c r="A672" s="328"/>
      <c r="AG672" s="358"/>
    </row>
    <row r="673">
      <c r="A673" s="328"/>
      <c r="AG673" s="358"/>
    </row>
    <row r="674">
      <c r="A674" s="328"/>
      <c r="AG674" s="358"/>
    </row>
    <row r="675">
      <c r="A675" s="328"/>
      <c r="AG675" s="358"/>
    </row>
    <row r="676">
      <c r="A676" s="328"/>
      <c r="AG676" s="358"/>
    </row>
    <row r="677">
      <c r="A677" s="328"/>
      <c r="AG677" s="358"/>
    </row>
    <row r="678">
      <c r="A678" s="328"/>
      <c r="AG678" s="358"/>
    </row>
    <row r="679">
      <c r="A679" s="328"/>
      <c r="AG679" s="358"/>
    </row>
    <row r="680">
      <c r="A680" s="328"/>
      <c r="AG680" s="358"/>
    </row>
    <row r="681">
      <c r="A681" s="328"/>
      <c r="AG681" s="358"/>
    </row>
    <row r="682">
      <c r="A682" s="328"/>
      <c r="AG682" s="358"/>
    </row>
    <row r="683">
      <c r="A683" s="328"/>
      <c r="AG683" s="358"/>
    </row>
    <row r="684">
      <c r="A684" s="328"/>
      <c r="AG684" s="358"/>
    </row>
    <row r="685">
      <c r="A685" s="328"/>
      <c r="AG685" s="358"/>
    </row>
    <row r="686">
      <c r="A686" s="328"/>
      <c r="AG686" s="358"/>
    </row>
    <row r="687">
      <c r="A687" s="328"/>
      <c r="AG687" s="358"/>
    </row>
    <row r="688">
      <c r="A688" s="328"/>
      <c r="AG688" s="358"/>
    </row>
    <row r="689">
      <c r="A689" s="328"/>
      <c r="AG689" s="358"/>
    </row>
    <row r="690">
      <c r="A690" s="328"/>
      <c r="AG690" s="358"/>
    </row>
    <row r="691">
      <c r="A691" s="328"/>
      <c r="AG691" s="358"/>
    </row>
    <row r="692">
      <c r="A692" s="328"/>
      <c r="AG692" s="358"/>
    </row>
    <row r="693">
      <c r="A693" s="328"/>
      <c r="AG693" s="358"/>
    </row>
    <row r="694">
      <c r="A694" s="328"/>
      <c r="AG694" s="358"/>
    </row>
    <row r="695">
      <c r="A695" s="328"/>
      <c r="AG695" s="358"/>
    </row>
    <row r="696">
      <c r="A696" s="328"/>
      <c r="AG696" s="358"/>
    </row>
    <row r="697">
      <c r="A697" s="328"/>
      <c r="AG697" s="358"/>
    </row>
    <row r="698">
      <c r="A698" s="328"/>
      <c r="AG698" s="358"/>
    </row>
    <row r="699">
      <c r="A699" s="328"/>
      <c r="AG699" s="358"/>
    </row>
    <row r="700">
      <c r="A700" s="328"/>
      <c r="AG700" s="358"/>
    </row>
    <row r="701">
      <c r="A701" s="328"/>
      <c r="AG701" s="358"/>
    </row>
    <row r="702">
      <c r="A702" s="328"/>
      <c r="AG702" s="358"/>
    </row>
    <row r="703">
      <c r="A703" s="328"/>
      <c r="AG703" s="358"/>
    </row>
    <row r="704">
      <c r="A704" s="328"/>
      <c r="AG704" s="358"/>
    </row>
    <row r="705">
      <c r="A705" s="328"/>
      <c r="AG705" s="358"/>
    </row>
    <row r="706">
      <c r="A706" s="328"/>
      <c r="AG706" s="358"/>
    </row>
    <row r="707">
      <c r="A707" s="328"/>
      <c r="AG707" s="358"/>
    </row>
    <row r="708">
      <c r="A708" s="328"/>
      <c r="AG708" s="358"/>
    </row>
    <row r="709">
      <c r="A709" s="328"/>
      <c r="AG709" s="358"/>
    </row>
    <row r="710">
      <c r="A710" s="328"/>
      <c r="AG710" s="358"/>
    </row>
    <row r="711">
      <c r="A711" s="328"/>
      <c r="AG711" s="358"/>
    </row>
    <row r="712">
      <c r="A712" s="328"/>
      <c r="AG712" s="358"/>
    </row>
    <row r="713">
      <c r="A713" s="328"/>
      <c r="AG713" s="358"/>
    </row>
    <row r="714">
      <c r="A714" s="328"/>
      <c r="AG714" s="358"/>
    </row>
    <row r="715">
      <c r="A715" s="328"/>
      <c r="AG715" s="358"/>
    </row>
    <row r="716">
      <c r="A716" s="328"/>
      <c r="AG716" s="358"/>
    </row>
    <row r="717">
      <c r="A717" s="328"/>
      <c r="AG717" s="358"/>
    </row>
    <row r="718">
      <c r="A718" s="328"/>
      <c r="AG718" s="358"/>
    </row>
    <row r="719">
      <c r="A719" s="328"/>
      <c r="AG719" s="358"/>
    </row>
    <row r="720">
      <c r="A720" s="328"/>
      <c r="AG720" s="358"/>
    </row>
    <row r="721">
      <c r="A721" s="328"/>
      <c r="AG721" s="358"/>
    </row>
    <row r="722">
      <c r="A722" s="328"/>
      <c r="AG722" s="358"/>
    </row>
    <row r="723">
      <c r="A723" s="328"/>
      <c r="AG723" s="358"/>
    </row>
    <row r="724">
      <c r="A724" s="328"/>
      <c r="AG724" s="358"/>
    </row>
    <row r="725">
      <c r="A725" s="328"/>
      <c r="AG725" s="358"/>
    </row>
    <row r="726">
      <c r="A726" s="328"/>
      <c r="AG726" s="358"/>
    </row>
    <row r="727">
      <c r="A727" s="328"/>
      <c r="AG727" s="358"/>
    </row>
    <row r="728">
      <c r="A728" s="328"/>
      <c r="AG728" s="358"/>
    </row>
    <row r="729">
      <c r="A729" s="328"/>
      <c r="AG729" s="358"/>
    </row>
    <row r="730">
      <c r="A730" s="328"/>
      <c r="AG730" s="358"/>
    </row>
    <row r="731">
      <c r="A731" s="328"/>
      <c r="AG731" s="358"/>
    </row>
    <row r="732">
      <c r="A732" s="328"/>
      <c r="AG732" s="358"/>
    </row>
    <row r="733">
      <c r="A733" s="328"/>
      <c r="AG733" s="358"/>
    </row>
    <row r="734">
      <c r="A734" s="328"/>
      <c r="AG734" s="358"/>
    </row>
    <row r="735">
      <c r="A735" s="328"/>
      <c r="AG735" s="358"/>
    </row>
    <row r="736">
      <c r="A736" s="328"/>
      <c r="AG736" s="358"/>
    </row>
    <row r="737">
      <c r="A737" s="328"/>
      <c r="AG737" s="358"/>
    </row>
    <row r="738">
      <c r="A738" s="328"/>
      <c r="AG738" s="358"/>
    </row>
    <row r="739">
      <c r="A739" s="328"/>
      <c r="AG739" s="358"/>
    </row>
    <row r="740">
      <c r="A740" s="328"/>
      <c r="AG740" s="358"/>
    </row>
    <row r="741">
      <c r="A741" s="328"/>
      <c r="AG741" s="358"/>
    </row>
    <row r="742">
      <c r="A742" s="328"/>
      <c r="AG742" s="358"/>
    </row>
    <row r="743">
      <c r="A743" s="328"/>
      <c r="AG743" s="358"/>
    </row>
    <row r="744">
      <c r="A744" s="328"/>
      <c r="AG744" s="358"/>
    </row>
    <row r="745">
      <c r="A745" s="328"/>
      <c r="AG745" s="358"/>
    </row>
    <row r="746">
      <c r="A746" s="328"/>
      <c r="AG746" s="358"/>
    </row>
    <row r="747">
      <c r="A747" s="328"/>
      <c r="AG747" s="358"/>
    </row>
    <row r="748">
      <c r="A748" s="328"/>
      <c r="AG748" s="358"/>
    </row>
    <row r="749">
      <c r="A749" s="328"/>
      <c r="AG749" s="358"/>
    </row>
    <row r="750">
      <c r="A750" s="328"/>
      <c r="AG750" s="358"/>
    </row>
    <row r="751">
      <c r="A751" s="328"/>
      <c r="AG751" s="358"/>
    </row>
    <row r="752">
      <c r="A752" s="328"/>
      <c r="AG752" s="358"/>
    </row>
    <row r="753">
      <c r="A753" s="328"/>
      <c r="AG753" s="358"/>
    </row>
    <row r="754">
      <c r="A754" s="328"/>
      <c r="AG754" s="358"/>
    </row>
    <row r="755">
      <c r="A755" s="328"/>
      <c r="AG755" s="358"/>
    </row>
    <row r="756">
      <c r="A756" s="328"/>
      <c r="AG756" s="358"/>
    </row>
    <row r="757">
      <c r="A757" s="328"/>
      <c r="AG757" s="358"/>
    </row>
    <row r="758">
      <c r="A758" s="328"/>
      <c r="AG758" s="358"/>
    </row>
    <row r="759">
      <c r="A759" s="328"/>
      <c r="AG759" s="358"/>
    </row>
    <row r="760">
      <c r="A760" s="328"/>
      <c r="AG760" s="358"/>
    </row>
    <row r="761">
      <c r="A761" s="328"/>
      <c r="AG761" s="358"/>
    </row>
    <row r="762">
      <c r="A762" s="328"/>
      <c r="AG762" s="358"/>
    </row>
    <row r="763">
      <c r="A763" s="328"/>
      <c r="AG763" s="358"/>
    </row>
    <row r="764">
      <c r="A764" s="328"/>
      <c r="AG764" s="358"/>
    </row>
    <row r="765">
      <c r="A765" s="328"/>
      <c r="AG765" s="358"/>
    </row>
    <row r="766">
      <c r="A766" s="328"/>
      <c r="AG766" s="358"/>
    </row>
    <row r="767">
      <c r="A767" s="328"/>
      <c r="AG767" s="358"/>
    </row>
    <row r="768">
      <c r="A768" s="328"/>
      <c r="AG768" s="358"/>
    </row>
    <row r="769">
      <c r="A769" s="328"/>
      <c r="AG769" s="358"/>
    </row>
    <row r="770">
      <c r="A770" s="328"/>
      <c r="AG770" s="358"/>
    </row>
    <row r="771">
      <c r="A771" s="328"/>
      <c r="AG771" s="358"/>
    </row>
    <row r="772">
      <c r="A772" s="328"/>
      <c r="AG772" s="358"/>
    </row>
    <row r="773">
      <c r="A773" s="328"/>
      <c r="AG773" s="358"/>
    </row>
    <row r="774">
      <c r="A774" s="328"/>
      <c r="AG774" s="358"/>
    </row>
    <row r="775">
      <c r="A775" s="328"/>
      <c r="AG775" s="358"/>
    </row>
    <row r="776">
      <c r="A776" s="328"/>
      <c r="AG776" s="358"/>
    </row>
    <row r="777">
      <c r="A777" s="328"/>
      <c r="AG777" s="358"/>
    </row>
    <row r="778">
      <c r="A778" s="328"/>
      <c r="AG778" s="358"/>
    </row>
    <row r="779">
      <c r="A779" s="328"/>
      <c r="AG779" s="358"/>
    </row>
    <row r="780">
      <c r="A780" s="328"/>
      <c r="AG780" s="358"/>
    </row>
    <row r="781">
      <c r="A781" s="328"/>
      <c r="AG781" s="358"/>
    </row>
    <row r="782">
      <c r="A782" s="328"/>
      <c r="AG782" s="358"/>
    </row>
    <row r="783">
      <c r="A783" s="328"/>
      <c r="AG783" s="358"/>
    </row>
    <row r="784">
      <c r="A784" s="328"/>
      <c r="AG784" s="358"/>
    </row>
    <row r="785">
      <c r="A785" s="328"/>
      <c r="AG785" s="358"/>
    </row>
    <row r="786">
      <c r="A786" s="328"/>
      <c r="AG786" s="358"/>
    </row>
    <row r="787">
      <c r="A787" s="328"/>
      <c r="AG787" s="358"/>
    </row>
    <row r="788">
      <c r="A788" s="328"/>
      <c r="AG788" s="358"/>
    </row>
    <row r="789">
      <c r="A789" s="328"/>
      <c r="AG789" s="358"/>
    </row>
    <row r="790">
      <c r="A790" s="328"/>
      <c r="AG790" s="358"/>
    </row>
    <row r="791">
      <c r="A791" s="328"/>
      <c r="AG791" s="358"/>
    </row>
    <row r="792">
      <c r="A792" s="328"/>
      <c r="AG792" s="358"/>
    </row>
    <row r="793">
      <c r="A793" s="328"/>
      <c r="AG793" s="358"/>
    </row>
    <row r="794">
      <c r="A794" s="328"/>
      <c r="AG794" s="358"/>
    </row>
    <row r="795">
      <c r="A795" s="328"/>
      <c r="AG795" s="358"/>
    </row>
    <row r="796">
      <c r="A796" s="328"/>
      <c r="AG796" s="358"/>
    </row>
    <row r="797">
      <c r="A797" s="328"/>
      <c r="AG797" s="358"/>
    </row>
    <row r="798">
      <c r="A798" s="328"/>
      <c r="AG798" s="358"/>
    </row>
    <row r="799">
      <c r="A799" s="328"/>
      <c r="AG799" s="358"/>
    </row>
    <row r="800">
      <c r="A800" s="328"/>
      <c r="AG800" s="358"/>
    </row>
    <row r="801">
      <c r="A801" s="328"/>
      <c r="AG801" s="358"/>
    </row>
    <row r="802">
      <c r="A802" s="328"/>
      <c r="AG802" s="358"/>
    </row>
    <row r="803">
      <c r="A803" s="328"/>
      <c r="AG803" s="358"/>
    </row>
    <row r="804">
      <c r="A804" s="328"/>
      <c r="AG804" s="358"/>
    </row>
    <row r="805">
      <c r="A805" s="328"/>
      <c r="AG805" s="358"/>
    </row>
    <row r="806">
      <c r="A806" s="328"/>
      <c r="AG806" s="358"/>
    </row>
    <row r="807">
      <c r="A807" s="328"/>
      <c r="AG807" s="358"/>
    </row>
    <row r="808">
      <c r="A808" s="328"/>
      <c r="AG808" s="358"/>
    </row>
    <row r="809">
      <c r="A809" s="328"/>
      <c r="AG809" s="358"/>
    </row>
    <row r="810">
      <c r="A810" s="328"/>
      <c r="AG810" s="358"/>
    </row>
    <row r="811">
      <c r="A811" s="328"/>
      <c r="AG811" s="358"/>
    </row>
    <row r="812">
      <c r="A812" s="328"/>
      <c r="AG812" s="358"/>
    </row>
    <row r="813">
      <c r="A813" s="328"/>
      <c r="AG813" s="358"/>
    </row>
    <row r="814">
      <c r="A814" s="328"/>
      <c r="AG814" s="358"/>
    </row>
    <row r="815">
      <c r="A815" s="328"/>
      <c r="AG815" s="358"/>
    </row>
    <row r="816">
      <c r="A816" s="328"/>
      <c r="AG816" s="358"/>
    </row>
    <row r="817">
      <c r="A817" s="328"/>
      <c r="AG817" s="358"/>
    </row>
    <row r="818">
      <c r="A818" s="328"/>
      <c r="AG818" s="358"/>
    </row>
    <row r="819">
      <c r="A819" s="328"/>
      <c r="AG819" s="358"/>
    </row>
    <row r="820">
      <c r="A820" s="328"/>
      <c r="AG820" s="358"/>
    </row>
    <row r="821">
      <c r="A821" s="328"/>
      <c r="AG821" s="358"/>
    </row>
    <row r="822">
      <c r="A822" s="328"/>
      <c r="AG822" s="358"/>
    </row>
    <row r="823">
      <c r="A823" s="328"/>
      <c r="AG823" s="358"/>
    </row>
    <row r="824">
      <c r="A824" s="328"/>
      <c r="AG824" s="358"/>
    </row>
    <row r="825">
      <c r="A825" s="328"/>
      <c r="AG825" s="358"/>
    </row>
    <row r="826">
      <c r="A826" s="328"/>
      <c r="AG826" s="358"/>
    </row>
    <row r="827">
      <c r="A827" s="328"/>
      <c r="AG827" s="358"/>
    </row>
    <row r="828">
      <c r="A828" s="328"/>
      <c r="AG828" s="358"/>
    </row>
    <row r="829">
      <c r="A829" s="328"/>
      <c r="AG829" s="358"/>
    </row>
    <row r="830">
      <c r="A830" s="328"/>
      <c r="AG830" s="358"/>
    </row>
    <row r="831">
      <c r="A831" s="328"/>
      <c r="AG831" s="358"/>
    </row>
    <row r="832">
      <c r="A832" s="328"/>
      <c r="AG832" s="358"/>
    </row>
    <row r="833">
      <c r="A833" s="328"/>
      <c r="AG833" s="358"/>
    </row>
    <row r="834">
      <c r="A834" s="328"/>
      <c r="AG834" s="358"/>
    </row>
    <row r="835">
      <c r="A835" s="328"/>
      <c r="AG835" s="358"/>
    </row>
    <row r="836">
      <c r="A836" s="328"/>
      <c r="AG836" s="358"/>
    </row>
    <row r="837">
      <c r="A837" s="328"/>
      <c r="AG837" s="358"/>
    </row>
    <row r="838">
      <c r="A838" s="328"/>
      <c r="AG838" s="358"/>
    </row>
    <row r="839">
      <c r="A839" s="328"/>
      <c r="AG839" s="358"/>
    </row>
    <row r="840">
      <c r="A840" s="328"/>
      <c r="AG840" s="358"/>
    </row>
    <row r="841">
      <c r="A841" s="328"/>
      <c r="AG841" s="358"/>
    </row>
    <row r="842">
      <c r="A842" s="328"/>
      <c r="AG842" s="358"/>
    </row>
    <row r="843">
      <c r="A843" s="328"/>
      <c r="AG843" s="358"/>
    </row>
    <row r="844">
      <c r="A844" s="328"/>
      <c r="AG844" s="358"/>
    </row>
    <row r="845">
      <c r="A845" s="328"/>
      <c r="AG845" s="358"/>
    </row>
    <row r="846">
      <c r="A846" s="328"/>
      <c r="AG846" s="358"/>
    </row>
    <row r="847">
      <c r="A847" s="328"/>
      <c r="AG847" s="358"/>
    </row>
    <row r="848">
      <c r="A848" s="328"/>
      <c r="AG848" s="358"/>
    </row>
    <row r="849">
      <c r="A849" s="328"/>
      <c r="AG849" s="358"/>
    </row>
    <row r="850">
      <c r="A850" s="328"/>
      <c r="AG850" s="358"/>
    </row>
    <row r="851">
      <c r="A851" s="328"/>
      <c r="AG851" s="358"/>
    </row>
    <row r="852">
      <c r="A852" s="328"/>
      <c r="AG852" s="358"/>
    </row>
    <row r="853">
      <c r="A853" s="328"/>
      <c r="AG853" s="358"/>
    </row>
    <row r="854">
      <c r="A854" s="328"/>
      <c r="AG854" s="358"/>
    </row>
    <row r="855">
      <c r="A855" s="328"/>
      <c r="AG855" s="358"/>
    </row>
    <row r="856">
      <c r="A856" s="328"/>
      <c r="AG856" s="358"/>
    </row>
    <row r="857">
      <c r="A857" s="328"/>
      <c r="AG857" s="358"/>
    </row>
    <row r="858">
      <c r="A858" s="328"/>
      <c r="AG858" s="358"/>
    </row>
    <row r="859">
      <c r="A859" s="328"/>
      <c r="AG859" s="358"/>
    </row>
    <row r="860">
      <c r="A860" s="328"/>
      <c r="AG860" s="358"/>
    </row>
    <row r="861">
      <c r="A861" s="328"/>
      <c r="AG861" s="358"/>
    </row>
    <row r="862">
      <c r="A862" s="328"/>
      <c r="AG862" s="358"/>
    </row>
    <row r="863">
      <c r="A863" s="328"/>
      <c r="AG863" s="358"/>
    </row>
    <row r="864">
      <c r="A864" s="328"/>
      <c r="AG864" s="358"/>
    </row>
    <row r="865">
      <c r="A865" s="328"/>
      <c r="AG865" s="358"/>
    </row>
    <row r="866">
      <c r="A866" s="328"/>
      <c r="AG866" s="358"/>
    </row>
    <row r="867">
      <c r="A867" s="328"/>
      <c r="AG867" s="358"/>
    </row>
    <row r="868">
      <c r="A868" s="328"/>
      <c r="AG868" s="358"/>
    </row>
    <row r="869">
      <c r="A869" s="328"/>
      <c r="AG869" s="358"/>
    </row>
    <row r="870">
      <c r="A870" s="328"/>
      <c r="AG870" s="358"/>
    </row>
    <row r="871">
      <c r="A871" s="328"/>
      <c r="AG871" s="358"/>
    </row>
    <row r="872">
      <c r="A872" s="328"/>
      <c r="AG872" s="358"/>
    </row>
    <row r="873">
      <c r="A873" s="328"/>
      <c r="AG873" s="358"/>
    </row>
    <row r="874">
      <c r="A874" s="328"/>
      <c r="AG874" s="358"/>
    </row>
    <row r="875">
      <c r="A875" s="328"/>
      <c r="AG875" s="358"/>
    </row>
    <row r="876">
      <c r="A876" s="328"/>
      <c r="AG876" s="358"/>
    </row>
    <row r="877">
      <c r="A877" s="328"/>
      <c r="AG877" s="358"/>
    </row>
    <row r="878">
      <c r="A878" s="328"/>
      <c r="AG878" s="358"/>
    </row>
    <row r="879">
      <c r="A879" s="328"/>
      <c r="AG879" s="358"/>
    </row>
    <row r="880">
      <c r="A880" s="328"/>
      <c r="AG880" s="358"/>
    </row>
    <row r="881">
      <c r="A881" s="328"/>
      <c r="AG881" s="358"/>
    </row>
    <row r="882">
      <c r="A882" s="328"/>
      <c r="AG882" s="358"/>
    </row>
    <row r="883">
      <c r="A883" s="328"/>
      <c r="AG883" s="358"/>
    </row>
    <row r="884">
      <c r="A884" s="328"/>
      <c r="AG884" s="358"/>
    </row>
    <row r="885">
      <c r="A885" s="328"/>
      <c r="AG885" s="358"/>
    </row>
    <row r="886">
      <c r="A886" s="328"/>
      <c r="AG886" s="358"/>
    </row>
    <row r="887">
      <c r="A887" s="328"/>
      <c r="AG887" s="358"/>
    </row>
    <row r="888">
      <c r="A888" s="328"/>
      <c r="AG888" s="358"/>
    </row>
    <row r="889">
      <c r="A889" s="328"/>
      <c r="AG889" s="358"/>
    </row>
    <row r="890">
      <c r="A890" s="328"/>
      <c r="AG890" s="358"/>
    </row>
    <row r="891">
      <c r="A891" s="328"/>
      <c r="AG891" s="358"/>
    </row>
    <row r="892">
      <c r="A892" s="328"/>
      <c r="AG892" s="358"/>
    </row>
    <row r="893">
      <c r="A893" s="328"/>
      <c r="AG893" s="358"/>
    </row>
    <row r="894">
      <c r="A894" s="328"/>
      <c r="AG894" s="358"/>
    </row>
    <row r="895">
      <c r="A895" s="328"/>
      <c r="AG895" s="358"/>
    </row>
    <row r="896">
      <c r="A896" s="328"/>
      <c r="AG896" s="358"/>
    </row>
    <row r="897">
      <c r="A897" s="328"/>
      <c r="AG897" s="358"/>
    </row>
    <row r="898">
      <c r="A898" s="328"/>
      <c r="AG898" s="358"/>
    </row>
    <row r="899">
      <c r="A899" s="328"/>
      <c r="AG899" s="358"/>
    </row>
    <row r="900">
      <c r="A900" s="328"/>
      <c r="AG900" s="358"/>
    </row>
    <row r="901">
      <c r="A901" s="328"/>
      <c r="AG901" s="358"/>
    </row>
    <row r="902">
      <c r="A902" s="328"/>
      <c r="AG902" s="358"/>
    </row>
    <row r="903">
      <c r="A903" s="328"/>
      <c r="AG903" s="358"/>
    </row>
    <row r="904">
      <c r="A904" s="328"/>
      <c r="AG904" s="358"/>
    </row>
    <row r="905">
      <c r="A905" s="328"/>
      <c r="AG905" s="358"/>
    </row>
    <row r="906">
      <c r="A906" s="328"/>
      <c r="AG906" s="358"/>
    </row>
    <row r="907">
      <c r="A907" s="328"/>
      <c r="AG907" s="358"/>
    </row>
    <row r="908">
      <c r="A908" s="328"/>
      <c r="AG908" s="358"/>
    </row>
    <row r="909">
      <c r="A909" s="328"/>
      <c r="AG909" s="358"/>
    </row>
    <row r="910">
      <c r="A910" s="328"/>
      <c r="AG910" s="358"/>
    </row>
    <row r="911">
      <c r="A911" s="328"/>
      <c r="AG911" s="358"/>
    </row>
    <row r="912">
      <c r="A912" s="328"/>
      <c r="AG912" s="358"/>
    </row>
    <row r="913">
      <c r="A913" s="328"/>
      <c r="AG913" s="358"/>
    </row>
    <row r="914">
      <c r="A914" s="328"/>
      <c r="AG914" s="358"/>
    </row>
    <row r="915">
      <c r="A915" s="328"/>
      <c r="AG915" s="358"/>
    </row>
    <row r="916">
      <c r="A916" s="328"/>
      <c r="AG916" s="358"/>
    </row>
    <row r="917">
      <c r="A917" s="328"/>
      <c r="AG917" s="358"/>
    </row>
    <row r="918">
      <c r="A918" s="328"/>
      <c r="AG918" s="358"/>
    </row>
    <row r="919">
      <c r="A919" s="328"/>
      <c r="AG919" s="358"/>
    </row>
    <row r="920">
      <c r="A920" s="328"/>
      <c r="AG920" s="358"/>
    </row>
    <row r="921">
      <c r="A921" s="328"/>
      <c r="AG921" s="358"/>
    </row>
    <row r="922">
      <c r="A922" s="328"/>
      <c r="AG922" s="358"/>
    </row>
    <row r="923">
      <c r="A923" s="328"/>
      <c r="AG923" s="358"/>
    </row>
    <row r="924">
      <c r="A924" s="328"/>
      <c r="AG924" s="358"/>
    </row>
    <row r="925">
      <c r="A925" s="328"/>
      <c r="AG925" s="358"/>
    </row>
    <row r="926">
      <c r="A926" s="328"/>
      <c r="AG926" s="358"/>
    </row>
    <row r="927">
      <c r="A927" s="328"/>
      <c r="AG927" s="358"/>
    </row>
    <row r="928">
      <c r="A928" s="328"/>
      <c r="AG928" s="358"/>
    </row>
    <row r="929">
      <c r="A929" s="328"/>
      <c r="AG929" s="358"/>
    </row>
    <row r="930">
      <c r="A930" s="328"/>
      <c r="AG930" s="358"/>
    </row>
    <row r="931">
      <c r="A931" s="328"/>
      <c r="AG931" s="358"/>
    </row>
    <row r="932">
      <c r="A932" s="328"/>
      <c r="AG932" s="358"/>
    </row>
    <row r="933">
      <c r="A933" s="328"/>
      <c r="AG933" s="358"/>
    </row>
    <row r="934">
      <c r="A934" s="328"/>
      <c r="AG934" s="358"/>
    </row>
    <row r="935">
      <c r="A935" s="328"/>
      <c r="AG935" s="358"/>
    </row>
    <row r="936">
      <c r="A936" s="328"/>
      <c r="AG936" s="358"/>
    </row>
    <row r="937">
      <c r="A937" s="328"/>
      <c r="AG937" s="358"/>
    </row>
    <row r="938">
      <c r="A938" s="328"/>
      <c r="AG938" s="358"/>
    </row>
    <row r="939">
      <c r="A939" s="328"/>
      <c r="AG939" s="358"/>
    </row>
    <row r="940">
      <c r="A940" s="328"/>
      <c r="AG940" s="358"/>
    </row>
    <row r="941">
      <c r="A941" s="328"/>
      <c r="AG941" s="358"/>
    </row>
    <row r="942">
      <c r="A942" s="328"/>
      <c r="AG942" s="358"/>
    </row>
    <row r="943">
      <c r="A943" s="328"/>
      <c r="AG943" s="358"/>
    </row>
    <row r="944">
      <c r="A944" s="328"/>
      <c r="AG944" s="358"/>
    </row>
    <row r="945">
      <c r="A945" s="328"/>
      <c r="AG945" s="358"/>
    </row>
    <row r="946">
      <c r="A946" s="328"/>
      <c r="AG946" s="358"/>
    </row>
    <row r="947">
      <c r="A947" s="328"/>
      <c r="AG947" s="358"/>
    </row>
    <row r="948">
      <c r="A948" s="328"/>
      <c r="AG948" s="358"/>
    </row>
    <row r="949">
      <c r="A949" s="328"/>
      <c r="AG949" s="358"/>
    </row>
    <row r="950">
      <c r="A950" s="328"/>
      <c r="AG950" s="358"/>
    </row>
    <row r="951">
      <c r="A951" s="328"/>
      <c r="AG951" s="358"/>
    </row>
    <row r="952">
      <c r="A952" s="328"/>
      <c r="AG952" s="358"/>
    </row>
    <row r="953">
      <c r="A953" s="328"/>
      <c r="AG953" s="358"/>
    </row>
    <row r="954">
      <c r="A954" s="328"/>
      <c r="AG954" s="358"/>
    </row>
    <row r="955">
      <c r="A955" s="328"/>
      <c r="AG955" s="358"/>
    </row>
    <row r="956">
      <c r="A956" s="328"/>
      <c r="AG956" s="358"/>
    </row>
    <row r="957">
      <c r="A957" s="328"/>
      <c r="AG957" s="358"/>
    </row>
    <row r="958">
      <c r="A958" s="328"/>
      <c r="AG958" s="358"/>
    </row>
    <row r="959">
      <c r="A959" s="328"/>
      <c r="AG959" s="358"/>
    </row>
    <row r="960">
      <c r="A960" s="328"/>
      <c r="AG960" s="358"/>
    </row>
    <row r="961">
      <c r="A961" s="328"/>
      <c r="AG961" s="358"/>
    </row>
    <row r="962">
      <c r="A962" s="328"/>
      <c r="AG962" s="358"/>
    </row>
    <row r="963">
      <c r="A963" s="328"/>
      <c r="AG963" s="358"/>
    </row>
    <row r="964">
      <c r="A964" s="328"/>
      <c r="AG964" s="358"/>
    </row>
    <row r="965">
      <c r="A965" s="328"/>
      <c r="AG965" s="358"/>
    </row>
    <row r="966">
      <c r="A966" s="328"/>
      <c r="AG966" s="358"/>
    </row>
    <row r="967">
      <c r="A967" s="328"/>
      <c r="AG967" s="358"/>
    </row>
    <row r="968">
      <c r="A968" s="328"/>
      <c r="AG968" s="358"/>
    </row>
    <row r="969">
      <c r="A969" s="328"/>
      <c r="AG969" s="358"/>
    </row>
    <row r="970">
      <c r="A970" s="328"/>
      <c r="AG970" s="358"/>
    </row>
    <row r="971">
      <c r="A971" s="328"/>
      <c r="AG971" s="358"/>
    </row>
    <row r="972">
      <c r="A972" s="328"/>
      <c r="AG972" s="358"/>
    </row>
    <row r="973">
      <c r="A973" s="328"/>
      <c r="AG973" s="358"/>
    </row>
    <row r="974">
      <c r="A974" s="328"/>
      <c r="AG974" s="358"/>
    </row>
    <row r="975">
      <c r="A975" s="328"/>
      <c r="AG975" s="358"/>
    </row>
    <row r="976">
      <c r="A976" s="328"/>
      <c r="AG976" s="358"/>
    </row>
    <row r="977">
      <c r="A977" s="328"/>
      <c r="AG977" s="358"/>
    </row>
    <row r="978">
      <c r="A978" s="328"/>
      <c r="AG978" s="358"/>
    </row>
    <row r="979">
      <c r="A979" s="328"/>
      <c r="AG979" s="358"/>
    </row>
    <row r="980">
      <c r="A980" s="328"/>
      <c r="AG980" s="358"/>
    </row>
    <row r="981">
      <c r="A981" s="328"/>
      <c r="AG981" s="358"/>
    </row>
    <row r="982">
      <c r="A982" s="328"/>
      <c r="AG982" s="358"/>
    </row>
    <row r="983">
      <c r="A983" s="328"/>
      <c r="AG983" s="358"/>
    </row>
    <row r="984">
      <c r="A984" s="328"/>
      <c r="AG984" s="358"/>
    </row>
    <row r="985">
      <c r="A985" s="328"/>
      <c r="AG985" s="358"/>
    </row>
    <row r="986">
      <c r="A986" s="328"/>
      <c r="AG986" s="358"/>
    </row>
    <row r="987">
      <c r="A987" s="328"/>
      <c r="AG987" s="358"/>
    </row>
    <row r="988">
      <c r="A988" s="328"/>
      <c r="AG988" s="358"/>
    </row>
    <row r="989">
      <c r="A989" s="328"/>
      <c r="AG989" s="358"/>
    </row>
    <row r="990">
      <c r="A990" s="328"/>
      <c r="AG990" s="358"/>
    </row>
    <row r="991">
      <c r="A991" s="328"/>
      <c r="AG991" s="358"/>
    </row>
    <row r="992">
      <c r="A992" s="328"/>
      <c r="AG992" s="358"/>
    </row>
    <row r="993">
      <c r="A993" s="328"/>
      <c r="AG993" s="358"/>
    </row>
    <row r="994">
      <c r="A994" s="328"/>
      <c r="AG994" s="358"/>
    </row>
    <row r="995">
      <c r="A995" s="328"/>
      <c r="AG995" s="358"/>
    </row>
    <row r="996">
      <c r="A996" s="328"/>
      <c r="AG996" s="358"/>
    </row>
    <row r="997">
      <c r="A997" s="328"/>
      <c r="AG997" s="358"/>
    </row>
    <row r="998">
      <c r="A998" s="328"/>
      <c r="AG998" s="358"/>
    </row>
    <row r="999">
      <c r="A999" s="328"/>
      <c r="AG999" s="358"/>
    </row>
    <row r="1000">
      <c r="A1000" s="328"/>
      <c r="AG1000" s="358"/>
    </row>
    <row r="1001">
      <c r="A1001" s="328"/>
      <c r="AG1001" s="358"/>
    </row>
    <row r="1002">
      <c r="A1002" s="328"/>
      <c r="AG1002" s="358"/>
    </row>
    <row r="1003">
      <c r="A1003" s="328"/>
      <c r="AG1003" s="358"/>
    </row>
    <row r="1004">
      <c r="A1004" s="328"/>
      <c r="AG1004" s="358"/>
    </row>
    <row r="1005">
      <c r="A1005" s="328"/>
      <c r="AG1005" s="358"/>
    </row>
    <row r="1006">
      <c r="A1006" s="328"/>
      <c r="AG1006" s="358"/>
    </row>
    <row r="1007">
      <c r="A1007" s="328"/>
      <c r="AG1007" s="358"/>
    </row>
    <row r="1008">
      <c r="A1008" s="328"/>
      <c r="AG1008" s="358"/>
    </row>
    <row r="1009">
      <c r="A1009" s="328"/>
      <c r="AG1009" s="358"/>
    </row>
    <row r="1010">
      <c r="A1010" s="328"/>
      <c r="AG1010" s="358"/>
    </row>
    <row r="1011">
      <c r="A1011" s="328"/>
      <c r="AG1011" s="358"/>
    </row>
    <row r="1012">
      <c r="A1012" s="328"/>
      <c r="AG1012" s="358"/>
    </row>
    <row r="1013">
      <c r="A1013" s="328"/>
      <c r="AG1013" s="358"/>
    </row>
    <row r="1014">
      <c r="A1014" s="328"/>
      <c r="AG1014" s="358"/>
    </row>
    <row r="1015">
      <c r="A1015" s="328"/>
      <c r="AG1015" s="358"/>
    </row>
    <row r="1016">
      <c r="A1016" s="328"/>
      <c r="AG1016" s="358"/>
    </row>
    <row r="1017">
      <c r="A1017" s="328"/>
      <c r="AG1017" s="358"/>
    </row>
    <row r="1018">
      <c r="A1018" s="328"/>
      <c r="AG1018" s="358"/>
    </row>
    <row r="1019">
      <c r="A1019" s="328"/>
      <c r="AG1019" s="358"/>
    </row>
    <row r="1020">
      <c r="A1020" s="328"/>
      <c r="AG1020" s="358"/>
    </row>
    <row r="1021">
      <c r="A1021" s="328"/>
      <c r="AG1021" s="358"/>
    </row>
    <row r="1022">
      <c r="A1022" s="328"/>
      <c r="AG1022" s="358"/>
    </row>
    <row r="1023">
      <c r="A1023" s="328"/>
      <c r="AG1023" s="358"/>
    </row>
    <row r="1024">
      <c r="A1024" s="328"/>
      <c r="AG1024" s="358"/>
    </row>
    <row r="1025">
      <c r="A1025" s="328"/>
      <c r="AG1025" s="358"/>
    </row>
    <row r="1026">
      <c r="A1026" s="328"/>
      <c r="AG1026" s="358"/>
    </row>
    <row r="1027">
      <c r="A1027" s="328"/>
      <c r="AG1027" s="358"/>
    </row>
    <row r="1028">
      <c r="A1028" s="328"/>
      <c r="AG1028" s="358"/>
    </row>
    <row r="1029">
      <c r="A1029" s="328"/>
      <c r="AG1029" s="358"/>
    </row>
    <row r="1030">
      <c r="A1030" s="328"/>
      <c r="AG1030" s="358"/>
    </row>
    <row r="1031">
      <c r="A1031" s="328"/>
      <c r="AG1031" s="358"/>
    </row>
    <row r="1032">
      <c r="A1032" s="328"/>
      <c r="AG1032" s="358"/>
    </row>
    <row r="1033">
      <c r="A1033" s="328"/>
      <c r="AG1033" s="358"/>
    </row>
    <row r="1034">
      <c r="A1034" s="328"/>
      <c r="AG1034" s="358"/>
    </row>
    <row r="1035">
      <c r="A1035" s="328"/>
      <c r="AG1035" s="358"/>
    </row>
    <row r="1036">
      <c r="A1036" s="328"/>
      <c r="AG1036" s="358"/>
    </row>
    <row r="1037">
      <c r="A1037" s="328"/>
      <c r="AG1037" s="358"/>
    </row>
    <row r="1038">
      <c r="A1038" s="328"/>
      <c r="AG1038" s="358"/>
    </row>
    <row r="1039">
      <c r="A1039" s="328"/>
      <c r="AG1039" s="358"/>
    </row>
    <row r="1040">
      <c r="A1040" s="328"/>
      <c r="AG1040" s="358"/>
    </row>
    <row r="1041">
      <c r="A1041" s="328"/>
      <c r="AG1041" s="358"/>
    </row>
    <row r="1042">
      <c r="A1042" s="328"/>
      <c r="AG1042" s="358"/>
    </row>
    <row r="1043">
      <c r="A1043" s="328"/>
      <c r="AG1043" s="358"/>
    </row>
    <row r="1044">
      <c r="A1044" s="328"/>
      <c r="AG1044" s="358"/>
    </row>
    <row r="1045">
      <c r="A1045" s="328"/>
      <c r="AG1045" s="358"/>
    </row>
    <row r="1046">
      <c r="A1046" s="328"/>
      <c r="AG1046" s="358"/>
    </row>
    <row r="1047">
      <c r="A1047" s="328"/>
      <c r="AG1047" s="358"/>
    </row>
    <row r="1048">
      <c r="A1048" s="328"/>
      <c r="AG1048" s="358"/>
    </row>
    <row r="1049">
      <c r="A1049" s="328"/>
      <c r="AG1049" s="358"/>
    </row>
    <row r="1050">
      <c r="A1050" s="328"/>
      <c r="AG1050" s="358"/>
    </row>
    <row r="1051">
      <c r="A1051" s="328"/>
      <c r="AG1051" s="358"/>
    </row>
    <row r="1052">
      <c r="A1052" s="328"/>
      <c r="AG1052" s="358"/>
    </row>
    <row r="1053">
      <c r="A1053" s="328"/>
      <c r="AG1053" s="358"/>
    </row>
    <row r="1054">
      <c r="A1054" s="328"/>
      <c r="AG1054" s="358"/>
    </row>
    <row r="1055">
      <c r="A1055" s="328"/>
      <c r="AG1055" s="358"/>
    </row>
    <row r="1056">
      <c r="A1056" s="328"/>
      <c r="AG1056" s="358"/>
    </row>
    <row r="1057">
      <c r="A1057" s="328"/>
      <c r="AG1057" s="358"/>
    </row>
    <row r="1058">
      <c r="A1058" s="328"/>
      <c r="AG1058" s="358"/>
    </row>
    <row r="1059">
      <c r="A1059" s="328"/>
      <c r="AG1059" s="358"/>
    </row>
    <row r="1060">
      <c r="A1060" s="328"/>
      <c r="AG1060" s="358"/>
    </row>
    <row r="1061">
      <c r="A1061" s="328"/>
      <c r="AG1061" s="358"/>
    </row>
    <row r="1062">
      <c r="A1062" s="328"/>
      <c r="AG1062" s="358"/>
    </row>
    <row r="1063">
      <c r="A1063" s="328"/>
      <c r="AG1063" s="358"/>
    </row>
    <row r="1064">
      <c r="A1064" s="328"/>
      <c r="AG1064" s="358"/>
    </row>
    <row r="1065">
      <c r="A1065" s="328"/>
      <c r="AG1065" s="358"/>
    </row>
    <row r="1066">
      <c r="A1066" s="328"/>
      <c r="AG1066" s="358"/>
    </row>
    <row r="1067">
      <c r="A1067" s="328"/>
      <c r="AG1067" s="358"/>
    </row>
    <row r="1068">
      <c r="A1068" s="328"/>
      <c r="AG1068" s="358"/>
    </row>
    <row r="1069">
      <c r="A1069" s="328"/>
      <c r="AG1069" s="358"/>
    </row>
    <row r="1070">
      <c r="A1070" s="328"/>
      <c r="AG1070" s="358"/>
    </row>
    <row r="1071">
      <c r="A1071" s="328"/>
      <c r="AG1071" s="358"/>
    </row>
    <row r="1072">
      <c r="A1072" s="328"/>
      <c r="AG1072" s="358"/>
    </row>
    <row r="1073">
      <c r="A1073" s="328"/>
      <c r="AG1073" s="358"/>
    </row>
    <row r="1074">
      <c r="A1074" s="328"/>
      <c r="AG1074" s="358"/>
    </row>
    <row r="1075">
      <c r="A1075" s="328"/>
      <c r="AG1075" s="358"/>
    </row>
    <row r="1076">
      <c r="A1076" s="328"/>
      <c r="AG1076" s="358"/>
    </row>
    <row r="1077">
      <c r="A1077" s="328"/>
      <c r="AG1077" s="358"/>
    </row>
    <row r="1078">
      <c r="A1078" s="328"/>
      <c r="AG1078" s="358"/>
    </row>
    <row r="1079">
      <c r="A1079" s="328"/>
      <c r="AG1079" s="358"/>
    </row>
    <row r="1080">
      <c r="A1080" s="328"/>
      <c r="AG1080" s="358"/>
    </row>
    <row r="1081">
      <c r="A1081" s="328"/>
      <c r="AG1081" s="358"/>
    </row>
    <row r="1082">
      <c r="A1082" s="328"/>
      <c r="AG1082" s="358"/>
    </row>
    <row r="1083">
      <c r="A1083" s="328"/>
      <c r="AG1083" s="358"/>
    </row>
    <row r="1084">
      <c r="A1084" s="328"/>
      <c r="AG1084" s="358"/>
    </row>
    <row r="1085">
      <c r="A1085" s="328"/>
      <c r="AG1085" s="358"/>
    </row>
    <row r="1086">
      <c r="A1086" s="328"/>
      <c r="AG1086" s="358"/>
    </row>
    <row r="1087">
      <c r="A1087" s="328"/>
      <c r="AG1087" s="358"/>
    </row>
    <row r="1088">
      <c r="A1088" s="328"/>
      <c r="AG1088" s="358"/>
    </row>
    <row r="1089">
      <c r="A1089" s="328"/>
      <c r="AG1089" s="358"/>
    </row>
    <row r="1090">
      <c r="A1090" s="328"/>
      <c r="AG1090" s="358"/>
    </row>
    <row r="1091">
      <c r="A1091" s="328"/>
      <c r="AG1091" s="358"/>
    </row>
    <row r="1092">
      <c r="A1092" s="328"/>
      <c r="AG1092" s="358"/>
    </row>
    <row r="1093">
      <c r="A1093" s="328"/>
      <c r="AG1093" s="358"/>
    </row>
    <row r="1094">
      <c r="A1094" s="328"/>
      <c r="AG1094" s="358"/>
    </row>
    <row r="1095">
      <c r="A1095" s="328"/>
      <c r="AG1095" s="358"/>
    </row>
    <row r="1096">
      <c r="A1096" s="328"/>
      <c r="AG1096" s="358"/>
    </row>
    <row r="1097">
      <c r="A1097" s="328"/>
      <c r="AG1097" s="358"/>
    </row>
    <row r="1098">
      <c r="A1098" s="328"/>
      <c r="AG1098" s="358"/>
    </row>
    <row r="1099">
      <c r="A1099" s="328"/>
      <c r="AG1099" s="358"/>
    </row>
    <row r="1100">
      <c r="A1100" s="328"/>
      <c r="AG1100" s="358"/>
    </row>
    <row r="1101">
      <c r="A1101" s="328"/>
      <c r="AG1101" s="358"/>
    </row>
    <row r="1102">
      <c r="A1102" s="328"/>
      <c r="AG1102" s="358"/>
    </row>
    <row r="1103">
      <c r="A1103" s="328"/>
      <c r="AG1103" s="358"/>
    </row>
    <row r="1104">
      <c r="A1104" s="328"/>
      <c r="AG1104" s="358"/>
    </row>
    <row r="1105">
      <c r="A1105" s="328"/>
      <c r="AG1105" s="358"/>
    </row>
    <row r="1106">
      <c r="A1106" s="328"/>
      <c r="AG1106" s="358"/>
    </row>
    <row r="1107">
      <c r="A1107" s="328"/>
      <c r="AG1107" s="358"/>
    </row>
    <row r="1108">
      <c r="A1108" s="328"/>
      <c r="AG1108" s="358"/>
    </row>
    <row r="1109">
      <c r="A1109" s="328"/>
      <c r="AG1109" s="358"/>
    </row>
    <row r="1110">
      <c r="A1110" s="328"/>
      <c r="AG1110" s="358"/>
    </row>
    <row r="1111">
      <c r="A1111" s="328"/>
      <c r="AG1111" s="358"/>
    </row>
    <row r="1112">
      <c r="A1112" s="328"/>
      <c r="AG1112" s="358"/>
    </row>
    <row r="1113">
      <c r="A1113" s="328"/>
      <c r="AG1113" s="358"/>
    </row>
    <row r="1114">
      <c r="A1114" s="328"/>
      <c r="AG1114" s="358"/>
    </row>
    <row r="1115">
      <c r="A1115" s="328"/>
      <c r="AG1115" s="358"/>
    </row>
    <row r="1116">
      <c r="A1116" s="328"/>
      <c r="AG1116" s="358"/>
    </row>
    <row r="1117">
      <c r="A1117" s="328"/>
      <c r="AG1117" s="358"/>
    </row>
    <row r="1118">
      <c r="A1118" s="328"/>
      <c r="AG1118" s="358"/>
    </row>
    <row r="1119">
      <c r="A1119" s="328"/>
      <c r="AG1119" s="358"/>
    </row>
    <row r="1120">
      <c r="A1120" s="328"/>
      <c r="AG1120" s="358"/>
    </row>
  </sheetData>
  <conditionalFormatting sqref="B546:AF546">
    <cfRule type="cellIs" dxfId="0" priority="1" operator="lessThan">
      <formula>0</formula>
    </cfRule>
  </conditionalFormatting>
  <conditionalFormatting sqref="B546:AF546">
    <cfRule type="cellIs" dxfId="1" priority="2" operator="greaterThan">
      <formula>0</formula>
    </cfRule>
  </conditionalFormatting>
  <conditionalFormatting sqref="B475:AF475">
    <cfRule type="colorScale" priority="3">
      <colorScale>
        <cfvo type="min"/>
        <cfvo type="max"/>
        <color rgb="FFFFFFFF"/>
        <color rgb="FFE67C73"/>
      </colorScale>
    </cfRule>
  </conditionalFormatting>
  <conditionalFormatting sqref="B63:AF63 B75:AF75 B112:AF112 B115:AF115">
    <cfRule type="cellIs" dxfId="0" priority="4" operator="lessThan">
      <formula>0</formula>
    </cfRule>
  </conditionalFormatting>
  <conditionalFormatting sqref="B63:AF63 B75:AF75 B112:AF112 B115:AF115">
    <cfRule type="cellIs" dxfId="1" priority="5" operator="greaterThan">
      <formula>0</formula>
    </cfRule>
  </conditionalFormatting>
  <conditionalFormatting sqref="B81:AF81 B87:AF87 B112:AF112 B115:AF115">
    <cfRule type="cellIs" dxfId="1" priority="6" operator="greaterThan">
      <formula>0</formula>
    </cfRule>
  </conditionalFormatting>
  <conditionalFormatting sqref="B81:AF81 B87:AF87 B112:AF112 B115:AF115">
    <cfRule type="cellIs" dxfId="0" priority="7" operator="lessThan">
      <formula>0</formula>
    </cfRule>
  </conditionalFormatting>
  <conditionalFormatting sqref="B57:AF57">
    <cfRule type="cellIs" dxfId="1" priority="8" operator="greaterThan">
      <formula>0</formula>
    </cfRule>
  </conditionalFormatting>
  <conditionalFormatting sqref="B57:AF57">
    <cfRule type="cellIs" dxfId="0" priority="9" operator="lessThan">
      <formula>0</formula>
    </cfRule>
  </conditionalFormatting>
  <conditionalFormatting sqref="B549:AF549">
    <cfRule type="colorScale" priority="10">
      <colorScale>
        <cfvo type="min"/>
        <cfvo type="max"/>
        <color rgb="FFFFFFFF"/>
        <color rgb="FF57BB8A"/>
      </colorScale>
    </cfRule>
  </conditionalFormatting>
  <conditionalFormatting sqref="B551:AF551">
    <cfRule type="colorScale" priority="11">
      <colorScale>
        <cfvo type="min"/>
        <cfvo type="max"/>
        <color rgb="FFFFFFFF"/>
        <color rgb="FF57BB8A"/>
      </colorScale>
    </cfRule>
  </conditionalFormatting>
  <conditionalFormatting sqref="A58">
    <cfRule type="cellIs" dxfId="2" priority="12" operator="greaterThan">
      <formula>0</formula>
    </cfRule>
  </conditionalFormatting>
  <conditionalFormatting sqref="A58">
    <cfRule type="cellIs" dxfId="0" priority="13" operator="lessThan">
      <formula>0</formula>
    </cfRule>
  </conditionalFormatting>
  <conditionalFormatting sqref="B69:AF69 R91">
    <cfRule type="cellIs" dxfId="1" priority="14" operator="greaterThan">
      <formula>0</formula>
    </cfRule>
  </conditionalFormatting>
  <conditionalFormatting sqref="B69:AF69 R91">
    <cfRule type="cellIs" dxfId="0" priority="15" operator="lessThan">
      <formula>0</formula>
    </cfRule>
  </conditionalFormatting>
  <conditionalFormatting sqref="A547">
    <cfRule type="cellIs" dxfId="3" priority="16" operator="greaterThan">
      <formula>0</formula>
    </cfRule>
  </conditionalFormatting>
  <conditionalFormatting sqref="A547">
    <cfRule type="cellIs" dxfId="4" priority="17" operator="lessThan">
      <formula>0</formula>
    </cfRule>
  </conditionalFormatting>
  <conditionalFormatting sqref="B507:AF507">
    <cfRule type="colorScale" priority="18">
      <colorScale>
        <cfvo type="min"/>
        <cfvo type="max"/>
        <color rgb="FFFFFFFF"/>
        <color rgb="FFE67C73"/>
      </colorScale>
    </cfRule>
  </conditionalFormatting>
  <conditionalFormatting sqref="B508:AF508">
    <cfRule type="colorScale" priority="19">
      <colorScale>
        <cfvo type="min"/>
        <cfvo type="max"/>
        <color rgb="FFFFFFFF"/>
        <color rgb="FFE67C7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88"/>
    <col customWidth="1" min="2" max="2" width="10.75"/>
    <col customWidth="1" min="3" max="4" width="13.13"/>
    <col customWidth="1" min="5" max="5" width="20.5"/>
    <col customWidth="1" min="6" max="6" width="30.0"/>
    <col customWidth="1" min="7" max="7" width="22.25"/>
    <col customWidth="1" min="8" max="8" width="16.63"/>
    <col customWidth="1" min="9" max="10" width="17.38"/>
    <col customWidth="1" min="11" max="11" width="15.63"/>
    <col customWidth="1" min="12" max="12" width="16.5"/>
    <col customWidth="1" min="13" max="14" width="14.88"/>
    <col customWidth="1" min="15" max="15" width="15.5"/>
    <col customWidth="1" min="16" max="22" width="16.88"/>
    <col customWidth="1" min="24" max="24" width="29.75"/>
    <col customWidth="1" min="25" max="25" width="13.0"/>
    <col customWidth="1" min="26" max="26" width="11.5"/>
  </cols>
  <sheetData>
    <row r="1">
      <c r="A1" s="2" t="s">
        <v>1</v>
      </c>
      <c r="B1" s="4" t="s">
        <v>11</v>
      </c>
      <c r="C1" s="2" t="s">
        <v>20</v>
      </c>
      <c r="D1" s="6" t="s">
        <v>23</v>
      </c>
      <c r="E1" s="6" t="s">
        <v>26</v>
      </c>
      <c r="F1" s="6" t="s">
        <v>29</v>
      </c>
      <c r="G1" s="6" t="s">
        <v>31</v>
      </c>
      <c r="H1" s="7" t="s">
        <v>34</v>
      </c>
      <c r="I1" s="8" t="s">
        <v>38</v>
      </c>
      <c r="J1" s="8" t="s">
        <v>41</v>
      </c>
      <c r="K1" s="9" t="s">
        <v>43</v>
      </c>
      <c r="L1" s="9" t="s">
        <v>47</v>
      </c>
      <c r="M1" s="9" t="s">
        <v>50</v>
      </c>
      <c r="N1" s="9" t="s">
        <v>53</v>
      </c>
      <c r="O1" s="9" t="s">
        <v>55</v>
      </c>
      <c r="P1" s="9" t="s">
        <v>58</v>
      </c>
      <c r="Q1" s="9" t="s">
        <v>59</v>
      </c>
      <c r="R1" s="9" t="s">
        <v>60</v>
      </c>
      <c r="S1" s="9" t="s">
        <v>61</v>
      </c>
      <c r="T1" s="9" t="s">
        <v>62</v>
      </c>
      <c r="U1" s="9" t="s">
        <v>63</v>
      </c>
      <c r="V1" s="9" t="s">
        <v>64</v>
      </c>
      <c r="W1" s="11"/>
      <c r="X1" s="14" t="s">
        <v>31</v>
      </c>
      <c r="Y1" s="16"/>
      <c r="Z1" s="11"/>
      <c r="AA1" s="11"/>
      <c r="AB1" s="11"/>
      <c r="AC1" s="11"/>
      <c r="AD1" s="11"/>
      <c r="AE1" s="11"/>
      <c r="AF1" s="11"/>
      <c r="AG1" s="11"/>
      <c r="AH1" s="11"/>
      <c r="AI1" s="11"/>
      <c r="AJ1" s="11"/>
      <c r="AK1" s="11"/>
      <c r="AL1" s="11"/>
      <c r="AM1" s="11"/>
      <c r="AN1" s="11"/>
      <c r="AO1" s="11"/>
    </row>
    <row r="2" ht="15.0" customHeight="1">
      <c r="A2" s="22">
        <v>44929.0</v>
      </c>
      <c r="B2" s="24">
        <v>20.39</v>
      </c>
      <c r="C2" s="22">
        <v>44923.0</v>
      </c>
      <c r="D2" s="25" t="s">
        <v>89</v>
      </c>
      <c r="E2" s="25" t="s">
        <v>90</v>
      </c>
      <c r="F2" s="25" t="s">
        <v>91</v>
      </c>
      <c r="G2" s="25" t="s">
        <v>92</v>
      </c>
      <c r="H2" s="25" t="s">
        <v>94</v>
      </c>
      <c r="I2" s="25" t="s">
        <v>94</v>
      </c>
      <c r="J2" s="25" t="s">
        <v>95</v>
      </c>
      <c r="K2" s="25"/>
      <c r="L2" s="22"/>
      <c r="M2" s="22"/>
      <c r="N2" s="25"/>
      <c r="O2" s="22"/>
      <c r="P2" s="25">
        <v>1.0</v>
      </c>
      <c r="Q2" s="25"/>
      <c r="R2" s="22"/>
      <c r="S2" s="22"/>
      <c r="T2" s="22"/>
      <c r="U2" s="22"/>
      <c r="V2" s="22"/>
      <c r="W2" s="25"/>
      <c r="X2" s="31" t="s">
        <v>99</v>
      </c>
      <c r="Y2" s="33">
        <v>2.0</v>
      </c>
      <c r="Z2" s="35">
        <f>Y2/Y7</f>
        <v>1</v>
      </c>
      <c r="AA2" s="36"/>
      <c r="AB2" s="36"/>
      <c r="AC2" s="36"/>
      <c r="AD2" s="36"/>
      <c r="AE2" s="36"/>
      <c r="AF2" s="36"/>
      <c r="AG2" s="36"/>
      <c r="AH2" s="36"/>
      <c r="AI2" s="36"/>
      <c r="AJ2" s="36"/>
      <c r="AK2" s="36"/>
      <c r="AL2" s="36"/>
      <c r="AM2" s="36"/>
      <c r="AN2" s="36"/>
      <c r="AO2" s="36"/>
    </row>
    <row r="3">
      <c r="A3" s="22">
        <v>44929.0</v>
      </c>
      <c r="B3" s="37">
        <v>17.8</v>
      </c>
      <c r="C3" s="22">
        <v>44159.0</v>
      </c>
      <c r="D3" s="25" t="s">
        <v>107</v>
      </c>
      <c r="E3" s="25" t="s">
        <v>108</v>
      </c>
      <c r="F3" s="25" t="s">
        <v>109</v>
      </c>
      <c r="G3" s="25" t="s">
        <v>110</v>
      </c>
      <c r="H3" s="25" t="s">
        <v>94</v>
      </c>
      <c r="I3" s="25" t="s">
        <v>111</v>
      </c>
      <c r="J3" s="25" t="s">
        <v>112</v>
      </c>
      <c r="K3" s="22"/>
      <c r="L3" s="25"/>
      <c r="M3" s="22"/>
      <c r="N3" s="25">
        <v>1.0</v>
      </c>
      <c r="O3" s="25"/>
      <c r="P3" s="25"/>
      <c r="Q3" s="22"/>
      <c r="R3" s="22"/>
      <c r="S3" s="22"/>
      <c r="T3" s="22"/>
      <c r="U3" s="22"/>
      <c r="V3" s="22"/>
      <c r="W3" s="25"/>
      <c r="X3" s="31" t="s">
        <v>114</v>
      </c>
      <c r="Y3" s="33">
        <v>57.0</v>
      </c>
      <c r="Z3" s="35">
        <f>Y3/Y4</f>
        <v>0.75</v>
      </c>
      <c r="AA3" s="36"/>
      <c r="AB3" s="36"/>
      <c r="AC3" s="36"/>
      <c r="AD3" s="36"/>
      <c r="AE3" s="36"/>
      <c r="AF3" s="36"/>
      <c r="AG3" s="36"/>
      <c r="AH3" s="36"/>
      <c r="AI3" s="36"/>
      <c r="AJ3" s="36"/>
      <c r="AK3" s="36"/>
      <c r="AL3" s="36"/>
      <c r="AM3" s="36"/>
      <c r="AN3" s="36"/>
      <c r="AO3" s="36"/>
    </row>
    <row r="4">
      <c r="A4" s="22">
        <v>44929.0</v>
      </c>
      <c r="B4" s="24">
        <v>70.0</v>
      </c>
      <c r="C4" s="22">
        <v>44923.0</v>
      </c>
      <c r="D4" s="40" t="s">
        <v>116</v>
      </c>
      <c r="E4" s="25" t="s">
        <v>117</v>
      </c>
      <c r="F4" s="25" t="s">
        <v>118</v>
      </c>
      <c r="G4" s="25" t="s">
        <v>92</v>
      </c>
      <c r="H4" s="25" t="s">
        <v>94</v>
      </c>
      <c r="I4" s="25" t="s">
        <v>94</v>
      </c>
      <c r="J4" s="25" t="s">
        <v>95</v>
      </c>
      <c r="K4" s="25"/>
      <c r="L4" s="22"/>
      <c r="M4" s="25">
        <v>1.0</v>
      </c>
      <c r="N4" s="25"/>
      <c r="O4" s="22"/>
      <c r="P4" s="25"/>
      <c r="Q4" s="22"/>
      <c r="R4" s="22"/>
      <c r="S4" s="22"/>
      <c r="T4" s="22"/>
      <c r="U4" s="22"/>
      <c r="V4" s="22"/>
      <c r="W4" s="25"/>
      <c r="X4" s="31" t="s">
        <v>120</v>
      </c>
      <c r="Y4" s="33">
        <v>76.0</v>
      </c>
      <c r="Z4" s="35" t="str">
        <f>Y4/Y10</f>
        <v>#DIV/0!</v>
      </c>
      <c r="AA4" s="36"/>
      <c r="AB4" s="36"/>
      <c r="AC4" s="36"/>
      <c r="AD4" s="36"/>
      <c r="AE4" s="36"/>
      <c r="AF4" s="36"/>
      <c r="AG4" s="36"/>
      <c r="AH4" s="36"/>
      <c r="AI4" s="36"/>
      <c r="AJ4" s="36"/>
      <c r="AK4" s="36"/>
      <c r="AL4" s="36"/>
      <c r="AM4" s="36"/>
      <c r="AN4" s="36"/>
      <c r="AO4" s="36"/>
    </row>
    <row r="5">
      <c r="A5" s="22">
        <v>44929.0</v>
      </c>
      <c r="B5" s="37">
        <v>12.0</v>
      </c>
      <c r="C5" s="22">
        <v>44371.0</v>
      </c>
      <c r="D5" s="25" t="s">
        <v>122</v>
      </c>
      <c r="E5" s="25" t="s">
        <v>123</v>
      </c>
      <c r="F5" s="25" t="s">
        <v>124</v>
      </c>
      <c r="G5" s="25" t="s">
        <v>92</v>
      </c>
      <c r="H5" s="25" t="s">
        <v>94</v>
      </c>
      <c r="I5" s="25" t="s">
        <v>125</v>
      </c>
      <c r="J5" s="25" t="s">
        <v>95</v>
      </c>
      <c r="K5" s="25"/>
      <c r="L5" s="22"/>
      <c r="M5" s="25"/>
      <c r="N5" s="22"/>
      <c r="O5" s="22"/>
      <c r="P5" s="25">
        <v>1.0</v>
      </c>
      <c r="Q5" s="22"/>
      <c r="R5" s="22"/>
      <c r="S5" s="22"/>
      <c r="T5" s="22"/>
      <c r="U5" s="22"/>
      <c r="V5" s="22"/>
      <c r="W5" s="25"/>
      <c r="X5" s="31" t="s">
        <v>127</v>
      </c>
      <c r="Y5" s="33">
        <v>2.0</v>
      </c>
      <c r="Z5" s="35" t="str">
        <f>Y5/Y9</f>
        <v>#DIV/0!</v>
      </c>
      <c r="AA5" s="36"/>
      <c r="AB5" s="36"/>
      <c r="AC5" s="36"/>
      <c r="AD5" s="36"/>
      <c r="AE5" s="36"/>
      <c r="AF5" s="36"/>
      <c r="AG5" s="36"/>
      <c r="AH5" s="36"/>
      <c r="AI5" s="36"/>
      <c r="AJ5" s="36"/>
      <c r="AK5" s="36"/>
      <c r="AL5" s="36"/>
      <c r="AM5" s="36"/>
      <c r="AN5" s="36"/>
      <c r="AO5" s="36"/>
    </row>
    <row r="6" ht="18.0" customHeight="1">
      <c r="A6" s="22">
        <v>44929.0</v>
      </c>
      <c r="B6" s="24">
        <v>17.8</v>
      </c>
      <c r="C6" s="22">
        <v>44098.0</v>
      </c>
      <c r="D6" s="25" t="s">
        <v>128</v>
      </c>
      <c r="E6" s="25" t="s">
        <v>129</v>
      </c>
      <c r="F6" s="25" t="s">
        <v>130</v>
      </c>
      <c r="G6" s="25" t="s">
        <v>92</v>
      </c>
      <c r="H6" s="25" t="s">
        <v>94</v>
      </c>
      <c r="I6" s="25" t="s">
        <v>111</v>
      </c>
      <c r="J6" s="25" t="s">
        <v>95</v>
      </c>
      <c r="K6" s="25"/>
      <c r="L6" s="25"/>
      <c r="M6" s="22"/>
      <c r="N6" s="25"/>
      <c r="O6" s="25">
        <v>1.0</v>
      </c>
      <c r="P6" s="25"/>
      <c r="Q6" s="22"/>
      <c r="R6" s="22"/>
      <c r="S6" s="22"/>
      <c r="T6" s="22"/>
      <c r="U6" s="22"/>
      <c r="V6" s="22"/>
      <c r="W6" s="25"/>
      <c r="X6" s="31" t="s">
        <v>126</v>
      </c>
      <c r="Y6" s="54" t="str">
        <f>SUM(#REF!)</f>
        <v>#REF!</v>
      </c>
      <c r="Z6" s="55"/>
      <c r="AA6" s="36"/>
      <c r="AB6" s="36"/>
      <c r="AC6" s="36"/>
      <c r="AD6" s="36"/>
      <c r="AE6" s="36"/>
      <c r="AF6" s="36"/>
      <c r="AG6" s="36"/>
      <c r="AH6" s="36"/>
      <c r="AI6" s="36"/>
      <c r="AJ6" s="36"/>
      <c r="AK6" s="36"/>
      <c r="AL6" s="36"/>
      <c r="AM6" s="36"/>
      <c r="AN6" s="36"/>
      <c r="AO6" s="36"/>
    </row>
    <row r="7" ht="19.5" customHeight="1">
      <c r="A7" s="22">
        <v>44929.0</v>
      </c>
      <c r="B7" s="24">
        <v>249.0</v>
      </c>
      <c r="C7" s="22">
        <v>44672.0</v>
      </c>
      <c r="D7" s="25" t="s">
        <v>132</v>
      </c>
      <c r="E7" s="25" t="s">
        <v>133</v>
      </c>
      <c r="F7" s="25" t="s">
        <v>134</v>
      </c>
      <c r="G7" s="25" t="s">
        <v>92</v>
      </c>
      <c r="H7" s="25" t="s">
        <v>94</v>
      </c>
      <c r="I7" s="25" t="s">
        <v>135</v>
      </c>
      <c r="J7" s="25" t="s">
        <v>136</v>
      </c>
      <c r="K7" s="25">
        <v>1.0</v>
      </c>
      <c r="L7" s="22"/>
      <c r="M7" s="25"/>
      <c r="N7" s="25"/>
      <c r="O7" s="25">
        <v>1.0</v>
      </c>
      <c r="P7" s="25"/>
      <c r="Q7" s="25"/>
      <c r="R7" s="22"/>
      <c r="S7" s="22"/>
      <c r="T7" s="22"/>
      <c r="U7" s="22"/>
      <c r="V7" s="22"/>
      <c r="W7" s="25"/>
      <c r="X7" s="31" t="s">
        <v>137</v>
      </c>
      <c r="Y7" s="33">
        <v>2.0</v>
      </c>
      <c r="Z7" s="35" t="str">
        <f>Y7/Y10</f>
        <v>#DIV/0!</v>
      </c>
      <c r="AA7" s="36"/>
      <c r="AB7" s="36"/>
      <c r="AC7" s="36"/>
      <c r="AD7" s="36"/>
      <c r="AE7" s="36"/>
      <c r="AF7" s="36"/>
      <c r="AG7" s="36"/>
      <c r="AH7" s="36"/>
      <c r="AI7" s="36"/>
      <c r="AJ7" s="36"/>
      <c r="AK7" s="36"/>
      <c r="AL7" s="36"/>
      <c r="AM7" s="36"/>
      <c r="AN7" s="36"/>
      <c r="AO7" s="36"/>
    </row>
    <row r="8" ht="18.75" customHeight="1">
      <c r="A8" s="22">
        <v>44929.0</v>
      </c>
      <c r="B8" s="24">
        <v>14.8</v>
      </c>
      <c r="C8" s="22">
        <v>44926.0</v>
      </c>
      <c r="D8" s="25" t="s">
        <v>138</v>
      </c>
      <c r="E8" s="25" t="s">
        <v>139</v>
      </c>
      <c r="F8" s="25" t="s">
        <v>140</v>
      </c>
      <c r="G8" s="25" t="s">
        <v>92</v>
      </c>
      <c r="H8" s="25" t="s">
        <v>94</v>
      </c>
      <c r="I8" s="25" t="s">
        <v>94</v>
      </c>
      <c r="J8" s="25" t="s">
        <v>95</v>
      </c>
      <c r="K8" s="25"/>
      <c r="L8" s="25"/>
      <c r="M8" s="25"/>
      <c r="N8" s="22"/>
      <c r="O8" s="22"/>
      <c r="P8" s="25">
        <v>1.0</v>
      </c>
      <c r="Q8" s="22"/>
      <c r="R8" s="22"/>
      <c r="S8" s="22"/>
      <c r="T8" s="22"/>
      <c r="U8" s="22"/>
      <c r="V8" s="22"/>
      <c r="W8" s="25"/>
      <c r="X8" s="31" t="s">
        <v>141</v>
      </c>
      <c r="Y8" s="33">
        <v>17.0</v>
      </c>
      <c r="Z8" s="54" t="str">
        <f>Y8/Y10</f>
        <v>#DIV/0!</v>
      </c>
      <c r="AA8" s="64"/>
      <c r="AB8" s="64"/>
      <c r="AC8" s="64"/>
      <c r="AD8" s="64"/>
      <c r="AE8" s="64"/>
      <c r="AF8" s="64"/>
      <c r="AG8" s="64"/>
      <c r="AH8" s="64"/>
      <c r="AI8" s="64"/>
      <c r="AJ8" s="64"/>
      <c r="AK8" s="64"/>
      <c r="AL8" s="64"/>
      <c r="AM8" s="64"/>
      <c r="AN8" s="64"/>
      <c r="AO8" s="64"/>
    </row>
    <row r="9">
      <c r="A9" s="22">
        <v>44930.0</v>
      </c>
      <c r="B9" s="24">
        <v>24.0</v>
      </c>
      <c r="C9" s="22">
        <v>44891.0</v>
      </c>
      <c r="D9" s="25" t="s">
        <v>142</v>
      </c>
      <c r="E9" s="25" t="s">
        <v>143</v>
      </c>
      <c r="F9" s="25" t="s">
        <v>144</v>
      </c>
      <c r="G9" s="25" t="s">
        <v>92</v>
      </c>
      <c r="H9" s="25" t="s">
        <v>94</v>
      </c>
      <c r="I9" s="25" t="s">
        <v>94</v>
      </c>
      <c r="J9" s="25" t="s">
        <v>95</v>
      </c>
      <c r="K9" s="25"/>
      <c r="L9" s="25"/>
      <c r="M9" s="25"/>
      <c r="N9" s="25"/>
      <c r="O9" s="22"/>
      <c r="P9" s="25"/>
      <c r="Q9" s="67"/>
      <c r="R9" s="68"/>
      <c r="S9" s="68"/>
      <c r="T9" s="22"/>
      <c r="U9" s="22"/>
      <c r="V9" s="22"/>
      <c r="W9" s="68"/>
      <c r="X9" s="69"/>
      <c r="Y9" s="69"/>
      <c r="Z9" s="69"/>
      <c r="AA9" s="69"/>
      <c r="AB9" s="69"/>
      <c r="AC9" s="69"/>
      <c r="AD9" s="69"/>
      <c r="AE9" s="69"/>
      <c r="AF9" s="69"/>
      <c r="AG9" s="69"/>
      <c r="AH9" s="69"/>
      <c r="AI9" s="69"/>
      <c r="AJ9" s="69"/>
      <c r="AK9" s="69"/>
      <c r="AL9" s="69"/>
      <c r="AM9" s="69"/>
      <c r="AN9" s="69"/>
      <c r="AO9" s="69"/>
    </row>
    <row r="10">
      <c r="A10" s="22">
        <v>44930.0</v>
      </c>
      <c r="B10" s="24">
        <v>373.48</v>
      </c>
      <c r="C10" s="22">
        <v>44926.0</v>
      </c>
      <c r="D10" s="25" t="s">
        <v>145</v>
      </c>
      <c r="E10" s="25" t="s">
        <v>146</v>
      </c>
      <c r="F10" s="25" t="s">
        <v>147</v>
      </c>
      <c r="G10" s="25" t="s">
        <v>110</v>
      </c>
      <c r="H10" s="25" t="s">
        <v>94</v>
      </c>
      <c r="I10" s="25" t="s">
        <v>94</v>
      </c>
      <c r="J10" s="25" t="s">
        <v>95</v>
      </c>
      <c r="K10" s="25">
        <v>1.0</v>
      </c>
      <c r="L10" s="25"/>
      <c r="M10" s="25">
        <v>1.0</v>
      </c>
      <c r="N10" s="25">
        <v>1.0</v>
      </c>
      <c r="O10" s="22"/>
      <c r="P10" s="25">
        <v>1.0</v>
      </c>
      <c r="Q10" s="67">
        <v>1.0</v>
      </c>
      <c r="R10" s="68"/>
      <c r="S10" s="68"/>
      <c r="T10" s="22"/>
      <c r="U10" s="22"/>
      <c r="V10" s="22"/>
      <c r="W10" s="68"/>
      <c r="X10" s="69"/>
      <c r="Y10" s="69"/>
      <c r="Z10" s="69"/>
      <c r="AA10" s="69"/>
      <c r="AB10" s="69"/>
      <c r="AC10" s="69"/>
      <c r="AD10" s="69"/>
      <c r="AE10" s="69"/>
      <c r="AF10" s="69"/>
      <c r="AG10" s="69"/>
      <c r="AH10" s="69"/>
      <c r="AI10" s="69"/>
      <c r="AJ10" s="69"/>
      <c r="AK10" s="69"/>
      <c r="AL10" s="69"/>
      <c r="AM10" s="69"/>
      <c r="AN10" s="69"/>
      <c r="AO10" s="69"/>
    </row>
    <row r="11">
      <c r="A11" s="22">
        <v>44930.0</v>
      </c>
      <c r="B11" s="24">
        <v>321.43</v>
      </c>
      <c r="C11" s="22">
        <v>44919.0</v>
      </c>
      <c r="D11" s="25" t="s">
        <v>148</v>
      </c>
      <c r="E11" s="25" t="s">
        <v>149</v>
      </c>
      <c r="F11" s="25" t="s">
        <v>150</v>
      </c>
      <c r="G11" s="25" t="s">
        <v>110</v>
      </c>
      <c r="H11" s="25" t="s">
        <v>94</v>
      </c>
      <c r="I11" s="25" t="s">
        <v>94</v>
      </c>
      <c r="J11" s="25" t="s">
        <v>95</v>
      </c>
      <c r="K11" s="25">
        <v>1.0</v>
      </c>
      <c r="L11" s="25"/>
      <c r="M11" s="25">
        <v>1.0</v>
      </c>
      <c r="N11" s="25"/>
      <c r="O11" s="22"/>
      <c r="P11" s="25">
        <v>1.0</v>
      </c>
      <c r="Q11" s="25"/>
      <c r="R11" s="22"/>
      <c r="S11" s="22"/>
      <c r="T11" s="22"/>
      <c r="U11" s="22"/>
      <c r="V11" s="22"/>
      <c r="W11" s="25"/>
      <c r="X11" s="64" t="s">
        <v>153</v>
      </c>
      <c r="Y11" s="80" t="str">
        <f>Y7/Y10</f>
        <v>#DIV/0!</v>
      </c>
      <c r="Z11" s="64"/>
      <c r="AA11" s="64"/>
      <c r="AB11" s="64"/>
      <c r="AC11" s="64"/>
      <c r="AD11" s="64"/>
      <c r="AE11" s="64"/>
      <c r="AF11" s="64"/>
      <c r="AG11" s="64"/>
      <c r="AH11" s="64"/>
      <c r="AI11" s="64"/>
      <c r="AJ11" s="64"/>
      <c r="AK11" s="64"/>
      <c r="AL11" s="64"/>
      <c r="AM11" s="64"/>
      <c r="AN11" s="64"/>
      <c r="AO11" s="64"/>
    </row>
    <row r="12">
      <c r="A12" s="22">
        <v>44930.0</v>
      </c>
      <c r="B12" s="24">
        <v>342.69</v>
      </c>
      <c r="C12" s="22">
        <v>44906.0</v>
      </c>
      <c r="D12" s="25" t="s">
        <v>155</v>
      </c>
      <c r="E12" s="25" t="s">
        <v>156</v>
      </c>
      <c r="F12" s="25" t="s">
        <v>157</v>
      </c>
      <c r="G12" s="25" t="s">
        <v>110</v>
      </c>
      <c r="H12" s="25" t="s">
        <v>94</v>
      </c>
      <c r="I12" s="25" t="s">
        <v>94</v>
      </c>
      <c r="J12" s="25" t="s">
        <v>95</v>
      </c>
      <c r="K12" s="25">
        <v>1.0</v>
      </c>
      <c r="L12" s="25"/>
      <c r="M12" s="25">
        <v>1.0</v>
      </c>
      <c r="N12" s="25"/>
      <c r="O12" s="22"/>
      <c r="P12" s="25">
        <v>1.0</v>
      </c>
      <c r="Q12" s="67">
        <v>1.0</v>
      </c>
      <c r="R12" s="68"/>
      <c r="S12" s="68"/>
      <c r="T12" s="22"/>
      <c r="U12" s="22"/>
      <c r="V12" s="22"/>
      <c r="W12" s="68"/>
      <c r="X12" s="69"/>
      <c r="Y12" s="69"/>
      <c r="Z12" s="69"/>
      <c r="AA12" s="87">
        <v>109609.0</v>
      </c>
      <c r="AB12" s="69"/>
      <c r="AC12" s="69"/>
      <c r="AD12" s="69"/>
      <c r="AE12" s="69"/>
      <c r="AF12" s="69"/>
      <c r="AG12" s="69"/>
      <c r="AH12" s="69"/>
      <c r="AI12" s="69"/>
      <c r="AJ12" s="69"/>
      <c r="AK12" s="69"/>
      <c r="AL12" s="69"/>
      <c r="AM12" s="69"/>
      <c r="AN12" s="69"/>
      <c r="AO12" s="69"/>
    </row>
    <row r="13">
      <c r="A13" s="22">
        <v>44930.0</v>
      </c>
      <c r="B13" s="24">
        <v>313.0</v>
      </c>
      <c r="C13" s="22">
        <v>44337.0</v>
      </c>
      <c r="D13" s="25" t="s">
        <v>163</v>
      </c>
      <c r="E13" s="25" t="s">
        <v>164</v>
      </c>
      <c r="F13" s="25" t="s">
        <v>163</v>
      </c>
      <c r="G13" s="25" t="s">
        <v>92</v>
      </c>
      <c r="H13" s="25" t="s">
        <v>94</v>
      </c>
      <c r="I13" s="25" t="s">
        <v>125</v>
      </c>
      <c r="J13" s="25" t="s">
        <v>95</v>
      </c>
      <c r="K13" s="22"/>
      <c r="L13" s="25">
        <v>1.0</v>
      </c>
      <c r="M13" s="22"/>
      <c r="N13" s="25">
        <v>1.0</v>
      </c>
      <c r="O13" s="25">
        <v>1.0</v>
      </c>
      <c r="P13" s="25">
        <v>1.0</v>
      </c>
      <c r="Q13" s="22"/>
      <c r="R13" s="22"/>
      <c r="S13" s="22"/>
      <c r="T13" s="22"/>
      <c r="U13" s="22"/>
      <c r="V13" s="22"/>
      <c r="W13" s="25"/>
      <c r="X13" s="31"/>
      <c r="Y13" s="31"/>
      <c r="Z13" s="95" t="s">
        <v>166</v>
      </c>
      <c r="AA13" s="36"/>
      <c r="AB13" s="36"/>
      <c r="AC13" s="36"/>
      <c r="AD13" s="36"/>
      <c r="AE13" s="36"/>
      <c r="AF13" s="36"/>
      <c r="AG13" s="36"/>
      <c r="AH13" s="36"/>
      <c r="AI13" s="36"/>
      <c r="AJ13" s="36"/>
      <c r="AK13" s="36"/>
      <c r="AL13" s="36"/>
      <c r="AM13" s="36"/>
      <c r="AN13" s="36"/>
      <c r="AO13" s="36"/>
    </row>
    <row r="14">
      <c r="A14" s="22">
        <v>44930.0</v>
      </c>
      <c r="B14" s="24">
        <v>37.4</v>
      </c>
      <c r="C14" s="22">
        <v>44929.0</v>
      </c>
      <c r="D14" s="25" t="s">
        <v>171</v>
      </c>
      <c r="E14" s="25" t="s">
        <v>172</v>
      </c>
      <c r="F14" s="25" t="s">
        <v>173</v>
      </c>
      <c r="G14" s="25" t="s">
        <v>92</v>
      </c>
      <c r="H14" s="25" t="s">
        <v>94</v>
      </c>
      <c r="I14" s="25" t="s">
        <v>94</v>
      </c>
      <c r="J14" s="25" t="s">
        <v>95</v>
      </c>
      <c r="K14" s="25"/>
      <c r="L14" s="22"/>
      <c r="M14" s="22"/>
      <c r="N14" s="25">
        <v>1.0</v>
      </c>
      <c r="O14" s="22"/>
      <c r="P14" s="25"/>
      <c r="Q14" s="22"/>
      <c r="R14" s="22"/>
      <c r="S14" s="22"/>
      <c r="T14" s="22"/>
      <c r="U14" s="22"/>
      <c r="V14" s="22"/>
      <c r="W14" s="25"/>
      <c r="X14" s="64" t="s">
        <v>174</v>
      </c>
      <c r="Y14" s="97">
        <f>Sales!B51</f>
        <v>5451</v>
      </c>
      <c r="Z14" s="64"/>
      <c r="AA14" s="99"/>
      <c r="AB14" s="64"/>
      <c r="AC14" s="64"/>
      <c r="AD14" s="64"/>
      <c r="AE14" s="64"/>
      <c r="AF14" s="64"/>
      <c r="AG14" s="64"/>
      <c r="AH14" s="64"/>
      <c r="AI14" s="64"/>
      <c r="AJ14" s="64"/>
      <c r="AK14" s="64"/>
      <c r="AL14" s="64"/>
      <c r="AM14" s="64"/>
      <c r="AN14" s="64"/>
      <c r="AO14" s="64"/>
    </row>
    <row r="15">
      <c r="A15" s="22">
        <v>44930.0</v>
      </c>
      <c r="B15" s="102">
        <v>243.32</v>
      </c>
      <c r="C15" s="22">
        <v>44906.0</v>
      </c>
      <c r="D15" s="25" t="s">
        <v>182</v>
      </c>
      <c r="E15" s="107" t="s">
        <v>183</v>
      </c>
      <c r="F15" s="107" t="s">
        <v>184</v>
      </c>
      <c r="G15" s="25" t="s">
        <v>110</v>
      </c>
      <c r="H15" s="25" t="s">
        <v>94</v>
      </c>
      <c r="I15" s="25" t="s">
        <v>94</v>
      </c>
      <c r="J15" s="25" t="s">
        <v>95</v>
      </c>
      <c r="K15" s="25">
        <v>1.0</v>
      </c>
      <c r="L15" s="25"/>
      <c r="M15" s="25"/>
      <c r="N15" s="25"/>
      <c r="O15" s="22"/>
      <c r="P15" s="25">
        <v>1.0</v>
      </c>
      <c r="Q15" s="67"/>
      <c r="R15" s="68"/>
      <c r="S15" s="68"/>
      <c r="T15" s="22"/>
      <c r="U15" s="22"/>
      <c r="V15" s="22"/>
      <c r="W15" s="68"/>
      <c r="X15" s="69"/>
      <c r="Y15" s="69"/>
      <c r="Z15" s="69"/>
      <c r="AA15" s="69"/>
      <c r="AB15" s="69"/>
      <c r="AC15" s="69"/>
      <c r="AD15" s="69"/>
      <c r="AE15" s="69"/>
      <c r="AF15" s="69"/>
      <c r="AG15" s="69"/>
      <c r="AH15" s="69"/>
      <c r="AI15" s="69"/>
      <c r="AJ15" s="69"/>
      <c r="AK15" s="69"/>
      <c r="AL15" s="69"/>
      <c r="AM15" s="69"/>
      <c r="AN15" s="69"/>
      <c r="AO15" s="69"/>
    </row>
    <row r="16">
      <c r="A16" s="22">
        <v>44930.0</v>
      </c>
      <c r="B16" s="24">
        <v>500.7</v>
      </c>
      <c r="C16" s="22">
        <v>44153.0</v>
      </c>
      <c r="D16" s="25" t="s">
        <v>188</v>
      </c>
      <c r="E16" s="25" t="s">
        <v>189</v>
      </c>
      <c r="F16" s="25" t="s">
        <v>190</v>
      </c>
      <c r="G16" s="25" t="s">
        <v>110</v>
      </c>
      <c r="H16" s="25" t="s">
        <v>170</v>
      </c>
      <c r="I16" s="25" t="s">
        <v>170</v>
      </c>
      <c r="J16" s="25" t="s">
        <v>191</v>
      </c>
      <c r="K16" s="22"/>
      <c r="L16" s="25">
        <v>2.0</v>
      </c>
      <c r="M16" s="22"/>
      <c r="N16" s="25">
        <v>2.0</v>
      </c>
      <c r="O16" s="22"/>
      <c r="P16" s="25"/>
      <c r="Q16" s="22"/>
      <c r="R16" s="22"/>
      <c r="S16" s="22"/>
      <c r="T16" s="22"/>
      <c r="U16" s="22"/>
      <c r="V16" s="22"/>
      <c r="W16" s="25"/>
      <c r="X16" s="31"/>
      <c r="Y16" s="31"/>
      <c r="Z16" s="36"/>
      <c r="AA16" s="36"/>
      <c r="AB16" s="36"/>
      <c r="AC16" s="36"/>
      <c r="AD16" s="36"/>
      <c r="AE16" s="36"/>
      <c r="AF16" s="36"/>
      <c r="AG16" s="36"/>
      <c r="AH16" s="36"/>
      <c r="AI16" s="36"/>
      <c r="AJ16" s="36"/>
      <c r="AK16" s="36"/>
      <c r="AL16" s="36"/>
      <c r="AM16" s="36"/>
      <c r="AN16" s="36"/>
      <c r="AO16" s="36"/>
    </row>
    <row r="17">
      <c r="A17" s="22">
        <v>44930.0</v>
      </c>
      <c r="B17" s="24">
        <v>242.1</v>
      </c>
      <c r="C17" s="22">
        <v>44208.0</v>
      </c>
      <c r="D17" s="25" t="s">
        <v>197</v>
      </c>
      <c r="E17" s="25" t="s">
        <v>199</v>
      </c>
      <c r="F17" s="25" t="s">
        <v>201</v>
      </c>
      <c r="G17" s="25" t="s">
        <v>110</v>
      </c>
      <c r="H17" s="25" t="s">
        <v>94</v>
      </c>
      <c r="I17" s="25" t="s">
        <v>204</v>
      </c>
      <c r="J17" s="25" t="s">
        <v>205</v>
      </c>
      <c r="K17" s="25"/>
      <c r="L17" s="25">
        <v>1.0</v>
      </c>
      <c r="M17" s="25"/>
      <c r="N17" s="25"/>
      <c r="O17" s="22"/>
      <c r="P17" s="25"/>
      <c r="Q17" s="67"/>
      <c r="R17" s="68"/>
      <c r="S17" s="68"/>
      <c r="T17" s="22"/>
      <c r="U17" s="22"/>
      <c r="V17" s="22"/>
      <c r="W17" s="68"/>
      <c r="X17" s="69"/>
      <c r="Y17" s="69"/>
      <c r="Z17" s="69"/>
      <c r="AA17" s="69"/>
      <c r="AB17" s="69"/>
      <c r="AC17" s="69"/>
      <c r="AD17" s="69"/>
      <c r="AE17" s="69"/>
      <c r="AF17" s="69"/>
      <c r="AG17" s="69"/>
      <c r="AH17" s="69"/>
      <c r="AI17" s="69"/>
      <c r="AJ17" s="69"/>
      <c r="AK17" s="69"/>
      <c r="AL17" s="69"/>
      <c r="AM17" s="69"/>
      <c r="AN17" s="69"/>
      <c r="AO17" s="69"/>
    </row>
    <row r="18">
      <c r="A18" s="22">
        <v>44930.0</v>
      </c>
      <c r="B18" s="24">
        <v>159.0</v>
      </c>
      <c r="C18" s="22">
        <v>44210.0</v>
      </c>
      <c r="D18" s="25" t="s">
        <v>211</v>
      </c>
      <c r="E18" s="25" t="s">
        <v>212</v>
      </c>
      <c r="F18" s="130" t="s">
        <v>213</v>
      </c>
      <c r="G18" s="25" t="s">
        <v>114</v>
      </c>
      <c r="H18" s="25" t="s">
        <v>170</v>
      </c>
      <c r="I18" s="25" t="s">
        <v>170</v>
      </c>
      <c r="J18" s="25" t="s">
        <v>191</v>
      </c>
      <c r="K18" s="25">
        <v>1.0</v>
      </c>
      <c r="L18" s="25"/>
      <c r="M18" s="25"/>
      <c r="N18" s="25">
        <v>1.0</v>
      </c>
      <c r="O18" s="22"/>
      <c r="P18" s="25"/>
      <c r="Q18" s="67"/>
      <c r="R18" s="68"/>
      <c r="S18" s="68"/>
      <c r="T18" s="22"/>
      <c r="U18" s="22"/>
      <c r="V18" s="22"/>
      <c r="W18" s="68"/>
      <c r="X18" s="69"/>
      <c r="Y18" s="69"/>
      <c r="Z18" s="69"/>
      <c r="AA18" s="69"/>
      <c r="AB18" s="69"/>
      <c r="AC18" s="69"/>
      <c r="AD18" s="69"/>
      <c r="AE18" s="69"/>
      <c r="AF18" s="69"/>
      <c r="AG18" s="69"/>
      <c r="AH18" s="69"/>
      <c r="AI18" s="69"/>
      <c r="AJ18" s="69"/>
      <c r="AK18" s="69"/>
      <c r="AL18" s="69"/>
      <c r="AM18" s="69"/>
      <c r="AN18" s="69"/>
      <c r="AO18" s="69"/>
    </row>
    <row r="19">
      <c r="A19" s="22">
        <v>44930.0</v>
      </c>
      <c r="B19" s="24">
        <v>231.0</v>
      </c>
      <c r="C19" s="22">
        <v>45234.0</v>
      </c>
      <c r="D19" s="25" t="s">
        <v>218</v>
      </c>
      <c r="E19" s="131" t="s">
        <v>219</v>
      </c>
      <c r="F19" s="131" t="s">
        <v>220</v>
      </c>
      <c r="G19" s="25" t="s">
        <v>110</v>
      </c>
      <c r="H19" s="25" t="s">
        <v>94</v>
      </c>
      <c r="I19" s="25" t="s">
        <v>94</v>
      </c>
      <c r="J19" s="25" t="s">
        <v>191</v>
      </c>
      <c r="K19" s="25">
        <v>1.0</v>
      </c>
      <c r="L19" s="25"/>
      <c r="M19" s="25"/>
      <c r="N19" s="25">
        <v>1.0</v>
      </c>
      <c r="O19" s="22"/>
      <c r="P19" s="25">
        <v>1.0</v>
      </c>
      <c r="Q19" s="67"/>
      <c r="R19" s="68"/>
      <c r="S19" s="68"/>
      <c r="T19" s="22"/>
      <c r="U19" s="22"/>
      <c r="V19" s="22"/>
      <c r="W19" s="68"/>
      <c r="X19" s="69"/>
      <c r="Y19" s="69"/>
      <c r="Z19" s="69"/>
      <c r="AA19" s="69"/>
      <c r="AB19" s="69"/>
      <c r="AC19" s="69"/>
      <c r="AD19" s="69"/>
      <c r="AE19" s="69"/>
      <c r="AF19" s="69"/>
      <c r="AG19" s="69"/>
      <c r="AH19" s="69"/>
      <c r="AI19" s="69"/>
      <c r="AJ19" s="69"/>
      <c r="AK19" s="69"/>
      <c r="AL19" s="69"/>
      <c r="AM19" s="69"/>
      <c r="AN19" s="69"/>
      <c r="AO19" s="69"/>
    </row>
    <row r="20">
      <c r="A20" s="22">
        <v>44930.0</v>
      </c>
      <c r="B20" s="24">
        <v>238.0</v>
      </c>
      <c r="C20" s="22">
        <v>44209.0</v>
      </c>
      <c r="D20" s="25" t="s">
        <v>227</v>
      </c>
      <c r="E20" s="134" t="s">
        <v>228</v>
      </c>
      <c r="F20" s="130" t="s">
        <v>229</v>
      </c>
      <c r="G20" s="25" t="s">
        <v>110</v>
      </c>
      <c r="H20" s="25" t="s">
        <v>170</v>
      </c>
      <c r="I20" s="25" t="s">
        <v>170</v>
      </c>
      <c r="J20" s="25" t="s">
        <v>112</v>
      </c>
      <c r="K20" s="25"/>
      <c r="L20" s="25">
        <v>1.0</v>
      </c>
      <c r="M20" s="25"/>
      <c r="N20" s="25">
        <v>1.0</v>
      </c>
      <c r="O20" s="22"/>
      <c r="P20" s="25">
        <v>1.0</v>
      </c>
      <c r="Q20" s="67"/>
      <c r="R20" s="68"/>
      <c r="S20" s="68"/>
      <c r="T20" s="22"/>
      <c r="U20" s="22"/>
      <c r="V20" s="22"/>
      <c r="W20" s="68"/>
      <c r="X20" s="69"/>
      <c r="Y20" s="69"/>
      <c r="Z20" s="69"/>
      <c r="AA20" s="69"/>
      <c r="AB20" s="69"/>
      <c r="AC20" s="69"/>
      <c r="AD20" s="69"/>
      <c r="AE20" s="69"/>
      <c r="AF20" s="69"/>
      <c r="AG20" s="69"/>
      <c r="AH20" s="69"/>
      <c r="AI20" s="69"/>
      <c r="AJ20" s="69"/>
      <c r="AK20" s="69"/>
      <c r="AL20" s="69"/>
      <c r="AM20" s="69"/>
      <c r="AN20" s="69"/>
      <c r="AO20" s="69"/>
    </row>
    <row r="21">
      <c r="A21" s="22">
        <v>44930.0</v>
      </c>
      <c r="B21" s="136">
        <v>22.0</v>
      </c>
      <c r="C21" s="22">
        <v>44842.0</v>
      </c>
      <c r="D21" s="25" t="s">
        <v>233</v>
      </c>
      <c r="E21" s="134" t="s">
        <v>228</v>
      </c>
      <c r="F21" s="130" t="s">
        <v>229</v>
      </c>
      <c r="G21" s="25" t="s">
        <v>110</v>
      </c>
      <c r="H21" s="25" t="s">
        <v>94</v>
      </c>
      <c r="I21" s="25" t="s">
        <v>94</v>
      </c>
      <c r="J21" s="25" t="s">
        <v>112</v>
      </c>
      <c r="K21" s="25"/>
      <c r="L21" s="25"/>
      <c r="M21" s="25"/>
      <c r="N21" s="25"/>
      <c r="O21" s="22"/>
      <c r="P21" s="25"/>
      <c r="Q21" s="67">
        <v>1.0</v>
      </c>
      <c r="R21" s="68"/>
      <c r="S21" s="68"/>
      <c r="T21" s="22"/>
      <c r="U21" s="22"/>
      <c r="V21" s="22"/>
      <c r="W21" s="68"/>
      <c r="X21" s="69"/>
      <c r="Y21" s="69"/>
      <c r="Z21" s="69"/>
      <c r="AA21" s="69"/>
      <c r="AB21" s="69"/>
      <c r="AC21" s="69"/>
      <c r="AD21" s="69"/>
      <c r="AE21" s="69"/>
      <c r="AF21" s="69"/>
      <c r="AG21" s="69"/>
      <c r="AH21" s="69"/>
      <c r="AI21" s="69"/>
      <c r="AJ21" s="69"/>
      <c r="AK21" s="69"/>
      <c r="AL21" s="69"/>
      <c r="AM21" s="69"/>
      <c r="AN21" s="69"/>
      <c r="AO21" s="69"/>
    </row>
    <row r="22">
      <c r="A22" s="85">
        <v>44931.0</v>
      </c>
      <c r="B22" s="86">
        <v>24.0</v>
      </c>
      <c r="C22" s="85">
        <v>44930.0</v>
      </c>
      <c r="D22" s="89" t="s">
        <v>235</v>
      </c>
      <c r="E22" s="89" t="s">
        <v>236</v>
      </c>
      <c r="F22" s="89" t="s">
        <v>237</v>
      </c>
      <c r="G22" s="89" t="s">
        <v>114</v>
      </c>
      <c r="H22" s="89" t="s">
        <v>94</v>
      </c>
      <c r="I22" s="89" t="s">
        <v>94</v>
      </c>
      <c r="J22" s="89" t="s">
        <v>112</v>
      </c>
      <c r="K22" s="89"/>
      <c r="L22" s="89"/>
      <c r="M22" s="89"/>
      <c r="N22" s="89">
        <v>1.0</v>
      </c>
      <c r="O22" s="85"/>
      <c r="P22" s="89"/>
      <c r="Q22" s="137"/>
      <c r="R22" s="138"/>
      <c r="S22" s="138"/>
      <c r="T22" s="85"/>
      <c r="U22" s="85"/>
      <c r="V22" s="85"/>
      <c r="W22" s="138"/>
      <c r="X22" s="139"/>
      <c r="Y22" s="139"/>
      <c r="Z22" s="139"/>
      <c r="AA22" s="139"/>
      <c r="AB22" s="139"/>
      <c r="AC22" s="139"/>
      <c r="AD22" s="139"/>
      <c r="AE22" s="139"/>
      <c r="AF22" s="139"/>
      <c r="AG22" s="139"/>
      <c r="AH22" s="139"/>
      <c r="AI22" s="139"/>
      <c r="AJ22" s="139"/>
      <c r="AK22" s="139"/>
      <c r="AL22" s="139"/>
      <c r="AM22" s="139"/>
      <c r="AN22" s="139"/>
      <c r="AO22" s="139"/>
    </row>
    <row r="23">
      <c r="A23" s="85">
        <v>44932.0</v>
      </c>
      <c r="B23" s="86">
        <v>25.74</v>
      </c>
      <c r="C23" s="85">
        <v>44875.0</v>
      </c>
      <c r="D23" s="89" t="s">
        <v>242</v>
      </c>
      <c r="E23" s="89" t="s">
        <v>243</v>
      </c>
      <c r="F23" s="89" t="s">
        <v>244</v>
      </c>
      <c r="G23" s="89" t="s">
        <v>110</v>
      </c>
      <c r="H23" s="89" t="s">
        <v>94</v>
      </c>
      <c r="I23" s="89" t="s">
        <v>94</v>
      </c>
      <c r="J23" s="89" t="s">
        <v>95</v>
      </c>
      <c r="K23" s="89"/>
      <c r="L23" s="89"/>
      <c r="M23" s="89"/>
      <c r="N23" s="89">
        <v>1.0</v>
      </c>
      <c r="O23" s="85"/>
      <c r="P23" s="89">
        <v>1.0</v>
      </c>
      <c r="Q23" s="137"/>
      <c r="R23" s="138"/>
      <c r="S23" s="138"/>
      <c r="T23" s="85"/>
      <c r="U23" s="85"/>
      <c r="V23" s="85"/>
      <c r="W23" s="138"/>
      <c r="X23" s="139"/>
      <c r="Y23" s="139"/>
      <c r="Z23" s="139"/>
      <c r="AA23" s="139"/>
      <c r="AB23" s="139"/>
      <c r="AC23" s="139"/>
      <c r="AD23" s="139"/>
      <c r="AE23" s="139"/>
      <c r="AF23" s="139"/>
      <c r="AG23" s="139"/>
      <c r="AH23" s="139"/>
      <c r="AI23" s="139"/>
      <c r="AJ23" s="139"/>
      <c r="AK23" s="139"/>
      <c r="AL23" s="139"/>
      <c r="AM23" s="139"/>
      <c r="AN23" s="139"/>
      <c r="AO23" s="139"/>
    </row>
    <row r="24">
      <c r="A24" s="85">
        <v>44932.0</v>
      </c>
      <c r="B24" s="141">
        <v>299.0</v>
      </c>
      <c r="C24" s="85">
        <v>44894.0</v>
      </c>
      <c r="D24" s="142" t="s">
        <v>245</v>
      </c>
      <c r="E24" s="142" t="s">
        <v>246</v>
      </c>
      <c r="F24" s="89" t="s">
        <v>247</v>
      </c>
      <c r="G24" s="89" t="s">
        <v>114</v>
      </c>
      <c r="H24" s="89" t="s">
        <v>94</v>
      </c>
      <c r="I24" s="89" t="s">
        <v>94</v>
      </c>
      <c r="J24" s="89" t="s">
        <v>95</v>
      </c>
      <c r="K24" s="89">
        <v>1.0</v>
      </c>
      <c r="L24" s="89"/>
      <c r="M24" s="89">
        <v>1.0</v>
      </c>
      <c r="N24" s="89"/>
      <c r="O24" s="85"/>
      <c r="P24" s="89">
        <v>1.0</v>
      </c>
      <c r="Q24" s="137"/>
      <c r="R24" s="138"/>
      <c r="S24" s="138"/>
      <c r="T24" s="85"/>
      <c r="U24" s="85"/>
      <c r="V24" s="85"/>
      <c r="W24" s="138"/>
      <c r="X24" s="139"/>
      <c r="Y24" s="139"/>
      <c r="Z24" s="139"/>
      <c r="AA24" s="139"/>
      <c r="AB24" s="139"/>
      <c r="AC24" s="139"/>
      <c r="AD24" s="139"/>
      <c r="AE24" s="139"/>
      <c r="AF24" s="139"/>
      <c r="AG24" s="139"/>
      <c r="AH24" s="139"/>
      <c r="AI24" s="139"/>
      <c r="AJ24" s="139"/>
      <c r="AK24" s="139"/>
      <c r="AL24" s="139"/>
      <c r="AM24" s="139"/>
      <c r="AN24" s="139"/>
      <c r="AO24" s="139"/>
    </row>
    <row r="25" ht="19.5" customHeight="1">
      <c r="A25" s="85">
        <v>44932.0</v>
      </c>
      <c r="B25" s="148">
        <v>324.8</v>
      </c>
      <c r="C25" s="85">
        <v>44902.0</v>
      </c>
      <c r="D25" s="87" t="s">
        <v>252</v>
      </c>
      <c r="E25" s="107" t="s">
        <v>253</v>
      </c>
      <c r="F25" s="89" t="s">
        <v>254</v>
      </c>
      <c r="G25" s="89" t="s">
        <v>110</v>
      </c>
      <c r="H25" s="89" t="s">
        <v>94</v>
      </c>
      <c r="I25" s="89" t="s">
        <v>94</v>
      </c>
      <c r="J25" s="89" t="s">
        <v>95</v>
      </c>
      <c r="K25" s="89">
        <v>1.0</v>
      </c>
      <c r="L25" s="89"/>
      <c r="M25" s="89">
        <v>1.0</v>
      </c>
      <c r="N25" s="89"/>
      <c r="O25" s="85"/>
      <c r="P25" s="89">
        <v>1.0</v>
      </c>
      <c r="Q25" s="137"/>
      <c r="R25" s="138"/>
      <c r="S25" s="138"/>
      <c r="T25" s="85"/>
      <c r="U25" s="85"/>
      <c r="V25" s="85"/>
      <c r="W25" s="138"/>
      <c r="X25" s="139"/>
      <c r="Y25" s="139"/>
      <c r="Z25" s="139"/>
      <c r="AA25" s="139"/>
      <c r="AB25" s="139"/>
      <c r="AC25" s="139"/>
      <c r="AD25" s="139"/>
      <c r="AE25" s="139"/>
      <c r="AF25" s="139"/>
      <c r="AG25" s="139"/>
      <c r="AH25" s="139"/>
      <c r="AI25" s="139"/>
      <c r="AJ25" s="139"/>
      <c r="AK25" s="139"/>
      <c r="AL25" s="139"/>
      <c r="AM25" s="139"/>
      <c r="AN25" s="139"/>
      <c r="AO25" s="139"/>
    </row>
    <row r="26">
      <c r="A26" s="85">
        <v>44932.0</v>
      </c>
      <c r="B26" s="150">
        <v>299.0</v>
      </c>
      <c r="C26" s="85">
        <v>44917.0</v>
      </c>
      <c r="D26" s="89" t="s">
        <v>256</v>
      </c>
      <c r="E26" s="89" t="s">
        <v>258</v>
      </c>
      <c r="F26" s="89" t="s">
        <v>260</v>
      </c>
      <c r="G26" s="89" t="s">
        <v>114</v>
      </c>
      <c r="H26" s="89" t="s">
        <v>94</v>
      </c>
      <c r="I26" s="89" t="s">
        <v>94</v>
      </c>
      <c r="J26" s="89" t="s">
        <v>95</v>
      </c>
      <c r="K26" s="89">
        <v>1.0</v>
      </c>
      <c r="L26" s="89"/>
      <c r="M26" s="89">
        <v>1.0</v>
      </c>
      <c r="N26" s="89"/>
      <c r="O26" s="85"/>
      <c r="P26" s="89">
        <v>1.0</v>
      </c>
      <c r="Q26" s="137"/>
      <c r="R26" s="138"/>
      <c r="S26" s="138"/>
      <c r="T26" s="85"/>
      <c r="U26" s="85"/>
      <c r="V26" s="85"/>
      <c r="W26" s="138"/>
      <c r="X26" s="139"/>
      <c r="Y26" s="139"/>
      <c r="Z26" s="139"/>
      <c r="AA26" s="139"/>
      <c r="AB26" s="139"/>
      <c r="AC26" s="139"/>
      <c r="AD26" s="139"/>
      <c r="AE26" s="139"/>
      <c r="AF26" s="139"/>
      <c r="AG26" s="139"/>
      <c r="AH26" s="139"/>
      <c r="AI26" s="139"/>
      <c r="AJ26" s="139"/>
      <c r="AK26" s="139"/>
      <c r="AL26" s="139"/>
      <c r="AM26" s="139"/>
      <c r="AN26" s="139"/>
      <c r="AO26" s="139"/>
    </row>
    <row r="27" ht="17.25" customHeight="1">
      <c r="A27" s="85">
        <v>44932.0</v>
      </c>
      <c r="B27" s="86">
        <v>267.5</v>
      </c>
      <c r="C27" s="85">
        <v>44925.0</v>
      </c>
      <c r="D27" s="89" t="s">
        <v>261</v>
      </c>
      <c r="E27" s="89" t="s">
        <v>262</v>
      </c>
      <c r="F27" s="142" t="s">
        <v>263</v>
      </c>
      <c r="G27" s="89" t="s">
        <v>110</v>
      </c>
      <c r="H27" s="89" t="s">
        <v>94</v>
      </c>
      <c r="I27" s="89" t="s">
        <v>94</v>
      </c>
      <c r="J27" s="89" t="s">
        <v>95</v>
      </c>
      <c r="K27" s="89">
        <v>1.0</v>
      </c>
      <c r="L27" s="89"/>
      <c r="M27" s="89">
        <v>1.0</v>
      </c>
      <c r="N27" s="89"/>
      <c r="O27" s="85"/>
      <c r="P27" s="89">
        <v>1.0</v>
      </c>
      <c r="Q27" s="137"/>
      <c r="R27" s="138"/>
      <c r="S27" s="138"/>
      <c r="T27" s="85"/>
      <c r="U27" s="85"/>
      <c r="V27" s="85"/>
      <c r="W27" s="138"/>
      <c r="X27" s="139"/>
      <c r="Y27" s="139"/>
      <c r="Z27" s="139"/>
      <c r="AA27" s="139"/>
      <c r="AB27" s="139"/>
      <c r="AC27" s="139"/>
      <c r="AD27" s="139"/>
      <c r="AE27" s="139"/>
      <c r="AF27" s="139"/>
      <c r="AG27" s="139"/>
      <c r="AH27" s="139"/>
      <c r="AI27" s="139"/>
      <c r="AJ27" s="139"/>
      <c r="AK27" s="139"/>
      <c r="AL27" s="139"/>
      <c r="AM27" s="139"/>
      <c r="AN27" s="139"/>
      <c r="AO27" s="139"/>
    </row>
    <row r="28">
      <c r="A28" s="85">
        <v>44932.0</v>
      </c>
      <c r="B28" s="86">
        <v>319.93</v>
      </c>
      <c r="C28" s="85">
        <v>44925.0</v>
      </c>
      <c r="D28" s="89" t="s">
        <v>268</v>
      </c>
      <c r="E28" s="89" t="s">
        <v>262</v>
      </c>
      <c r="F28" s="89" t="s">
        <v>263</v>
      </c>
      <c r="G28" s="89" t="s">
        <v>110</v>
      </c>
      <c r="H28" s="89" t="s">
        <v>94</v>
      </c>
      <c r="I28" s="89" t="s">
        <v>94</v>
      </c>
      <c r="J28" s="89" t="s">
        <v>95</v>
      </c>
      <c r="K28" s="89">
        <v>1.0</v>
      </c>
      <c r="L28" s="89"/>
      <c r="M28" s="89">
        <v>1.0</v>
      </c>
      <c r="N28" s="89"/>
      <c r="O28" s="85"/>
      <c r="P28" s="89">
        <v>1.0</v>
      </c>
      <c r="Q28" s="137"/>
      <c r="R28" s="138"/>
      <c r="S28" s="138"/>
      <c r="T28" s="85"/>
      <c r="U28" s="85"/>
      <c r="V28" s="85"/>
      <c r="W28" s="138"/>
      <c r="X28" s="139"/>
      <c r="Y28" s="139"/>
      <c r="Z28" s="139"/>
      <c r="AA28" s="139"/>
      <c r="AB28" s="139"/>
      <c r="AC28" s="139"/>
      <c r="AD28" s="139"/>
      <c r="AE28" s="139"/>
      <c r="AF28" s="139"/>
      <c r="AG28" s="139"/>
      <c r="AH28" s="139"/>
      <c r="AI28" s="139"/>
      <c r="AJ28" s="139"/>
      <c r="AK28" s="139"/>
      <c r="AL28" s="139"/>
      <c r="AM28" s="139"/>
      <c r="AN28" s="139"/>
      <c r="AO28" s="139"/>
    </row>
    <row r="29">
      <c r="A29" s="85">
        <v>44932.0</v>
      </c>
      <c r="B29" s="86">
        <v>18.0</v>
      </c>
      <c r="C29" s="85">
        <v>44165.0</v>
      </c>
      <c r="D29" s="89" t="s">
        <v>272</v>
      </c>
      <c r="E29" s="89" t="s">
        <v>273</v>
      </c>
      <c r="F29" s="89" t="s">
        <v>274</v>
      </c>
      <c r="G29" s="89" t="s">
        <v>114</v>
      </c>
      <c r="H29" s="89" t="s">
        <v>170</v>
      </c>
      <c r="I29" s="89" t="s">
        <v>170</v>
      </c>
      <c r="J29" s="89" t="s">
        <v>275</v>
      </c>
      <c r="K29" s="89"/>
      <c r="L29" s="89"/>
      <c r="M29" s="89"/>
      <c r="N29" s="89"/>
      <c r="O29" s="89">
        <v>1.0</v>
      </c>
      <c r="P29" s="89"/>
      <c r="Q29" s="137"/>
      <c r="R29" s="138"/>
      <c r="S29" s="138"/>
      <c r="T29" s="85"/>
      <c r="U29" s="85"/>
      <c r="V29" s="85"/>
      <c r="W29" s="138"/>
      <c r="X29" s="139"/>
      <c r="Y29" s="139"/>
      <c r="Z29" s="139"/>
      <c r="AA29" s="139"/>
      <c r="AB29" s="139"/>
      <c r="AC29" s="139"/>
      <c r="AD29" s="139"/>
      <c r="AE29" s="139"/>
      <c r="AF29" s="139"/>
      <c r="AG29" s="139"/>
      <c r="AH29" s="139"/>
      <c r="AI29" s="139"/>
      <c r="AJ29" s="139"/>
      <c r="AK29" s="139"/>
      <c r="AL29" s="139"/>
      <c r="AM29" s="139"/>
      <c r="AN29" s="139"/>
      <c r="AO29" s="139"/>
    </row>
    <row r="30" ht="15.75" customHeight="1">
      <c r="A30" s="85">
        <v>44932.0</v>
      </c>
      <c r="B30" s="86">
        <v>264.82</v>
      </c>
      <c r="C30" s="85">
        <v>44900.0</v>
      </c>
      <c r="D30" s="89" t="s">
        <v>277</v>
      </c>
      <c r="E30" s="89" t="s">
        <v>278</v>
      </c>
      <c r="F30" s="89" t="s">
        <v>280</v>
      </c>
      <c r="G30" s="89" t="s">
        <v>114</v>
      </c>
      <c r="H30" s="89" t="s">
        <v>94</v>
      </c>
      <c r="I30" s="89" t="s">
        <v>94</v>
      </c>
      <c r="J30" s="89" t="s">
        <v>95</v>
      </c>
      <c r="K30" s="89">
        <v>1.0</v>
      </c>
      <c r="L30" s="89"/>
      <c r="M30" s="89"/>
      <c r="N30" s="89"/>
      <c r="O30" s="85"/>
      <c r="P30" s="89">
        <v>1.0</v>
      </c>
      <c r="Q30" s="137">
        <v>1.0</v>
      </c>
      <c r="R30" s="138"/>
      <c r="S30" s="138"/>
      <c r="T30" s="85"/>
      <c r="U30" s="85"/>
      <c r="V30" s="85"/>
      <c r="W30" s="138"/>
      <c r="X30" s="139"/>
      <c r="Y30" s="139"/>
      <c r="Z30" s="139"/>
      <c r="AA30" s="139"/>
      <c r="AB30" s="139"/>
      <c r="AC30" s="139"/>
      <c r="AD30" s="139"/>
      <c r="AE30" s="139"/>
      <c r="AF30" s="139"/>
      <c r="AG30" s="139"/>
      <c r="AH30" s="139"/>
      <c r="AI30" s="139"/>
      <c r="AJ30" s="139"/>
      <c r="AK30" s="139"/>
      <c r="AL30" s="139"/>
      <c r="AM30" s="139"/>
      <c r="AN30" s="139"/>
      <c r="AO30" s="139"/>
    </row>
    <row r="31">
      <c r="A31" s="85">
        <v>44932.0</v>
      </c>
      <c r="B31" s="86">
        <v>669.0</v>
      </c>
      <c r="C31" s="85">
        <v>44686.0</v>
      </c>
      <c r="D31" s="89" t="s">
        <v>283</v>
      </c>
      <c r="E31" s="89" t="s">
        <v>284</v>
      </c>
      <c r="F31" s="89" t="s">
        <v>285</v>
      </c>
      <c r="G31" s="89" t="s">
        <v>110</v>
      </c>
      <c r="H31" s="89" t="s">
        <v>94</v>
      </c>
      <c r="I31" s="89" t="s">
        <v>94</v>
      </c>
      <c r="J31" s="89" t="s">
        <v>191</v>
      </c>
      <c r="K31" s="89"/>
      <c r="L31" s="89">
        <v>2.0</v>
      </c>
      <c r="M31" s="89"/>
      <c r="N31" s="89">
        <v>2.0</v>
      </c>
      <c r="O31" s="89">
        <v>2.0</v>
      </c>
      <c r="P31" s="89">
        <v>2.0</v>
      </c>
      <c r="Q31" s="137"/>
      <c r="R31" s="138"/>
      <c r="S31" s="138"/>
      <c r="T31" s="85"/>
      <c r="U31" s="85"/>
      <c r="V31" s="85"/>
      <c r="W31" s="138"/>
      <c r="X31" s="139"/>
      <c r="Y31" s="139"/>
      <c r="Z31" s="139"/>
      <c r="AA31" s="139"/>
      <c r="AB31" s="139"/>
      <c r="AC31" s="139"/>
      <c r="AD31" s="139"/>
      <c r="AE31" s="139"/>
      <c r="AF31" s="139"/>
      <c r="AG31" s="139"/>
      <c r="AH31" s="139"/>
      <c r="AI31" s="139"/>
      <c r="AJ31" s="139"/>
      <c r="AK31" s="139"/>
      <c r="AL31" s="139"/>
      <c r="AM31" s="139"/>
      <c r="AN31" s="139"/>
      <c r="AO31" s="89"/>
    </row>
    <row r="32">
      <c r="A32" s="85">
        <v>44932.0</v>
      </c>
      <c r="B32" s="86">
        <v>229.0</v>
      </c>
      <c r="C32" s="85">
        <v>44931.0</v>
      </c>
      <c r="D32" s="89" t="s">
        <v>289</v>
      </c>
      <c r="E32" s="89" t="s">
        <v>290</v>
      </c>
      <c r="F32" s="89" t="s">
        <v>291</v>
      </c>
      <c r="G32" s="153" t="s">
        <v>137</v>
      </c>
      <c r="H32" s="89" t="s">
        <v>94</v>
      </c>
      <c r="I32" s="89" t="s">
        <v>94</v>
      </c>
      <c r="J32" s="89" t="s">
        <v>95</v>
      </c>
      <c r="K32" s="89">
        <v>1.0</v>
      </c>
      <c r="L32" s="89"/>
      <c r="M32" s="89"/>
      <c r="N32" s="89"/>
      <c r="O32" s="85"/>
      <c r="P32" s="89">
        <v>1.0</v>
      </c>
      <c r="Q32" s="137"/>
      <c r="R32" s="138"/>
      <c r="S32" s="138"/>
      <c r="T32" s="85"/>
      <c r="U32" s="85"/>
      <c r="V32" s="85"/>
      <c r="W32" s="138"/>
      <c r="X32" s="139"/>
      <c r="Y32" s="139"/>
      <c r="Z32" s="139"/>
      <c r="AA32" s="139"/>
      <c r="AB32" s="139"/>
      <c r="AC32" s="139"/>
      <c r="AD32" s="139"/>
      <c r="AE32" s="139"/>
      <c r="AF32" s="139"/>
      <c r="AG32" s="139"/>
      <c r="AH32" s="139"/>
      <c r="AI32" s="139"/>
      <c r="AJ32" s="139"/>
      <c r="AK32" s="139"/>
      <c r="AL32" s="139"/>
      <c r="AM32" s="139"/>
      <c r="AN32" s="139"/>
      <c r="AO32" s="139"/>
    </row>
    <row r="33">
      <c r="A33" s="85">
        <v>44932.0</v>
      </c>
      <c r="B33" s="141">
        <v>107.41</v>
      </c>
      <c r="C33" s="85">
        <v>44930.0</v>
      </c>
      <c r="D33" s="89" t="s">
        <v>296</v>
      </c>
      <c r="E33" s="89" t="s">
        <v>297</v>
      </c>
      <c r="F33" s="89" t="s">
        <v>298</v>
      </c>
      <c r="G33" s="89" t="s">
        <v>114</v>
      </c>
      <c r="H33" s="89" t="s">
        <v>94</v>
      </c>
      <c r="I33" s="89" t="s">
        <v>94</v>
      </c>
      <c r="J33" s="89" t="s">
        <v>95</v>
      </c>
      <c r="K33" s="89"/>
      <c r="L33" s="89"/>
      <c r="M33" s="89">
        <v>1.0</v>
      </c>
      <c r="N33" s="89">
        <v>1.0</v>
      </c>
      <c r="O33" s="85"/>
      <c r="P33" s="89">
        <v>1.0</v>
      </c>
      <c r="Q33" s="137"/>
      <c r="R33" s="138"/>
      <c r="S33" s="138"/>
      <c r="T33" s="85"/>
      <c r="U33" s="85"/>
      <c r="V33" s="85"/>
      <c r="W33" s="138"/>
      <c r="X33" s="139"/>
      <c r="Y33" s="139"/>
      <c r="Z33" s="139"/>
      <c r="AA33" s="139"/>
      <c r="AB33" s="139"/>
      <c r="AC33" s="139"/>
      <c r="AD33" s="139"/>
      <c r="AE33" s="139"/>
      <c r="AF33" s="139"/>
      <c r="AG33" s="139"/>
      <c r="AH33" s="139"/>
      <c r="AI33" s="139"/>
      <c r="AJ33" s="139"/>
      <c r="AK33" s="139"/>
      <c r="AL33" s="139"/>
      <c r="AM33" s="139"/>
      <c r="AN33" s="139"/>
      <c r="AO33" s="139"/>
    </row>
    <row r="34">
      <c r="A34" s="85">
        <v>44932.0</v>
      </c>
      <c r="B34" s="141">
        <v>69.86</v>
      </c>
      <c r="C34" s="85">
        <v>44930.0</v>
      </c>
      <c r="D34" s="89" t="s">
        <v>302</v>
      </c>
      <c r="E34" s="89" t="s">
        <v>303</v>
      </c>
      <c r="F34" s="89" t="s">
        <v>304</v>
      </c>
      <c r="G34" s="89" t="s">
        <v>114</v>
      </c>
      <c r="H34" s="89" t="s">
        <v>94</v>
      </c>
      <c r="I34" s="89" t="s">
        <v>94</v>
      </c>
      <c r="J34" s="89" t="s">
        <v>95</v>
      </c>
      <c r="K34" s="89"/>
      <c r="L34" s="89"/>
      <c r="M34" s="89"/>
      <c r="N34" s="89">
        <v>1.0</v>
      </c>
      <c r="O34" s="85"/>
      <c r="P34" s="89"/>
      <c r="Q34" s="137">
        <v>1.0</v>
      </c>
      <c r="R34" s="138"/>
      <c r="S34" s="138"/>
      <c r="T34" s="85"/>
      <c r="U34" s="85"/>
      <c r="V34" s="85"/>
      <c r="W34" s="138"/>
      <c r="X34" s="139"/>
      <c r="Y34" s="139"/>
      <c r="Z34" s="139"/>
      <c r="AA34" s="139"/>
      <c r="AB34" s="139"/>
      <c r="AC34" s="139"/>
      <c r="AD34" s="139"/>
      <c r="AE34" s="139"/>
      <c r="AF34" s="139"/>
      <c r="AG34" s="139"/>
      <c r="AH34" s="139"/>
      <c r="AI34" s="139"/>
      <c r="AJ34" s="139"/>
      <c r="AK34" s="139"/>
      <c r="AL34" s="139"/>
      <c r="AM34" s="139"/>
      <c r="AN34" s="139"/>
      <c r="AO34" s="139"/>
    </row>
    <row r="35">
      <c r="A35" s="85">
        <v>44932.0</v>
      </c>
      <c r="B35" s="102">
        <v>264.6</v>
      </c>
      <c r="C35" s="85">
        <v>44876.0</v>
      </c>
      <c r="D35" s="89" t="s">
        <v>307</v>
      </c>
      <c r="E35" s="89" t="s">
        <v>309</v>
      </c>
      <c r="F35" s="89" t="s">
        <v>311</v>
      </c>
      <c r="G35" s="89" t="s">
        <v>110</v>
      </c>
      <c r="H35" s="89" t="s">
        <v>94</v>
      </c>
      <c r="I35" s="89" t="s">
        <v>94</v>
      </c>
      <c r="J35" s="89" t="s">
        <v>95</v>
      </c>
      <c r="K35" s="89">
        <v>1.0</v>
      </c>
      <c r="L35" s="89"/>
      <c r="M35" s="89"/>
      <c r="N35" s="89">
        <v>1.0</v>
      </c>
      <c r="O35" s="85"/>
      <c r="P35" s="89">
        <v>1.0</v>
      </c>
      <c r="Q35" s="137">
        <v>1.0</v>
      </c>
      <c r="R35" s="138"/>
      <c r="S35" s="138"/>
      <c r="T35" s="85"/>
      <c r="U35" s="85"/>
      <c r="V35" s="85"/>
      <c r="W35" s="138"/>
      <c r="X35" s="139"/>
      <c r="Y35" s="139"/>
      <c r="Z35" s="139"/>
      <c r="AA35" s="139"/>
      <c r="AB35" s="139"/>
      <c r="AC35" s="139"/>
      <c r="AD35" s="139"/>
      <c r="AE35" s="139"/>
      <c r="AF35" s="139"/>
      <c r="AG35" s="139"/>
      <c r="AH35" s="139"/>
      <c r="AI35" s="139"/>
      <c r="AJ35" s="139"/>
      <c r="AK35" s="139"/>
      <c r="AL35" s="139"/>
      <c r="AM35" s="139"/>
      <c r="AN35" s="139"/>
      <c r="AO35" s="139"/>
    </row>
    <row r="36">
      <c r="A36" s="85">
        <v>44932.0</v>
      </c>
      <c r="B36" s="154">
        <v>315.14</v>
      </c>
      <c r="C36" s="85">
        <v>44908.0</v>
      </c>
      <c r="D36" s="89" t="s">
        <v>312</v>
      </c>
      <c r="E36" s="89" t="s">
        <v>313</v>
      </c>
      <c r="F36" s="89" t="s">
        <v>314</v>
      </c>
      <c r="G36" s="89" t="s">
        <v>110</v>
      </c>
      <c r="H36" s="89" t="s">
        <v>94</v>
      </c>
      <c r="I36" s="89" t="s">
        <v>94</v>
      </c>
      <c r="J36" s="89" t="s">
        <v>95</v>
      </c>
      <c r="K36" s="89">
        <v>1.0</v>
      </c>
      <c r="L36" s="89"/>
      <c r="M36" s="89">
        <v>1.0</v>
      </c>
      <c r="N36" s="89"/>
      <c r="O36" s="85"/>
      <c r="P36" s="89">
        <v>1.0</v>
      </c>
      <c r="Q36" s="137"/>
      <c r="R36" s="138"/>
      <c r="S36" s="138"/>
      <c r="T36" s="85"/>
      <c r="U36" s="85"/>
      <c r="V36" s="85"/>
      <c r="W36" s="138"/>
      <c r="X36" s="139"/>
      <c r="Y36" s="139"/>
      <c r="Z36" s="139"/>
      <c r="AA36" s="139"/>
      <c r="AB36" s="139"/>
      <c r="AC36" s="139"/>
      <c r="AD36" s="139"/>
      <c r="AE36" s="139"/>
      <c r="AF36" s="139"/>
      <c r="AG36" s="139"/>
      <c r="AH36" s="139"/>
      <c r="AI36" s="139"/>
      <c r="AJ36" s="139"/>
      <c r="AK36" s="139"/>
      <c r="AL36" s="139"/>
      <c r="AM36" s="139"/>
      <c r="AN36" s="139"/>
      <c r="AO36" s="139"/>
    </row>
    <row r="37" ht="17.25" customHeight="1">
      <c r="A37" s="85">
        <v>44932.0</v>
      </c>
      <c r="B37" s="86">
        <v>323.0</v>
      </c>
      <c r="C37" s="85">
        <v>44866.0</v>
      </c>
      <c r="D37" s="89" t="s">
        <v>318</v>
      </c>
      <c r="E37" s="89" t="s">
        <v>319</v>
      </c>
      <c r="F37" s="89" t="s">
        <v>320</v>
      </c>
      <c r="G37" s="89" t="s">
        <v>114</v>
      </c>
      <c r="H37" s="89" t="s">
        <v>94</v>
      </c>
      <c r="I37" s="89" t="s">
        <v>94</v>
      </c>
      <c r="J37" s="89" t="s">
        <v>95</v>
      </c>
      <c r="K37" s="89"/>
      <c r="L37" s="89">
        <v>1.0</v>
      </c>
      <c r="M37" s="89"/>
      <c r="N37" s="89"/>
      <c r="O37" s="85"/>
      <c r="P37" s="89">
        <v>1.0</v>
      </c>
      <c r="Q37" s="137">
        <v>1.0</v>
      </c>
      <c r="R37" s="138"/>
      <c r="S37" s="138"/>
      <c r="T37" s="85"/>
      <c r="U37" s="85"/>
      <c r="V37" s="85"/>
      <c r="W37" s="138"/>
      <c r="X37" s="139"/>
      <c r="Y37" s="139"/>
      <c r="Z37" s="139"/>
      <c r="AA37" s="139"/>
      <c r="AB37" s="139"/>
      <c r="AC37" s="139"/>
      <c r="AD37" s="139"/>
      <c r="AE37" s="139"/>
      <c r="AF37" s="139"/>
      <c r="AG37" s="139"/>
      <c r="AH37" s="139"/>
      <c r="AI37" s="139"/>
      <c r="AJ37" s="139"/>
      <c r="AK37" s="139"/>
      <c r="AL37" s="139"/>
      <c r="AM37" s="139"/>
      <c r="AN37" s="139"/>
      <c r="AO37" s="139"/>
    </row>
    <row r="38" ht="14.25" customHeight="1">
      <c r="A38" s="85">
        <v>44932.0</v>
      </c>
      <c r="B38" s="86">
        <v>299.0</v>
      </c>
      <c r="C38" s="85">
        <v>44932.0</v>
      </c>
      <c r="D38" s="89" t="s">
        <v>325</v>
      </c>
      <c r="E38" s="89" t="s">
        <v>326</v>
      </c>
      <c r="F38" s="89" t="s">
        <v>327</v>
      </c>
      <c r="G38" s="89" t="s">
        <v>114</v>
      </c>
      <c r="H38" s="89" t="s">
        <v>94</v>
      </c>
      <c r="I38" s="89" t="s">
        <v>94</v>
      </c>
      <c r="J38" s="89" t="s">
        <v>328</v>
      </c>
      <c r="K38" s="89">
        <v>1.0</v>
      </c>
      <c r="L38" s="89"/>
      <c r="M38" s="89">
        <v>1.0</v>
      </c>
      <c r="N38" s="89"/>
      <c r="O38" s="85"/>
      <c r="P38" s="89">
        <v>1.0</v>
      </c>
      <c r="Q38" s="137"/>
      <c r="R38" s="138"/>
      <c r="S38" s="138"/>
      <c r="T38" s="85"/>
      <c r="U38" s="85"/>
      <c r="V38" s="85"/>
      <c r="W38" s="138"/>
      <c r="X38" s="139"/>
      <c r="Y38" s="139"/>
      <c r="Z38" s="139"/>
      <c r="AA38" s="139"/>
      <c r="AB38" s="139"/>
      <c r="AC38" s="139"/>
      <c r="AD38" s="139"/>
      <c r="AE38" s="139"/>
      <c r="AF38" s="139"/>
      <c r="AG38" s="139"/>
      <c r="AH38" s="139"/>
      <c r="AI38" s="139"/>
      <c r="AJ38" s="139"/>
      <c r="AK38" s="139"/>
      <c r="AL38" s="139"/>
      <c r="AM38" s="139"/>
      <c r="AN38" s="139"/>
      <c r="AO38" s="139"/>
    </row>
    <row r="39">
      <c r="A39" s="85">
        <v>44932.0</v>
      </c>
      <c r="B39" s="86">
        <v>24.0</v>
      </c>
      <c r="C39" s="85">
        <v>44925.0</v>
      </c>
      <c r="D39" s="89" t="s">
        <v>332</v>
      </c>
      <c r="E39" s="142" t="s">
        <v>333</v>
      </c>
      <c r="F39" s="155" t="s">
        <v>334</v>
      </c>
      <c r="G39" s="89" t="s">
        <v>110</v>
      </c>
      <c r="H39" s="89" t="s">
        <v>94</v>
      </c>
      <c r="I39" s="89" t="s">
        <v>94</v>
      </c>
      <c r="J39" s="89" t="s">
        <v>112</v>
      </c>
      <c r="K39" s="89"/>
      <c r="L39" s="89"/>
      <c r="M39" s="89"/>
      <c r="N39" s="89">
        <v>1.0</v>
      </c>
      <c r="O39" s="85"/>
      <c r="P39" s="89"/>
      <c r="Q39" s="137"/>
      <c r="R39" s="138"/>
      <c r="S39" s="138"/>
      <c r="T39" s="85"/>
      <c r="U39" s="85"/>
      <c r="V39" s="85"/>
      <c r="W39" s="138"/>
      <c r="X39" s="139"/>
      <c r="Y39" s="139"/>
      <c r="Z39" s="139"/>
      <c r="AA39" s="139"/>
      <c r="AB39" s="139"/>
      <c r="AC39" s="139"/>
      <c r="AD39" s="139"/>
      <c r="AE39" s="139"/>
      <c r="AF39" s="139"/>
      <c r="AG39" s="139"/>
      <c r="AH39" s="139"/>
      <c r="AI39" s="139"/>
      <c r="AJ39" s="139"/>
      <c r="AK39" s="139"/>
      <c r="AL39" s="139"/>
      <c r="AM39" s="139"/>
      <c r="AN39" s="139"/>
      <c r="AO39" s="139"/>
    </row>
    <row r="40">
      <c r="A40" s="85">
        <v>44932.0</v>
      </c>
      <c r="B40" s="86">
        <v>345.0</v>
      </c>
      <c r="C40" s="85">
        <v>44894.0</v>
      </c>
      <c r="D40" s="89" t="s">
        <v>339</v>
      </c>
      <c r="E40" s="89" t="s">
        <v>340</v>
      </c>
      <c r="F40" s="89" t="s">
        <v>341</v>
      </c>
      <c r="G40" s="89" t="s">
        <v>110</v>
      </c>
      <c r="H40" s="89" t="s">
        <v>94</v>
      </c>
      <c r="I40" s="89" t="s">
        <v>94</v>
      </c>
      <c r="J40" s="89" t="s">
        <v>95</v>
      </c>
      <c r="K40" s="89">
        <v>1.0</v>
      </c>
      <c r="L40" s="89"/>
      <c r="M40" s="89">
        <v>1.0</v>
      </c>
      <c r="N40" s="89">
        <v>1.0</v>
      </c>
      <c r="O40" s="85"/>
      <c r="P40" s="89">
        <v>1.0</v>
      </c>
      <c r="Q40" s="137">
        <v>1.0</v>
      </c>
      <c r="R40" s="138"/>
      <c r="S40" s="138"/>
      <c r="T40" s="85"/>
      <c r="U40" s="85"/>
      <c r="V40" s="85"/>
      <c r="W40" s="138"/>
      <c r="X40" s="139"/>
      <c r="Y40" s="139"/>
      <c r="Z40" s="139"/>
      <c r="AA40" s="139"/>
      <c r="AB40" s="139"/>
      <c r="AC40" s="139"/>
      <c r="AD40" s="139"/>
      <c r="AE40" s="139"/>
      <c r="AF40" s="139"/>
      <c r="AG40" s="139"/>
      <c r="AH40" s="139"/>
      <c r="AI40" s="139"/>
      <c r="AJ40" s="139"/>
      <c r="AK40" s="139"/>
      <c r="AL40" s="139"/>
      <c r="AM40" s="139"/>
      <c r="AN40" s="139"/>
      <c r="AO40" s="139"/>
    </row>
    <row r="41" ht="19.5" customHeight="1">
      <c r="A41" s="85">
        <v>44932.0</v>
      </c>
      <c r="B41" s="86">
        <v>269.0</v>
      </c>
      <c r="C41" s="85">
        <v>44923.0</v>
      </c>
      <c r="D41" s="89" t="s">
        <v>344</v>
      </c>
      <c r="E41" s="89" t="s">
        <v>346</v>
      </c>
      <c r="F41" s="89" t="s">
        <v>347</v>
      </c>
      <c r="G41" s="89" t="s">
        <v>114</v>
      </c>
      <c r="H41" s="89" t="s">
        <v>94</v>
      </c>
      <c r="I41" s="89" t="s">
        <v>94</v>
      </c>
      <c r="J41" s="89" t="s">
        <v>95</v>
      </c>
      <c r="K41" s="89">
        <v>1.0</v>
      </c>
      <c r="L41" s="89"/>
      <c r="M41" s="89">
        <v>1.0</v>
      </c>
      <c r="N41" s="89"/>
      <c r="O41" s="85"/>
      <c r="P41" s="89">
        <v>1.0</v>
      </c>
      <c r="Q41" s="137"/>
      <c r="R41" s="138"/>
      <c r="S41" s="138"/>
      <c r="T41" s="85"/>
      <c r="U41" s="85"/>
      <c r="V41" s="85"/>
      <c r="W41" s="138"/>
      <c r="X41" s="139"/>
      <c r="Y41" s="139"/>
      <c r="Z41" s="139"/>
      <c r="AA41" s="139"/>
      <c r="AB41" s="139"/>
      <c r="AC41" s="139"/>
      <c r="AD41" s="139"/>
      <c r="AE41" s="139"/>
      <c r="AF41" s="139"/>
      <c r="AG41" s="139"/>
      <c r="AH41" s="139"/>
      <c r="AI41" s="139"/>
      <c r="AJ41" s="139"/>
      <c r="AK41" s="139"/>
      <c r="AL41" s="139"/>
      <c r="AM41" s="139"/>
      <c r="AN41" s="139"/>
      <c r="AO41" s="139"/>
    </row>
    <row r="42" ht="15.0" customHeight="1">
      <c r="A42" s="85">
        <v>44932.0</v>
      </c>
      <c r="B42" s="86">
        <v>369.43</v>
      </c>
      <c r="C42" s="85">
        <v>44931.0</v>
      </c>
      <c r="D42" s="89" t="s">
        <v>352</v>
      </c>
      <c r="E42" s="89" t="s">
        <v>353</v>
      </c>
      <c r="F42" s="89" t="s">
        <v>354</v>
      </c>
      <c r="G42" s="89" t="s">
        <v>114</v>
      </c>
      <c r="H42" s="89" t="s">
        <v>94</v>
      </c>
      <c r="I42" s="89" t="s">
        <v>94</v>
      </c>
      <c r="J42" s="89" t="s">
        <v>95</v>
      </c>
      <c r="K42" s="89">
        <v>1.0</v>
      </c>
      <c r="L42" s="89"/>
      <c r="M42" s="89">
        <v>1.0</v>
      </c>
      <c r="N42" s="89">
        <v>1.0</v>
      </c>
      <c r="O42" s="85"/>
      <c r="P42" s="89">
        <v>1.0</v>
      </c>
      <c r="Q42" s="137">
        <v>1.0</v>
      </c>
      <c r="R42" s="138"/>
      <c r="S42" s="138"/>
      <c r="T42" s="85"/>
      <c r="U42" s="85"/>
      <c r="V42" s="85"/>
      <c r="W42" s="138"/>
      <c r="X42" s="139"/>
      <c r="Y42" s="139"/>
      <c r="Z42" s="139"/>
      <c r="AA42" s="139"/>
      <c r="AB42" s="139"/>
      <c r="AC42" s="139"/>
      <c r="AD42" s="139"/>
      <c r="AE42" s="139"/>
      <c r="AF42" s="139"/>
      <c r="AG42" s="139"/>
      <c r="AH42" s="139"/>
      <c r="AI42" s="139"/>
      <c r="AJ42" s="139"/>
      <c r="AK42" s="139"/>
      <c r="AL42" s="139"/>
      <c r="AM42" s="139"/>
      <c r="AN42" s="139"/>
      <c r="AO42" s="139"/>
    </row>
    <row r="43" ht="19.5" customHeight="1">
      <c r="A43" s="85">
        <v>44932.0</v>
      </c>
      <c r="B43" s="86">
        <v>243.55</v>
      </c>
      <c r="C43" s="85">
        <v>44920.0</v>
      </c>
      <c r="D43" s="89" t="s">
        <v>358</v>
      </c>
      <c r="E43" s="160" t="s">
        <v>359</v>
      </c>
      <c r="F43" s="89" t="s">
        <v>360</v>
      </c>
      <c r="G43" s="89" t="s">
        <v>114</v>
      </c>
      <c r="H43" s="89" t="s">
        <v>94</v>
      </c>
      <c r="I43" s="89" t="s">
        <v>94</v>
      </c>
      <c r="J43" s="89" t="s">
        <v>95</v>
      </c>
      <c r="K43" s="89">
        <v>1.0</v>
      </c>
      <c r="L43" s="89"/>
      <c r="M43" s="89"/>
      <c r="N43" s="89"/>
      <c r="O43" s="85"/>
      <c r="P43" s="89">
        <v>1.0</v>
      </c>
      <c r="Q43" s="137"/>
      <c r="R43" s="138"/>
      <c r="S43" s="138"/>
      <c r="T43" s="85"/>
      <c r="U43" s="85"/>
      <c r="V43" s="85"/>
      <c r="W43" s="138"/>
      <c r="X43" s="139"/>
      <c r="Y43" s="139"/>
      <c r="Z43" s="139"/>
      <c r="AA43" s="139"/>
      <c r="AB43" s="139"/>
      <c r="AC43" s="139"/>
      <c r="AD43" s="139"/>
      <c r="AE43" s="139"/>
      <c r="AF43" s="139"/>
      <c r="AG43" s="139"/>
      <c r="AH43" s="139"/>
      <c r="AI43" s="139"/>
      <c r="AJ43" s="139"/>
      <c r="AK43" s="139"/>
      <c r="AL43" s="139"/>
      <c r="AM43" s="139"/>
      <c r="AN43" s="139"/>
      <c r="AO43" s="139"/>
    </row>
    <row r="44" ht="16.5" customHeight="1">
      <c r="A44" s="162">
        <v>44932.0</v>
      </c>
      <c r="B44" s="86">
        <v>84.8</v>
      </c>
      <c r="C44" s="85">
        <v>44926.0</v>
      </c>
      <c r="D44" s="89" t="s">
        <v>365</v>
      </c>
      <c r="E44" s="89" t="s">
        <v>366</v>
      </c>
      <c r="F44" s="89" t="s">
        <v>367</v>
      </c>
      <c r="G44" s="89" t="s">
        <v>114</v>
      </c>
      <c r="H44" s="89" t="s">
        <v>94</v>
      </c>
      <c r="I44" s="89" t="s">
        <v>94</v>
      </c>
      <c r="J44" s="89" t="s">
        <v>95</v>
      </c>
      <c r="K44" s="89"/>
      <c r="L44" s="89"/>
      <c r="M44" s="89">
        <v>1.0</v>
      </c>
      <c r="N44" s="89"/>
      <c r="O44" s="85"/>
      <c r="P44" s="89"/>
      <c r="Q44" s="137"/>
      <c r="R44" s="138"/>
      <c r="S44" s="138"/>
      <c r="T44" s="85"/>
      <c r="U44" s="85"/>
      <c r="V44" s="85"/>
      <c r="W44" s="138"/>
      <c r="X44" s="139"/>
      <c r="Y44" s="139"/>
      <c r="Z44" s="139"/>
      <c r="AA44" s="139"/>
      <c r="AB44" s="139"/>
      <c r="AC44" s="139"/>
      <c r="AD44" s="139"/>
      <c r="AE44" s="139"/>
      <c r="AF44" s="139"/>
      <c r="AG44" s="139"/>
      <c r="AH44" s="139"/>
      <c r="AI44" s="139"/>
      <c r="AJ44" s="139"/>
      <c r="AK44" s="139"/>
      <c r="AL44" s="139"/>
      <c r="AM44" s="139"/>
      <c r="AN44" s="139"/>
      <c r="AO44" s="139"/>
    </row>
    <row r="45">
      <c r="A45" s="85">
        <v>44933.0</v>
      </c>
      <c r="B45" s="86">
        <v>201.8</v>
      </c>
      <c r="C45" s="85">
        <v>44764.0</v>
      </c>
      <c r="D45" s="164" t="s">
        <v>371</v>
      </c>
      <c r="E45" s="107" t="s">
        <v>372</v>
      </c>
      <c r="F45" s="155" t="s">
        <v>373</v>
      </c>
      <c r="G45" s="89" t="s">
        <v>110</v>
      </c>
      <c r="H45" s="89" t="s">
        <v>170</v>
      </c>
      <c r="I45" s="89" t="s">
        <v>135</v>
      </c>
      <c r="J45" s="89" t="s">
        <v>191</v>
      </c>
      <c r="K45" s="89"/>
      <c r="L45" s="89">
        <v>1.0</v>
      </c>
      <c r="M45" s="89"/>
      <c r="N45" s="89">
        <v>1.0</v>
      </c>
      <c r="O45" s="85"/>
      <c r="P45" s="89"/>
      <c r="Q45" s="137"/>
      <c r="R45" s="138"/>
      <c r="S45" s="138"/>
      <c r="T45" s="85"/>
      <c r="U45" s="85"/>
      <c r="V45" s="85"/>
      <c r="W45" s="138"/>
      <c r="X45" s="139"/>
      <c r="Y45" s="139"/>
      <c r="Z45" s="139"/>
      <c r="AA45" s="139"/>
      <c r="AB45" s="139"/>
      <c r="AC45" s="139"/>
      <c r="AD45" s="139"/>
      <c r="AE45" s="139"/>
      <c r="AF45" s="139"/>
      <c r="AG45" s="139"/>
      <c r="AH45" s="139"/>
      <c r="AI45" s="139"/>
      <c r="AJ45" s="139"/>
      <c r="AK45" s="139"/>
      <c r="AL45" s="139"/>
      <c r="AM45" s="139"/>
      <c r="AN45" s="139"/>
      <c r="AO45" s="139"/>
    </row>
    <row r="46">
      <c r="A46" s="85">
        <v>44933.0</v>
      </c>
      <c r="B46" s="86">
        <v>247.41</v>
      </c>
      <c r="C46" s="85">
        <v>44896.0</v>
      </c>
      <c r="D46" s="89" t="s">
        <v>378</v>
      </c>
      <c r="E46" s="89" t="s">
        <v>379</v>
      </c>
      <c r="F46" s="89" t="s">
        <v>380</v>
      </c>
      <c r="G46" s="89" t="s">
        <v>110</v>
      </c>
      <c r="H46" s="89" t="s">
        <v>94</v>
      </c>
      <c r="I46" s="89" t="s">
        <v>94</v>
      </c>
      <c r="J46" s="89" t="s">
        <v>95</v>
      </c>
      <c r="K46" s="89">
        <v>1.0</v>
      </c>
      <c r="L46" s="89"/>
      <c r="M46" s="89"/>
      <c r="N46" s="89"/>
      <c r="O46" s="85"/>
      <c r="P46" s="89">
        <v>1.0</v>
      </c>
      <c r="Q46" s="137"/>
      <c r="R46" s="138"/>
      <c r="S46" s="138"/>
      <c r="T46" s="85"/>
      <c r="U46" s="85"/>
      <c r="V46" s="85"/>
      <c r="W46" s="138"/>
      <c r="X46" s="139"/>
      <c r="Y46" s="139"/>
      <c r="Z46" s="139"/>
      <c r="AA46" s="139"/>
      <c r="AB46" s="139"/>
      <c r="AC46" s="139"/>
      <c r="AD46" s="139"/>
      <c r="AE46" s="139"/>
      <c r="AF46" s="139"/>
      <c r="AG46" s="139"/>
      <c r="AH46" s="139"/>
      <c r="AI46" s="139"/>
      <c r="AJ46" s="139"/>
      <c r="AK46" s="139"/>
      <c r="AL46" s="139"/>
      <c r="AM46" s="139"/>
      <c r="AN46" s="139"/>
      <c r="AO46" s="139"/>
    </row>
    <row r="47">
      <c r="A47" s="85">
        <v>44933.0</v>
      </c>
      <c r="B47" s="86">
        <v>242.1</v>
      </c>
      <c r="C47" s="85">
        <v>44153.0</v>
      </c>
      <c r="D47" s="89" t="s">
        <v>385</v>
      </c>
      <c r="E47" s="89" t="s">
        <v>386</v>
      </c>
      <c r="F47" s="89" t="s">
        <v>387</v>
      </c>
      <c r="G47" s="89" t="s">
        <v>110</v>
      </c>
      <c r="H47" s="89" t="s">
        <v>170</v>
      </c>
      <c r="I47" s="89" t="s">
        <v>170</v>
      </c>
      <c r="J47" s="89" t="s">
        <v>191</v>
      </c>
      <c r="K47" s="89"/>
      <c r="L47" s="89">
        <v>1.0</v>
      </c>
      <c r="M47" s="89"/>
      <c r="N47" s="89">
        <v>1.0</v>
      </c>
      <c r="O47" s="85"/>
      <c r="P47" s="89"/>
      <c r="Q47" s="137"/>
      <c r="R47" s="138"/>
      <c r="S47" s="138"/>
      <c r="T47" s="85"/>
      <c r="U47" s="85"/>
      <c r="V47" s="85"/>
      <c r="W47" s="138"/>
      <c r="X47" s="139"/>
      <c r="Y47" s="139"/>
      <c r="Z47" s="139"/>
      <c r="AA47" s="139"/>
      <c r="AB47" s="139"/>
      <c r="AC47" s="139"/>
      <c r="AD47" s="139"/>
      <c r="AE47" s="139"/>
      <c r="AF47" s="139"/>
      <c r="AG47" s="139"/>
      <c r="AH47" s="139"/>
      <c r="AI47" s="139"/>
      <c r="AJ47" s="139"/>
      <c r="AK47" s="139"/>
      <c r="AL47" s="139"/>
      <c r="AM47" s="139"/>
      <c r="AN47" s="139"/>
      <c r="AO47" s="139"/>
    </row>
    <row r="48">
      <c r="A48" s="85">
        <v>44933.0</v>
      </c>
      <c r="B48" s="86">
        <v>32.0</v>
      </c>
      <c r="C48" s="85">
        <v>44858.0</v>
      </c>
      <c r="D48" s="142" t="s">
        <v>391</v>
      </c>
      <c r="E48" s="89" t="s">
        <v>392</v>
      </c>
      <c r="F48" s="89" t="s">
        <v>393</v>
      </c>
      <c r="G48" s="89" t="s">
        <v>114</v>
      </c>
      <c r="H48" s="89" t="s">
        <v>94</v>
      </c>
      <c r="I48" s="89" t="s">
        <v>94</v>
      </c>
      <c r="J48" s="89" t="s">
        <v>95</v>
      </c>
      <c r="K48" s="89"/>
      <c r="L48" s="89"/>
      <c r="M48" s="89"/>
      <c r="N48" s="89"/>
      <c r="O48" s="85"/>
      <c r="P48" s="89"/>
      <c r="Q48" s="137">
        <v>1.0</v>
      </c>
      <c r="R48" s="138"/>
      <c r="S48" s="138"/>
      <c r="T48" s="85"/>
      <c r="U48" s="85"/>
      <c r="V48" s="85"/>
      <c r="W48" s="138"/>
      <c r="X48" s="139"/>
      <c r="Y48" s="139"/>
      <c r="Z48" s="139"/>
      <c r="AA48" s="139"/>
      <c r="AB48" s="139"/>
      <c r="AC48" s="139"/>
      <c r="AD48" s="139"/>
      <c r="AE48" s="139"/>
      <c r="AF48" s="139"/>
      <c r="AG48" s="139"/>
      <c r="AH48" s="139"/>
      <c r="AI48" s="139"/>
      <c r="AJ48" s="139"/>
      <c r="AK48" s="139"/>
      <c r="AL48" s="139"/>
      <c r="AM48" s="139"/>
      <c r="AN48" s="139"/>
      <c r="AO48" s="139"/>
    </row>
    <row r="49">
      <c r="A49" s="85">
        <v>44933.0</v>
      </c>
      <c r="B49" s="86">
        <v>299.0</v>
      </c>
      <c r="C49" s="85">
        <v>44906.0</v>
      </c>
      <c r="D49" s="89" t="s">
        <v>397</v>
      </c>
      <c r="E49" s="89" t="s">
        <v>398</v>
      </c>
      <c r="F49" s="89" t="s">
        <v>399</v>
      </c>
      <c r="G49" s="89" t="s">
        <v>114</v>
      </c>
      <c r="H49" s="89" t="s">
        <v>94</v>
      </c>
      <c r="I49" s="89" t="s">
        <v>94</v>
      </c>
      <c r="J49" s="89" t="s">
        <v>95</v>
      </c>
      <c r="K49" s="89">
        <v>1.0</v>
      </c>
      <c r="L49" s="89"/>
      <c r="M49" s="89">
        <v>1.0</v>
      </c>
      <c r="N49" s="89"/>
      <c r="O49" s="85"/>
      <c r="P49" s="89">
        <v>1.0</v>
      </c>
      <c r="Q49" s="137"/>
      <c r="R49" s="138"/>
      <c r="S49" s="138"/>
      <c r="T49" s="85"/>
      <c r="U49" s="85"/>
      <c r="V49" s="85"/>
      <c r="W49" s="138"/>
      <c r="X49" s="139"/>
      <c r="Y49" s="139"/>
      <c r="Z49" s="139"/>
      <c r="AA49" s="139"/>
      <c r="AB49" s="139"/>
      <c r="AC49" s="139"/>
      <c r="AD49" s="139"/>
      <c r="AE49" s="139"/>
      <c r="AF49" s="139"/>
      <c r="AG49" s="139"/>
      <c r="AH49" s="139"/>
      <c r="AI49" s="139"/>
      <c r="AJ49" s="139"/>
      <c r="AK49" s="139"/>
      <c r="AL49" s="139"/>
      <c r="AM49" s="139"/>
      <c r="AN49" s="139"/>
      <c r="AO49" s="139"/>
    </row>
    <row r="50">
      <c r="A50" s="85">
        <v>44933.0</v>
      </c>
      <c r="B50" s="86">
        <v>229.0</v>
      </c>
      <c r="C50" s="85">
        <v>44920.0</v>
      </c>
      <c r="D50" s="89" t="s">
        <v>404</v>
      </c>
      <c r="E50" s="89" t="s">
        <v>405</v>
      </c>
      <c r="F50" s="89" t="s">
        <v>406</v>
      </c>
      <c r="G50" s="89" t="s">
        <v>141</v>
      </c>
      <c r="H50" s="89" t="s">
        <v>94</v>
      </c>
      <c r="I50" s="89" t="s">
        <v>94</v>
      </c>
      <c r="J50" s="89" t="s">
        <v>95</v>
      </c>
      <c r="K50" s="89">
        <v>1.0</v>
      </c>
      <c r="L50" s="89"/>
      <c r="M50" s="89"/>
      <c r="N50" s="89"/>
      <c r="O50" s="85"/>
      <c r="P50" s="89">
        <v>1.0</v>
      </c>
      <c r="Q50" s="137"/>
      <c r="R50" s="138"/>
      <c r="S50" s="138"/>
      <c r="T50" s="85"/>
      <c r="U50" s="85"/>
      <c r="V50" s="85"/>
      <c r="W50" s="138"/>
      <c r="X50" s="139"/>
      <c r="Y50" s="139"/>
      <c r="Z50" s="139"/>
      <c r="AA50" s="139"/>
      <c r="AB50" s="139"/>
      <c r="AC50" s="139"/>
      <c r="AD50" s="139"/>
      <c r="AE50" s="139"/>
      <c r="AF50" s="139"/>
      <c r="AG50" s="139"/>
      <c r="AH50" s="139"/>
      <c r="AI50" s="139"/>
      <c r="AJ50" s="139"/>
      <c r="AK50" s="139"/>
      <c r="AL50" s="139"/>
      <c r="AM50" s="139"/>
      <c r="AN50" s="139"/>
      <c r="AO50" s="139"/>
    </row>
    <row r="51">
      <c r="A51" s="85">
        <v>44933.0</v>
      </c>
      <c r="B51" s="86">
        <v>350.0</v>
      </c>
      <c r="C51" s="85">
        <v>44932.0</v>
      </c>
      <c r="D51" s="89" t="s">
        <v>411</v>
      </c>
      <c r="E51" s="89" t="s">
        <v>412</v>
      </c>
      <c r="F51" s="89" t="s">
        <v>413</v>
      </c>
      <c r="G51" s="89" t="s">
        <v>114</v>
      </c>
      <c r="H51" s="89" t="s">
        <v>94</v>
      </c>
      <c r="I51" s="89" t="s">
        <v>94</v>
      </c>
      <c r="J51" s="89" t="s">
        <v>414</v>
      </c>
      <c r="K51" s="89">
        <v>1.0</v>
      </c>
      <c r="L51" s="89"/>
      <c r="M51" s="89">
        <v>1.0</v>
      </c>
      <c r="N51" s="89">
        <v>1.0</v>
      </c>
      <c r="O51" s="85"/>
      <c r="P51" s="89">
        <v>1.0</v>
      </c>
      <c r="Q51" s="137">
        <v>1.0</v>
      </c>
      <c r="R51" s="138"/>
      <c r="S51" s="138"/>
      <c r="T51" s="85"/>
      <c r="U51" s="85"/>
      <c r="V51" s="85"/>
      <c r="W51" s="138"/>
      <c r="X51" s="139"/>
      <c r="Y51" s="139"/>
      <c r="Z51" s="139"/>
      <c r="AA51" s="139"/>
      <c r="AB51" s="139"/>
      <c r="AC51" s="139"/>
      <c r="AD51" s="139"/>
      <c r="AE51" s="139"/>
      <c r="AF51" s="139"/>
      <c r="AG51" s="139"/>
      <c r="AH51" s="139"/>
      <c r="AI51" s="139"/>
      <c r="AJ51" s="139"/>
      <c r="AK51" s="139"/>
      <c r="AL51" s="139"/>
      <c r="AM51" s="139"/>
      <c r="AN51" s="139"/>
      <c r="AO51" s="139"/>
    </row>
    <row r="52">
      <c r="A52" s="85">
        <v>44933.0</v>
      </c>
      <c r="B52" s="141">
        <v>313.95</v>
      </c>
      <c r="C52" s="85">
        <v>44932.0</v>
      </c>
      <c r="D52" s="177" t="s">
        <v>418</v>
      </c>
      <c r="E52" s="89" t="s">
        <v>419</v>
      </c>
      <c r="F52" s="89" t="s">
        <v>420</v>
      </c>
      <c r="G52" s="89" t="s">
        <v>421</v>
      </c>
      <c r="H52" s="89" t="s">
        <v>94</v>
      </c>
      <c r="I52" s="89" t="s">
        <v>94</v>
      </c>
      <c r="J52" s="89" t="s">
        <v>95</v>
      </c>
      <c r="K52" s="89">
        <v>1.0</v>
      </c>
      <c r="L52" s="89"/>
      <c r="M52" s="89">
        <v>1.0</v>
      </c>
      <c r="N52" s="89"/>
      <c r="O52" s="85"/>
      <c r="P52" s="89">
        <v>1.0</v>
      </c>
      <c r="Q52" s="137"/>
      <c r="R52" s="138"/>
      <c r="S52" s="138"/>
      <c r="T52" s="85"/>
      <c r="U52" s="85"/>
      <c r="V52" s="85"/>
      <c r="W52" s="138"/>
      <c r="X52" s="139"/>
      <c r="Y52" s="139"/>
      <c r="Z52" s="139"/>
      <c r="AA52" s="139"/>
      <c r="AB52" s="139"/>
      <c r="AC52" s="139"/>
      <c r="AD52" s="139"/>
      <c r="AE52" s="139"/>
      <c r="AF52" s="139"/>
      <c r="AG52" s="139"/>
      <c r="AH52" s="139"/>
      <c r="AI52" s="139"/>
      <c r="AJ52" s="139"/>
      <c r="AK52" s="139"/>
      <c r="AL52" s="139"/>
      <c r="AM52" s="139"/>
      <c r="AN52" s="139"/>
      <c r="AO52" s="139"/>
    </row>
    <row r="53">
      <c r="A53" s="85">
        <v>44933.0</v>
      </c>
      <c r="B53" s="154">
        <v>366.57</v>
      </c>
      <c r="C53" s="85">
        <v>44932.0</v>
      </c>
      <c r="D53" s="89" t="s">
        <v>425</v>
      </c>
      <c r="E53" s="89" t="s">
        <v>426</v>
      </c>
      <c r="F53" s="89" t="s">
        <v>427</v>
      </c>
      <c r="G53" s="153" t="s">
        <v>137</v>
      </c>
      <c r="H53" s="89" t="s">
        <v>94</v>
      </c>
      <c r="I53" s="89" t="s">
        <v>94</v>
      </c>
      <c r="J53" s="89" t="s">
        <v>95</v>
      </c>
      <c r="K53" s="89"/>
      <c r="L53" s="89">
        <v>1.0</v>
      </c>
      <c r="M53" s="89"/>
      <c r="N53" s="89">
        <v>1.0</v>
      </c>
      <c r="O53" s="85"/>
      <c r="P53" s="89">
        <v>1.0</v>
      </c>
      <c r="Q53" s="137">
        <v>1.0</v>
      </c>
      <c r="R53" s="138"/>
      <c r="S53" s="138"/>
      <c r="T53" s="85"/>
      <c r="U53" s="85"/>
      <c r="V53" s="85"/>
      <c r="W53" s="138"/>
      <c r="X53" s="139"/>
      <c r="Y53" s="139"/>
      <c r="Z53" s="139"/>
      <c r="AA53" s="139"/>
      <c r="AB53" s="139"/>
      <c r="AC53" s="139"/>
      <c r="AD53" s="139"/>
      <c r="AE53" s="139"/>
      <c r="AF53" s="139"/>
      <c r="AG53" s="139"/>
      <c r="AH53" s="139"/>
      <c r="AI53" s="139"/>
      <c r="AJ53" s="139"/>
      <c r="AK53" s="139"/>
      <c r="AL53" s="139"/>
      <c r="AM53" s="139"/>
      <c r="AN53" s="139"/>
      <c r="AO53" s="139"/>
    </row>
    <row r="54">
      <c r="A54" s="85">
        <v>44933.0</v>
      </c>
      <c r="B54" s="86">
        <v>36.81</v>
      </c>
      <c r="C54" s="89" t="s">
        <v>429</v>
      </c>
      <c r="D54" s="142" t="s">
        <v>430</v>
      </c>
      <c r="E54" s="142" t="s">
        <v>431</v>
      </c>
      <c r="F54" s="142" t="s">
        <v>433</v>
      </c>
      <c r="G54" s="89" t="s">
        <v>114</v>
      </c>
      <c r="H54" s="89" t="s">
        <v>94</v>
      </c>
      <c r="I54" s="89" t="s">
        <v>94</v>
      </c>
      <c r="J54" s="89" t="s">
        <v>95</v>
      </c>
      <c r="K54" s="89"/>
      <c r="L54" s="89"/>
      <c r="M54" s="89"/>
      <c r="N54" s="89">
        <v>1.0</v>
      </c>
      <c r="O54" s="85"/>
      <c r="P54" s="89"/>
      <c r="Q54" s="137"/>
      <c r="R54" s="138"/>
      <c r="S54" s="138"/>
      <c r="T54" s="85"/>
      <c r="U54" s="85"/>
      <c r="V54" s="85"/>
      <c r="W54" s="138"/>
      <c r="X54" s="139"/>
      <c r="Y54" s="139"/>
      <c r="Z54" s="139"/>
      <c r="AA54" s="139"/>
      <c r="AB54" s="139"/>
      <c r="AC54" s="139"/>
      <c r="AD54" s="139"/>
      <c r="AE54" s="139"/>
      <c r="AF54" s="139"/>
      <c r="AG54" s="139"/>
      <c r="AH54" s="139"/>
      <c r="AI54" s="139"/>
      <c r="AJ54" s="139"/>
      <c r="AK54" s="139"/>
      <c r="AL54" s="139"/>
      <c r="AM54" s="139"/>
      <c r="AN54" s="139"/>
      <c r="AO54" s="139"/>
    </row>
    <row r="55">
      <c r="A55" s="85">
        <v>44933.0</v>
      </c>
      <c r="B55" s="86">
        <v>365.7</v>
      </c>
      <c r="C55" s="85">
        <v>45047.0</v>
      </c>
      <c r="D55" s="89" t="s">
        <v>438</v>
      </c>
      <c r="E55" s="89" t="s">
        <v>439</v>
      </c>
      <c r="F55" s="89" t="s">
        <v>440</v>
      </c>
      <c r="G55" s="89" t="s">
        <v>110</v>
      </c>
      <c r="H55" s="89" t="s">
        <v>94</v>
      </c>
      <c r="I55" s="89" t="s">
        <v>94</v>
      </c>
      <c r="J55" s="89" t="s">
        <v>95</v>
      </c>
      <c r="K55" s="89">
        <v>1.0</v>
      </c>
      <c r="L55" s="89"/>
      <c r="M55" s="89">
        <v>1.0</v>
      </c>
      <c r="N55" s="89">
        <v>1.0</v>
      </c>
      <c r="O55" s="85"/>
      <c r="P55" s="89">
        <v>1.0</v>
      </c>
      <c r="Q55" s="137">
        <v>1.0</v>
      </c>
      <c r="R55" s="138"/>
      <c r="S55" s="138"/>
      <c r="T55" s="85"/>
      <c r="U55" s="85"/>
      <c r="V55" s="85"/>
      <c r="W55" s="138"/>
      <c r="X55" s="139"/>
      <c r="Y55" s="139"/>
      <c r="Z55" s="139"/>
      <c r="AA55" s="139"/>
      <c r="AB55" s="139"/>
      <c r="AC55" s="139"/>
      <c r="AD55" s="139"/>
      <c r="AE55" s="139"/>
      <c r="AF55" s="139"/>
      <c r="AG55" s="139"/>
      <c r="AH55" s="139"/>
      <c r="AI55" s="139"/>
      <c r="AJ55" s="139"/>
      <c r="AK55" s="139"/>
      <c r="AL55" s="139"/>
      <c r="AM55" s="139"/>
      <c r="AN55" s="139"/>
      <c r="AO55" s="139"/>
    </row>
    <row r="56" ht="20.25" customHeight="1">
      <c r="A56" s="22">
        <v>44934.0</v>
      </c>
      <c r="B56" s="24">
        <v>35.86</v>
      </c>
      <c r="C56" s="22">
        <v>44931.0</v>
      </c>
      <c r="D56" s="25" t="s">
        <v>445</v>
      </c>
      <c r="E56" s="25" t="s">
        <v>446</v>
      </c>
      <c r="F56" s="25" t="s">
        <v>447</v>
      </c>
      <c r="G56" s="25" t="s">
        <v>114</v>
      </c>
      <c r="H56" s="25" t="s">
        <v>94</v>
      </c>
      <c r="I56" s="25" t="s">
        <v>94</v>
      </c>
      <c r="J56" s="25" t="s">
        <v>95</v>
      </c>
      <c r="K56" s="25"/>
      <c r="L56" s="25"/>
      <c r="M56" s="25"/>
      <c r="N56" s="25">
        <v>1.0</v>
      </c>
      <c r="O56" s="22"/>
      <c r="P56" s="25"/>
      <c r="Q56" s="67"/>
      <c r="R56" s="68"/>
      <c r="S56" s="68"/>
      <c r="T56" s="22"/>
      <c r="U56" s="22"/>
      <c r="V56" s="22"/>
      <c r="W56" s="68"/>
      <c r="X56" s="69"/>
      <c r="Y56" s="69"/>
      <c r="Z56" s="69"/>
      <c r="AA56" s="69"/>
      <c r="AB56" s="69"/>
      <c r="AC56" s="69"/>
      <c r="AD56" s="69"/>
      <c r="AE56" s="69"/>
      <c r="AF56" s="69"/>
      <c r="AG56" s="69"/>
      <c r="AH56" s="69"/>
      <c r="AI56" s="69"/>
      <c r="AJ56" s="69"/>
      <c r="AK56" s="69"/>
      <c r="AL56" s="69"/>
      <c r="AM56" s="69"/>
      <c r="AN56" s="69"/>
      <c r="AO56" s="69"/>
    </row>
    <row r="57" ht="18.75" customHeight="1">
      <c r="A57" s="85">
        <v>44934.0</v>
      </c>
      <c r="B57" s="86">
        <v>74.2</v>
      </c>
      <c r="C57" s="85">
        <v>44856.0</v>
      </c>
      <c r="D57" s="89" t="s">
        <v>451</v>
      </c>
      <c r="E57" s="89" t="s">
        <v>452</v>
      </c>
      <c r="F57" s="89" t="s">
        <v>453</v>
      </c>
      <c r="G57" s="25" t="s">
        <v>114</v>
      </c>
      <c r="H57" s="25" t="s">
        <v>94</v>
      </c>
      <c r="I57" s="25" t="s">
        <v>94</v>
      </c>
      <c r="J57" s="25" t="s">
        <v>95</v>
      </c>
      <c r="K57" s="89"/>
      <c r="L57" s="89"/>
      <c r="M57" s="89">
        <v>1.0</v>
      </c>
      <c r="N57" s="89"/>
      <c r="O57" s="85"/>
      <c r="P57" s="89"/>
      <c r="Q57" s="137"/>
      <c r="R57" s="138"/>
      <c r="S57" s="138"/>
      <c r="T57" s="85"/>
      <c r="U57" s="85"/>
      <c r="V57" s="85"/>
      <c r="W57" s="138"/>
      <c r="X57" s="139"/>
      <c r="Y57" s="139"/>
      <c r="Z57" s="139"/>
      <c r="AA57" s="139"/>
      <c r="AB57" s="139"/>
      <c r="AC57" s="139"/>
      <c r="AD57" s="139"/>
      <c r="AE57" s="139"/>
      <c r="AF57" s="139"/>
      <c r="AG57" s="139"/>
      <c r="AH57" s="139"/>
      <c r="AI57" s="139"/>
      <c r="AJ57" s="139"/>
      <c r="AK57" s="139"/>
      <c r="AL57" s="139"/>
      <c r="AM57" s="139"/>
      <c r="AN57" s="139"/>
      <c r="AO57" s="139"/>
    </row>
    <row r="58">
      <c r="A58" s="22">
        <v>44934.0</v>
      </c>
      <c r="B58" s="24">
        <v>343.19</v>
      </c>
      <c r="C58" s="22">
        <v>44933.0</v>
      </c>
      <c r="D58" s="25" t="s">
        <v>457</v>
      </c>
      <c r="E58" s="25" t="s">
        <v>458</v>
      </c>
      <c r="F58" s="25" t="s">
        <v>459</v>
      </c>
      <c r="G58" s="25" t="s">
        <v>141</v>
      </c>
      <c r="H58" s="25" t="s">
        <v>94</v>
      </c>
      <c r="I58" s="25" t="s">
        <v>94</v>
      </c>
      <c r="J58" s="25" t="s">
        <v>95</v>
      </c>
      <c r="K58" s="25"/>
      <c r="L58" s="25">
        <v>1.0</v>
      </c>
      <c r="M58" s="25"/>
      <c r="N58" s="25">
        <v>1.0</v>
      </c>
      <c r="O58" s="22"/>
      <c r="P58" s="25">
        <v>1.0</v>
      </c>
      <c r="Q58" s="67"/>
      <c r="R58" s="68"/>
      <c r="S58" s="68"/>
      <c r="T58" s="22"/>
      <c r="U58" s="22"/>
      <c r="V58" s="22"/>
      <c r="W58" s="68"/>
      <c r="X58" s="69"/>
      <c r="Y58" s="69"/>
      <c r="Z58" s="69"/>
      <c r="AA58" s="69"/>
      <c r="AB58" s="69"/>
      <c r="AC58" s="69"/>
      <c r="AD58" s="69"/>
      <c r="AE58" s="69"/>
      <c r="AF58" s="69"/>
      <c r="AG58" s="69"/>
      <c r="AH58" s="69"/>
      <c r="AI58" s="69"/>
      <c r="AJ58" s="69"/>
      <c r="AK58" s="69"/>
      <c r="AL58" s="69"/>
      <c r="AM58" s="69"/>
      <c r="AN58" s="69"/>
      <c r="AO58" s="69"/>
    </row>
    <row r="59">
      <c r="A59" s="22">
        <v>44934.0</v>
      </c>
      <c r="B59" s="150">
        <v>245.61</v>
      </c>
      <c r="C59" s="22">
        <v>44898.0</v>
      </c>
      <c r="D59" s="25" t="s">
        <v>463</v>
      </c>
      <c r="E59" s="107" t="s">
        <v>464</v>
      </c>
      <c r="F59" s="107" t="s">
        <v>465</v>
      </c>
      <c r="G59" s="25" t="s">
        <v>114</v>
      </c>
      <c r="H59" s="25" t="s">
        <v>94</v>
      </c>
      <c r="I59" s="25" t="s">
        <v>94</v>
      </c>
      <c r="J59" s="25" t="s">
        <v>95</v>
      </c>
      <c r="K59" s="25">
        <v>1.0</v>
      </c>
      <c r="L59" s="25"/>
      <c r="M59" s="25"/>
      <c r="N59" s="25"/>
      <c r="O59" s="22"/>
      <c r="P59" s="25">
        <v>1.0</v>
      </c>
      <c r="Q59" s="67"/>
      <c r="R59" s="68"/>
      <c r="S59" s="68"/>
      <c r="T59" s="22"/>
      <c r="U59" s="22"/>
      <c r="V59" s="22"/>
      <c r="W59" s="68"/>
      <c r="X59" s="69"/>
      <c r="Y59" s="69"/>
      <c r="Z59" s="69"/>
      <c r="AA59" s="69"/>
      <c r="AB59" s="69"/>
      <c r="AC59" s="69"/>
      <c r="AD59" s="69"/>
      <c r="AE59" s="69"/>
      <c r="AF59" s="69"/>
      <c r="AG59" s="69"/>
      <c r="AH59" s="69"/>
      <c r="AI59" s="69"/>
      <c r="AJ59" s="69"/>
      <c r="AK59" s="69"/>
      <c r="AL59" s="69"/>
      <c r="AM59" s="69"/>
      <c r="AN59" s="69"/>
      <c r="AO59" s="69"/>
    </row>
    <row r="60">
      <c r="A60" s="22">
        <v>44934.0</v>
      </c>
      <c r="B60" s="136">
        <v>242.1</v>
      </c>
      <c r="C60" s="22">
        <v>44153.0</v>
      </c>
      <c r="D60" s="25" t="s">
        <v>467</v>
      </c>
      <c r="E60" s="25" t="s">
        <v>468</v>
      </c>
      <c r="F60" s="25" t="s">
        <v>469</v>
      </c>
      <c r="G60" s="25" t="s">
        <v>470</v>
      </c>
      <c r="H60" s="25" t="s">
        <v>170</v>
      </c>
      <c r="I60" s="25" t="s">
        <v>170</v>
      </c>
      <c r="J60" s="25" t="s">
        <v>191</v>
      </c>
      <c r="K60" s="25"/>
      <c r="L60" s="25">
        <v>1.0</v>
      </c>
      <c r="M60" s="25"/>
      <c r="N60" s="25">
        <v>1.0</v>
      </c>
      <c r="O60" s="22"/>
      <c r="P60" s="25"/>
      <c r="Q60" s="67"/>
      <c r="R60" s="68"/>
      <c r="S60" s="68"/>
      <c r="T60" s="22"/>
      <c r="U60" s="22"/>
      <c r="V60" s="22"/>
      <c r="W60" s="68"/>
      <c r="X60" s="69"/>
      <c r="Y60" s="69"/>
      <c r="Z60" s="69"/>
      <c r="AA60" s="69"/>
      <c r="AB60" s="69"/>
      <c r="AC60" s="69"/>
      <c r="AD60" s="69"/>
      <c r="AE60" s="69"/>
      <c r="AF60" s="69"/>
      <c r="AG60" s="69"/>
      <c r="AH60" s="69"/>
      <c r="AI60" s="69"/>
      <c r="AJ60" s="69"/>
      <c r="AK60" s="69"/>
      <c r="AL60" s="69"/>
      <c r="AM60" s="69"/>
      <c r="AN60" s="69"/>
      <c r="AO60" s="69"/>
    </row>
    <row r="61" ht="19.5" customHeight="1">
      <c r="A61" s="22">
        <v>44934.0</v>
      </c>
      <c r="B61" s="136">
        <v>74.99</v>
      </c>
      <c r="C61" s="22">
        <v>44859.0</v>
      </c>
      <c r="D61" s="25" t="s">
        <v>475</v>
      </c>
      <c r="E61" s="131" t="s">
        <v>477</v>
      </c>
      <c r="F61" s="131" t="s">
        <v>479</v>
      </c>
      <c r="G61" s="25" t="s">
        <v>114</v>
      </c>
      <c r="H61" s="25" t="s">
        <v>94</v>
      </c>
      <c r="I61" s="25" t="s">
        <v>94</v>
      </c>
      <c r="J61" s="25" t="s">
        <v>95</v>
      </c>
      <c r="K61" s="25"/>
      <c r="L61" s="25"/>
      <c r="M61" s="25">
        <v>1.0</v>
      </c>
      <c r="N61" s="25"/>
      <c r="O61" s="22"/>
      <c r="P61" s="25">
        <v>1.0</v>
      </c>
      <c r="Q61" s="67"/>
      <c r="R61" s="68"/>
      <c r="S61" s="68"/>
      <c r="T61" s="22"/>
      <c r="U61" s="22"/>
      <c r="V61" s="22"/>
      <c r="W61" s="68"/>
      <c r="X61" s="69"/>
      <c r="Y61" s="69"/>
      <c r="Z61" s="69"/>
      <c r="AA61" s="69"/>
      <c r="AB61" s="69"/>
      <c r="AC61" s="69"/>
      <c r="AD61" s="69"/>
      <c r="AE61" s="69"/>
      <c r="AF61" s="69"/>
      <c r="AG61" s="69"/>
      <c r="AH61" s="69"/>
      <c r="AI61" s="69"/>
      <c r="AJ61" s="69"/>
      <c r="AK61" s="69"/>
      <c r="AL61" s="69"/>
      <c r="AM61" s="69"/>
      <c r="AN61" s="69"/>
      <c r="AO61" s="69"/>
    </row>
    <row r="62">
      <c r="A62" s="22">
        <v>44934.0</v>
      </c>
      <c r="B62" s="24">
        <v>48.88</v>
      </c>
      <c r="C62" s="22">
        <v>44912.0</v>
      </c>
      <c r="D62" s="25" t="s">
        <v>480</v>
      </c>
      <c r="E62" s="25" t="s">
        <v>481</v>
      </c>
      <c r="F62" s="25" t="s">
        <v>482</v>
      </c>
      <c r="G62" s="25" t="s">
        <v>114</v>
      </c>
      <c r="H62" s="25" t="s">
        <v>94</v>
      </c>
      <c r="I62" s="25" t="s">
        <v>94</v>
      </c>
      <c r="J62" s="25" t="s">
        <v>95</v>
      </c>
      <c r="K62" s="25"/>
      <c r="L62" s="25"/>
      <c r="M62" s="25"/>
      <c r="N62" s="25">
        <v>1.0</v>
      </c>
      <c r="O62" s="22"/>
      <c r="P62" s="25">
        <v>1.0</v>
      </c>
      <c r="Q62" s="67">
        <v>1.0</v>
      </c>
      <c r="R62" s="68"/>
      <c r="S62" s="68"/>
      <c r="T62" s="22"/>
      <c r="U62" s="22"/>
      <c r="V62" s="22"/>
      <c r="W62" s="68"/>
      <c r="X62" s="69"/>
      <c r="Y62" s="69"/>
      <c r="Z62" s="69"/>
      <c r="AA62" s="69"/>
      <c r="AB62" s="69"/>
      <c r="AC62" s="69"/>
      <c r="AD62" s="69"/>
      <c r="AE62" s="69"/>
      <c r="AF62" s="69"/>
      <c r="AG62" s="69"/>
      <c r="AH62" s="69"/>
      <c r="AI62" s="69"/>
      <c r="AJ62" s="69"/>
      <c r="AK62" s="69"/>
      <c r="AL62" s="69"/>
      <c r="AM62" s="69"/>
      <c r="AN62" s="69"/>
      <c r="AO62" s="69"/>
    </row>
    <row r="63" ht="21.75" customHeight="1">
      <c r="A63" s="22">
        <v>44934.0</v>
      </c>
      <c r="B63" s="190">
        <v>289.0</v>
      </c>
      <c r="C63" s="22">
        <v>44840.0</v>
      </c>
      <c r="D63" s="25" t="s">
        <v>487</v>
      </c>
      <c r="E63" s="131" t="s">
        <v>488</v>
      </c>
      <c r="F63" s="131" t="s">
        <v>489</v>
      </c>
      <c r="G63" s="25" t="s">
        <v>114</v>
      </c>
      <c r="H63" s="25" t="s">
        <v>94</v>
      </c>
      <c r="I63" s="25" t="s">
        <v>125</v>
      </c>
      <c r="J63" s="25" t="s">
        <v>95</v>
      </c>
      <c r="K63" s="25">
        <v>1.0</v>
      </c>
      <c r="L63" s="25"/>
      <c r="M63" s="25">
        <v>1.0</v>
      </c>
      <c r="N63" s="25"/>
      <c r="O63" s="22"/>
      <c r="P63" s="25">
        <v>1.0</v>
      </c>
      <c r="Q63" s="67"/>
      <c r="R63" s="68"/>
      <c r="S63" s="68"/>
      <c r="T63" s="22"/>
      <c r="U63" s="22"/>
      <c r="V63" s="22"/>
      <c r="W63" s="68"/>
      <c r="X63" s="69"/>
      <c r="Y63" s="69"/>
      <c r="Z63" s="69"/>
      <c r="AA63" s="69"/>
      <c r="AB63" s="69"/>
      <c r="AC63" s="69"/>
      <c r="AD63" s="69"/>
      <c r="AE63" s="69"/>
      <c r="AF63" s="69"/>
      <c r="AG63" s="69"/>
      <c r="AH63" s="69"/>
      <c r="AI63" s="69"/>
      <c r="AJ63" s="69"/>
      <c r="AK63" s="69"/>
      <c r="AL63" s="69"/>
      <c r="AM63" s="69"/>
      <c r="AN63" s="69"/>
      <c r="AO63" s="69"/>
    </row>
    <row r="64">
      <c r="A64" s="22">
        <v>44934.0</v>
      </c>
      <c r="B64" s="24">
        <v>339.85</v>
      </c>
      <c r="C64" s="22">
        <v>44933.0</v>
      </c>
      <c r="D64" s="25" t="s">
        <v>493</v>
      </c>
      <c r="E64" s="25" t="s">
        <v>494</v>
      </c>
      <c r="F64" s="25" t="s">
        <v>495</v>
      </c>
      <c r="G64" s="25" t="s">
        <v>114</v>
      </c>
      <c r="H64" s="25" t="s">
        <v>94</v>
      </c>
      <c r="I64" s="25" t="s">
        <v>94</v>
      </c>
      <c r="J64" s="25" t="s">
        <v>95</v>
      </c>
      <c r="K64" s="25"/>
      <c r="L64" s="25">
        <v>1.0</v>
      </c>
      <c r="M64" s="25"/>
      <c r="N64" s="25">
        <v>1.0</v>
      </c>
      <c r="O64" s="22"/>
      <c r="P64" s="25">
        <v>1.0</v>
      </c>
      <c r="Q64" s="67"/>
      <c r="R64" s="68"/>
      <c r="S64" s="68"/>
      <c r="T64" s="22"/>
      <c r="U64" s="22"/>
      <c r="V64" s="22"/>
      <c r="W64" s="68"/>
      <c r="X64" s="69"/>
      <c r="Y64" s="69"/>
      <c r="Z64" s="69"/>
      <c r="AA64" s="69"/>
      <c r="AB64" s="69"/>
      <c r="AC64" s="69"/>
      <c r="AD64" s="69"/>
      <c r="AE64" s="69"/>
      <c r="AF64" s="69"/>
      <c r="AG64" s="69"/>
      <c r="AH64" s="69"/>
      <c r="AI64" s="69"/>
      <c r="AJ64" s="69"/>
      <c r="AK64" s="69"/>
      <c r="AL64" s="69"/>
      <c r="AM64" s="69"/>
      <c r="AN64" s="69"/>
      <c r="AO64" s="69"/>
    </row>
    <row r="65">
      <c r="A65" s="22">
        <v>44934.0</v>
      </c>
      <c r="B65" s="191">
        <v>25.8</v>
      </c>
      <c r="C65" s="22">
        <v>44886.0</v>
      </c>
      <c r="D65" s="25" t="s">
        <v>499</v>
      </c>
      <c r="E65" s="107" t="s">
        <v>500</v>
      </c>
      <c r="F65" s="107" t="s">
        <v>501</v>
      </c>
      <c r="G65" s="25" t="s">
        <v>114</v>
      </c>
      <c r="H65" s="25" t="s">
        <v>94</v>
      </c>
      <c r="I65" s="25" t="s">
        <v>94</v>
      </c>
      <c r="J65" s="25" t="s">
        <v>95</v>
      </c>
      <c r="K65" s="25"/>
      <c r="L65" s="25"/>
      <c r="M65" s="25"/>
      <c r="N65" s="25">
        <v>1.0</v>
      </c>
      <c r="O65" s="22"/>
      <c r="P65" s="25"/>
      <c r="Q65" s="67"/>
      <c r="R65" s="68"/>
      <c r="S65" s="68"/>
      <c r="T65" s="22"/>
      <c r="U65" s="22"/>
      <c r="V65" s="22"/>
      <c r="W65" s="68"/>
      <c r="X65" s="69"/>
      <c r="Y65" s="69"/>
      <c r="Z65" s="69"/>
      <c r="AA65" s="69"/>
      <c r="AB65" s="69"/>
      <c r="AC65" s="69"/>
      <c r="AD65" s="69"/>
      <c r="AE65" s="69"/>
      <c r="AF65" s="69"/>
      <c r="AG65" s="69"/>
      <c r="AH65" s="69"/>
      <c r="AI65" s="69"/>
      <c r="AJ65" s="69"/>
      <c r="AK65" s="69"/>
      <c r="AL65" s="69"/>
      <c r="AM65" s="69"/>
      <c r="AN65" s="69"/>
      <c r="AO65" s="69"/>
    </row>
    <row r="66">
      <c r="A66" s="85">
        <v>44935.0</v>
      </c>
      <c r="B66" s="86">
        <v>461.69</v>
      </c>
      <c r="C66" s="85">
        <v>44912.0</v>
      </c>
      <c r="D66" s="89" t="s">
        <v>505</v>
      </c>
      <c r="E66" s="142" t="s">
        <v>506</v>
      </c>
      <c r="F66" s="89" t="s">
        <v>507</v>
      </c>
      <c r="G66" s="25" t="s">
        <v>114</v>
      </c>
      <c r="H66" s="89" t="s">
        <v>94</v>
      </c>
      <c r="I66" s="89" t="s">
        <v>94</v>
      </c>
      <c r="J66" s="89" t="s">
        <v>95</v>
      </c>
      <c r="K66" s="89">
        <v>2.0</v>
      </c>
      <c r="L66" s="89"/>
      <c r="M66" s="89"/>
      <c r="N66" s="89"/>
      <c r="O66" s="85"/>
      <c r="P66" s="89">
        <v>2.0</v>
      </c>
      <c r="Q66" s="137"/>
      <c r="R66" s="138"/>
      <c r="S66" s="138"/>
      <c r="T66" s="85"/>
      <c r="U66" s="85"/>
      <c r="V66" s="85"/>
      <c r="W66" s="138"/>
      <c r="X66" s="139"/>
      <c r="Y66" s="139"/>
      <c r="Z66" s="139"/>
      <c r="AA66" s="139"/>
      <c r="AB66" s="139"/>
      <c r="AC66" s="139"/>
      <c r="AD66" s="139"/>
      <c r="AE66" s="139"/>
      <c r="AF66" s="139"/>
      <c r="AG66" s="139"/>
      <c r="AH66" s="139"/>
      <c r="AI66" s="139"/>
      <c r="AJ66" s="139"/>
      <c r="AK66" s="139"/>
      <c r="AL66" s="139"/>
      <c r="AM66" s="139"/>
      <c r="AN66" s="139"/>
      <c r="AO66" s="139"/>
    </row>
    <row r="67">
      <c r="A67" s="85">
        <v>44935.0</v>
      </c>
      <c r="B67" s="86">
        <v>51.18</v>
      </c>
      <c r="C67" s="85">
        <v>44878.0</v>
      </c>
      <c r="D67" s="89" t="s">
        <v>510</v>
      </c>
      <c r="E67" s="89" t="s">
        <v>511</v>
      </c>
      <c r="F67" s="89" t="s">
        <v>513</v>
      </c>
      <c r="G67" s="89" t="s">
        <v>114</v>
      </c>
      <c r="H67" s="89" t="s">
        <v>94</v>
      </c>
      <c r="I67" s="89" t="s">
        <v>94</v>
      </c>
      <c r="J67" s="89" t="s">
        <v>95</v>
      </c>
      <c r="K67" s="89"/>
      <c r="L67" s="89"/>
      <c r="M67" s="89"/>
      <c r="N67" s="89">
        <v>2.0</v>
      </c>
      <c r="O67" s="85"/>
      <c r="P67" s="89"/>
      <c r="Q67" s="137"/>
      <c r="R67" s="138"/>
      <c r="S67" s="138"/>
      <c r="T67" s="85"/>
      <c r="U67" s="85"/>
      <c r="V67" s="85"/>
      <c r="W67" s="138"/>
      <c r="X67" s="139"/>
      <c r="Y67" s="139"/>
      <c r="Z67" s="139"/>
      <c r="AA67" s="139"/>
      <c r="AB67" s="139"/>
      <c r="AC67" s="139"/>
      <c r="AD67" s="139"/>
      <c r="AE67" s="139"/>
      <c r="AF67" s="139"/>
      <c r="AG67" s="139"/>
      <c r="AH67" s="139"/>
      <c r="AI67" s="139"/>
      <c r="AJ67" s="139"/>
      <c r="AK67" s="139"/>
      <c r="AL67" s="139"/>
      <c r="AM67" s="139"/>
      <c r="AN67" s="139"/>
      <c r="AO67" s="139"/>
    </row>
    <row r="68">
      <c r="A68" s="85">
        <v>44935.0</v>
      </c>
      <c r="B68" s="102">
        <v>125.8</v>
      </c>
      <c r="C68" s="85">
        <v>44153.0</v>
      </c>
      <c r="D68" s="89" t="s">
        <v>514</v>
      </c>
      <c r="E68" s="107" t="s">
        <v>515</v>
      </c>
      <c r="F68" s="194" t="s">
        <v>517</v>
      </c>
      <c r="G68" s="89" t="s">
        <v>114</v>
      </c>
      <c r="H68" s="89" t="s">
        <v>170</v>
      </c>
      <c r="I68" s="89" t="s">
        <v>519</v>
      </c>
      <c r="J68" s="195" t="s">
        <v>521</v>
      </c>
      <c r="K68" s="89">
        <v>1.0</v>
      </c>
      <c r="L68" s="89"/>
      <c r="M68" s="89"/>
      <c r="N68" s="89"/>
      <c r="O68" s="85"/>
      <c r="P68" s="89"/>
      <c r="Q68" s="137"/>
      <c r="R68" s="138"/>
      <c r="S68" s="138"/>
      <c r="T68" s="85"/>
      <c r="U68" s="85"/>
      <c r="V68" s="85"/>
      <c r="W68" s="138"/>
      <c r="X68" s="139"/>
      <c r="Y68" s="139"/>
      <c r="Z68" s="139"/>
      <c r="AA68" s="139"/>
      <c r="AB68" s="139"/>
      <c r="AC68" s="139"/>
      <c r="AD68" s="139"/>
      <c r="AE68" s="139"/>
      <c r="AF68" s="139"/>
      <c r="AG68" s="139"/>
      <c r="AH68" s="139"/>
      <c r="AI68" s="139"/>
      <c r="AJ68" s="139"/>
      <c r="AK68" s="139"/>
      <c r="AL68" s="139"/>
      <c r="AM68" s="139"/>
      <c r="AN68" s="139"/>
      <c r="AO68" s="139"/>
    </row>
    <row r="69">
      <c r="A69" s="85">
        <v>44935.0</v>
      </c>
      <c r="B69" s="86">
        <v>273.24</v>
      </c>
      <c r="C69" s="85">
        <v>44919.0</v>
      </c>
      <c r="D69" s="89" t="s">
        <v>523</v>
      </c>
      <c r="E69" s="89" t="s">
        <v>524</v>
      </c>
      <c r="F69" s="89" t="s">
        <v>525</v>
      </c>
      <c r="G69" s="25" t="s">
        <v>114</v>
      </c>
      <c r="H69" s="25" t="s">
        <v>94</v>
      </c>
      <c r="I69" s="25" t="s">
        <v>94</v>
      </c>
      <c r="J69" s="89" t="s">
        <v>95</v>
      </c>
      <c r="K69" s="89">
        <v>1.0</v>
      </c>
      <c r="L69" s="89"/>
      <c r="M69" s="89"/>
      <c r="N69" s="89">
        <v>1.0</v>
      </c>
      <c r="O69" s="85"/>
      <c r="P69" s="89">
        <v>1.0</v>
      </c>
      <c r="Q69" s="137"/>
      <c r="R69" s="138"/>
      <c r="S69" s="138"/>
      <c r="T69" s="85"/>
      <c r="U69" s="85"/>
      <c r="V69" s="85"/>
      <c r="W69" s="138"/>
      <c r="X69" s="139"/>
      <c r="Y69" s="139"/>
      <c r="Z69" s="139"/>
      <c r="AA69" s="139"/>
      <c r="AB69" s="139"/>
      <c r="AC69" s="139"/>
      <c r="AD69" s="139"/>
      <c r="AE69" s="139"/>
      <c r="AF69" s="139"/>
      <c r="AG69" s="139"/>
      <c r="AH69" s="139"/>
      <c r="AI69" s="139"/>
      <c r="AJ69" s="139"/>
      <c r="AK69" s="139"/>
      <c r="AL69" s="139"/>
      <c r="AM69" s="139"/>
      <c r="AN69" s="139"/>
      <c r="AO69" s="139"/>
    </row>
    <row r="70">
      <c r="A70" s="85">
        <v>44935.0</v>
      </c>
      <c r="B70" s="86">
        <v>76.63</v>
      </c>
      <c r="C70" s="85">
        <v>44853.0</v>
      </c>
      <c r="D70" s="89">
        <v>110348.0</v>
      </c>
      <c r="E70" s="142" t="s">
        <v>529</v>
      </c>
      <c r="F70" s="142" t="s">
        <v>530</v>
      </c>
      <c r="G70" s="89" t="s">
        <v>114</v>
      </c>
      <c r="H70" s="89" t="s">
        <v>94</v>
      </c>
      <c r="I70" s="89" t="s">
        <v>94</v>
      </c>
      <c r="J70" s="89" t="s">
        <v>95</v>
      </c>
      <c r="K70" s="89"/>
      <c r="L70" s="89"/>
      <c r="M70" s="89">
        <v>1.0</v>
      </c>
      <c r="N70" s="89"/>
      <c r="O70" s="85"/>
      <c r="P70" s="89"/>
      <c r="Q70" s="137"/>
      <c r="R70" s="138"/>
      <c r="S70" s="138"/>
      <c r="T70" s="85"/>
      <c r="U70" s="85"/>
      <c r="V70" s="85"/>
      <c r="W70" s="138"/>
      <c r="X70" s="139"/>
      <c r="Y70" s="139"/>
      <c r="Z70" s="139"/>
      <c r="AA70" s="139"/>
      <c r="AB70" s="139"/>
      <c r="AC70" s="139"/>
      <c r="AD70" s="139"/>
      <c r="AE70" s="139"/>
      <c r="AF70" s="139"/>
      <c r="AG70" s="139"/>
      <c r="AH70" s="139"/>
      <c r="AI70" s="139"/>
      <c r="AJ70" s="139"/>
      <c r="AK70" s="139"/>
      <c r="AL70" s="139"/>
      <c r="AM70" s="139"/>
      <c r="AN70" s="139"/>
      <c r="AO70" s="139"/>
    </row>
    <row r="71" ht="18.75" customHeight="1">
      <c r="A71" s="85">
        <v>44935.0</v>
      </c>
      <c r="B71" s="86">
        <v>299.0</v>
      </c>
      <c r="C71" s="85">
        <v>44912.0</v>
      </c>
      <c r="D71" s="89" t="s">
        <v>534</v>
      </c>
      <c r="E71" s="89" t="s">
        <v>535</v>
      </c>
      <c r="F71" s="197" t="s">
        <v>536</v>
      </c>
      <c r="G71" s="89" t="s">
        <v>110</v>
      </c>
      <c r="H71" s="25" t="s">
        <v>94</v>
      </c>
      <c r="I71" s="25" t="s">
        <v>94</v>
      </c>
      <c r="J71" s="89" t="s">
        <v>95</v>
      </c>
      <c r="K71" s="89"/>
      <c r="L71" s="89"/>
      <c r="M71" s="89"/>
      <c r="N71" s="89"/>
      <c r="O71" s="85"/>
      <c r="P71" s="89"/>
      <c r="Q71" s="137"/>
      <c r="R71" s="138"/>
      <c r="S71" s="138"/>
      <c r="T71" s="85"/>
      <c r="U71" s="85"/>
      <c r="V71" s="89">
        <v>1.0</v>
      </c>
      <c r="W71" s="138"/>
      <c r="X71" s="139"/>
      <c r="Y71" s="139"/>
      <c r="Z71" s="139"/>
      <c r="AA71" s="139"/>
      <c r="AB71" s="139"/>
      <c r="AC71" s="139"/>
      <c r="AD71" s="139"/>
      <c r="AE71" s="139"/>
      <c r="AF71" s="139"/>
      <c r="AG71" s="139"/>
      <c r="AH71" s="139"/>
      <c r="AI71" s="139"/>
      <c r="AJ71" s="139"/>
      <c r="AK71" s="139"/>
      <c r="AL71" s="139"/>
      <c r="AM71" s="139"/>
      <c r="AN71" s="139"/>
      <c r="AO71" s="139"/>
    </row>
    <row r="72" ht="18.75" customHeight="1">
      <c r="A72" s="85">
        <v>44935.0</v>
      </c>
      <c r="B72" s="86">
        <v>247.39</v>
      </c>
      <c r="C72" s="85">
        <v>44934.0</v>
      </c>
      <c r="D72" s="89" t="s">
        <v>540</v>
      </c>
      <c r="E72" s="160" t="s">
        <v>541</v>
      </c>
      <c r="F72" s="89" t="s">
        <v>542</v>
      </c>
      <c r="G72" s="25" t="s">
        <v>114</v>
      </c>
      <c r="H72" s="25" t="s">
        <v>94</v>
      </c>
      <c r="I72" s="25" t="s">
        <v>94</v>
      </c>
      <c r="J72" s="89" t="s">
        <v>95</v>
      </c>
      <c r="K72" s="89">
        <v>1.0</v>
      </c>
      <c r="L72" s="89"/>
      <c r="M72" s="89"/>
      <c r="N72" s="89"/>
      <c r="O72" s="85"/>
      <c r="P72" s="89">
        <v>1.0</v>
      </c>
      <c r="Q72" s="137"/>
      <c r="R72" s="138"/>
      <c r="S72" s="138"/>
      <c r="T72" s="85"/>
      <c r="U72" s="85"/>
      <c r="V72" s="85"/>
      <c r="W72" s="138"/>
      <c r="X72" s="139"/>
      <c r="Y72" s="139"/>
      <c r="Z72" s="139"/>
      <c r="AA72" s="139"/>
      <c r="AB72" s="139"/>
      <c r="AC72" s="139"/>
      <c r="AD72" s="139"/>
      <c r="AE72" s="139"/>
      <c r="AF72" s="139"/>
      <c r="AG72" s="139"/>
      <c r="AH72" s="139"/>
      <c r="AI72" s="139"/>
      <c r="AJ72" s="139"/>
      <c r="AK72" s="139"/>
      <c r="AL72" s="139"/>
      <c r="AM72" s="139"/>
      <c r="AN72" s="139"/>
      <c r="AO72" s="139"/>
    </row>
    <row r="73">
      <c r="A73" s="85">
        <v>44935.0</v>
      </c>
      <c r="B73" s="102">
        <v>84.8</v>
      </c>
      <c r="C73" s="85">
        <v>44922.0</v>
      </c>
      <c r="D73" s="89" t="s">
        <v>546</v>
      </c>
      <c r="E73" s="130" t="s">
        <v>547</v>
      </c>
      <c r="F73" s="194" t="s">
        <v>548</v>
      </c>
      <c r="G73" s="89" t="s">
        <v>141</v>
      </c>
      <c r="H73" s="89" t="s">
        <v>94</v>
      </c>
      <c r="I73" s="89" t="s">
        <v>94</v>
      </c>
      <c r="J73" s="89" t="s">
        <v>95</v>
      </c>
      <c r="K73" s="89"/>
      <c r="L73" s="89"/>
      <c r="M73" s="89">
        <v>1.0</v>
      </c>
      <c r="N73" s="89"/>
      <c r="O73" s="85"/>
      <c r="P73" s="89"/>
      <c r="Q73" s="137"/>
      <c r="R73" s="138"/>
      <c r="S73" s="138"/>
      <c r="T73" s="85"/>
      <c r="U73" s="85"/>
      <c r="V73" s="85"/>
      <c r="W73" s="138"/>
      <c r="X73" s="139"/>
      <c r="Y73" s="139"/>
      <c r="Z73" s="139"/>
      <c r="AA73" s="139"/>
      <c r="AB73" s="139"/>
      <c r="AC73" s="139"/>
      <c r="AD73" s="139"/>
      <c r="AE73" s="139"/>
      <c r="AF73" s="139"/>
      <c r="AG73" s="139"/>
      <c r="AH73" s="139"/>
      <c r="AI73" s="139"/>
      <c r="AJ73" s="139"/>
      <c r="AK73" s="139"/>
      <c r="AL73" s="139"/>
      <c r="AM73" s="139"/>
      <c r="AN73" s="139"/>
      <c r="AO73" s="139"/>
    </row>
    <row r="74">
      <c r="A74" s="85">
        <v>44935.0</v>
      </c>
      <c r="B74" s="86">
        <v>271.96</v>
      </c>
      <c r="C74" s="85">
        <v>44908.0</v>
      </c>
      <c r="D74" s="89" t="s">
        <v>552</v>
      </c>
      <c r="E74" s="89" t="s">
        <v>553</v>
      </c>
      <c r="F74" s="89" t="s">
        <v>554</v>
      </c>
      <c r="G74" s="89" t="s">
        <v>110</v>
      </c>
      <c r="H74" s="89" t="s">
        <v>94</v>
      </c>
      <c r="I74" s="89" t="s">
        <v>94</v>
      </c>
      <c r="J74" s="89" t="s">
        <v>95</v>
      </c>
      <c r="K74" s="89">
        <v>1.0</v>
      </c>
      <c r="L74" s="89"/>
      <c r="M74" s="89"/>
      <c r="N74" s="89">
        <v>1.0</v>
      </c>
      <c r="O74" s="85"/>
      <c r="P74" s="89"/>
      <c r="Q74" s="137"/>
      <c r="R74" s="138"/>
      <c r="S74" s="138"/>
      <c r="T74" s="85"/>
      <c r="U74" s="85"/>
      <c r="V74" s="85"/>
      <c r="W74" s="138"/>
      <c r="X74" s="139"/>
      <c r="Y74" s="139"/>
      <c r="Z74" s="139"/>
      <c r="AA74" s="139"/>
      <c r="AB74" s="139"/>
      <c r="AC74" s="139"/>
      <c r="AD74" s="139"/>
      <c r="AE74" s="139"/>
      <c r="AF74" s="139"/>
      <c r="AG74" s="139"/>
      <c r="AH74" s="139"/>
      <c r="AI74" s="139"/>
      <c r="AJ74" s="139"/>
      <c r="AK74" s="139"/>
      <c r="AL74" s="139"/>
      <c r="AM74" s="139"/>
      <c r="AN74" s="139"/>
      <c r="AO74" s="139"/>
    </row>
    <row r="75">
      <c r="A75" s="85">
        <v>44935.0</v>
      </c>
      <c r="B75" s="102">
        <v>247.9</v>
      </c>
      <c r="C75" s="85">
        <v>44906.0</v>
      </c>
      <c r="D75" s="89" t="s">
        <v>558</v>
      </c>
      <c r="E75" s="107" t="s">
        <v>559</v>
      </c>
      <c r="F75" s="155" t="s">
        <v>560</v>
      </c>
      <c r="G75" s="89" t="s">
        <v>141</v>
      </c>
      <c r="H75" s="89" t="s">
        <v>94</v>
      </c>
      <c r="I75" s="89" t="s">
        <v>94</v>
      </c>
      <c r="J75" s="89" t="s">
        <v>95</v>
      </c>
      <c r="K75" s="89">
        <v>1.0</v>
      </c>
      <c r="L75" s="89"/>
      <c r="M75" s="89"/>
      <c r="N75" s="89"/>
      <c r="O75" s="85"/>
      <c r="P75" s="89">
        <v>1.0</v>
      </c>
      <c r="Q75" s="137"/>
      <c r="R75" s="138"/>
      <c r="S75" s="138"/>
      <c r="T75" s="85"/>
      <c r="U75" s="85"/>
      <c r="V75" s="85"/>
      <c r="W75" s="138"/>
      <c r="X75" s="139"/>
      <c r="Y75" s="139"/>
      <c r="Z75" s="139"/>
      <c r="AA75" s="139"/>
      <c r="AB75" s="139"/>
      <c r="AC75" s="139"/>
      <c r="AD75" s="139"/>
      <c r="AE75" s="139"/>
      <c r="AF75" s="139"/>
      <c r="AG75" s="139"/>
      <c r="AH75" s="139"/>
      <c r="AI75" s="139"/>
      <c r="AJ75" s="139"/>
      <c r="AK75" s="139"/>
      <c r="AL75" s="139"/>
      <c r="AM75" s="139"/>
      <c r="AN75" s="139"/>
      <c r="AO75" s="139"/>
    </row>
    <row r="76">
      <c r="A76" s="85">
        <v>44935.0</v>
      </c>
      <c r="B76" s="141">
        <v>317.7</v>
      </c>
      <c r="C76" s="85">
        <v>44899.0</v>
      </c>
      <c r="D76" s="89" t="s">
        <v>564</v>
      </c>
      <c r="E76" s="142" t="s">
        <v>565</v>
      </c>
      <c r="F76" s="142" t="s">
        <v>566</v>
      </c>
      <c r="G76" s="25" t="s">
        <v>114</v>
      </c>
      <c r="H76" s="89" t="s">
        <v>94</v>
      </c>
      <c r="I76" s="89" t="s">
        <v>94</v>
      </c>
      <c r="J76" s="89" t="s">
        <v>95</v>
      </c>
      <c r="K76" s="89">
        <v>1.0</v>
      </c>
      <c r="L76" s="89"/>
      <c r="M76" s="89">
        <v>1.0</v>
      </c>
      <c r="N76" s="89"/>
      <c r="O76" s="85"/>
      <c r="P76" s="89">
        <v>1.0</v>
      </c>
      <c r="Q76" s="137"/>
      <c r="R76" s="138"/>
      <c r="S76" s="138"/>
      <c r="T76" s="85"/>
      <c r="U76" s="85"/>
      <c r="V76" s="85"/>
      <c r="W76" s="138"/>
      <c r="X76" s="139"/>
      <c r="Y76" s="139"/>
      <c r="Z76" s="139"/>
      <c r="AA76" s="139"/>
      <c r="AB76" s="139"/>
      <c r="AC76" s="139"/>
      <c r="AD76" s="139"/>
      <c r="AE76" s="139"/>
      <c r="AF76" s="139"/>
      <c r="AG76" s="139"/>
      <c r="AH76" s="139"/>
      <c r="AI76" s="139"/>
      <c r="AJ76" s="139"/>
      <c r="AK76" s="139"/>
      <c r="AL76" s="139"/>
      <c r="AM76" s="139"/>
      <c r="AN76" s="139"/>
      <c r="AO76" s="139"/>
    </row>
    <row r="77">
      <c r="A77" s="85">
        <v>44935.0</v>
      </c>
      <c r="B77" s="148">
        <v>232.3</v>
      </c>
      <c r="C77" s="85">
        <v>44219.0</v>
      </c>
      <c r="D77" s="89" t="s">
        <v>571</v>
      </c>
      <c r="E77" s="130" t="s">
        <v>572</v>
      </c>
      <c r="F77" s="194" t="s">
        <v>573</v>
      </c>
      <c r="G77" s="89" t="s">
        <v>110</v>
      </c>
      <c r="H77" s="89" t="s">
        <v>170</v>
      </c>
      <c r="I77" s="89" t="s">
        <v>170</v>
      </c>
      <c r="J77" s="89" t="s">
        <v>574</v>
      </c>
      <c r="K77" s="89">
        <v>1.0</v>
      </c>
      <c r="L77" s="89"/>
      <c r="M77" s="89"/>
      <c r="N77" s="89">
        <v>1.0</v>
      </c>
      <c r="O77" s="89">
        <v>1.0</v>
      </c>
      <c r="P77" s="89"/>
      <c r="Q77" s="137"/>
      <c r="R77" s="138"/>
      <c r="S77" s="138"/>
      <c r="T77" s="85"/>
      <c r="U77" s="85"/>
      <c r="V77" s="85"/>
      <c r="W77" s="138"/>
      <c r="X77" s="139"/>
      <c r="Y77" s="139"/>
      <c r="Z77" s="139"/>
      <c r="AA77" s="139"/>
      <c r="AB77" s="139"/>
      <c r="AC77" s="139"/>
      <c r="AD77" s="139"/>
      <c r="AE77" s="139"/>
      <c r="AF77" s="139"/>
      <c r="AG77" s="139"/>
      <c r="AH77" s="139"/>
      <c r="AI77" s="139"/>
      <c r="AJ77" s="139"/>
      <c r="AK77" s="139"/>
      <c r="AL77" s="139"/>
      <c r="AM77" s="139"/>
      <c r="AN77" s="139"/>
      <c r="AO77" s="139"/>
    </row>
    <row r="78">
      <c r="A78" s="85">
        <v>44935.0</v>
      </c>
      <c r="B78" s="102">
        <v>229.0</v>
      </c>
      <c r="C78" s="85">
        <v>44870.0</v>
      </c>
      <c r="D78" s="89" t="s">
        <v>578</v>
      </c>
      <c r="E78" s="107" t="s">
        <v>579</v>
      </c>
      <c r="F78" s="155" t="s">
        <v>580</v>
      </c>
      <c r="G78" s="89" t="s">
        <v>114</v>
      </c>
      <c r="H78" s="89" t="s">
        <v>94</v>
      </c>
      <c r="I78" s="89" t="s">
        <v>94</v>
      </c>
      <c r="J78" s="89" t="s">
        <v>584</v>
      </c>
      <c r="K78" s="89">
        <v>1.0</v>
      </c>
      <c r="L78" s="89"/>
      <c r="M78" s="89"/>
      <c r="N78" s="89"/>
      <c r="O78" s="85"/>
      <c r="P78" s="89">
        <v>1.0</v>
      </c>
      <c r="Q78" s="137"/>
      <c r="R78" s="138"/>
      <c r="S78" s="138"/>
      <c r="T78" s="85"/>
      <c r="U78" s="85"/>
      <c r="V78" s="85"/>
      <c r="W78" s="138"/>
      <c r="X78" s="139"/>
      <c r="Y78" s="139"/>
      <c r="Z78" s="139"/>
      <c r="AA78" s="139"/>
      <c r="AB78" s="139"/>
      <c r="AC78" s="139"/>
      <c r="AD78" s="139"/>
      <c r="AE78" s="139"/>
      <c r="AF78" s="139"/>
      <c r="AG78" s="139"/>
      <c r="AH78" s="139"/>
      <c r="AI78" s="139"/>
      <c r="AJ78" s="139"/>
      <c r="AK78" s="139"/>
      <c r="AL78" s="139"/>
      <c r="AM78" s="139"/>
      <c r="AN78" s="139"/>
      <c r="AO78" s="139"/>
    </row>
    <row r="79">
      <c r="A79" s="85">
        <v>44935.0</v>
      </c>
      <c r="B79" s="86">
        <v>62.8</v>
      </c>
      <c r="C79" s="85">
        <v>44921.0</v>
      </c>
      <c r="D79" s="89" t="s">
        <v>588</v>
      </c>
      <c r="E79" s="89" t="s">
        <v>589</v>
      </c>
      <c r="F79" s="89" t="s">
        <v>590</v>
      </c>
      <c r="G79" s="25" t="s">
        <v>114</v>
      </c>
      <c r="H79" s="25" t="s">
        <v>94</v>
      </c>
      <c r="I79" s="25" t="s">
        <v>94</v>
      </c>
      <c r="J79" s="89" t="s">
        <v>95</v>
      </c>
      <c r="K79" s="89"/>
      <c r="L79" s="89"/>
      <c r="M79" s="89">
        <v>1.0</v>
      </c>
      <c r="N79" s="89"/>
      <c r="O79" s="85"/>
      <c r="P79" s="89"/>
      <c r="Q79" s="137"/>
      <c r="R79" s="138"/>
      <c r="S79" s="138"/>
      <c r="T79" s="85"/>
      <c r="U79" s="85"/>
      <c r="V79" s="85"/>
      <c r="W79" s="138"/>
      <c r="X79" s="139"/>
      <c r="Y79" s="139"/>
      <c r="Z79" s="139"/>
      <c r="AA79" s="139"/>
      <c r="AB79" s="139"/>
      <c r="AC79" s="139"/>
      <c r="AD79" s="139"/>
      <c r="AE79" s="139"/>
      <c r="AF79" s="139"/>
      <c r="AG79" s="139"/>
      <c r="AH79" s="139"/>
      <c r="AI79" s="139"/>
      <c r="AJ79" s="139"/>
      <c r="AK79" s="139"/>
      <c r="AL79" s="139"/>
      <c r="AM79" s="139"/>
      <c r="AN79" s="139"/>
      <c r="AO79" s="139"/>
    </row>
    <row r="80">
      <c r="A80" s="85">
        <v>44935.0</v>
      </c>
      <c r="B80" s="141">
        <v>541.0</v>
      </c>
      <c r="C80" s="85">
        <v>44389.0</v>
      </c>
      <c r="D80" s="89" t="s">
        <v>595</v>
      </c>
      <c r="E80" s="142" t="s">
        <v>596</v>
      </c>
      <c r="F80" s="194" t="s">
        <v>597</v>
      </c>
      <c r="G80" s="89" t="s">
        <v>110</v>
      </c>
      <c r="H80" s="89" t="s">
        <v>94</v>
      </c>
      <c r="I80" s="89" t="s">
        <v>94</v>
      </c>
      <c r="J80" s="89" t="s">
        <v>95</v>
      </c>
      <c r="K80" s="89">
        <v>3.0</v>
      </c>
      <c r="L80" s="89"/>
      <c r="M80" s="89"/>
      <c r="N80" s="89">
        <v>1.0</v>
      </c>
      <c r="O80" s="85"/>
      <c r="P80" s="89"/>
      <c r="Q80" s="137"/>
      <c r="R80" s="138"/>
      <c r="S80" s="138"/>
      <c r="T80" s="85"/>
      <c r="U80" s="85"/>
      <c r="V80" s="85"/>
      <c r="W80" s="138"/>
      <c r="X80" s="139"/>
      <c r="Y80" s="139"/>
      <c r="Z80" s="139"/>
      <c r="AA80" s="139"/>
      <c r="AB80" s="139"/>
      <c r="AC80" s="139"/>
      <c r="AD80" s="139"/>
      <c r="AE80" s="139"/>
      <c r="AF80" s="139"/>
      <c r="AG80" s="139"/>
      <c r="AH80" s="139"/>
      <c r="AI80" s="139"/>
      <c r="AJ80" s="139"/>
      <c r="AK80" s="139"/>
      <c r="AL80" s="139"/>
      <c r="AM80" s="139"/>
      <c r="AN80" s="139"/>
      <c r="AO80" s="139"/>
    </row>
    <row r="81">
      <c r="A81" s="85">
        <v>44935.0</v>
      </c>
      <c r="B81" s="148">
        <v>201.5</v>
      </c>
      <c r="C81" s="85">
        <v>44206.0</v>
      </c>
      <c r="D81" s="89" t="s">
        <v>603</v>
      </c>
      <c r="E81" s="130" t="s">
        <v>605</v>
      </c>
      <c r="F81" s="194" t="s">
        <v>606</v>
      </c>
      <c r="G81" s="89" t="s">
        <v>110</v>
      </c>
      <c r="H81" s="89" t="s">
        <v>170</v>
      </c>
      <c r="I81" s="89" t="s">
        <v>135</v>
      </c>
      <c r="J81" s="195" t="s">
        <v>521</v>
      </c>
      <c r="K81" s="89">
        <v>1.0</v>
      </c>
      <c r="L81" s="89"/>
      <c r="M81" s="89"/>
      <c r="N81" s="89">
        <v>1.0</v>
      </c>
      <c r="O81" s="85"/>
      <c r="P81" s="89"/>
      <c r="Q81" s="137"/>
      <c r="R81" s="138"/>
      <c r="S81" s="138"/>
      <c r="T81" s="85"/>
      <c r="U81" s="85"/>
      <c r="V81" s="85"/>
      <c r="W81" s="138"/>
      <c r="X81" s="139"/>
      <c r="Y81" s="139"/>
      <c r="Z81" s="139"/>
      <c r="AA81" s="139"/>
      <c r="AB81" s="139"/>
      <c r="AC81" s="139"/>
      <c r="AD81" s="139"/>
      <c r="AE81" s="139"/>
      <c r="AF81" s="139"/>
      <c r="AG81" s="139"/>
      <c r="AH81" s="139"/>
      <c r="AI81" s="139"/>
      <c r="AJ81" s="139"/>
      <c r="AK81" s="139"/>
      <c r="AL81" s="139"/>
      <c r="AM81" s="139"/>
      <c r="AN81" s="139"/>
      <c r="AO81" s="139"/>
    </row>
    <row r="82">
      <c r="A82" s="85">
        <v>44935.0</v>
      </c>
      <c r="B82" s="86">
        <v>167.0</v>
      </c>
      <c r="C82" s="85">
        <v>44402.0</v>
      </c>
      <c r="D82" s="89" t="s">
        <v>608</v>
      </c>
      <c r="E82" s="130" t="s">
        <v>610</v>
      </c>
      <c r="F82" s="194" t="s">
        <v>611</v>
      </c>
      <c r="G82" s="89" t="s">
        <v>110</v>
      </c>
      <c r="H82" s="89" t="s">
        <v>94</v>
      </c>
      <c r="I82" s="89" t="s">
        <v>94</v>
      </c>
      <c r="J82" s="227" t="s">
        <v>521</v>
      </c>
      <c r="K82" s="89">
        <v>1.0</v>
      </c>
      <c r="L82" s="89"/>
      <c r="M82" s="89"/>
      <c r="N82" s="89"/>
      <c r="O82" s="85"/>
      <c r="P82" s="89"/>
      <c r="Q82" s="137"/>
      <c r="R82" s="138"/>
      <c r="S82" s="138"/>
      <c r="T82" s="85"/>
      <c r="U82" s="85"/>
      <c r="V82" s="85"/>
      <c r="W82" s="138"/>
      <c r="X82" s="139"/>
      <c r="Y82" s="139"/>
      <c r="Z82" s="139"/>
      <c r="AA82" s="139"/>
      <c r="AB82" s="139"/>
      <c r="AC82" s="139"/>
      <c r="AD82" s="139"/>
      <c r="AE82" s="139"/>
      <c r="AF82" s="139"/>
      <c r="AG82" s="139"/>
      <c r="AH82" s="139"/>
      <c r="AI82" s="139"/>
      <c r="AJ82" s="139"/>
      <c r="AK82" s="139"/>
      <c r="AL82" s="139"/>
      <c r="AM82" s="139"/>
      <c r="AN82" s="139"/>
      <c r="AO82" s="139"/>
    </row>
    <row r="83">
      <c r="A83" s="85">
        <v>44935.0</v>
      </c>
      <c r="B83" s="141">
        <v>35.86</v>
      </c>
      <c r="C83" s="85">
        <v>44934.0</v>
      </c>
      <c r="D83" s="89" t="s">
        <v>613</v>
      </c>
      <c r="E83" s="142" t="s">
        <v>614</v>
      </c>
      <c r="F83" s="142" t="s">
        <v>615</v>
      </c>
      <c r="G83" s="25" t="s">
        <v>114</v>
      </c>
      <c r="H83" s="25" t="s">
        <v>94</v>
      </c>
      <c r="I83" s="25" t="s">
        <v>94</v>
      </c>
      <c r="J83" s="142" t="s">
        <v>95</v>
      </c>
      <c r="K83" s="89"/>
      <c r="L83" s="89"/>
      <c r="M83" s="89"/>
      <c r="N83" s="89">
        <v>1.0</v>
      </c>
      <c r="O83" s="85"/>
      <c r="P83" s="89"/>
      <c r="Q83" s="137"/>
      <c r="R83" s="138"/>
      <c r="S83" s="138"/>
      <c r="T83" s="85"/>
      <c r="U83" s="85"/>
      <c r="V83" s="85"/>
      <c r="W83" s="138"/>
      <c r="X83" s="139"/>
      <c r="Y83" s="139"/>
      <c r="Z83" s="139"/>
      <c r="AA83" s="139"/>
      <c r="AB83" s="139"/>
      <c r="AC83" s="139"/>
      <c r="AD83" s="139"/>
      <c r="AE83" s="139"/>
      <c r="AF83" s="139"/>
      <c r="AG83" s="139"/>
      <c r="AH83" s="139"/>
      <c r="AI83" s="139"/>
      <c r="AJ83" s="139"/>
      <c r="AK83" s="139"/>
      <c r="AL83" s="139"/>
      <c r="AM83" s="139"/>
      <c r="AN83" s="139"/>
      <c r="AO83" s="139"/>
    </row>
    <row r="84">
      <c r="A84" s="85">
        <v>44935.0</v>
      </c>
      <c r="B84" s="86">
        <v>532.26</v>
      </c>
      <c r="C84" s="85">
        <v>44898.0</v>
      </c>
      <c r="D84" s="89" t="s">
        <v>616</v>
      </c>
      <c r="E84" s="160" t="s">
        <v>617</v>
      </c>
      <c r="F84" s="197" t="s">
        <v>618</v>
      </c>
      <c r="G84" s="89" t="s">
        <v>110</v>
      </c>
      <c r="H84" s="25" t="s">
        <v>94</v>
      </c>
      <c r="I84" s="25" t="s">
        <v>94</v>
      </c>
      <c r="J84" s="89" t="s">
        <v>95</v>
      </c>
      <c r="K84" s="89">
        <v>2.0</v>
      </c>
      <c r="L84" s="89"/>
      <c r="M84" s="89">
        <v>1.0</v>
      </c>
      <c r="N84" s="89"/>
      <c r="O84" s="85"/>
      <c r="P84" s="89">
        <v>2.0</v>
      </c>
      <c r="Q84" s="137"/>
      <c r="R84" s="138"/>
      <c r="S84" s="138"/>
      <c r="T84" s="85"/>
      <c r="U84" s="85"/>
      <c r="V84" s="85"/>
      <c r="W84" s="138"/>
      <c r="X84" s="139"/>
      <c r="Y84" s="139"/>
      <c r="Z84" s="139"/>
      <c r="AA84" s="139"/>
      <c r="AB84" s="139"/>
      <c r="AC84" s="139"/>
      <c r="AD84" s="139"/>
      <c r="AE84" s="139"/>
      <c r="AF84" s="139"/>
      <c r="AG84" s="139"/>
      <c r="AH84" s="139"/>
      <c r="AI84" s="139"/>
      <c r="AJ84" s="139"/>
      <c r="AK84" s="139"/>
      <c r="AL84" s="139"/>
      <c r="AM84" s="139"/>
      <c r="AN84" s="139"/>
      <c r="AO84" s="139"/>
    </row>
    <row r="85">
      <c r="A85" s="85">
        <v>44935.0</v>
      </c>
      <c r="B85" s="141">
        <v>240.94</v>
      </c>
      <c r="C85" s="85">
        <v>44916.0</v>
      </c>
      <c r="D85" s="89" t="s">
        <v>619</v>
      </c>
      <c r="E85" s="142" t="s">
        <v>620</v>
      </c>
      <c r="F85" s="142" t="s">
        <v>621</v>
      </c>
      <c r="G85" s="25" t="s">
        <v>114</v>
      </c>
      <c r="H85" s="25" t="s">
        <v>94</v>
      </c>
      <c r="I85" s="25" t="s">
        <v>94</v>
      </c>
      <c r="J85" s="142" t="s">
        <v>95</v>
      </c>
      <c r="K85" s="89">
        <v>1.0</v>
      </c>
      <c r="L85" s="89"/>
      <c r="M85" s="89"/>
      <c r="N85" s="89"/>
      <c r="O85" s="85"/>
      <c r="P85" s="89">
        <v>1.0</v>
      </c>
      <c r="Q85" s="137"/>
      <c r="R85" s="138"/>
      <c r="S85" s="138"/>
      <c r="T85" s="85"/>
      <c r="U85" s="85"/>
      <c r="V85" s="85"/>
      <c r="W85" s="138"/>
      <c r="X85" s="139"/>
      <c r="Y85" s="139"/>
      <c r="Z85" s="139"/>
      <c r="AA85" s="139"/>
      <c r="AB85" s="139"/>
      <c r="AC85" s="139"/>
      <c r="AD85" s="139"/>
      <c r="AE85" s="139"/>
      <c r="AF85" s="139"/>
      <c r="AG85" s="139"/>
      <c r="AH85" s="139"/>
      <c r="AI85" s="139"/>
      <c r="AJ85" s="139"/>
      <c r="AK85" s="139"/>
      <c r="AL85" s="139"/>
      <c r="AM85" s="139"/>
      <c r="AN85" s="139"/>
      <c r="AO85" s="139"/>
    </row>
    <row r="86">
      <c r="A86" s="85">
        <v>44935.0</v>
      </c>
      <c r="B86" s="86">
        <v>232.0</v>
      </c>
      <c r="C86" s="85">
        <v>44367.0</v>
      </c>
      <c r="D86" s="89" t="s">
        <v>622</v>
      </c>
      <c r="E86" s="107" t="s">
        <v>623</v>
      </c>
      <c r="F86" s="194" t="s">
        <v>624</v>
      </c>
      <c r="G86" s="89" t="s">
        <v>110</v>
      </c>
      <c r="H86" s="89" t="s">
        <v>94</v>
      </c>
      <c r="I86" s="89" t="s">
        <v>94</v>
      </c>
      <c r="J86" s="89" t="s">
        <v>191</v>
      </c>
      <c r="K86" s="89">
        <v>1.0</v>
      </c>
      <c r="L86" s="89"/>
      <c r="M86" s="89"/>
      <c r="N86" s="89">
        <v>1.0</v>
      </c>
      <c r="O86" s="85"/>
      <c r="P86" s="89">
        <v>1.0</v>
      </c>
      <c r="Q86" s="137"/>
      <c r="R86" s="138"/>
      <c r="S86" s="138"/>
      <c r="T86" s="85"/>
      <c r="U86" s="85"/>
      <c r="V86" s="85"/>
      <c r="W86" s="138"/>
      <c r="X86" s="139"/>
      <c r="Y86" s="139"/>
      <c r="Z86" s="139"/>
      <c r="AA86" s="139"/>
      <c r="AB86" s="139"/>
      <c r="AC86" s="139"/>
      <c r="AD86" s="139"/>
      <c r="AE86" s="139"/>
      <c r="AF86" s="139"/>
      <c r="AG86" s="139"/>
      <c r="AH86" s="139"/>
      <c r="AI86" s="139"/>
      <c r="AJ86" s="139"/>
      <c r="AK86" s="139"/>
      <c r="AL86" s="139"/>
      <c r="AM86" s="139"/>
      <c r="AN86" s="139"/>
      <c r="AO86" s="139"/>
    </row>
    <row r="87">
      <c r="A87" s="85">
        <v>44936.0</v>
      </c>
      <c r="B87" s="86">
        <v>328.15</v>
      </c>
      <c r="C87" s="85">
        <v>44894.0</v>
      </c>
      <c r="D87" s="228" t="s">
        <v>625</v>
      </c>
      <c r="E87" s="89" t="s">
        <v>626</v>
      </c>
      <c r="F87" s="89" t="s">
        <v>627</v>
      </c>
      <c r="G87" s="89" t="s">
        <v>110</v>
      </c>
      <c r="H87" s="89" t="s">
        <v>94</v>
      </c>
      <c r="I87" s="89" t="s">
        <v>94</v>
      </c>
      <c r="J87" s="89" t="s">
        <v>95</v>
      </c>
      <c r="K87" s="89">
        <v>1.0</v>
      </c>
      <c r="L87" s="89"/>
      <c r="M87" s="89">
        <v>1.0</v>
      </c>
      <c r="N87" s="89"/>
      <c r="O87" s="85"/>
      <c r="P87" s="89">
        <v>1.0</v>
      </c>
      <c r="Q87" s="137"/>
      <c r="R87" s="138"/>
      <c r="S87" s="138"/>
      <c r="T87" s="85"/>
      <c r="U87" s="85"/>
      <c r="V87" s="85"/>
      <c r="W87" s="138"/>
      <c r="X87" s="139"/>
      <c r="Y87" s="139"/>
      <c r="Z87" s="139"/>
      <c r="AA87" s="139"/>
      <c r="AB87" s="139"/>
      <c r="AC87" s="139"/>
      <c r="AD87" s="139"/>
      <c r="AE87" s="139"/>
      <c r="AF87" s="139"/>
      <c r="AG87" s="139"/>
      <c r="AH87" s="139"/>
      <c r="AI87" s="139"/>
      <c r="AJ87" s="139"/>
      <c r="AK87" s="139"/>
      <c r="AL87" s="139"/>
      <c r="AM87" s="139"/>
      <c r="AN87" s="139"/>
      <c r="AO87" s="139"/>
    </row>
    <row r="88">
      <c r="A88" s="85">
        <v>44936.0</v>
      </c>
      <c r="B88" s="86">
        <v>315.82</v>
      </c>
      <c r="C88" s="85">
        <v>44663.0</v>
      </c>
      <c r="D88" s="89" t="s">
        <v>631</v>
      </c>
      <c r="E88" s="89" t="s">
        <v>633</v>
      </c>
      <c r="F88" s="89" t="s">
        <v>635</v>
      </c>
      <c r="G88" s="89" t="s">
        <v>110</v>
      </c>
      <c r="H88" s="89" t="s">
        <v>94</v>
      </c>
      <c r="I88" s="89" t="s">
        <v>94</v>
      </c>
      <c r="J88" s="89" t="s">
        <v>95</v>
      </c>
      <c r="K88" s="89">
        <v>1.0</v>
      </c>
      <c r="L88" s="89"/>
      <c r="M88" s="89">
        <v>1.0</v>
      </c>
      <c r="N88" s="89"/>
      <c r="O88" s="85"/>
      <c r="P88" s="89">
        <v>1.0</v>
      </c>
      <c r="Q88" s="137"/>
      <c r="R88" s="138"/>
      <c r="S88" s="138"/>
      <c r="T88" s="85"/>
      <c r="U88" s="85"/>
      <c r="V88" s="85"/>
      <c r="W88" s="138"/>
      <c r="X88" s="139"/>
      <c r="Y88" s="139"/>
      <c r="Z88" s="139"/>
      <c r="AA88" s="139"/>
      <c r="AB88" s="139"/>
      <c r="AC88" s="139"/>
      <c r="AD88" s="139"/>
      <c r="AE88" s="139"/>
      <c r="AF88" s="139"/>
      <c r="AG88" s="139"/>
      <c r="AH88" s="139"/>
      <c r="AI88" s="139"/>
      <c r="AJ88" s="139"/>
      <c r="AK88" s="139"/>
      <c r="AL88" s="139"/>
      <c r="AM88" s="139"/>
      <c r="AN88" s="139"/>
      <c r="AO88" s="139"/>
    </row>
    <row r="89">
      <c r="A89" s="85">
        <v>44936.0</v>
      </c>
      <c r="B89" s="86">
        <v>234.0</v>
      </c>
      <c r="C89" s="85">
        <v>44870.0</v>
      </c>
      <c r="D89" s="89" t="s">
        <v>640</v>
      </c>
      <c r="E89" s="89" t="s">
        <v>641</v>
      </c>
      <c r="F89" s="89" t="s">
        <v>642</v>
      </c>
      <c r="G89" s="89" t="s">
        <v>110</v>
      </c>
      <c r="H89" s="89" t="s">
        <v>94</v>
      </c>
      <c r="I89" s="89" t="s">
        <v>94</v>
      </c>
      <c r="J89" s="89" t="s">
        <v>95</v>
      </c>
      <c r="K89" s="89">
        <v>1.0</v>
      </c>
      <c r="L89" s="89"/>
      <c r="M89" s="89"/>
      <c r="N89" s="89"/>
      <c r="O89" s="85"/>
      <c r="P89" s="89">
        <v>1.0</v>
      </c>
      <c r="Q89" s="137"/>
      <c r="R89" s="138"/>
      <c r="S89" s="138"/>
      <c r="T89" s="85"/>
      <c r="U89" s="85"/>
      <c r="V89" s="85"/>
      <c r="W89" s="138"/>
      <c r="X89" s="139"/>
      <c r="Y89" s="139"/>
      <c r="Z89" s="139"/>
      <c r="AA89" s="139"/>
      <c r="AB89" s="139"/>
      <c r="AC89" s="139"/>
      <c r="AD89" s="139"/>
      <c r="AE89" s="139"/>
      <c r="AF89" s="139"/>
      <c r="AG89" s="139"/>
      <c r="AH89" s="139"/>
      <c r="AI89" s="139"/>
      <c r="AJ89" s="139"/>
      <c r="AK89" s="139"/>
      <c r="AL89" s="139"/>
      <c r="AM89" s="139"/>
      <c r="AN89" s="139"/>
      <c r="AO89" s="139"/>
    </row>
    <row r="90">
      <c r="A90" s="231">
        <v>44936.0</v>
      </c>
      <c r="B90" s="232">
        <v>243.0</v>
      </c>
      <c r="C90" s="231">
        <v>44206.0</v>
      </c>
      <c r="D90" s="233" t="s">
        <v>646</v>
      </c>
      <c r="E90" s="233" t="s">
        <v>647</v>
      </c>
      <c r="F90" s="233" t="s">
        <v>648</v>
      </c>
      <c r="G90" s="233" t="s">
        <v>110</v>
      </c>
      <c r="H90" s="233" t="s">
        <v>170</v>
      </c>
      <c r="I90" s="233" t="s">
        <v>135</v>
      </c>
      <c r="J90" s="233" t="s">
        <v>191</v>
      </c>
      <c r="K90" s="233"/>
      <c r="L90" s="233">
        <v>1.0</v>
      </c>
      <c r="M90" s="233"/>
      <c r="N90" s="233"/>
      <c r="O90" s="231"/>
      <c r="P90" s="233"/>
      <c r="Q90" s="234"/>
      <c r="R90" s="235"/>
      <c r="S90" s="235"/>
      <c r="T90" s="231"/>
      <c r="U90" s="231"/>
      <c r="V90" s="231"/>
      <c r="W90" s="235"/>
      <c r="X90" s="236"/>
      <c r="Y90" s="236"/>
      <c r="Z90" s="236"/>
      <c r="AA90" s="236"/>
      <c r="AB90" s="236"/>
      <c r="AC90" s="236"/>
      <c r="AD90" s="236"/>
      <c r="AE90" s="236"/>
      <c r="AF90" s="236"/>
      <c r="AG90" s="236"/>
      <c r="AH90" s="236"/>
      <c r="AI90" s="236"/>
      <c r="AJ90" s="236"/>
      <c r="AK90" s="236"/>
      <c r="AL90" s="236"/>
      <c r="AM90" s="236"/>
      <c r="AN90" s="236"/>
      <c r="AO90" s="236"/>
    </row>
    <row r="91" ht="17.25" customHeight="1">
      <c r="A91" s="22">
        <v>44936.0</v>
      </c>
      <c r="B91" s="24" t="s">
        <v>652</v>
      </c>
      <c r="C91" s="22">
        <v>44199.0</v>
      </c>
      <c r="D91" s="25" t="s">
        <v>653</v>
      </c>
      <c r="E91" s="25" t="s">
        <v>654</v>
      </c>
      <c r="F91" s="25" t="s">
        <v>655</v>
      </c>
      <c r="G91" s="25" t="s">
        <v>114</v>
      </c>
      <c r="H91" s="25" t="s">
        <v>656</v>
      </c>
      <c r="I91" s="25" t="s">
        <v>170</v>
      </c>
      <c r="J91" s="25" t="s">
        <v>657</v>
      </c>
      <c r="K91" s="89">
        <v>1.0</v>
      </c>
      <c r="L91" s="89"/>
      <c r="M91" s="89"/>
      <c r="N91" s="89">
        <v>1.0</v>
      </c>
      <c r="O91" s="85"/>
      <c r="P91" s="89">
        <v>1.0</v>
      </c>
      <c r="Q91" s="137"/>
      <c r="R91" s="138"/>
      <c r="S91" s="138"/>
      <c r="T91" s="85"/>
      <c r="U91" s="85"/>
      <c r="V91" s="85"/>
      <c r="W91" s="138"/>
      <c r="X91" s="139"/>
      <c r="Y91" s="139"/>
      <c r="Z91" s="139"/>
      <c r="AA91" s="139"/>
      <c r="AB91" s="139"/>
      <c r="AC91" s="139"/>
      <c r="AD91" s="139"/>
      <c r="AE91" s="139"/>
      <c r="AF91" s="139"/>
      <c r="AG91" s="139"/>
      <c r="AH91" s="139"/>
      <c r="AI91" s="139"/>
      <c r="AJ91" s="139"/>
      <c r="AK91" s="139"/>
      <c r="AL91" s="139"/>
      <c r="AM91" s="139"/>
      <c r="AN91" s="139"/>
      <c r="AO91" s="139"/>
    </row>
    <row r="92">
      <c r="A92" s="85">
        <v>44936.0</v>
      </c>
      <c r="B92" s="86">
        <v>233.51</v>
      </c>
      <c r="C92" s="85">
        <v>44863.0</v>
      </c>
      <c r="D92" s="89" t="s">
        <v>661</v>
      </c>
      <c r="E92" s="89" t="s">
        <v>662</v>
      </c>
      <c r="F92" s="89" t="s">
        <v>663</v>
      </c>
      <c r="G92" s="89" t="s">
        <v>110</v>
      </c>
      <c r="H92" s="89" t="s">
        <v>94</v>
      </c>
      <c r="I92" s="89" t="s">
        <v>664</v>
      </c>
      <c r="J92" s="89" t="s">
        <v>95</v>
      </c>
      <c r="K92" s="89">
        <v>1.0</v>
      </c>
      <c r="L92" s="89"/>
      <c r="M92" s="89"/>
      <c r="N92" s="89"/>
      <c r="O92" s="85"/>
      <c r="P92" s="89">
        <v>1.0</v>
      </c>
      <c r="Q92" s="137"/>
      <c r="R92" s="138"/>
      <c r="S92" s="138"/>
      <c r="T92" s="85"/>
      <c r="U92" s="85"/>
      <c r="V92" s="85"/>
      <c r="W92" s="138"/>
      <c r="X92" s="139"/>
      <c r="Y92" s="139"/>
      <c r="Z92" s="139"/>
      <c r="AA92" s="139"/>
      <c r="AB92" s="139"/>
      <c r="AC92" s="139"/>
      <c r="AD92" s="139"/>
      <c r="AE92" s="139"/>
      <c r="AF92" s="139"/>
      <c r="AG92" s="139"/>
      <c r="AH92" s="139"/>
      <c r="AI92" s="139"/>
      <c r="AJ92" s="139"/>
      <c r="AK92" s="139"/>
      <c r="AL92" s="139"/>
      <c r="AM92" s="139"/>
      <c r="AN92" s="139"/>
      <c r="AO92" s="139"/>
    </row>
    <row r="93" ht="15.75" customHeight="1">
      <c r="A93" s="231">
        <v>44936.0</v>
      </c>
      <c r="B93" s="232">
        <v>272.9</v>
      </c>
      <c r="C93" s="231">
        <v>44191.0</v>
      </c>
      <c r="D93" s="233" t="s">
        <v>668</v>
      </c>
      <c r="E93" s="233" t="s">
        <v>669</v>
      </c>
      <c r="F93" s="233" t="s">
        <v>670</v>
      </c>
      <c r="G93" s="233" t="s">
        <v>110</v>
      </c>
      <c r="H93" s="233" t="s">
        <v>170</v>
      </c>
      <c r="I93" s="233" t="s">
        <v>671</v>
      </c>
      <c r="J93" s="233" t="s">
        <v>191</v>
      </c>
      <c r="K93" s="233"/>
      <c r="L93" s="233">
        <v>1.0</v>
      </c>
      <c r="M93" s="233"/>
      <c r="N93" s="233"/>
      <c r="O93" s="233">
        <v>1.0</v>
      </c>
      <c r="P93" s="233">
        <v>1.0</v>
      </c>
      <c r="Q93" s="234"/>
      <c r="R93" s="235"/>
      <c r="S93" s="235"/>
      <c r="T93" s="231"/>
      <c r="U93" s="231"/>
      <c r="V93" s="231"/>
      <c r="W93" s="235"/>
      <c r="X93" s="236"/>
      <c r="Y93" s="236"/>
      <c r="Z93" s="236"/>
      <c r="AA93" s="236"/>
      <c r="AB93" s="236"/>
      <c r="AC93" s="236"/>
      <c r="AD93" s="236"/>
      <c r="AE93" s="236"/>
      <c r="AF93" s="236"/>
      <c r="AG93" s="236"/>
      <c r="AH93" s="236"/>
      <c r="AI93" s="236"/>
      <c r="AJ93" s="236"/>
      <c r="AK93" s="236"/>
      <c r="AL93" s="236"/>
      <c r="AM93" s="236"/>
      <c r="AN93" s="236"/>
      <c r="AO93" s="236"/>
    </row>
    <row r="94" ht="18.0" customHeight="1">
      <c r="A94" s="85">
        <v>44936.0</v>
      </c>
      <c r="B94" s="86">
        <v>253.0</v>
      </c>
      <c r="C94" s="85">
        <v>44918.0</v>
      </c>
      <c r="D94" s="89" t="s">
        <v>672</v>
      </c>
      <c r="E94" s="89" t="s">
        <v>673</v>
      </c>
      <c r="F94" s="89" t="s">
        <v>674</v>
      </c>
      <c r="G94" s="89" t="s">
        <v>110</v>
      </c>
      <c r="H94" s="89" t="s">
        <v>94</v>
      </c>
      <c r="I94" s="89" t="s">
        <v>94</v>
      </c>
      <c r="J94" s="89" t="s">
        <v>328</v>
      </c>
      <c r="K94" s="89">
        <v>1.0</v>
      </c>
      <c r="L94" s="89"/>
      <c r="M94" s="89"/>
      <c r="N94" s="89">
        <v>1.0</v>
      </c>
      <c r="O94" s="85"/>
      <c r="P94" s="89"/>
      <c r="Q94" s="137"/>
      <c r="R94" s="138"/>
      <c r="S94" s="138"/>
      <c r="T94" s="85"/>
      <c r="U94" s="85"/>
      <c r="V94" s="85"/>
      <c r="W94" s="138"/>
      <c r="X94" s="139"/>
      <c r="Y94" s="139"/>
      <c r="Z94" s="139"/>
      <c r="AA94" s="139"/>
      <c r="AB94" s="139"/>
      <c r="AC94" s="139"/>
      <c r="AD94" s="139"/>
      <c r="AE94" s="139"/>
      <c r="AF94" s="139"/>
      <c r="AG94" s="139"/>
      <c r="AH94" s="139"/>
      <c r="AI94" s="139"/>
      <c r="AJ94" s="139"/>
      <c r="AK94" s="139"/>
      <c r="AL94" s="139"/>
      <c r="AM94" s="139"/>
      <c r="AN94" s="139"/>
      <c r="AO94" s="139"/>
    </row>
    <row r="95">
      <c r="A95" s="85">
        <v>44936.0</v>
      </c>
      <c r="B95" s="242" t="s">
        <v>679</v>
      </c>
      <c r="C95" s="85">
        <v>44848.0</v>
      </c>
      <c r="D95" s="89" t="s">
        <v>680</v>
      </c>
      <c r="E95" s="89" t="s">
        <v>681</v>
      </c>
      <c r="F95" s="89" t="s">
        <v>682</v>
      </c>
      <c r="G95" s="89" t="s">
        <v>110</v>
      </c>
      <c r="H95" s="89" t="s">
        <v>94</v>
      </c>
      <c r="I95" s="89" t="s">
        <v>94</v>
      </c>
      <c r="J95" s="89" t="s">
        <v>136</v>
      </c>
      <c r="K95" s="89"/>
      <c r="L95" s="89">
        <v>1.0</v>
      </c>
      <c r="M95" s="89"/>
      <c r="N95" s="89"/>
      <c r="O95" s="85"/>
      <c r="P95" s="89">
        <v>1.0</v>
      </c>
      <c r="Q95" s="137"/>
      <c r="R95" s="138"/>
      <c r="S95" s="138"/>
      <c r="T95" s="85"/>
      <c r="U95" s="85"/>
      <c r="V95" s="85"/>
      <c r="W95" s="138"/>
      <c r="X95" s="139"/>
      <c r="Y95" s="139"/>
      <c r="Z95" s="139"/>
      <c r="AA95" s="139"/>
      <c r="AB95" s="139"/>
      <c r="AC95" s="139"/>
      <c r="AD95" s="139"/>
      <c r="AE95" s="139"/>
      <c r="AF95" s="139"/>
      <c r="AG95" s="139"/>
      <c r="AH95" s="139"/>
      <c r="AI95" s="139"/>
      <c r="AJ95" s="139"/>
      <c r="AK95" s="139"/>
      <c r="AL95" s="139"/>
      <c r="AM95" s="139"/>
      <c r="AN95" s="139"/>
      <c r="AO95" s="139"/>
    </row>
    <row r="96">
      <c r="A96" s="85">
        <v>44936.0</v>
      </c>
      <c r="B96" s="86">
        <v>125.8</v>
      </c>
      <c r="C96" s="89" t="s">
        <v>686</v>
      </c>
      <c r="D96" s="89" t="s">
        <v>687</v>
      </c>
      <c r="E96" s="86" t="s">
        <v>688</v>
      </c>
      <c r="F96" s="89" t="s">
        <v>689</v>
      </c>
      <c r="G96" s="89" t="s">
        <v>110</v>
      </c>
      <c r="H96" s="89" t="s">
        <v>170</v>
      </c>
      <c r="I96" s="89" t="s">
        <v>170</v>
      </c>
      <c r="J96" s="89" t="s">
        <v>690</v>
      </c>
      <c r="K96" s="89">
        <v>1.0</v>
      </c>
      <c r="L96" s="89"/>
      <c r="M96" s="89"/>
      <c r="N96" s="89"/>
      <c r="O96" s="85"/>
      <c r="P96" s="89"/>
      <c r="Q96" s="137"/>
      <c r="R96" s="138"/>
      <c r="S96" s="138"/>
      <c r="T96" s="85"/>
      <c r="U96" s="85"/>
      <c r="V96" s="85"/>
      <c r="W96" s="138"/>
      <c r="X96" s="139"/>
      <c r="Y96" s="139"/>
      <c r="Z96" s="139"/>
      <c r="AA96" s="139"/>
      <c r="AB96" s="139"/>
      <c r="AC96" s="139"/>
      <c r="AD96" s="139"/>
      <c r="AE96" s="139"/>
      <c r="AF96" s="139"/>
      <c r="AG96" s="139"/>
      <c r="AH96" s="139"/>
      <c r="AI96" s="139"/>
      <c r="AJ96" s="139"/>
      <c r="AK96" s="139"/>
      <c r="AL96" s="139"/>
      <c r="AM96" s="139"/>
      <c r="AN96" s="139"/>
      <c r="AO96" s="139"/>
    </row>
    <row r="97">
      <c r="A97" s="85">
        <v>44936.0</v>
      </c>
      <c r="B97" s="86">
        <v>183.2</v>
      </c>
      <c r="C97" s="85">
        <v>44193.0</v>
      </c>
      <c r="D97" s="89" t="s">
        <v>695</v>
      </c>
      <c r="E97" s="89" t="s">
        <v>696</v>
      </c>
      <c r="F97" s="89" t="s">
        <v>697</v>
      </c>
      <c r="G97" s="89" t="s">
        <v>141</v>
      </c>
      <c r="H97" s="89" t="s">
        <v>170</v>
      </c>
      <c r="I97" s="89" t="s">
        <v>135</v>
      </c>
      <c r="J97" s="89" t="s">
        <v>191</v>
      </c>
      <c r="K97" s="89">
        <v>1.0</v>
      </c>
      <c r="L97" s="89"/>
      <c r="M97" s="89"/>
      <c r="N97" s="89"/>
      <c r="O97" s="85"/>
      <c r="P97" s="89"/>
      <c r="Q97" s="137"/>
      <c r="R97" s="138"/>
      <c r="S97" s="138"/>
      <c r="T97" s="85"/>
      <c r="U97" s="85"/>
      <c r="V97" s="85"/>
      <c r="W97" s="138"/>
      <c r="X97" s="139"/>
      <c r="Y97" s="139"/>
      <c r="Z97" s="139"/>
      <c r="AA97" s="139"/>
      <c r="AB97" s="139"/>
      <c r="AC97" s="139"/>
      <c r="AD97" s="139"/>
      <c r="AE97" s="139"/>
      <c r="AF97" s="139"/>
      <c r="AG97" s="139"/>
      <c r="AH97" s="139"/>
      <c r="AI97" s="139"/>
      <c r="AJ97" s="139"/>
      <c r="AK97" s="139"/>
      <c r="AL97" s="139"/>
      <c r="AM97" s="139"/>
      <c r="AN97" s="139"/>
      <c r="AO97" s="139"/>
    </row>
    <row r="98">
      <c r="A98" s="231">
        <v>44936.0</v>
      </c>
      <c r="B98" s="247">
        <v>155.5</v>
      </c>
      <c r="C98" s="231">
        <v>44153.0</v>
      </c>
      <c r="D98" s="233" t="s">
        <v>701</v>
      </c>
      <c r="E98" s="233" t="s">
        <v>702</v>
      </c>
      <c r="F98" s="233" t="s">
        <v>703</v>
      </c>
      <c r="G98" s="233" t="s">
        <v>141</v>
      </c>
      <c r="H98" s="233" t="s">
        <v>170</v>
      </c>
      <c r="I98" s="233" t="s">
        <v>671</v>
      </c>
      <c r="J98" s="233" t="s">
        <v>191</v>
      </c>
      <c r="K98" s="233">
        <v>1.0</v>
      </c>
      <c r="L98" s="233"/>
      <c r="M98" s="233"/>
      <c r="N98" s="233">
        <v>1.0</v>
      </c>
      <c r="O98" s="231"/>
      <c r="P98" s="233">
        <v>1.0</v>
      </c>
      <c r="Q98" s="234"/>
      <c r="R98" s="235"/>
      <c r="S98" s="235"/>
      <c r="T98" s="231"/>
      <c r="U98" s="231"/>
      <c r="V98" s="231"/>
      <c r="W98" s="235"/>
      <c r="X98" s="236"/>
      <c r="Y98" s="236"/>
      <c r="Z98" s="236"/>
      <c r="AA98" s="236"/>
      <c r="AB98" s="236"/>
      <c r="AC98" s="236"/>
      <c r="AD98" s="236"/>
      <c r="AE98" s="236"/>
      <c r="AF98" s="236"/>
      <c r="AG98" s="236"/>
      <c r="AH98" s="236"/>
      <c r="AI98" s="236"/>
      <c r="AJ98" s="236"/>
      <c r="AK98" s="236"/>
      <c r="AL98" s="236"/>
      <c r="AM98" s="236"/>
      <c r="AN98" s="236"/>
      <c r="AO98" s="236"/>
    </row>
    <row r="99">
      <c r="A99" s="85">
        <v>44936.0</v>
      </c>
      <c r="B99" s="154">
        <v>237.4</v>
      </c>
      <c r="C99" s="85">
        <v>44162.0</v>
      </c>
      <c r="D99" s="89" t="s">
        <v>704</v>
      </c>
      <c r="E99" s="89" t="s">
        <v>705</v>
      </c>
      <c r="F99" s="89" t="s">
        <v>706</v>
      </c>
      <c r="G99" s="89" t="s">
        <v>110</v>
      </c>
      <c r="H99" s="89" t="s">
        <v>170</v>
      </c>
      <c r="I99" s="89" t="s">
        <v>707</v>
      </c>
      <c r="J99" s="89" t="s">
        <v>191</v>
      </c>
      <c r="K99" s="89"/>
      <c r="L99" s="89">
        <v>1.0</v>
      </c>
      <c r="M99" s="89"/>
      <c r="N99" s="89"/>
      <c r="O99" s="85"/>
      <c r="P99" s="89">
        <v>1.0</v>
      </c>
      <c r="Q99" s="137"/>
      <c r="R99" s="138"/>
      <c r="S99" s="138"/>
      <c r="T99" s="85"/>
      <c r="U99" s="85"/>
      <c r="V99" s="85"/>
      <c r="W99" s="138"/>
      <c r="X99" s="139"/>
      <c r="Y99" s="139"/>
      <c r="Z99" s="139"/>
      <c r="AA99" s="139"/>
      <c r="AB99" s="139"/>
      <c r="AC99" s="139"/>
      <c r="AD99" s="139"/>
      <c r="AE99" s="139"/>
      <c r="AF99" s="139"/>
      <c r="AG99" s="139"/>
      <c r="AH99" s="139"/>
      <c r="AI99" s="139"/>
      <c r="AJ99" s="139"/>
      <c r="AK99" s="139"/>
      <c r="AL99" s="139"/>
      <c r="AM99" s="139"/>
      <c r="AN99" s="139"/>
      <c r="AO99" s="139"/>
    </row>
    <row r="100">
      <c r="A100" s="85">
        <v>44936.0</v>
      </c>
      <c r="B100" s="141">
        <v>363.9</v>
      </c>
      <c r="C100" s="85">
        <v>44901.0</v>
      </c>
      <c r="D100" s="89" t="s">
        <v>712</v>
      </c>
      <c r="E100" s="89" t="s">
        <v>713</v>
      </c>
      <c r="F100" s="89" t="s">
        <v>714</v>
      </c>
      <c r="G100" s="89" t="s">
        <v>141</v>
      </c>
      <c r="H100" s="89" t="s">
        <v>94</v>
      </c>
      <c r="I100" s="89" t="s">
        <v>94</v>
      </c>
      <c r="J100" s="89" t="s">
        <v>95</v>
      </c>
      <c r="K100" s="89">
        <v>1.0</v>
      </c>
      <c r="L100" s="89"/>
      <c r="M100" s="89">
        <v>1.0</v>
      </c>
      <c r="N100" s="89">
        <v>1.0</v>
      </c>
      <c r="O100" s="85"/>
      <c r="P100" s="89">
        <v>1.0</v>
      </c>
      <c r="Q100" s="137">
        <v>1.0</v>
      </c>
      <c r="R100" s="138"/>
      <c r="S100" s="138"/>
      <c r="T100" s="85"/>
      <c r="U100" s="85"/>
      <c r="V100" s="85"/>
      <c r="W100" s="138"/>
      <c r="X100" s="139"/>
      <c r="Y100" s="139"/>
      <c r="Z100" s="139"/>
      <c r="AA100" s="139"/>
      <c r="AB100" s="139"/>
      <c r="AC100" s="139"/>
      <c r="AD100" s="139"/>
      <c r="AE100" s="139"/>
      <c r="AF100" s="139"/>
      <c r="AG100" s="139"/>
      <c r="AH100" s="139"/>
      <c r="AI100" s="139"/>
      <c r="AJ100" s="139"/>
      <c r="AK100" s="139"/>
      <c r="AL100" s="139"/>
      <c r="AM100" s="139"/>
      <c r="AN100" s="139"/>
      <c r="AO100" s="139"/>
    </row>
    <row r="101">
      <c r="A101" s="85">
        <v>44936.0</v>
      </c>
      <c r="B101" s="141">
        <v>372.7</v>
      </c>
      <c r="C101" s="85">
        <v>44916.0</v>
      </c>
      <c r="D101" s="89" t="s">
        <v>718</v>
      </c>
      <c r="E101" s="89" t="s">
        <v>719</v>
      </c>
      <c r="F101" s="89" t="s">
        <v>720</v>
      </c>
      <c r="G101" s="89" t="s">
        <v>470</v>
      </c>
      <c r="H101" s="89" t="s">
        <v>94</v>
      </c>
      <c r="I101" s="89" t="s">
        <v>94</v>
      </c>
      <c r="J101" s="89" t="s">
        <v>95</v>
      </c>
      <c r="K101" s="89">
        <v>1.0</v>
      </c>
      <c r="L101" s="89"/>
      <c r="M101" s="89">
        <v>1.0</v>
      </c>
      <c r="N101" s="89">
        <v>1.0</v>
      </c>
      <c r="O101" s="85"/>
      <c r="P101" s="89">
        <v>1.0</v>
      </c>
      <c r="Q101" s="137">
        <v>1.0</v>
      </c>
      <c r="R101" s="138"/>
      <c r="S101" s="138"/>
      <c r="T101" s="85"/>
      <c r="U101" s="85"/>
      <c r="V101" s="85"/>
      <c r="W101" s="138"/>
      <c r="X101" s="139"/>
      <c r="Y101" s="139"/>
      <c r="Z101" s="139"/>
      <c r="AA101" s="139"/>
      <c r="AB101" s="139"/>
      <c r="AC101" s="139"/>
      <c r="AD101" s="139"/>
      <c r="AE101" s="139"/>
      <c r="AF101" s="139"/>
      <c r="AG101" s="139"/>
      <c r="AH101" s="139"/>
      <c r="AI101" s="139"/>
      <c r="AJ101" s="139"/>
      <c r="AK101" s="139"/>
      <c r="AL101" s="139"/>
      <c r="AM101" s="139"/>
      <c r="AN101" s="139"/>
      <c r="AO101" s="139"/>
    </row>
    <row r="102">
      <c r="A102" s="85">
        <v>44936.0</v>
      </c>
      <c r="B102" s="86">
        <v>76.43</v>
      </c>
      <c r="C102" s="85">
        <v>44917.0</v>
      </c>
      <c r="D102" s="89" t="s">
        <v>724</v>
      </c>
      <c r="E102" s="89" t="s">
        <v>726</v>
      </c>
      <c r="F102" s="89" t="s">
        <v>727</v>
      </c>
      <c r="G102" s="89" t="s">
        <v>114</v>
      </c>
      <c r="H102" s="89" t="s">
        <v>94</v>
      </c>
      <c r="I102" s="89" t="s">
        <v>94</v>
      </c>
      <c r="J102" s="89" t="s">
        <v>95</v>
      </c>
      <c r="K102" s="89"/>
      <c r="L102" s="89"/>
      <c r="M102" s="89">
        <v>1.0</v>
      </c>
      <c r="N102" s="89"/>
      <c r="O102" s="85"/>
      <c r="P102" s="89"/>
      <c r="Q102" s="137"/>
      <c r="R102" s="138"/>
      <c r="S102" s="138"/>
      <c r="T102" s="85"/>
      <c r="U102" s="85"/>
      <c r="V102" s="85"/>
      <c r="W102" s="138"/>
      <c r="X102" s="139"/>
      <c r="Y102" s="139"/>
      <c r="Z102" s="139"/>
      <c r="AA102" s="139"/>
      <c r="AB102" s="139"/>
      <c r="AC102" s="139"/>
      <c r="AD102" s="139"/>
      <c r="AE102" s="139"/>
      <c r="AF102" s="139"/>
      <c r="AG102" s="139"/>
      <c r="AH102" s="139"/>
      <c r="AI102" s="139"/>
      <c r="AJ102" s="139"/>
      <c r="AK102" s="139"/>
      <c r="AL102" s="139"/>
      <c r="AM102" s="139"/>
      <c r="AN102" s="139"/>
      <c r="AO102" s="139"/>
    </row>
    <row r="103">
      <c r="A103" s="85">
        <v>44936.0</v>
      </c>
      <c r="B103" s="102">
        <v>311.0</v>
      </c>
      <c r="C103" s="257">
        <v>44846.0</v>
      </c>
      <c r="D103" s="164" t="s">
        <v>731</v>
      </c>
      <c r="E103" s="107" t="s">
        <v>732</v>
      </c>
      <c r="F103" s="155" t="s">
        <v>733</v>
      </c>
      <c r="G103" s="25" t="s">
        <v>114</v>
      </c>
      <c r="H103" s="89" t="s">
        <v>94</v>
      </c>
      <c r="I103" s="89" t="s">
        <v>94</v>
      </c>
      <c r="J103" s="89" t="s">
        <v>95</v>
      </c>
      <c r="K103" s="89">
        <v>1.0</v>
      </c>
      <c r="L103" s="89"/>
      <c r="M103" s="89">
        <v>1.0</v>
      </c>
      <c r="N103" s="89"/>
      <c r="O103" s="85"/>
      <c r="P103" s="89"/>
      <c r="Q103" s="137">
        <v>1.0</v>
      </c>
      <c r="R103" s="138"/>
      <c r="S103" s="138"/>
      <c r="T103" s="85"/>
      <c r="U103" s="85"/>
      <c r="V103" s="85"/>
      <c r="W103" s="138"/>
      <c r="X103" s="139"/>
      <c r="Y103" s="139"/>
      <c r="Z103" s="139"/>
      <c r="AA103" s="139"/>
      <c r="AB103" s="139"/>
      <c r="AC103" s="139"/>
      <c r="AD103" s="139"/>
      <c r="AE103" s="139"/>
      <c r="AF103" s="139"/>
      <c r="AG103" s="139"/>
      <c r="AH103" s="139"/>
      <c r="AI103" s="139"/>
      <c r="AJ103" s="139"/>
      <c r="AK103" s="139"/>
      <c r="AL103" s="139"/>
      <c r="AM103" s="139"/>
      <c r="AN103" s="139"/>
      <c r="AO103" s="139"/>
    </row>
    <row r="104">
      <c r="A104" s="85">
        <v>44936.0</v>
      </c>
      <c r="B104" s="86">
        <v>35.5</v>
      </c>
      <c r="C104" s="85">
        <v>44921.0</v>
      </c>
      <c r="D104" s="89" t="s">
        <v>737</v>
      </c>
      <c r="E104" s="89" t="s">
        <v>738</v>
      </c>
      <c r="F104" s="89" t="s">
        <v>739</v>
      </c>
      <c r="G104" s="89" t="s">
        <v>141</v>
      </c>
      <c r="H104" s="89" t="s">
        <v>94</v>
      </c>
      <c r="I104" s="89" t="s">
        <v>94</v>
      </c>
      <c r="J104" s="89" t="s">
        <v>95</v>
      </c>
      <c r="K104" s="89"/>
      <c r="L104" s="89"/>
      <c r="M104" s="89"/>
      <c r="N104" s="89">
        <v>1.0</v>
      </c>
      <c r="O104" s="85"/>
      <c r="P104" s="89"/>
      <c r="Q104" s="137"/>
      <c r="R104" s="138"/>
      <c r="S104" s="138"/>
      <c r="T104" s="85"/>
      <c r="U104" s="85"/>
      <c r="V104" s="85"/>
      <c r="W104" s="138"/>
      <c r="X104" s="139"/>
      <c r="Y104" s="139"/>
      <c r="Z104" s="139"/>
      <c r="AA104" s="139"/>
      <c r="AB104" s="139"/>
      <c r="AC104" s="139"/>
      <c r="AD104" s="139"/>
      <c r="AE104" s="139"/>
      <c r="AF104" s="139"/>
      <c r="AG104" s="139"/>
      <c r="AH104" s="139"/>
      <c r="AI104" s="139"/>
      <c r="AJ104" s="139"/>
      <c r="AK104" s="139"/>
      <c r="AL104" s="139"/>
      <c r="AM104" s="139"/>
      <c r="AN104" s="139"/>
      <c r="AO104" s="139"/>
    </row>
    <row r="105">
      <c r="A105" s="85">
        <v>44936.0</v>
      </c>
      <c r="B105" s="86">
        <v>315.14</v>
      </c>
      <c r="C105" s="85">
        <v>44905.0</v>
      </c>
      <c r="D105" s="89" t="s">
        <v>743</v>
      </c>
      <c r="E105" s="89" t="s">
        <v>744</v>
      </c>
      <c r="F105" s="89" t="s">
        <v>745</v>
      </c>
      <c r="G105" s="89" t="s">
        <v>110</v>
      </c>
      <c r="H105" s="89" t="s">
        <v>94</v>
      </c>
      <c r="I105" s="89" t="s">
        <v>94</v>
      </c>
      <c r="J105" s="89" t="s">
        <v>95</v>
      </c>
      <c r="K105" s="89">
        <v>1.0</v>
      </c>
      <c r="L105" s="89"/>
      <c r="M105" s="89">
        <v>1.0</v>
      </c>
      <c r="N105" s="89"/>
      <c r="O105" s="85"/>
      <c r="P105" s="89">
        <v>1.0</v>
      </c>
      <c r="Q105" s="137"/>
      <c r="R105" s="138"/>
      <c r="S105" s="138"/>
      <c r="T105" s="85"/>
      <c r="U105" s="85"/>
      <c r="V105" s="85"/>
      <c r="W105" s="138"/>
      <c r="X105" s="139"/>
      <c r="Y105" s="139"/>
      <c r="Z105" s="139"/>
      <c r="AA105" s="139"/>
      <c r="AB105" s="139"/>
      <c r="AC105" s="139"/>
      <c r="AD105" s="139"/>
      <c r="AE105" s="139"/>
      <c r="AF105" s="139"/>
      <c r="AG105" s="139"/>
      <c r="AH105" s="139"/>
      <c r="AI105" s="139"/>
      <c r="AJ105" s="139"/>
      <c r="AK105" s="139"/>
      <c r="AL105" s="139"/>
      <c r="AM105" s="139"/>
      <c r="AN105" s="139"/>
      <c r="AO105" s="139"/>
    </row>
    <row r="106">
      <c r="A106" s="85">
        <v>44936.0</v>
      </c>
      <c r="B106" s="86">
        <v>316.94</v>
      </c>
      <c r="C106" s="85">
        <v>44928.0</v>
      </c>
      <c r="D106" s="89" t="s">
        <v>749</v>
      </c>
      <c r="E106" s="89" t="s">
        <v>750</v>
      </c>
      <c r="F106" s="89" t="s">
        <v>751</v>
      </c>
      <c r="G106" s="89" t="s">
        <v>114</v>
      </c>
      <c r="H106" s="89" t="s">
        <v>94</v>
      </c>
      <c r="I106" s="89" t="s">
        <v>753</v>
      </c>
      <c r="J106" s="89" t="s">
        <v>95</v>
      </c>
      <c r="K106" s="89">
        <v>1.0</v>
      </c>
      <c r="L106" s="89"/>
      <c r="M106" s="89">
        <v>1.0</v>
      </c>
      <c r="N106" s="89"/>
      <c r="O106" s="85"/>
      <c r="P106" s="89">
        <v>1.0</v>
      </c>
      <c r="Q106" s="137"/>
      <c r="R106" s="138"/>
      <c r="S106" s="138"/>
      <c r="T106" s="85"/>
      <c r="U106" s="85"/>
      <c r="V106" s="85"/>
      <c r="W106" s="138"/>
      <c r="X106" s="139"/>
      <c r="Y106" s="139"/>
      <c r="Z106" s="139"/>
      <c r="AA106" s="139"/>
      <c r="AB106" s="139"/>
      <c r="AC106" s="139"/>
      <c r="AD106" s="139"/>
      <c r="AE106" s="139"/>
      <c r="AF106" s="139"/>
      <c r="AG106" s="139"/>
      <c r="AH106" s="139"/>
      <c r="AI106" s="139"/>
      <c r="AJ106" s="139"/>
      <c r="AK106" s="139"/>
      <c r="AL106" s="139"/>
      <c r="AM106" s="139"/>
      <c r="AN106" s="139"/>
      <c r="AO106" s="139"/>
    </row>
    <row r="107">
      <c r="A107" s="85">
        <v>44936.0</v>
      </c>
      <c r="B107" s="86">
        <v>316.94</v>
      </c>
      <c r="C107" s="85">
        <v>44926.0</v>
      </c>
      <c r="D107" s="89" t="s">
        <v>756</v>
      </c>
      <c r="E107" s="89" t="s">
        <v>750</v>
      </c>
      <c r="F107" s="89" t="s">
        <v>751</v>
      </c>
      <c r="G107" s="89" t="s">
        <v>114</v>
      </c>
      <c r="H107" s="89" t="s">
        <v>94</v>
      </c>
      <c r="I107" s="89" t="s">
        <v>753</v>
      </c>
      <c r="J107" s="89" t="s">
        <v>95</v>
      </c>
      <c r="K107" s="89">
        <v>1.0</v>
      </c>
      <c r="L107" s="89"/>
      <c r="M107" s="89">
        <v>1.0</v>
      </c>
      <c r="N107" s="89"/>
      <c r="O107" s="85"/>
      <c r="P107" s="89">
        <v>1.0</v>
      </c>
      <c r="Q107" s="137"/>
      <c r="R107" s="138"/>
      <c r="S107" s="138"/>
      <c r="T107" s="85"/>
      <c r="U107" s="85"/>
      <c r="V107" s="85"/>
      <c r="W107" s="138"/>
      <c r="X107" s="139"/>
      <c r="Y107" s="139"/>
      <c r="Z107" s="139"/>
      <c r="AA107" s="139"/>
      <c r="AB107" s="139"/>
      <c r="AC107" s="139"/>
      <c r="AD107" s="139"/>
      <c r="AE107" s="139"/>
      <c r="AF107" s="139"/>
      <c r="AG107" s="139"/>
      <c r="AH107" s="139"/>
      <c r="AI107" s="139"/>
      <c r="AJ107" s="139"/>
      <c r="AK107" s="139"/>
      <c r="AL107" s="139"/>
      <c r="AM107" s="139"/>
      <c r="AN107" s="139"/>
      <c r="AO107" s="139"/>
    </row>
    <row r="108">
      <c r="A108" s="231">
        <v>44936.0</v>
      </c>
      <c r="B108" s="232">
        <v>242.4</v>
      </c>
      <c r="C108" s="231">
        <v>44190.0</v>
      </c>
      <c r="D108" s="233" t="s">
        <v>762</v>
      </c>
      <c r="E108" s="233" t="s">
        <v>763</v>
      </c>
      <c r="F108" s="233" t="s">
        <v>764</v>
      </c>
      <c r="G108" s="233" t="s">
        <v>110</v>
      </c>
      <c r="H108" s="233" t="s">
        <v>170</v>
      </c>
      <c r="I108" s="233" t="s">
        <v>671</v>
      </c>
      <c r="J108" s="233" t="s">
        <v>765</v>
      </c>
      <c r="K108" s="233"/>
      <c r="L108" s="233">
        <v>1.0</v>
      </c>
      <c r="M108" s="233"/>
      <c r="N108" s="233"/>
      <c r="O108" s="231"/>
      <c r="P108" s="233"/>
      <c r="Q108" s="234"/>
      <c r="R108" s="235"/>
      <c r="S108" s="235"/>
      <c r="T108" s="231"/>
      <c r="U108" s="231"/>
      <c r="V108" s="231"/>
      <c r="W108" s="235"/>
      <c r="X108" s="236"/>
      <c r="Y108" s="236"/>
      <c r="Z108" s="236"/>
      <c r="AA108" s="236"/>
      <c r="AB108" s="236"/>
      <c r="AC108" s="236"/>
      <c r="AD108" s="236"/>
      <c r="AE108" s="236"/>
      <c r="AF108" s="236"/>
      <c r="AG108" s="236"/>
      <c r="AH108" s="236"/>
      <c r="AI108" s="236"/>
      <c r="AJ108" s="236"/>
      <c r="AK108" s="236"/>
      <c r="AL108" s="236"/>
      <c r="AM108" s="236"/>
      <c r="AN108" s="236"/>
      <c r="AO108" s="236"/>
    </row>
    <row r="109">
      <c r="A109" s="85">
        <v>44936.0</v>
      </c>
      <c r="B109" s="102">
        <v>66.0</v>
      </c>
      <c r="C109" s="271">
        <v>44931.0</v>
      </c>
      <c r="D109" s="89" t="s">
        <v>770</v>
      </c>
      <c r="E109" s="89" t="s">
        <v>771</v>
      </c>
      <c r="F109" s="155" t="s">
        <v>772</v>
      </c>
      <c r="G109" s="89" t="s">
        <v>114</v>
      </c>
      <c r="H109" s="89" t="s">
        <v>94</v>
      </c>
      <c r="I109" s="89" t="s">
        <v>94</v>
      </c>
      <c r="J109" s="89" t="s">
        <v>773</v>
      </c>
      <c r="K109" s="89"/>
      <c r="L109" s="89"/>
      <c r="M109" s="89"/>
      <c r="N109" s="89">
        <v>1.0</v>
      </c>
      <c r="O109" s="85"/>
      <c r="P109" s="89"/>
      <c r="Q109" s="137">
        <v>1.0</v>
      </c>
      <c r="R109" s="138"/>
      <c r="S109" s="138"/>
      <c r="T109" s="85"/>
      <c r="U109" s="85"/>
      <c r="V109" s="85"/>
      <c r="W109" s="138"/>
      <c r="X109" s="139"/>
      <c r="Y109" s="139"/>
      <c r="Z109" s="139"/>
      <c r="AA109" s="139"/>
      <c r="AB109" s="139"/>
      <c r="AC109" s="139"/>
      <c r="AD109" s="139"/>
      <c r="AE109" s="139"/>
      <c r="AF109" s="139"/>
      <c r="AG109" s="139"/>
      <c r="AH109" s="139"/>
      <c r="AI109" s="139"/>
      <c r="AJ109" s="139"/>
      <c r="AK109" s="139"/>
      <c r="AL109" s="139"/>
      <c r="AM109" s="139"/>
      <c r="AN109" s="139"/>
      <c r="AO109" s="139"/>
    </row>
    <row r="110" ht="20.25" customHeight="1">
      <c r="A110" s="231">
        <v>44936.0</v>
      </c>
      <c r="B110" s="277">
        <v>272.9</v>
      </c>
      <c r="C110" s="233" t="s">
        <v>778</v>
      </c>
      <c r="D110" s="233" t="s">
        <v>779</v>
      </c>
      <c r="E110" s="233" t="s">
        <v>780</v>
      </c>
      <c r="F110" s="233" t="s">
        <v>670</v>
      </c>
      <c r="G110" s="233" t="s">
        <v>110</v>
      </c>
      <c r="H110" s="233" t="s">
        <v>170</v>
      </c>
      <c r="I110" s="233" t="s">
        <v>781</v>
      </c>
      <c r="J110" s="233" t="s">
        <v>191</v>
      </c>
      <c r="K110" s="89"/>
      <c r="L110" s="89">
        <v>1.0</v>
      </c>
      <c r="M110" s="89"/>
      <c r="N110" s="89"/>
      <c r="O110" s="89">
        <v>1.0</v>
      </c>
      <c r="P110" s="89">
        <v>1.0</v>
      </c>
      <c r="Q110" s="137"/>
      <c r="R110" s="138"/>
      <c r="S110" s="138"/>
      <c r="T110" s="85"/>
      <c r="U110" s="85"/>
      <c r="V110" s="85"/>
      <c r="W110" s="138"/>
      <c r="X110" s="139"/>
      <c r="Y110" s="139"/>
      <c r="Z110" s="139"/>
      <c r="AA110" s="139"/>
      <c r="AB110" s="139"/>
      <c r="AC110" s="139"/>
      <c r="AD110" s="139"/>
      <c r="AE110" s="139"/>
      <c r="AF110" s="139"/>
      <c r="AG110" s="139"/>
      <c r="AH110" s="139"/>
      <c r="AI110" s="139"/>
      <c r="AJ110" s="139"/>
      <c r="AK110" s="139"/>
      <c r="AL110" s="139"/>
      <c r="AM110" s="139"/>
      <c r="AN110" s="139"/>
      <c r="AO110" s="139"/>
    </row>
    <row r="111">
      <c r="A111" s="85">
        <v>44936.0</v>
      </c>
      <c r="B111" s="86">
        <v>185.14</v>
      </c>
      <c r="C111" s="85">
        <v>44153.0</v>
      </c>
      <c r="D111" s="89" t="s">
        <v>785</v>
      </c>
      <c r="E111" s="89" t="s">
        <v>786</v>
      </c>
      <c r="F111" s="89" t="s">
        <v>787</v>
      </c>
      <c r="G111" s="89" t="s">
        <v>110</v>
      </c>
      <c r="H111" s="89" t="s">
        <v>170</v>
      </c>
      <c r="I111" s="89" t="s">
        <v>135</v>
      </c>
      <c r="J111" s="89" t="s">
        <v>191</v>
      </c>
      <c r="K111" s="89"/>
      <c r="L111" s="89">
        <v>1.0</v>
      </c>
      <c r="M111" s="89"/>
      <c r="N111" s="89"/>
      <c r="O111" s="85"/>
      <c r="P111" s="89"/>
      <c r="Q111" s="137"/>
      <c r="R111" s="138"/>
      <c r="S111" s="138"/>
      <c r="T111" s="85"/>
      <c r="U111" s="85"/>
      <c r="V111" s="85"/>
      <c r="W111" s="138"/>
      <c r="X111" s="139"/>
      <c r="Y111" s="139"/>
      <c r="Z111" s="139"/>
      <c r="AA111" s="139"/>
      <c r="AB111" s="139"/>
      <c r="AC111" s="139"/>
      <c r="AD111" s="139"/>
      <c r="AE111" s="139"/>
      <c r="AF111" s="139"/>
      <c r="AG111" s="139"/>
      <c r="AH111" s="139"/>
      <c r="AI111" s="139"/>
      <c r="AJ111" s="139"/>
      <c r="AK111" s="139"/>
      <c r="AL111" s="139"/>
      <c r="AM111" s="139"/>
      <c r="AN111" s="139"/>
      <c r="AO111" s="139"/>
    </row>
    <row r="112">
      <c r="A112" s="231">
        <v>44936.0</v>
      </c>
      <c r="B112" s="232">
        <v>201.8</v>
      </c>
      <c r="C112" s="231">
        <v>44153.0</v>
      </c>
      <c r="D112" s="233" t="s">
        <v>792</v>
      </c>
      <c r="E112" s="233" t="s">
        <v>793</v>
      </c>
      <c r="F112" s="233" t="s">
        <v>794</v>
      </c>
      <c r="G112" s="233" t="s">
        <v>110</v>
      </c>
      <c r="H112" s="233" t="s">
        <v>170</v>
      </c>
      <c r="I112" s="233" t="s">
        <v>671</v>
      </c>
      <c r="J112" s="233" t="s">
        <v>191</v>
      </c>
      <c r="K112" s="233"/>
      <c r="L112" s="233">
        <v>1.0</v>
      </c>
      <c r="M112" s="233"/>
      <c r="N112" s="233">
        <v>1.0</v>
      </c>
      <c r="O112" s="231"/>
      <c r="P112" s="233"/>
      <c r="Q112" s="234"/>
      <c r="R112" s="235"/>
      <c r="S112" s="235"/>
      <c r="T112" s="231"/>
      <c r="U112" s="231"/>
      <c r="V112" s="231"/>
      <c r="W112" s="235"/>
      <c r="X112" s="236"/>
      <c r="Y112" s="236"/>
      <c r="Z112" s="236"/>
      <c r="AA112" s="236"/>
      <c r="AB112" s="236"/>
      <c r="AC112" s="236"/>
      <c r="AD112" s="236"/>
      <c r="AE112" s="236"/>
      <c r="AF112" s="236"/>
      <c r="AG112" s="236"/>
      <c r="AH112" s="236"/>
      <c r="AI112" s="236"/>
      <c r="AJ112" s="236"/>
      <c r="AK112" s="236"/>
      <c r="AL112" s="236"/>
      <c r="AM112" s="236"/>
      <c r="AN112" s="236"/>
      <c r="AO112" s="236"/>
    </row>
    <row r="113">
      <c r="A113" s="85">
        <v>44936.0</v>
      </c>
      <c r="B113" s="141">
        <v>309.23</v>
      </c>
      <c r="C113" s="286">
        <v>44858.0</v>
      </c>
      <c r="D113" s="142" t="s">
        <v>799</v>
      </c>
      <c r="E113" s="142" t="s">
        <v>800</v>
      </c>
      <c r="F113" s="142" t="s">
        <v>801</v>
      </c>
      <c r="G113" s="89" t="s">
        <v>110</v>
      </c>
      <c r="H113" s="89" t="s">
        <v>94</v>
      </c>
      <c r="I113" s="89" t="s">
        <v>94</v>
      </c>
      <c r="J113" s="89" t="s">
        <v>95</v>
      </c>
      <c r="K113" s="89">
        <v>1.0</v>
      </c>
      <c r="L113" s="89"/>
      <c r="M113" s="89">
        <v>1.0</v>
      </c>
      <c r="N113" s="89"/>
      <c r="O113" s="85"/>
      <c r="P113" s="89">
        <v>1.0</v>
      </c>
      <c r="Q113" s="137"/>
      <c r="R113" s="138"/>
      <c r="S113" s="138"/>
      <c r="T113" s="85"/>
      <c r="U113" s="85"/>
      <c r="V113" s="85"/>
      <c r="W113" s="138"/>
      <c r="X113" s="139"/>
      <c r="Y113" s="139"/>
      <c r="Z113" s="139"/>
      <c r="AA113" s="139"/>
      <c r="AB113" s="139"/>
      <c r="AC113" s="139"/>
      <c r="AD113" s="139"/>
      <c r="AE113" s="139"/>
      <c r="AF113" s="139"/>
      <c r="AG113" s="139"/>
      <c r="AH113" s="139"/>
      <c r="AI113" s="139"/>
      <c r="AJ113" s="139"/>
      <c r="AK113" s="139"/>
      <c r="AL113" s="139"/>
      <c r="AM113" s="139"/>
      <c r="AN113" s="139"/>
      <c r="AO113" s="139"/>
    </row>
    <row r="114">
      <c r="A114" s="85">
        <v>44936.0</v>
      </c>
      <c r="B114" s="141">
        <v>309.0</v>
      </c>
      <c r="C114" s="286">
        <v>44870.0</v>
      </c>
      <c r="D114" s="142" t="s">
        <v>803</v>
      </c>
      <c r="E114" s="142" t="s">
        <v>804</v>
      </c>
      <c r="F114" s="89" t="s">
        <v>806</v>
      </c>
      <c r="G114" s="89" t="s">
        <v>114</v>
      </c>
      <c r="H114" s="89" t="s">
        <v>94</v>
      </c>
      <c r="I114" s="89" t="s">
        <v>94</v>
      </c>
      <c r="J114" s="89" t="s">
        <v>112</v>
      </c>
      <c r="K114" s="89"/>
      <c r="L114" s="89">
        <v>1.0</v>
      </c>
      <c r="M114" s="89"/>
      <c r="N114" s="89"/>
      <c r="O114" s="85"/>
      <c r="P114" s="89">
        <v>1.0</v>
      </c>
      <c r="Q114" s="137"/>
      <c r="R114" s="138"/>
      <c r="S114" s="138"/>
      <c r="T114" s="85"/>
      <c r="U114" s="85"/>
      <c r="V114" s="85"/>
      <c r="W114" s="138"/>
      <c r="X114" s="139"/>
      <c r="Y114" s="139"/>
      <c r="Z114" s="139"/>
      <c r="AA114" s="139"/>
      <c r="AB114" s="139"/>
      <c r="AC114" s="139"/>
      <c r="AD114" s="139"/>
      <c r="AE114" s="139"/>
      <c r="AF114" s="139"/>
      <c r="AG114" s="139"/>
      <c r="AH114" s="139"/>
      <c r="AI114" s="139"/>
      <c r="AJ114" s="139"/>
      <c r="AK114" s="139"/>
      <c r="AL114" s="139"/>
      <c r="AM114" s="139"/>
      <c r="AN114" s="139"/>
      <c r="AO114" s="139"/>
    </row>
    <row r="115">
      <c r="A115" s="85">
        <v>44936.0</v>
      </c>
      <c r="B115" s="86">
        <v>53.0</v>
      </c>
      <c r="C115" s="85">
        <v>44925.0</v>
      </c>
      <c r="D115" s="142" t="s">
        <v>809</v>
      </c>
      <c r="E115" s="89" t="s">
        <v>810</v>
      </c>
      <c r="F115" s="89" t="s">
        <v>811</v>
      </c>
      <c r="G115" s="89" t="s">
        <v>114</v>
      </c>
      <c r="H115" s="89" t="s">
        <v>94</v>
      </c>
      <c r="I115" s="89" t="s">
        <v>94</v>
      </c>
      <c r="J115" s="89" t="s">
        <v>773</v>
      </c>
      <c r="K115" s="89"/>
      <c r="L115" s="89"/>
      <c r="M115" s="89"/>
      <c r="N115" s="89">
        <v>1.0</v>
      </c>
      <c r="O115" s="85"/>
      <c r="P115" s="89">
        <v>1.0</v>
      </c>
      <c r="Q115" s="137"/>
      <c r="R115" s="138"/>
      <c r="S115" s="138"/>
      <c r="T115" s="85"/>
      <c r="U115" s="85"/>
      <c r="V115" s="85"/>
      <c r="W115" s="138"/>
      <c r="X115" s="139"/>
      <c r="Y115" s="139"/>
      <c r="Z115" s="139"/>
      <c r="AA115" s="139"/>
      <c r="AB115" s="139"/>
      <c r="AC115" s="139"/>
      <c r="AD115" s="139"/>
      <c r="AE115" s="139"/>
      <c r="AF115" s="139"/>
      <c r="AG115" s="139"/>
      <c r="AH115" s="139"/>
      <c r="AI115" s="139"/>
      <c r="AJ115" s="139"/>
      <c r="AK115" s="139"/>
      <c r="AL115" s="139"/>
      <c r="AM115" s="139"/>
      <c r="AN115" s="139"/>
      <c r="AO115" s="139"/>
    </row>
    <row r="116">
      <c r="A116" s="85">
        <v>44936.0</v>
      </c>
      <c r="B116" s="141">
        <v>201.8</v>
      </c>
      <c r="C116" s="85">
        <v>44153.0</v>
      </c>
      <c r="D116" s="89" t="s">
        <v>815</v>
      </c>
      <c r="E116" s="89" t="s">
        <v>816</v>
      </c>
      <c r="F116" s="89" t="s">
        <v>817</v>
      </c>
      <c r="G116" s="89" t="s">
        <v>110</v>
      </c>
      <c r="H116" s="89" t="s">
        <v>170</v>
      </c>
      <c r="I116" s="89" t="s">
        <v>135</v>
      </c>
      <c r="J116" s="89" t="s">
        <v>191</v>
      </c>
      <c r="K116" s="89"/>
      <c r="L116" s="89">
        <v>1.0</v>
      </c>
      <c r="M116" s="89"/>
      <c r="N116" s="89">
        <v>1.0</v>
      </c>
      <c r="O116" s="85"/>
      <c r="P116" s="89"/>
      <c r="Q116" s="137"/>
      <c r="R116" s="138"/>
      <c r="S116" s="138"/>
      <c r="T116" s="85"/>
      <c r="U116" s="85"/>
      <c r="V116" s="85"/>
      <c r="W116" s="138"/>
      <c r="X116" s="139"/>
      <c r="Y116" s="139"/>
      <c r="Z116" s="139"/>
      <c r="AA116" s="139"/>
      <c r="AB116" s="139"/>
      <c r="AC116" s="139"/>
      <c r="AD116" s="139"/>
      <c r="AE116" s="139"/>
      <c r="AF116" s="139"/>
      <c r="AG116" s="139"/>
      <c r="AH116" s="139"/>
      <c r="AI116" s="139"/>
      <c r="AJ116" s="139"/>
      <c r="AK116" s="139"/>
      <c r="AL116" s="139"/>
      <c r="AM116" s="139"/>
      <c r="AN116" s="139"/>
      <c r="AO116" s="139"/>
    </row>
    <row r="117">
      <c r="A117" s="85">
        <v>44936.0</v>
      </c>
      <c r="B117" s="86">
        <v>290.0</v>
      </c>
      <c r="C117" s="85">
        <v>44540.0</v>
      </c>
      <c r="D117" s="89" t="s">
        <v>823</v>
      </c>
      <c r="E117" s="89" t="s">
        <v>824</v>
      </c>
      <c r="F117" s="89" t="s">
        <v>825</v>
      </c>
      <c r="G117" s="89" t="s">
        <v>110</v>
      </c>
      <c r="H117" s="89" t="s">
        <v>94</v>
      </c>
      <c r="I117" s="89" t="s">
        <v>94</v>
      </c>
      <c r="J117" s="89" t="s">
        <v>191</v>
      </c>
      <c r="K117" s="89">
        <v>1.0</v>
      </c>
      <c r="L117" s="89"/>
      <c r="M117" s="89">
        <v>1.0</v>
      </c>
      <c r="N117" s="89"/>
      <c r="O117" s="85"/>
      <c r="P117" s="89"/>
      <c r="Q117" s="137"/>
      <c r="R117" s="138"/>
      <c r="S117" s="138"/>
      <c r="T117" s="85"/>
      <c r="U117" s="85"/>
      <c r="V117" s="85"/>
      <c r="W117" s="138"/>
      <c r="X117" s="139"/>
      <c r="Y117" s="139"/>
      <c r="Z117" s="139"/>
      <c r="AA117" s="139"/>
      <c r="AB117" s="139"/>
      <c r="AC117" s="139"/>
      <c r="AD117" s="139"/>
      <c r="AE117" s="139"/>
      <c r="AF117" s="139"/>
      <c r="AG117" s="139"/>
      <c r="AH117" s="139"/>
      <c r="AI117" s="139"/>
      <c r="AJ117" s="139"/>
      <c r="AK117" s="139"/>
      <c r="AL117" s="139"/>
      <c r="AM117" s="139"/>
      <c r="AN117" s="139"/>
      <c r="AO117" s="139"/>
    </row>
    <row r="118">
      <c r="A118" s="85">
        <v>44936.0</v>
      </c>
      <c r="B118" s="141">
        <v>373.48</v>
      </c>
      <c r="C118" s="286">
        <v>44896.0</v>
      </c>
      <c r="D118" s="89" t="s">
        <v>830</v>
      </c>
      <c r="E118" s="89" t="s">
        <v>831</v>
      </c>
      <c r="F118" s="142" t="s">
        <v>832</v>
      </c>
      <c r="G118" s="89" t="s">
        <v>110</v>
      </c>
      <c r="H118" s="89" t="s">
        <v>94</v>
      </c>
      <c r="I118" s="89" t="s">
        <v>94</v>
      </c>
      <c r="J118" s="89" t="s">
        <v>95</v>
      </c>
      <c r="K118" s="89">
        <v>1.0</v>
      </c>
      <c r="L118" s="89"/>
      <c r="M118" s="89">
        <v>1.0</v>
      </c>
      <c r="N118" s="89">
        <v>1.0</v>
      </c>
      <c r="O118" s="85"/>
      <c r="P118" s="89">
        <v>1.0</v>
      </c>
      <c r="Q118" s="137">
        <v>1.0</v>
      </c>
      <c r="R118" s="138"/>
      <c r="S118" s="138"/>
      <c r="T118" s="85"/>
      <c r="U118" s="85"/>
      <c r="V118" s="85"/>
      <c r="W118" s="138"/>
      <c r="X118" s="139"/>
      <c r="Y118" s="139"/>
      <c r="Z118" s="139"/>
      <c r="AA118" s="139"/>
      <c r="AB118" s="139"/>
      <c r="AC118" s="139"/>
      <c r="AD118" s="139"/>
      <c r="AE118" s="139"/>
      <c r="AF118" s="139"/>
      <c r="AG118" s="139"/>
      <c r="AH118" s="139"/>
      <c r="AI118" s="139"/>
      <c r="AJ118" s="139"/>
      <c r="AK118" s="139"/>
      <c r="AL118" s="139"/>
      <c r="AM118" s="139"/>
      <c r="AN118" s="139"/>
      <c r="AO118" s="139"/>
    </row>
    <row r="119">
      <c r="A119" s="85">
        <v>44936.0</v>
      </c>
      <c r="B119" s="102">
        <v>369.15</v>
      </c>
      <c r="C119" s="305" t="s">
        <v>838</v>
      </c>
      <c r="D119" s="164" t="s">
        <v>839</v>
      </c>
      <c r="E119" s="107" t="s">
        <v>840</v>
      </c>
      <c r="F119" s="89" t="s">
        <v>841</v>
      </c>
      <c r="G119" s="89" t="s">
        <v>110</v>
      </c>
      <c r="H119" s="89" t="s">
        <v>94</v>
      </c>
      <c r="I119" s="89" t="s">
        <v>94</v>
      </c>
      <c r="J119" s="89" t="s">
        <v>95</v>
      </c>
      <c r="K119" s="89">
        <v>1.0</v>
      </c>
      <c r="L119" s="89"/>
      <c r="M119" s="89">
        <v>1.0</v>
      </c>
      <c r="N119" s="89">
        <v>1.0</v>
      </c>
      <c r="O119" s="85"/>
      <c r="P119" s="89">
        <v>1.0</v>
      </c>
      <c r="Q119" s="137">
        <v>1.0</v>
      </c>
      <c r="R119" s="138"/>
      <c r="S119" s="138"/>
      <c r="T119" s="85"/>
      <c r="U119" s="85"/>
      <c r="V119" s="85"/>
      <c r="W119" s="138"/>
      <c r="X119" s="139"/>
      <c r="Y119" s="139"/>
      <c r="Z119" s="139"/>
      <c r="AA119" s="139"/>
      <c r="AB119" s="139"/>
      <c r="AC119" s="139"/>
      <c r="AD119" s="139"/>
      <c r="AE119" s="139"/>
      <c r="AF119" s="139"/>
      <c r="AG119" s="139"/>
      <c r="AH119" s="139"/>
      <c r="AI119" s="139"/>
      <c r="AJ119" s="139"/>
      <c r="AK119" s="139"/>
      <c r="AL119" s="139"/>
      <c r="AM119" s="139"/>
      <c r="AN119" s="139"/>
      <c r="AO119" s="139"/>
    </row>
    <row r="120">
      <c r="A120" s="85">
        <v>44936.0</v>
      </c>
      <c r="B120" s="86">
        <v>337.0</v>
      </c>
      <c r="C120" s="85">
        <v>44696.0</v>
      </c>
      <c r="D120" s="89" t="s">
        <v>845</v>
      </c>
      <c r="E120" s="89" t="s">
        <v>846</v>
      </c>
      <c r="F120" s="89" t="s">
        <v>847</v>
      </c>
      <c r="G120" s="89" t="s">
        <v>110</v>
      </c>
      <c r="H120" s="89" t="s">
        <v>94</v>
      </c>
      <c r="I120" s="89" t="s">
        <v>94</v>
      </c>
      <c r="J120" s="89" t="s">
        <v>191</v>
      </c>
      <c r="K120" s="89"/>
      <c r="L120" s="89">
        <v>1.0</v>
      </c>
      <c r="M120" s="89"/>
      <c r="N120" s="89">
        <v>1.0</v>
      </c>
      <c r="O120" s="89">
        <v>1.0</v>
      </c>
      <c r="P120" s="89"/>
      <c r="Q120" s="137"/>
      <c r="R120" s="138"/>
      <c r="S120" s="138"/>
      <c r="T120" s="85"/>
      <c r="U120" s="85"/>
      <c r="V120" s="85"/>
      <c r="W120" s="138"/>
      <c r="X120" s="139"/>
      <c r="Y120" s="139"/>
      <c r="Z120" s="139"/>
      <c r="AA120" s="139"/>
      <c r="AB120" s="139"/>
      <c r="AC120" s="139"/>
      <c r="AD120" s="139"/>
      <c r="AE120" s="139"/>
      <c r="AF120" s="139"/>
      <c r="AG120" s="139"/>
      <c r="AH120" s="139"/>
      <c r="AI120" s="139"/>
      <c r="AJ120" s="139"/>
      <c r="AK120" s="139"/>
      <c r="AL120" s="139"/>
      <c r="AM120" s="139"/>
      <c r="AN120" s="139"/>
      <c r="AO120" s="139"/>
    </row>
    <row r="121" ht="19.5" customHeight="1">
      <c r="A121" s="85">
        <v>44936.0</v>
      </c>
      <c r="B121" s="141">
        <v>325.0</v>
      </c>
      <c r="C121" s="85">
        <v>44783.0</v>
      </c>
      <c r="D121" s="89" t="s">
        <v>849</v>
      </c>
      <c r="E121" s="89" t="s">
        <v>850</v>
      </c>
      <c r="F121" s="89" t="s">
        <v>851</v>
      </c>
      <c r="G121" s="89" t="s">
        <v>110</v>
      </c>
      <c r="H121" s="89" t="s">
        <v>94</v>
      </c>
      <c r="I121" s="89" t="s">
        <v>94</v>
      </c>
      <c r="J121" s="89" t="s">
        <v>136</v>
      </c>
      <c r="K121" s="89"/>
      <c r="L121" s="89">
        <v>1.0</v>
      </c>
      <c r="M121" s="89"/>
      <c r="N121" s="89"/>
      <c r="O121" s="89">
        <v>1.0</v>
      </c>
      <c r="P121" s="89"/>
      <c r="Q121" s="137"/>
      <c r="R121" s="138"/>
      <c r="S121" s="138"/>
      <c r="T121" s="85"/>
      <c r="U121" s="85"/>
      <c r="V121" s="85"/>
      <c r="W121" s="138"/>
      <c r="X121" s="139"/>
      <c r="Y121" s="139"/>
      <c r="Z121" s="139"/>
      <c r="AA121" s="139"/>
      <c r="AB121" s="139"/>
      <c r="AC121" s="139"/>
      <c r="AD121" s="139"/>
      <c r="AE121" s="139"/>
      <c r="AF121" s="139"/>
      <c r="AG121" s="139"/>
      <c r="AH121" s="139"/>
      <c r="AI121" s="139"/>
      <c r="AJ121" s="139"/>
      <c r="AK121" s="139"/>
      <c r="AL121" s="139"/>
      <c r="AM121" s="139"/>
      <c r="AN121" s="139"/>
      <c r="AO121" s="139"/>
    </row>
    <row r="122">
      <c r="A122" s="85">
        <v>44936.0</v>
      </c>
      <c r="B122" s="86">
        <v>241.8</v>
      </c>
      <c r="C122" s="85">
        <v>44156.0</v>
      </c>
      <c r="D122" s="89" t="s">
        <v>855</v>
      </c>
      <c r="E122" s="89" t="s">
        <v>856</v>
      </c>
      <c r="F122" s="89" t="s">
        <v>857</v>
      </c>
      <c r="G122" s="89" t="s">
        <v>110</v>
      </c>
      <c r="H122" s="89" t="s">
        <v>170</v>
      </c>
      <c r="I122" s="89" t="s">
        <v>170</v>
      </c>
      <c r="J122" s="89" t="s">
        <v>191</v>
      </c>
      <c r="K122" s="89"/>
      <c r="L122" s="89">
        <v>1.0</v>
      </c>
      <c r="M122" s="89"/>
      <c r="N122" s="89">
        <v>1.0</v>
      </c>
      <c r="O122" s="85"/>
      <c r="P122" s="89"/>
      <c r="Q122" s="137"/>
      <c r="R122" s="138"/>
      <c r="S122" s="138"/>
      <c r="T122" s="85"/>
      <c r="U122" s="85"/>
      <c r="V122" s="85"/>
      <c r="W122" s="138"/>
      <c r="X122" s="139"/>
      <c r="Y122" s="139"/>
      <c r="Z122" s="139"/>
      <c r="AA122" s="139"/>
      <c r="AB122" s="139"/>
      <c r="AC122" s="139"/>
      <c r="AD122" s="139"/>
      <c r="AE122" s="139"/>
      <c r="AF122" s="139"/>
      <c r="AG122" s="139"/>
      <c r="AH122" s="139"/>
      <c r="AI122" s="139"/>
      <c r="AJ122" s="139"/>
      <c r="AK122" s="139"/>
      <c r="AL122" s="139"/>
      <c r="AM122" s="139"/>
      <c r="AN122" s="139"/>
      <c r="AO122" s="139"/>
    </row>
    <row r="123">
      <c r="A123" s="85">
        <v>44937.0</v>
      </c>
      <c r="B123" s="86">
        <v>246.87</v>
      </c>
      <c r="C123" s="85">
        <v>44936.0</v>
      </c>
      <c r="D123" s="89" t="s">
        <v>862</v>
      </c>
      <c r="E123" s="89" t="s">
        <v>863</v>
      </c>
      <c r="F123" s="89" t="s">
        <v>864</v>
      </c>
      <c r="G123" s="89" t="s">
        <v>114</v>
      </c>
      <c r="H123" s="89" t="s">
        <v>94</v>
      </c>
      <c r="I123" s="89" t="s">
        <v>94</v>
      </c>
      <c r="J123" s="89" t="s">
        <v>95</v>
      </c>
      <c r="K123" s="89">
        <v>1.0</v>
      </c>
      <c r="L123" s="89"/>
      <c r="M123" s="89"/>
      <c r="N123" s="89"/>
      <c r="O123" s="85"/>
      <c r="P123" s="89">
        <v>1.0</v>
      </c>
      <c r="Q123" s="137"/>
      <c r="R123" s="138"/>
      <c r="S123" s="138"/>
      <c r="T123" s="85"/>
      <c r="U123" s="85"/>
      <c r="V123" s="85"/>
      <c r="W123" s="138"/>
      <c r="X123" s="139"/>
      <c r="Y123" s="139"/>
      <c r="Z123" s="139"/>
      <c r="AA123" s="139"/>
      <c r="AB123" s="139"/>
      <c r="AC123" s="139"/>
      <c r="AD123" s="139"/>
      <c r="AE123" s="139"/>
      <c r="AF123" s="139"/>
      <c r="AG123" s="139"/>
      <c r="AH123" s="139"/>
      <c r="AI123" s="139"/>
      <c r="AJ123" s="139"/>
      <c r="AK123" s="139"/>
      <c r="AL123" s="139"/>
      <c r="AM123" s="139"/>
      <c r="AN123" s="139"/>
      <c r="AO123" s="139"/>
    </row>
    <row r="124">
      <c r="A124" s="85">
        <v>44937.0</v>
      </c>
      <c r="B124" s="86">
        <v>283.18</v>
      </c>
      <c r="C124" s="85">
        <v>44871.0</v>
      </c>
      <c r="D124" s="89" t="s">
        <v>868</v>
      </c>
      <c r="E124" s="89" t="s">
        <v>869</v>
      </c>
      <c r="F124" s="89" t="s">
        <v>870</v>
      </c>
      <c r="G124" s="89" t="s">
        <v>110</v>
      </c>
      <c r="H124" s="89" t="s">
        <v>94</v>
      </c>
      <c r="I124" s="89" t="s">
        <v>664</v>
      </c>
      <c r="J124" s="89" t="s">
        <v>95</v>
      </c>
      <c r="K124" s="89">
        <v>1.0</v>
      </c>
      <c r="L124" s="89"/>
      <c r="M124" s="89"/>
      <c r="N124" s="89"/>
      <c r="O124" s="85"/>
      <c r="P124" s="89">
        <v>1.0</v>
      </c>
      <c r="Q124" s="137"/>
      <c r="R124" s="138"/>
      <c r="S124" s="138"/>
      <c r="T124" s="85"/>
      <c r="U124" s="85"/>
      <c r="V124" s="85"/>
      <c r="W124" s="138"/>
      <c r="X124" s="139"/>
      <c r="Y124" s="139"/>
      <c r="Z124" s="139"/>
      <c r="AA124" s="139"/>
      <c r="AB124" s="139"/>
      <c r="AC124" s="139"/>
      <c r="AD124" s="139"/>
      <c r="AE124" s="139"/>
      <c r="AF124" s="139"/>
      <c r="AG124" s="139"/>
      <c r="AH124" s="139"/>
      <c r="AI124" s="139"/>
      <c r="AJ124" s="139"/>
      <c r="AK124" s="139"/>
      <c r="AL124" s="139"/>
      <c r="AM124" s="139"/>
      <c r="AN124" s="139"/>
      <c r="AO124" s="139"/>
    </row>
    <row r="125">
      <c r="A125" s="85">
        <v>44937.0</v>
      </c>
      <c r="B125" s="86">
        <v>84.8</v>
      </c>
      <c r="C125" s="85">
        <v>44925.0</v>
      </c>
      <c r="D125" s="89" t="s">
        <v>875</v>
      </c>
      <c r="E125" s="89" t="s">
        <v>876</v>
      </c>
      <c r="F125" s="89" t="s">
        <v>877</v>
      </c>
      <c r="G125" s="89" t="s">
        <v>114</v>
      </c>
      <c r="H125" s="89" t="s">
        <v>94</v>
      </c>
      <c r="I125" s="89" t="s">
        <v>94</v>
      </c>
      <c r="J125" s="89" t="s">
        <v>95</v>
      </c>
      <c r="K125" s="89"/>
      <c r="L125" s="89"/>
      <c r="M125" s="89">
        <v>1.0</v>
      </c>
      <c r="N125" s="89"/>
      <c r="O125" s="85"/>
      <c r="P125" s="89"/>
      <c r="Q125" s="137"/>
      <c r="R125" s="138"/>
      <c r="S125" s="138"/>
      <c r="T125" s="85"/>
      <c r="U125" s="85"/>
      <c r="V125" s="85"/>
      <c r="W125" s="138"/>
      <c r="X125" s="139"/>
      <c r="Y125" s="139"/>
      <c r="Z125" s="139"/>
      <c r="AA125" s="139"/>
      <c r="AB125" s="139"/>
      <c r="AC125" s="139"/>
      <c r="AD125" s="139"/>
      <c r="AE125" s="139"/>
      <c r="AF125" s="139"/>
      <c r="AG125" s="139"/>
      <c r="AH125" s="139"/>
      <c r="AI125" s="139"/>
      <c r="AJ125" s="139"/>
      <c r="AK125" s="139"/>
      <c r="AL125" s="139"/>
      <c r="AM125" s="139"/>
      <c r="AN125" s="139"/>
      <c r="AO125" s="139"/>
    </row>
    <row r="126">
      <c r="A126" s="85">
        <v>44937.0</v>
      </c>
      <c r="B126" s="86">
        <v>350.0</v>
      </c>
      <c r="C126" s="85">
        <v>44935.0</v>
      </c>
      <c r="D126" s="89" t="s">
        <v>881</v>
      </c>
      <c r="E126" s="89" t="s">
        <v>882</v>
      </c>
      <c r="F126" s="89" t="s">
        <v>883</v>
      </c>
      <c r="G126" s="89" t="s">
        <v>114</v>
      </c>
      <c r="H126" s="89" t="s">
        <v>94</v>
      </c>
      <c r="I126" s="89" t="s">
        <v>94</v>
      </c>
      <c r="J126" s="89" t="s">
        <v>205</v>
      </c>
      <c r="K126" s="89"/>
      <c r="L126" s="89">
        <v>1.0</v>
      </c>
      <c r="M126" s="89"/>
      <c r="N126" s="89">
        <v>1.0</v>
      </c>
      <c r="O126" s="85"/>
      <c r="P126" s="89">
        <v>1.0</v>
      </c>
      <c r="Q126" s="137">
        <v>1.0</v>
      </c>
      <c r="R126" s="138"/>
      <c r="S126" s="138"/>
      <c r="T126" s="85"/>
      <c r="U126" s="85"/>
      <c r="V126" s="85"/>
      <c r="W126" s="138"/>
      <c r="X126" s="139"/>
      <c r="Y126" s="139"/>
      <c r="Z126" s="139"/>
      <c r="AA126" s="139"/>
      <c r="AB126" s="139"/>
      <c r="AC126" s="139"/>
      <c r="AD126" s="139"/>
      <c r="AE126" s="139"/>
      <c r="AF126" s="139"/>
      <c r="AG126" s="139"/>
      <c r="AH126" s="139"/>
      <c r="AI126" s="139"/>
      <c r="AJ126" s="139"/>
      <c r="AK126" s="139"/>
      <c r="AL126" s="139"/>
      <c r="AM126" s="139"/>
      <c r="AN126" s="139"/>
      <c r="AO126" s="139"/>
    </row>
    <row r="127">
      <c r="A127" s="231">
        <v>44937.0</v>
      </c>
      <c r="B127" s="232">
        <v>185.06</v>
      </c>
      <c r="C127" s="231">
        <v>44155.0</v>
      </c>
      <c r="D127" s="233" t="s">
        <v>887</v>
      </c>
      <c r="E127" s="233" t="s">
        <v>888</v>
      </c>
      <c r="F127" s="233" t="s">
        <v>889</v>
      </c>
      <c r="G127" s="233" t="s">
        <v>890</v>
      </c>
      <c r="H127" s="233" t="s">
        <v>170</v>
      </c>
      <c r="I127" s="233" t="s">
        <v>671</v>
      </c>
      <c r="J127" s="233" t="s">
        <v>191</v>
      </c>
      <c r="K127" s="233"/>
      <c r="L127" s="233">
        <v>1.0</v>
      </c>
      <c r="M127" s="233"/>
      <c r="N127" s="231"/>
      <c r="O127" s="233"/>
      <c r="P127" s="234"/>
      <c r="Q127" s="235"/>
      <c r="R127" s="235"/>
      <c r="S127" s="231"/>
      <c r="T127" s="231"/>
      <c r="U127" s="231"/>
      <c r="V127" s="235"/>
      <c r="W127" s="236"/>
      <c r="X127" s="236"/>
      <c r="Y127" s="236"/>
      <c r="Z127" s="236"/>
      <c r="AA127" s="236"/>
      <c r="AB127" s="236"/>
      <c r="AC127" s="236"/>
      <c r="AD127" s="236"/>
      <c r="AE127" s="236"/>
      <c r="AF127" s="236"/>
      <c r="AG127" s="236"/>
      <c r="AH127" s="236"/>
      <c r="AI127" s="236"/>
      <c r="AJ127" s="236"/>
      <c r="AK127" s="236"/>
      <c r="AL127" s="236"/>
      <c r="AM127" s="236"/>
      <c r="AN127" s="236"/>
      <c r="AO127" s="327"/>
    </row>
    <row r="128">
      <c r="A128" s="85">
        <v>44937.0</v>
      </c>
      <c r="B128" s="86">
        <v>63.44</v>
      </c>
      <c r="C128" s="85">
        <v>44936.0</v>
      </c>
      <c r="D128" s="89" t="s">
        <v>895</v>
      </c>
      <c r="E128" s="89" t="s">
        <v>896</v>
      </c>
      <c r="F128" s="89" t="s">
        <v>897</v>
      </c>
      <c r="G128" s="89" t="s">
        <v>114</v>
      </c>
      <c r="H128" s="89" t="s">
        <v>94</v>
      </c>
      <c r="I128" s="89" t="s">
        <v>94</v>
      </c>
      <c r="J128" s="89" t="s">
        <v>95</v>
      </c>
      <c r="K128" s="89"/>
      <c r="L128" s="89"/>
      <c r="M128" s="89">
        <v>1.0</v>
      </c>
      <c r="N128" s="89"/>
      <c r="O128" s="85"/>
      <c r="P128" s="89"/>
      <c r="Q128" s="137"/>
      <c r="R128" s="138"/>
      <c r="S128" s="138"/>
      <c r="T128" s="85"/>
      <c r="U128" s="85"/>
      <c r="V128" s="85"/>
      <c r="W128" s="138"/>
      <c r="X128" s="139"/>
      <c r="Y128" s="139"/>
      <c r="Z128" s="139"/>
      <c r="AA128" s="139"/>
      <c r="AB128" s="139"/>
      <c r="AC128" s="139"/>
      <c r="AD128" s="139"/>
      <c r="AE128" s="139"/>
      <c r="AF128" s="139"/>
      <c r="AG128" s="139"/>
      <c r="AH128" s="139"/>
      <c r="AI128" s="139"/>
      <c r="AJ128" s="139"/>
      <c r="AK128" s="139"/>
      <c r="AL128" s="139"/>
      <c r="AM128" s="139"/>
      <c r="AN128" s="139"/>
      <c r="AO128" s="139"/>
    </row>
    <row r="129">
      <c r="A129" s="85">
        <v>44937.0</v>
      </c>
      <c r="B129" s="86">
        <v>289.18</v>
      </c>
      <c r="C129" s="85">
        <v>44876.0</v>
      </c>
      <c r="D129" s="89" t="s">
        <v>901</v>
      </c>
      <c r="E129" s="89" t="s">
        <v>902</v>
      </c>
      <c r="F129" s="89" t="s">
        <v>903</v>
      </c>
      <c r="G129" s="89" t="s">
        <v>110</v>
      </c>
      <c r="H129" s="89" t="s">
        <v>94</v>
      </c>
      <c r="I129" s="89" t="s">
        <v>94</v>
      </c>
      <c r="J129" s="89" t="s">
        <v>95</v>
      </c>
      <c r="K129" s="89"/>
      <c r="L129" s="89">
        <v>1.0</v>
      </c>
      <c r="M129" s="89"/>
      <c r="N129" s="89"/>
      <c r="O129" s="85"/>
      <c r="P129" s="89">
        <v>1.0</v>
      </c>
      <c r="Q129" s="137"/>
      <c r="R129" s="138"/>
      <c r="S129" s="138"/>
      <c r="T129" s="85"/>
      <c r="U129" s="85"/>
      <c r="V129" s="85"/>
      <c r="W129" s="138"/>
      <c r="X129" s="139"/>
      <c r="Y129" s="139"/>
      <c r="Z129" s="139"/>
      <c r="AA129" s="139"/>
      <c r="AB129" s="139"/>
      <c r="AC129" s="139"/>
      <c r="AD129" s="139"/>
      <c r="AE129" s="139"/>
      <c r="AF129" s="139"/>
      <c r="AG129" s="139"/>
      <c r="AH129" s="139"/>
      <c r="AI129" s="139"/>
      <c r="AJ129" s="139"/>
      <c r="AK129" s="139"/>
      <c r="AL129" s="139"/>
      <c r="AM129" s="139"/>
      <c r="AN129" s="139"/>
      <c r="AO129" s="139"/>
    </row>
    <row r="130" ht="20.25" customHeight="1">
      <c r="A130" s="231">
        <v>44937.0</v>
      </c>
      <c r="B130" s="232">
        <v>310.99</v>
      </c>
      <c r="C130" s="231">
        <v>44668.0</v>
      </c>
      <c r="D130" s="233" t="s">
        <v>907</v>
      </c>
      <c r="E130" s="233" t="s">
        <v>908</v>
      </c>
      <c r="F130" s="233" t="s">
        <v>909</v>
      </c>
      <c r="G130" s="233" t="s">
        <v>110</v>
      </c>
      <c r="H130" s="233" t="s">
        <v>94</v>
      </c>
      <c r="I130" s="233" t="s">
        <v>671</v>
      </c>
      <c r="J130" s="233" t="s">
        <v>95</v>
      </c>
      <c r="K130" s="233"/>
      <c r="L130" s="233">
        <v>1.0</v>
      </c>
      <c r="M130" s="233"/>
      <c r="N130" s="233"/>
      <c r="O130" s="231"/>
      <c r="P130" s="233"/>
      <c r="Q130" s="234"/>
      <c r="R130" s="235"/>
      <c r="S130" s="235"/>
      <c r="T130" s="231"/>
      <c r="U130" s="231"/>
      <c r="V130" s="231"/>
      <c r="W130" s="235"/>
      <c r="X130" s="236"/>
      <c r="Y130" s="236"/>
      <c r="Z130" s="236"/>
      <c r="AA130" s="236"/>
      <c r="AB130" s="236"/>
      <c r="AC130" s="236"/>
      <c r="AD130" s="236"/>
      <c r="AE130" s="236"/>
      <c r="AF130" s="236"/>
      <c r="AG130" s="236"/>
      <c r="AH130" s="236"/>
      <c r="AI130" s="236"/>
      <c r="AJ130" s="236"/>
      <c r="AK130" s="236"/>
      <c r="AL130" s="236"/>
      <c r="AM130" s="236"/>
      <c r="AN130" s="236"/>
      <c r="AO130" s="236"/>
    </row>
    <row r="131">
      <c r="A131" s="231">
        <v>44937.0</v>
      </c>
      <c r="B131" s="232">
        <v>242.0</v>
      </c>
      <c r="C131" s="231">
        <v>44158.0</v>
      </c>
      <c r="D131" s="233" t="s">
        <v>915</v>
      </c>
      <c r="E131" s="233" t="s">
        <v>916</v>
      </c>
      <c r="F131" s="233" t="s">
        <v>917</v>
      </c>
      <c r="G131" s="233" t="s">
        <v>110</v>
      </c>
      <c r="H131" s="233" t="s">
        <v>170</v>
      </c>
      <c r="I131" s="233" t="s">
        <v>671</v>
      </c>
      <c r="J131" s="233" t="s">
        <v>191</v>
      </c>
      <c r="K131" s="233"/>
      <c r="L131" s="233">
        <v>1.0</v>
      </c>
      <c r="M131" s="233"/>
      <c r="N131" s="233">
        <v>1.0</v>
      </c>
      <c r="O131" s="231"/>
      <c r="P131" s="233"/>
      <c r="Q131" s="234"/>
      <c r="R131" s="235"/>
      <c r="S131" s="235"/>
      <c r="T131" s="231"/>
      <c r="U131" s="231"/>
      <c r="V131" s="231"/>
      <c r="W131" s="235"/>
      <c r="X131" s="236"/>
      <c r="Y131" s="236"/>
      <c r="Z131" s="236"/>
      <c r="AA131" s="236"/>
      <c r="AB131" s="236"/>
      <c r="AC131" s="236"/>
      <c r="AD131" s="236"/>
      <c r="AE131" s="236"/>
      <c r="AF131" s="236"/>
      <c r="AG131" s="236"/>
      <c r="AH131" s="236"/>
      <c r="AI131" s="236"/>
      <c r="AJ131" s="236"/>
      <c r="AK131" s="236"/>
      <c r="AL131" s="236"/>
      <c r="AM131" s="236"/>
      <c r="AN131" s="236"/>
      <c r="AO131" s="236"/>
    </row>
    <row r="132">
      <c r="A132" s="85">
        <v>44937.0</v>
      </c>
      <c r="B132" s="86">
        <v>245.62</v>
      </c>
      <c r="C132" s="85">
        <v>44905.0</v>
      </c>
      <c r="D132" s="89" t="s">
        <v>921</v>
      </c>
      <c r="E132" s="89" t="s">
        <v>922</v>
      </c>
      <c r="F132" s="89" t="s">
        <v>923</v>
      </c>
      <c r="G132" s="89" t="s">
        <v>141</v>
      </c>
      <c r="H132" s="89" t="s">
        <v>94</v>
      </c>
      <c r="I132" s="89" t="s">
        <v>94</v>
      </c>
      <c r="J132" s="89" t="s">
        <v>95</v>
      </c>
      <c r="K132" s="89">
        <v>1.0</v>
      </c>
      <c r="L132" s="89"/>
      <c r="M132" s="89"/>
      <c r="N132" s="89"/>
      <c r="O132" s="85"/>
      <c r="P132" s="89">
        <v>1.0</v>
      </c>
      <c r="Q132" s="137"/>
      <c r="R132" s="138"/>
      <c r="S132" s="138"/>
      <c r="T132" s="85"/>
      <c r="U132" s="85"/>
      <c r="V132" s="85"/>
      <c r="W132" s="138"/>
      <c r="X132" s="139"/>
      <c r="Y132" s="139"/>
      <c r="Z132" s="139"/>
      <c r="AA132" s="139"/>
      <c r="AB132" s="139"/>
      <c r="AC132" s="139"/>
      <c r="AD132" s="139"/>
      <c r="AE132" s="139"/>
      <c r="AF132" s="139"/>
      <c r="AG132" s="139"/>
      <c r="AH132" s="139"/>
      <c r="AI132" s="139"/>
      <c r="AJ132" s="139"/>
      <c r="AK132" s="139"/>
      <c r="AL132" s="139"/>
      <c r="AM132" s="139"/>
      <c r="AN132" s="139"/>
      <c r="AO132" s="139"/>
    </row>
    <row r="133">
      <c r="A133" s="85">
        <v>44937.0</v>
      </c>
      <c r="B133" s="86">
        <v>341.32</v>
      </c>
      <c r="C133" s="85">
        <v>44910.0</v>
      </c>
      <c r="D133" s="89" t="s">
        <v>927</v>
      </c>
      <c r="E133" s="89" t="s">
        <v>929</v>
      </c>
      <c r="F133" s="89" t="s">
        <v>930</v>
      </c>
      <c r="G133" s="89" t="s">
        <v>141</v>
      </c>
      <c r="H133" s="89" t="s">
        <v>94</v>
      </c>
      <c r="I133" s="89" t="s">
        <v>94</v>
      </c>
      <c r="J133" s="89" t="s">
        <v>95</v>
      </c>
      <c r="K133" s="89">
        <v>1.0</v>
      </c>
      <c r="L133" s="89"/>
      <c r="M133" s="89">
        <v>1.0</v>
      </c>
      <c r="N133" s="89">
        <v>1.0</v>
      </c>
      <c r="O133" s="85"/>
      <c r="P133" s="89">
        <v>1.0</v>
      </c>
      <c r="Q133" s="137"/>
      <c r="R133" s="138"/>
      <c r="S133" s="138"/>
      <c r="T133" s="85"/>
      <c r="U133" s="85"/>
      <c r="V133" s="85"/>
      <c r="W133" s="138"/>
      <c r="X133" s="139"/>
      <c r="Y133" s="139"/>
      <c r="Z133" s="139"/>
      <c r="AA133" s="139"/>
      <c r="AB133" s="139"/>
      <c r="AC133" s="139"/>
      <c r="AD133" s="139"/>
      <c r="AE133" s="139"/>
      <c r="AF133" s="139"/>
      <c r="AG133" s="139"/>
      <c r="AH133" s="139"/>
      <c r="AI133" s="139"/>
      <c r="AJ133" s="139"/>
      <c r="AK133" s="139"/>
      <c r="AL133" s="139"/>
      <c r="AM133" s="139"/>
      <c r="AN133" s="139"/>
      <c r="AO133" s="139"/>
    </row>
    <row r="134">
      <c r="A134" s="85">
        <v>44937.0</v>
      </c>
      <c r="B134" s="86">
        <v>322.0</v>
      </c>
      <c r="C134" s="85">
        <v>44666.0</v>
      </c>
      <c r="D134" s="89" t="s">
        <v>931</v>
      </c>
      <c r="E134" s="89" t="s">
        <v>932</v>
      </c>
      <c r="F134" s="89" t="s">
        <v>933</v>
      </c>
      <c r="G134" s="89" t="s">
        <v>110</v>
      </c>
      <c r="H134" s="89" t="s">
        <v>94</v>
      </c>
      <c r="I134" s="89" t="s">
        <v>94</v>
      </c>
      <c r="J134" s="89" t="s">
        <v>136</v>
      </c>
      <c r="K134" s="89"/>
      <c r="L134" s="89">
        <v>1.0</v>
      </c>
      <c r="M134" s="89"/>
      <c r="N134" s="89"/>
      <c r="O134" s="89">
        <v>1.0</v>
      </c>
      <c r="P134" s="89"/>
      <c r="Q134" s="137"/>
      <c r="R134" s="138"/>
      <c r="S134" s="138"/>
      <c r="T134" s="85"/>
      <c r="U134" s="85"/>
      <c r="V134" s="85"/>
      <c r="W134" s="138"/>
      <c r="X134" s="139"/>
      <c r="Y134" s="139"/>
      <c r="Z134" s="139"/>
      <c r="AA134" s="139"/>
      <c r="AB134" s="139"/>
      <c r="AC134" s="139"/>
      <c r="AD134" s="139"/>
      <c r="AE134" s="139"/>
      <c r="AF134" s="139"/>
      <c r="AG134" s="139"/>
      <c r="AH134" s="139"/>
      <c r="AI134" s="139"/>
      <c r="AJ134" s="139"/>
      <c r="AK134" s="139"/>
      <c r="AL134" s="139"/>
      <c r="AM134" s="139"/>
      <c r="AN134" s="139"/>
      <c r="AO134" s="334"/>
    </row>
    <row r="135">
      <c r="A135" s="231">
        <v>44937.0</v>
      </c>
      <c r="B135" s="232">
        <v>275.0</v>
      </c>
      <c r="C135" s="231">
        <v>44205.0</v>
      </c>
      <c r="D135" s="233" t="s">
        <v>938</v>
      </c>
      <c r="E135" s="233" t="s">
        <v>939</v>
      </c>
      <c r="F135" s="233" t="s">
        <v>940</v>
      </c>
      <c r="G135" s="233" t="s">
        <v>110</v>
      </c>
      <c r="H135" s="233" t="s">
        <v>94</v>
      </c>
      <c r="I135" s="233" t="s">
        <v>671</v>
      </c>
      <c r="J135" s="233" t="s">
        <v>941</v>
      </c>
      <c r="K135" s="233">
        <v>1.0</v>
      </c>
      <c r="L135" s="233"/>
      <c r="M135" s="233">
        <v>1.0</v>
      </c>
      <c r="N135" s="233"/>
      <c r="O135" s="231"/>
      <c r="P135" s="233"/>
      <c r="Q135" s="234"/>
      <c r="R135" s="235"/>
      <c r="S135" s="235"/>
      <c r="T135" s="231"/>
      <c r="U135" s="231"/>
      <c r="V135" s="231"/>
      <c r="W135" s="235"/>
      <c r="X135" s="236"/>
      <c r="Y135" s="236"/>
      <c r="Z135" s="236"/>
      <c r="AA135" s="236"/>
      <c r="AB135" s="236"/>
      <c r="AC135" s="236"/>
      <c r="AD135" s="236"/>
      <c r="AE135" s="236"/>
      <c r="AF135" s="236"/>
      <c r="AG135" s="236"/>
      <c r="AH135" s="236"/>
      <c r="AI135" s="236"/>
      <c r="AJ135" s="236"/>
      <c r="AK135" s="236"/>
      <c r="AL135" s="236"/>
      <c r="AM135" s="236"/>
      <c r="AN135" s="236"/>
      <c r="AO135" s="236"/>
    </row>
    <row r="136">
      <c r="A136" s="231">
        <v>44937.0</v>
      </c>
      <c r="B136" s="232">
        <v>253.9</v>
      </c>
      <c r="C136" s="233" t="s">
        <v>945</v>
      </c>
      <c r="D136" s="233" t="s">
        <v>946</v>
      </c>
      <c r="E136" s="233" t="s">
        <v>947</v>
      </c>
      <c r="F136" s="233" t="s">
        <v>948</v>
      </c>
      <c r="G136" s="233" t="s">
        <v>110</v>
      </c>
      <c r="H136" s="233" t="s">
        <v>170</v>
      </c>
      <c r="I136" s="233" t="s">
        <v>671</v>
      </c>
      <c r="J136" s="233" t="s">
        <v>191</v>
      </c>
      <c r="K136" s="233"/>
      <c r="L136" s="233">
        <v>1.0</v>
      </c>
      <c r="M136" s="233"/>
      <c r="N136" s="233">
        <v>1.0</v>
      </c>
      <c r="O136" s="231"/>
      <c r="P136" s="233">
        <v>1.0</v>
      </c>
      <c r="Q136" s="234"/>
      <c r="R136" s="235"/>
      <c r="S136" s="235"/>
      <c r="T136" s="231"/>
      <c r="U136" s="231"/>
      <c r="V136" s="231"/>
      <c r="W136" s="235"/>
      <c r="X136" s="236"/>
      <c r="Y136" s="236"/>
      <c r="Z136" s="236"/>
      <c r="AA136" s="236"/>
      <c r="AB136" s="236"/>
      <c r="AC136" s="236"/>
      <c r="AD136" s="236"/>
      <c r="AE136" s="236"/>
      <c r="AF136" s="236"/>
      <c r="AG136" s="236"/>
      <c r="AH136" s="236"/>
      <c r="AI136" s="236"/>
      <c r="AJ136" s="236"/>
      <c r="AK136" s="236"/>
      <c r="AL136" s="236"/>
      <c r="AM136" s="236"/>
      <c r="AN136" s="236"/>
      <c r="AO136" s="236"/>
    </row>
    <row r="137">
      <c r="A137" s="85"/>
      <c r="B137" s="283">
        <v>291.0</v>
      </c>
      <c r="C137" s="341">
        <v>44767.0</v>
      </c>
      <c r="D137" s="342"/>
      <c r="E137" s="130"/>
      <c r="F137" s="194"/>
      <c r="G137" s="89"/>
      <c r="H137" s="89"/>
      <c r="I137" s="89"/>
      <c r="J137" s="89"/>
      <c r="K137" s="89"/>
      <c r="L137" s="89">
        <v>1.0</v>
      </c>
      <c r="M137" s="89"/>
      <c r="N137" s="89"/>
      <c r="O137" s="89">
        <v>1.0</v>
      </c>
      <c r="P137" s="89">
        <v>1.0</v>
      </c>
      <c r="Q137" s="137"/>
      <c r="R137" s="138"/>
      <c r="S137" s="138"/>
      <c r="T137" s="85"/>
      <c r="U137" s="85"/>
      <c r="V137" s="85"/>
      <c r="W137" s="138"/>
      <c r="X137" s="139"/>
      <c r="Y137" s="139"/>
      <c r="Z137" s="139"/>
      <c r="AA137" s="139"/>
      <c r="AB137" s="139"/>
      <c r="AC137" s="139"/>
      <c r="AD137" s="139"/>
      <c r="AE137" s="139"/>
      <c r="AF137" s="139"/>
      <c r="AG137" s="139"/>
      <c r="AH137" s="139"/>
      <c r="AI137" s="139"/>
      <c r="AJ137" s="139"/>
      <c r="AK137" s="139"/>
      <c r="AL137" s="139"/>
      <c r="AM137" s="139"/>
      <c r="AN137" s="139"/>
      <c r="AO137" s="139"/>
    </row>
    <row r="138">
      <c r="A138" s="85">
        <v>44937.0</v>
      </c>
      <c r="B138" s="345" t="s">
        <v>956</v>
      </c>
      <c r="C138" s="85">
        <v>44890.0</v>
      </c>
      <c r="D138" s="346" t="s">
        <v>957</v>
      </c>
      <c r="E138" s="89" t="s">
        <v>958</v>
      </c>
      <c r="F138" s="89" t="s">
        <v>959</v>
      </c>
      <c r="G138" s="89" t="s">
        <v>110</v>
      </c>
      <c r="H138" s="89" t="s">
        <v>94</v>
      </c>
      <c r="I138" s="89" t="s">
        <v>94</v>
      </c>
      <c r="J138" s="89" t="s">
        <v>95</v>
      </c>
      <c r="K138" s="89"/>
      <c r="L138" s="89"/>
      <c r="M138" s="89"/>
      <c r="N138" s="89"/>
      <c r="O138" s="85"/>
      <c r="P138" s="89"/>
      <c r="Q138" s="137"/>
      <c r="R138" s="138"/>
      <c r="S138" s="138"/>
      <c r="T138" s="85"/>
      <c r="U138" s="85"/>
      <c r="V138" s="85"/>
      <c r="W138" s="138"/>
      <c r="X138" s="139"/>
      <c r="Y138" s="139"/>
      <c r="Z138" s="139"/>
      <c r="AA138" s="139"/>
      <c r="AB138" s="139"/>
      <c r="AC138" s="139"/>
      <c r="AD138" s="139"/>
      <c r="AE138" s="139"/>
      <c r="AF138" s="139"/>
      <c r="AG138" s="139"/>
      <c r="AH138" s="139"/>
      <c r="AI138" s="139"/>
      <c r="AJ138" s="139"/>
      <c r="AK138" s="139"/>
      <c r="AL138" s="139"/>
      <c r="AM138" s="139"/>
      <c r="AN138" s="139"/>
      <c r="AO138" s="139"/>
    </row>
    <row r="139">
      <c r="A139" s="85">
        <v>44937.0</v>
      </c>
      <c r="B139" s="283">
        <v>70.0</v>
      </c>
      <c r="C139" s="341">
        <v>44922.0</v>
      </c>
      <c r="D139" s="281" t="s">
        <v>963</v>
      </c>
      <c r="E139" s="130" t="s">
        <v>964</v>
      </c>
      <c r="F139" s="107" t="s">
        <v>965</v>
      </c>
      <c r="G139" s="89"/>
      <c r="H139" s="89" t="s">
        <v>94</v>
      </c>
      <c r="I139" s="89" t="s">
        <v>94</v>
      </c>
      <c r="J139" s="89" t="s">
        <v>765</v>
      </c>
      <c r="K139" s="89"/>
      <c r="L139" s="89"/>
      <c r="M139" s="89">
        <v>1.0</v>
      </c>
      <c r="N139" s="89"/>
      <c r="O139" s="85"/>
      <c r="P139" s="89"/>
      <c r="Q139" s="137"/>
      <c r="R139" s="138"/>
      <c r="S139" s="138"/>
      <c r="T139" s="85"/>
      <c r="U139" s="85"/>
      <c r="V139" s="85"/>
      <c r="W139" s="138"/>
      <c r="X139" s="139"/>
      <c r="Y139" s="139"/>
      <c r="Z139" s="139"/>
      <c r="AA139" s="139"/>
      <c r="AB139" s="139"/>
      <c r="AC139" s="139"/>
      <c r="AD139" s="139"/>
      <c r="AE139" s="139"/>
      <c r="AF139" s="139"/>
      <c r="AG139" s="139"/>
      <c r="AH139" s="139"/>
      <c r="AI139" s="139"/>
      <c r="AJ139" s="139"/>
      <c r="AK139" s="139"/>
      <c r="AL139" s="139"/>
      <c r="AM139" s="139"/>
      <c r="AN139" s="139"/>
      <c r="AO139" s="139"/>
    </row>
    <row r="140">
      <c r="A140" s="85">
        <v>44938.0</v>
      </c>
      <c r="B140" s="86">
        <v>232.91</v>
      </c>
      <c r="C140" s="85">
        <v>44695.0</v>
      </c>
      <c r="D140" s="349" t="s">
        <v>969</v>
      </c>
      <c r="E140" s="89" t="s">
        <v>970</v>
      </c>
      <c r="F140" s="1" t="s">
        <v>971</v>
      </c>
      <c r="G140" s="89" t="s">
        <v>114</v>
      </c>
      <c r="H140" s="89" t="s">
        <v>94</v>
      </c>
      <c r="I140" s="89" t="s">
        <v>125</v>
      </c>
      <c r="J140" s="89" t="s">
        <v>95</v>
      </c>
      <c r="K140" s="89">
        <v>1.0</v>
      </c>
      <c r="L140" s="89"/>
      <c r="M140" s="89"/>
      <c r="N140" s="89"/>
      <c r="O140" s="85"/>
      <c r="P140" s="89"/>
      <c r="Q140" s="137"/>
      <c r="R140" s="138"/>
      <c r="S140" s="138"/>
      <c r="T140" s="85"/>
      <c r="U140" s="85"/>
      <c r="V140" s="85"/>
      <c r="W140" s="138"/>
      <c r="X140" s="139"/>
      <c r="Y140" s="139"/>
      <c r="Z140" s="139"/>
      <c r="AA140" s="139"/>
      <c r="AB140" s="139"/>
      <c r="AC140" s="139"/>
      <c r="AD140" s="139"/>
      <c r="AE140" s="139"/>
      <c r="AF140" s="139"/>
      <c r="AG140" s="139"/>
      <c r="AH140" s="139"/>
      <c r="AI140" s="139"/>
      <c r="AJ140" s="139"/>
      <c r="AK140" s="139"/>
      <c r="AL140" s="139"/>
      <c r="AM140" s="139"/>
      <c r="AN140" s="139"/>
      <c r="AO140" s="139"/>
    </row>
    <row r="141">
      <c r="A141" s="85">
        <v>44938.0</v>
      </c>
      <c r="B141" s="86">
        <v>256.44</v>
      </c>
      <c r="C141" s="85">
        <v>44916.0</v>
      </c>
      <c r="D141" s="89" t="s">
        <v>975</v>
      </c>
      <c r="E141" s="89" t="s">
        <v>976</v>
      </c>
      <c r="F141" s="89" t="s">
        <v>977</v>
      </c>
      <c r="G141" s="89" t="s">
        <v>110</v>
      </c>
      <c r="H141" s="89" t="s">
        <v>94</v>
      </c>
      <c r="I141" s="89" t="s">
        <v>664</v>
      </c>
      <c r="J141" s="89" t="s">
        <v>95</v>
      </c>
      <c r="K141" s="89">
        <v>1.0</v>
      </c>
      <c r="L141" s="89"/>
      <c r="M141" s="89"/>
      <c r="N141" s="89"/>
      <c r="O141" s="85"/>
      <c r="P141" s="89">
        <v>1.0</v>
      </c>
      <c r="Q141" s="137"/>
      <c r="R141" s="138"/>
      <c r="S141" s="138"/>
      <c r="T141" s="85"/>
      <c r="U141" s="85"/>
      <c r="V141" s="85"/>
      <c r="W141" s="138"/>
      <c r="X141" s="139"/>
      <c r="Y141" s="139"/>
      <c r="Z141" s="139"/>
      <c r="AA141" s="139"/>
      <c r="AB141" s="139"/>
      <c r="AC141" s="139"/>
      <c r="AD141" s="139"/>
      <c r="AE141" s="139"/>
      <c r="AF141" s="139"/>
      <c r="AG141" s="139"/>
      <c r="AH141" s="139"/>
      <c r="AI141" s="139"/>
      <c r="AJ141" s="139"/>
      <c r="AK141" s="139"/>
      <c r="AL141" s="139"/>
      <c r="AM141" s="139"/>
      <c r="AN141" s="139"/>
      <c r="AO141" s="139"/>
    </row>
    <row r="142">
      <c r="A142" s="85">
        <v>44938.0</v>
      </c>
      <c r="B142" s="86">
        <v>285.7</v>
      </c>
      <c r="C142" s="85">
        <v>44910.0</v>
      </c>
      <c r="D142" s="89" t="s">
        <v>982</v>
      </c>
      <c r="E142" s="89" t="s">
        <v>983</v>
      </c>
      <c r="F142" s="89" t="s">
        <v>984</v>
      </c>
      <c r="G142" s="89" t="s">
        <v>110</v>
      </c>
      <c r="H142" s="89" t="s">
        <v>94</v>
      </c>
      <c r="I142" s="89" t="s">
        <v>664</v>
      </c>
      <c r="J142" s="89" t="s">
        <v>95</v>
      </c>
      <c r="K142" s="89">
        <v>1.0</v>
      </c>
      <c r="L142" s="89"/>
      <c r="M142" s="89"/>
      <c r="N142" s="89">
        <v>1.0</v>
      </c>
      <c r="O142" s="85"/>
      <c r="P142" s="89">
        <v>1.0</v>
      </c>
      <c r="Q142" s="137"/>
      <c r="R142" s="138"/>
      <c r="S142" s="138"/>
      <c r="T142" s="85"/>
      <c r="U142" s="85"/>
      <c r="V142" s="85"/>
      <c r="W142" s="138"/>
      <c r="X142" s="139"/>
      <c r="Y142" s="139"/>
      <c r="Z142" s="139"/>
      <c r="AA142" s="139"/>
      <c r="AB142" s="139"/>
      <c r="AC142" s="139"/>
      <c r="AD142" s="139"/>
      <c r="AE142" s="139"/>
      <c r="AF142" s="139"/>
      <c r="AG142" s="139"/>
      <c r="AH142" s="139"/>
      <c r="AI142" s="139"/>
      <c r="AJ142" s="139"/>
      <c r="AK142" s="139"/>
      <c r="AL142" s="139"/>
      <c r="AM142" s="139"/>
      <c r="AN142" s="139"/>
      <c r="AO142" s="139"/>
    </row>
    <row r="143">
      <c r="A143" s="85">
        <v>44938.0</v>
      </c>
      <c r="B143" s="86">
        <v>267.36</v>
      </c>
      <c r="C143" s="85">
        <v>44902.0</v>
      </c>
      <c r="D143" s="89" t="s">
        <v>988</v>
      </c>
      <c r="E143" s="89" t="s">
        <v>989</v>
      </c>
      <c r="F143" s="89" t="s">
        <v>990</v>
      </c>
      <c r="G143" s="89" t="s">
        <v>110</v>
      </c>
      <c r="H143" s="89" t="s">
        <v>94</v>
      </c>
      <c r="I143" s="89" t="s">
        <v>664</v>
      </c>
      <c r="J143" s="89" t="s">
        <v>95</v>
      </c>
      <c r="K143" s="89">
        <v>1.0</v>
      </c>
      <c r="L143" s="89"/>
      <c r="M143" s="89"/>
      <c r="N143" s="89"/>
      <c r="O143" s="85"/>
      <c r="P143" s="89">
        <v>1.0</v>
      </c>
      <c r="Q143" s="137"/>
      <c r="R143" s="138"/>
      <c r="S143" s="138"/>
      <c r="T143" s="85"/>
      <c r="U143" s="85"/>
      <c r="V143" s="85"/>
      <c r="W143" s="138"/>
      <c r="X143" s="139"/>
      <c r="Y143" s="139"/>
      <c r="Z143" s="139"/>
      <c r="AA143" s="139"/>
      <c r="AB143" s="139"/>
      <c r="AC143" s="139"/>
      <c r="AD143" s="139"/>
      <c r="AE143" s="139"/>
      <c r="AF143" s="139"/>
      <c r="AG143" s="139"/>
      <c r="AH143" s="139"/>
      <c r="AI143" s="139"/>
      <c r="AJ143" s="139"/>
      <c r="AK143" s="139"/>
      <c r="AL143" s="139"/>
      <c r="AM143" s="139"/>
      <c r="AN143" s="139"/>
      <c r="AO143" s="139"/>
    </row>
    <row r="144">
      <c r="A144" s="85">
        <v>44938.0</v>
      </c>
      <c r="B144" s="86">
        <v>258.32</v>
      </c>
      <c r="C144" s="85">
        <v>44897.0</v>
      </c>
      <c r="D144" s="89" t="s">
        <v>994</v>
      </c>
      <c r="E144" s="89" t="s">
        <v>995</v>
      </c>
      <c r="F144" s="89" t="s">
        <v>996</v>
      </c>
      <c r="G144" s="89" t="s">
        <v>110</v>
      </c>
      <c r="H144" s="89" t="s">
        <v>94</v>
      </c>
      <c r="I144" s="89" t="s">
        <v>664</v>
      </c>
      <c r="J144" s="89" t="s">
        <v>95</v>
      </c>
      <c r="K144" s="89">
        <v>1.0</v>
      </c>
      <c r="L144" s="89"/>
      <c r="M144" s="89"/>
      <c r="N144" s="89"/>
      <c r="O144" s="85"/>
      <c r="P144" s="89">
        <v>1.0</v>
      </c>
      <c r="Q144" s="137"/>
      <c r="R144" s="138"/>
      <c r="S144" s="138"/>
      <c r="T144" s="85"/>
      <c r="U144" s="85"/>
      <c r="V144" s="85"/>
      <c r="W144" s="138"/>
      <c r="X144" s="139"/>
      <c r="Y144" s="139"/>
      <c r="Z144" s="139"/>
      <c r="AA144" s="139"/>
      <c r="AB144" s="139"/>
      <c r="AC144" s="139"/>
      <c r="AD144" s="139"/>
      <c r="AE144" s="139"/>
      <c r="AF144" s="139"/>
      <c r="AG144" s="139"/>
      <c r="AH144" s="139"/>
      <c r="AI144" s="139"/>
      <c r="AJ144" s="139"/>
      <c r="AK144" s="139"/>
      <c r="AL144" s="139"/>
      <c r="AM144" s="139"/>
      <c r="AN144" s="139"/>
      <c r="AO144" s="139"/>
    </row>
    <row r="145">
      <c r="A145" s="85">
        <v>44938.0</v>
      </c>
      <c r="B145" s="86">
        <v>339.57</v>
      </c>
      <c r="C145" s="85">
        <v>44896.0</v>
      </c>
      <c r="D145" s="89" t="s">
        <v>997</v>
      </c>
      <c r="E145" s="89" t="s">
        <v>998</v>
      </c>
      <c r="F145" s="89" t="s">
        <v>999</v>
      </c>
      <c r="G145" s="89" t="s">
        <v>110</v>
      </c>
      <c r="H145" s="89" t="s">
        <v>94</v>
      </c>
      <c r="I145" s="89" t="s">
        <v>664</v>
      </c>
      <c r="J145" s="89" t="s">
        <v>95</v>
      </c>
      <c r="K145" s="89">
        <v>1.0</v>
      </c>
      <c r="L145" s="89"/>
      <c r="M145" s="89"/>
      <c r="N145" s="89">
        <v>1.0</v>
      </c>
      <c r="O145" s="85"/>
      <c r="P145" s="89">
        <v>1.0</v>
      </c>
      <c r="Q145" s="137"/>
      <c r="R145" s="138"/>
      <c r="S145" s="138"/>
      <c r="T145" s="85"/>
      <c r="U145" s="85"/>
      <c r="V145" s="85"/>
      <c r="W145" s="138"/>
      <c r="X145" s="139"/>
      <c r="Y145" s="139"/>
      <c r="Z145" s="139"/>
      <c r="AA145" s="139"/>
      <c r="AB145" s="139"/>
      <c r="AC145" s="139"/>
      <c r="AD145" s="139"/>
      <c r="AE145" s="139"/>
      <c r="AF145" s="139"/>
      <c r="AG145" s="139"/>
      <c r="AH145" s="139"/>
      <c r="AI145" s="139"/>
      <c r="AJ145" s="139"/>
      <c r="AK145" s="139"/>
      <c r="AL145" s="139"/>
      <c r="AM145" s="139"/>
      <c r="AN145" s="139"/>
      <c r="AO145" s="139"/>
    </row>
    <row r="146">
      <c r="A146" s="85">
        <v>44938.0</v>
      </c>
      <c r="B146" s="86">
        <v>258.43</v>
      </c>
      <c r="C146" s="85">
        <v>44895.0</v>
      </c>
      <c r="D146" s="89" t="s">
        <v>1002</v>
      </c>
      <c r="E146" s="89" t="s">
        <v>1004</v>
      </c>
      <c r="F146" s="89" t="s">
        <v>1005</v>
      </c>
      <c r="G146" s="89" t="s">
        <v>110</v>
      </c>
      <c r="H146" s="89" t="s">
        <v>94</v>
      </c>
      <c r="I146" s="89" t="s">
        <v>664</v>
      </c>
      <c r="J146" s="89" t="s">
        <v>95</v>
      </c>
      <c r="K146" s="89">
        <v>1.0</v>
      </c>
      <c r="L146" s="89"/>
      <c r="M146" s="89"/>
      <c r="N146" s="89"/>
      <c r="O146" s="85"/>
      <c r="P146" s="89">
        <v>1.0</v>
      </c>
      <c r="Q146" s="137"/>
      <c r="R146" s="138"/>
      <c r="S146" s="138"/>
      <c r="T146" s="85"/>
      <c r="U146" s="85"/>
      <c r="V146" s="85"/>
      <c r="W146" s="138"/>
      <c r="X146" s="139"/>
      <c r="Y146" s="139"/>
      <c r="Z146" s="139"/>
      <c r="AA146" s="139"/>
      <c r="AB146" s="139"/>
      <c r="AC146" s="139"/>
      <c r="AD146" s="139"/>
      <c r="AE146" s="139"/>
      <c r="AF146" s="139"/>
      <c r="AG146" s="139"/>
      <c r="AH146" s="139"/>
      <c r="AI146" s="139"/>
      <c r="AJ146" s="139"/>
      <c r="AK146" s="139"/>
      <c r="AL146" s="139"/>
      <c r="AM146" s="139"/>
      <c r="AN146" s="139"/>
      <c r="AO146" s="139"/>
    </row>
    <row r="147">
      <c r="A147" s="85">
        <v>44938.0</v>
      </c>
      <c r="B147" s="86">
        <v>260.89</v>
      </c>
      <c r="C147" s="85">
        <v>44895.0</v>
      </c>
      <c r="D147" s="89" t="s">
        <v>1008</v>
      </c>
      <c r="E147" s="89" t="s">
        <v>1010</v>
      </c>
      <c r="F147" s="89" t="s">
        <v>1012</v>
      </c>
      <c r="G147" s="89" t="s">
        <v>110</v>
      </c>
      <c r="H147" s="89" t="s">
        <v>94</v>
      </c>
      <c r="I147" s="89" t="s">
        <v>664</v>
      </c>
      <c r="J147" s="89" t="s">
        <v>95</v>
      </c>
      <c r="K147" s="89">
        <v>1.0</v>
      </c>
      <c r="L147" s="89"/>
      <c r="M147" s="89"/>
      <c r="N147" s="89"/>
      <c r="O147" s="85"/>
      <c r="P147" s="89">
        <v>1.0</v>
      </c>
      <c r="Q147" s="137"/>
      <c r="R147" s="138"/>
      <c r="S147" s="138"/>
      <c r="T147" s="85"/>
      <c r="U147" s="85"/>
      <c r="V147" s="85"/>
      <c r="W147" s="138"/>
      <c r="X147" s="139"/>
      <c r="Y147" s="139"/>
      <c r="Z147" s="139"/>
      <c r="AA147" s="139"/>
      <c r="AB147" s="139"/>
      <c r="AC147" s="139"/>
      <c r="AD147" s="139"/>
      <c r="AE147" s="139"/>
      <c r="AF147" s="139"/>
      <c r="AG147" s="139"/>
      <c r="AH147" s="139"/>
      <c r="AI147" s="139"/>
      <c r="AJ147" s="139"/>
      <c r="AK147" s="139"/>
      <c r="AL147" s="139"/>
      <c r="AM147" s="139"/>
      <c r="AN147" s="139"/>
      <c r="AO147" s="139"/>
    </row>
    <row r="148">
      <c r="A148" s="85">
        <v>44938.0</v>
      </c>
      <c r="B148" s="86">
        <v>206.0</v>
      </c>
      <c r="C148" s="85">
        <v>44366.0</v>
      </c>
      <c r="D148" s="89" t="s">
        <v>1013</v>
      </c>
      <c r="E148" s="89" t="s">
        <v>1014</v>
      </c>
      <c r="F148" s="89" t="s">
        <v>1015</v>
      </c>
      <c r="G148" s="89" t="s">
        <v>114</v>
      </c>
      <c r="H148" s="89" t="s">
        <v>94</v>
      </c>
      <c r="I148" s="89" t="s">
        <v>94</v>
      </c>
      <c r="J148" s="89" t="s">
        <v>95</v>
      </c>
      <c r="K148" s="89">
        <v>1.0</v>
      </c>
      <c r="L148" s="89"/>
      <c r="M148" s="89"/>
      <c r="N148" s="89"/>
      <c r="O148" s="85"/>
      <c r="P148" s="89"/>
      <c r="Q148" s="137"/>
      <c r="R148" s="138"/>
      <c r="S148" s="138"/>
      <c r="T148" s="85"/>
      <c r="U148" s="85"/>
      <c r="V148" s="85"/>
      <c r="W148" s="138"/>
      <c r="X148" s="139"/>
      <c r="Y148" s="139"/>
      <c r="Z148" s="139"/>
      <c r="AA148" s="139"/>
      <c r="AB148" s="139"/>
      <c r="AC148" s="139"/>
      <c r="AD148" s="139"/>
      <c r="AE148" s="139"/>
      <c r="AF148" s="139"/>
      <c r="AG148" s="139"/>
      <c r="AH148" s="139"/>
      <c r="AI148" s="139"/>
      <c r="AJ148" s="139"/>
      <c r="AK148" s="139"/>
      <c r="AL148" s="139"/>
      <c r="AM148" s="139"/>
      <c r="AN148" s="139"/>
      <c r="AO148" s="139"/>
    </row>
    <row r="149">
      <c r="A149" s="85">
        <v>44938.0</v>
      </c>
      <c r="B149" s="86">
        <v>49.0</v>
      </c>
      <c r="C149" s="85">
        <v>44450.0</v>
      </c>
      <c r="D149" s="89" t="s">
        <v>1020</v>
      </c>
      <c r="E149" s="89" t="s">
        <v>1021</v>
      </c>
      <c r="F149" s="89" t="s">
        <v>1022</v>
      </c>
      <c r="G149" s="89" t="s">
        <v>114</v>
      </c>
      <c r="H149" s="89" t="s">
        <v>94</v>
      </c>
      <c r="I149" s="89" t="s">
        <v>94</v>
      </c>
      <c r="J149" s="89" t="s">
        <v>95</v>
      </c>
      <c r="K149" s="89"/>
      <c r="L149" s="89"/>
      <c r="M149" s="89"/>
      <c r="N149" s="89"/>
      <c r="O149" s="85"/>
      <c r="P149" s="89"/>
      <c r="Q149" s="137"/>
      <c r="R149" s="138"/>
      <c r="S149" s="138"/>
      <c r="T149" s="85"/>
      <c r="U149" s="85"/>
      <c r="V149" s="85"/>
      <c r="W149" s="138"/>
      <c r="X149" s="139"/>
      <c r="Y149" s="139"/>
      <c r="Z149" s="139"/>
      <c r="AA149" s="139"/>
      <c r="AB149" s="139"/>
      <c r="AC149" s="139"/>
      <c r="AD149" s="139"/>
      <c r="AE149" s="139"/>
      <c r="AF149" s="139"/>
      <c r="AG149" s="139"/>
      <c r="AH149" s="139"/>
      <c r="AI149" s="139"/>
      <c r="AJ149" s="139"/>
      <c r="AK149" s="139"/>
      <c r="AL149" s="139"/>
      <c r="AM149" s="139"/>
      <c r="AN149" s="139"/>
      <c r="AO149" s="139"/>
    </row>
    <row r="150">
      <c r="A150" s="85">
        <v>44938.0</v>
      </c>
      <c r="B150" s="86">
        <v>18.0</v>
      </c>
      <c r="C150" s="85">
        <v>44343.0</v>
      </c>
      <c r="D150" s="89" t="s">
        <v>1026</v>
      </c>
      <c r="E150" s="89" t="s">
        <v>1027</v>
      </c>
      <c r="F150" s="89" t="s">
        <v>1028</v>
      </c>
      <c r="G150" s="89" t="s">
        <v>114</v>
      </c>
      <c r="H150" s="89" t="s">
        <v>94</v>
      </c>
      <c r="I150" s="89" t="s">
        <v>135</v>
      </c>
      <c r="J150" s="89" t="s">
        <v>95</v>
      </c>
      <c r="K150" s="89"/>
      <c r="L150" s="89"/>
      <c r="M150" s="89"/>
      <c r="N150" s="89"/>
      <c r="O150" s="89">
        <v>1.0</v>
      </c>
      <c r="P150" s="89"/>
      <c r="Q150" s="137"/>
      <c r="R150" s="138"/>
      <c r="S150" s="138"/>
      <c r="T150" s="85"/>
      <c r="U150" s="85"/>
      <c r="V150" s="85"/>
      <c r="W150" s="138"/>
      <c r="X150" s="139"/>
      <c r="Y150" s="139"/>
      <c r="Z150" s="139"/>
      <c r="AA150" s="139"/>
      <c r="AB150" s="139"/>
      <c r="AC150" s="139"/>
      <c r="AD150" s="139"/>
      <c r="AE150" s="139"/>
      <c r="AF150" s="139"/>
      <c r="AG150" s="139"/>
      <c r="AH150" s="139"/>
      <c r="AI150" s="139"/>
      <c r="AJ150" s="139"/>
      <c r="AK150" s="139"/>
      <c r="AL150" s="139"/>
      <c r="AM150" s="139"/>
      <c r="AN150" s="139"/>
      <c r="AO150" s="139"/>
    </row>
    <row r="151">
      <c r="A151" s="85">
        <v>44938.0</v>
      </c>
      <c r="B151" s="86">
        <v>327.41</v>
      </c>
      <c r="C151" s="85">
        <v>44911.0</v>
      </c>
      <c r="D151" s="89" t="s">
        <v>1032</v>
      </c>
      <c r="E151" s="89" t="s">
        <v>1033</v>
      </c>
      <c r="F151" s="89" t="s">
        <v>1034</v>
      </c>
      <c r="G151" s="89" t="s">
        <v>114</v>
      </c>
      <c r="H151" s="89" t="s">
        <v>94</v>
      </c>
      <c r="I151" s="89" t="s">
        <v>94</v>
      </c>
      <c r="J151" s="89" t="s">
        <v>95</v>
      </c>
      <c r="K151" s="89">
        <v>1.0</v>
      </c>
      <c r="L151" s="89"/>
      <c r="M151" s="89">
        <v>1.0</v>
      </c>
      <c r="N151" s="89"/>
      <c r="O151" s="85"/>
      <c r="P151" s="89"/>
      <c r="Q151" s="137"/>
      <c r="R151" s="138"/>
      <c r="S151" s="138"/>
      <c r="T151" s="85"/>
      <c r="U151" s="85"/>
      <c r="V151" s="85"/>
      <c r="W151" s="138"/>
      <c r="X151" s="139"/>
      <c r="Y151" s="139"/>
      <c r="Z151" s="139"/>
      <c r="AA151" s="139"/>
      <c r="AB151" s="139"/>
      <c r="AC151" s="139"/>
      <c r="AD151" s="139"/>
      <c r="AE151" s="139"/>
      <c r="AF151" s="139"/>
      <c r="AG151" s="139"/>
      <c r="AH151" s="139"/>
      <c r="AI151" s="139"/>
      <c r="AJ151" s="139"/>
      <c r="AK151" s="139"/>
      <c r="AL151" s="139"/>
      <c r="AM151" s="139"/>
      <c r="AN151" s="139"/>
      <c r="AO151" s="139"/>
    </row>
    <row r="152">
      <c r="A152" s="85">
        <v>44938.0</v>
      </c>
      <c r="B152" s="86">
        <v>85.41</v>
      </c>
      <c r="C152" s="85">
        <v>44929.0</v>
      </c>
      <c r="D152" s="89" t="s">
        <v>1035</v>
      </c>
      <c r="E152" s="89" t="s">
        <v>1036</v>
      </c>
      <c r="F152" s="89" t="s">
        <v>1038</v>
      </c>
      <c r="G152" s="89" t="s">
        <v>114</v>
      </c>
      <c r="H152" s="89" t="s">
        <v>94</v>
      </c>
      <c r="I152" s="89" t="s">
        <v>94</v>
      </c>
      <c r="J152" s="89" t="s">
        <v>95</v>
      </c>
      <c r="K152" s="89"/>
      <c r="L152" s="89"/>
      <c r="M152" s="89"/>
      <c r="N152" s="89"/>
      <c r="O152" s="85"/>
      <c r="P152" s="89"/>
      <c r="Q152" s="137"/>
      <c r="R152" s="138"/>
      <c r="S152" s="138"/>
      <c r="T152" s="85"/>
      <c r="U152" s="85"/>
      <c r="V152" s="85"/>
      <c r="W152" s="138"/>
      <c r="X152" s="139"/>
      <c r="Y152" s="139"/>
      <c r="Z152" s="139"/>
      <c r="AA152" s="139"/>
      <c r="AB152" s="139"/>
      <c r="AC152" s="139"/>
      <c r="AD152" s="139"/>
      <c r="AE152" s="139"/>
      <c r="AF152" s="139"/>
      <c r="AG152" s="139"/>
      <c r="AH152" s="139"/>
      <c r="AI152" s="139"/>
      <c r="AJ152" s="139"/>
      <c r="AK152" s="139"/>
      <c r="AL152" s="139"/>
      <c r="AM152" s="139"/>
      <c r="AN152" s="139"/>
      <c r="AO152" s="139"/>
    </row>
    <row r="153">
      <c r="A153" s="85">
        <v>44938.0</v>
      </c>
      <c r="B153" s="86">
        <v>291.0</v>
      </c>
      <c r="C153" s="85">
        <v>44371.0</v>
      </c>
      <c r="D153" s="89" t="s">
        <v>1041</v>
      </c>
      <c r="E153" s="130" t="s">
        <v>1042</v>
      </c>
      <c r="F153" s="194" t="s">
        <v>1043</v>
      </c>
      <c r="G153" s="89" t="s">
        <v>110</v>
      </c>
      <c r="H153" s="89" t="s">
        <v>94</v>
      </c>
      <c r="I153" s="89" t="s">
        <v>135</v>
      </c>
      <c r="J153" s="89" t="s">
        <v>112</v>
      </c>
      <c r="K153" s="89"/>
      <c r="L153" s="89">
        <v>1.0</v>
      </c>
      <c r="M153" s="89"/>
      <c r="N153" s="89"/>
      <c r="O153" s="89">
        <v>1.0</v>
      </c>
      <c r="P153" s="89">
        <v>1.0</v>
      </c>
      <c r="Q153" s="137"/>
      <c r="R153" s="138"/>
      <c r="S153" s="138"/>
      <c r="T153" s="85"/>
      <c r="U153" s="85"/>
      <c r="V153" s="85"/>
      <c r="W153" s="138"/>
      <c r="X153" s="139"/>
      <c r="Y153" s="139"/>
      <c r="Z153" s="139"/>
      <c r="AA153" s="139"/>
      <c r="AB153" s="139"/>
      <c r="AC153" s="139"/>
      <c r="AD153" s="139"/>
      <c r="AE153" s="139"/>
      <c r="AF153" s="139"/>
      <c r="AG153" s="139"/>
      <c r="AH153" s="139"/>
      <c r="AI153" s="139"/>
      <c r="AJ153" s="139"/>
      <c r="AK153" s="139"/>
      <c r="AL153" s="139"/>
      <c r="AM153" s="139"/>
      <c r="AN153" s="139"/>
      <c r="AO153" s="139"/>
    </row>
    <row r="154">
      <c r="A154" s="85">
        <v>44938.0</v>
      </c>
      <c r="B154" s="86">
        <v>99.88</v>
      </c>
      <c r="C154" s="85">
        <v>44852.0</v>
      </c>
      <c r="D154" s="89" t="s">
        <v>1047</v>
      </c>
      <c r="E154" s="89" t="s">
        <v>1048</v>
      </c>
      <c r="F154" s="89" t="s">
        <v>1049</v>
      </c>
      <c r="G154" s="89" t="s">
        <v>114</v>
      </c>
      <c r="H154" s="89" t="s">
        <v>94</v>
      </c>
      <c r="I154" s="89" t="s">
        <v>94</v>
      </c>
      <c r="J154" s="89" t="s">
        <v>95</v>
      </c>
      <c r="K154" s="89"/>
      <c r="L154" s="89"/>
      <c r="M154" s="89">
        <v>1.0</v>
      </c>
      <c r="N154" s="89">
        <v>1.0</v>
      </c>
      <c r="O154" s="85"/>
      <c r="P154" s="89"/>
      <c r="Q154" s="137"/>
      <c r="R154" s="138"/>
      <c r="S154" s="138"/>
      <c r="T154" s="85"/>
      <c r="U154" s="85"/>
      <c r="V154" s="85"/>
      <c r="W154" s="138"/>
      <c r="X154" s="139"/>
      <c r="Y154" s="139"/>
      <c r="Z154" s="139"/>
      <c r="AA154" s="139"/>
      <c r="AB154" s="139"/>
      <c r="AC154" s="139"/>
      <c r="AD154" s="139"/>
      <c r="AE154" s="139"/>
      <c r="AF154" s="139"/>
      <c r="AG154" s="139"/>
      <c r="AH154" s="139"/>
      <c r="AI154" s="139"/>
      <c r="AJ154" s="139"/>
      <c r="AK154" s="139"/>
      <c r="AL154" s="139"/>
      <c r="AM154" s="139"/>
      <c r="AN154" s="139"/>
      <c r="AO154" s="139"/>
    </row>
    <row r="155">
      <c r="A155" s="85">
        <v>44938.0</v>
      </c>
      <c r="B155" s="86">
        <v>84.8</v>
      </c>
      <c r="C155" s="85">
        <v>44923.0</v>
      </c>
      <c r="D155" s="89" t="s">
        <v>1053</v>
      </c>
      <c r="E155" s="89" t="s">
        <v>1054</v>
      </c>
      <c r="F155" s="89" t="s">
        <v>1055</v>
      </c>
      <c r="G155" s="89" t="s">
        <v>114</v>
      </c>
      <c r="H155" s="89" t="s">
        <v>94</v>
      </c>
      <c r="I155" s="89" t="s">
        <v>94</v>
      </c>
      <c r="J155" s="89" t="s">
        <v>95</v>
      </c>
      <c r="K155" s="89"/>
      <c r="L155" s="89"/>
      <c r="M155" s="89">
        <v>1.0</v>
      </c>
      <c r="N155" s="89"/>
      <c r="O155" s="85"/>
      <c r="P155" s="89"/>
      <c r="Q155" s="137"/>
      <c r="R155" s="138"/>
      <c r="S155" s="138"/>
      <c r="T155" s="85"/>
      <c r="U155" s="85"/>
      <c r="V155" s="85"/>
      <c r="W155" s="138"/>
      <c r="X155" s="139"/>
      <c r="Y155" s="139"/>
      <c r="Z155" s="139"/>
      <c r="AA155" s="139"/>
      <c r="AB155" s="139"/>
      <c r="AC155" s="139"/>
      <c r="AD155" s="139"/>
      <c r="AE155" s="139"/>
      <c r="AF155" s="139"/>
      <c r="AG155" s="139"/>
      <c r="AH155" s="139"/>
      <c r="AI155" s="139"/>
      <c r="AJ155" s="139"/>
      <c r="AK155" s="139"/>
      <c r="AL155" s="139"/>
      <c r="AM155" s="139"/>
      <c r="AN155" s="139"/>
      <c r="AO155" s="139"/>
    </row>
    <row r="156">
      <c r="A156" s="85">
        <v>44938.0</v>
      </c>
      <c r="B156" s="86">
        <v>36.3</v>
      </c>
      <c r="C156" s="85">
        <v>44935.0</v>
      </c>
      <c r="D156" s="354" t="s">
        <v>1059</v>
      </c>
      <c r="E156" s="89" t="s">
        <v>1060</v>
      </c>
      <c r="F156" s="89" t="s">
        <v>1061</v>
      </c>
      <c r="G156" s="89" t="s">
        <v>114</v>
      </c>
      <c r="H156" s="89" t="s">
        <v>94</v>
      </c>
      <c r="I156" s="89" t="s">
        <v>94</v>
      </c>
      <c r="J156" s="89" t="s">
        <v>95</v>
      </c>
      <c r="K156" s="89"/>
      <c r="L156" s="89"/>
      <c r="M156" s="89"/>
      <c r="N156" s="89">
        <v>1.0</v>
      </c>
      <c r="O156" s="85"/>
      <c r="P156" s="89"/>
      <c r="Q156" s="137"/>
      <c r="R156" s="138"/>
      <c r="S156" s="138"/>
      <c r="T156" s="85"/>
      <c r="U156" s="85"/>
      <c r="V156" s="85"/>
      <c r="W156" s="138"/>
      <c r="X156" s="139"/>
      <c r="Y156" s="139"/>
      <c r="Z156" s="139"/>
      <c r="AA156" s="139"/>
      <c r="AB156" s="139"/>
      <c r="AC156" s="139"/>
      <c r="AD156" s="139"/>
      <c r="AE156" s="139"/>
      <c r="AF156" s="139"/>
      <c r="AG156" s="139"/>
      <c r="AH156" s="139"/>
      <c r="AI156" s="139"/>
      <c r="AJ156" s="139"/>
      <c r="AK156" s="139"/>
      <c r="AL156" s="139"/>
      <c r="AM156" s="139"/>
      <c r="AN156" s="139"/>
      <c r="AO156" s="139"/>
    </row>
    <row r="157">
      <c r="A157" s="85">
        <v>44938.0</v>
      </c>
      <c r="B157" s="86">
        <v>306.34</v>
      </c>
      <c r="C157" s="85">
        <v>44935.0</v>
      </c>
      <c r="D157" s="89" t="s">
        <v>1065</v>
      </c>
      <c r="E157" s="89" t="s">
        <v>1066</v>
      </c>
      <c r="F157" s="89" t="s">
        <v>1067</v>
      </c>
      <c r="G157" s="89" t="s">
        <v>110</v>
      </c>
      <c r="H157" s="89" t="s">
        <v>94</v>
      </c>
      <c r="I157" s="89" t="s">
        <v>94</v>
      </c>
      <c r="J157" s="89" t="s">
        <v>95</v>
      </c>
      <c r="K157" s="89"/>
      <c r="L157" s="89">
        <v>1.0</v>
      </c>
      <c r="M157" s="89"/>
      <c r="N157" s="89"/>
      <c r="O157" s="85"/>
      <c r="P157" s="89"/>
      <c r="Q157" s="137"/>
      <c r="R157" s="138"/>
      <c r="S157" s="138"/>
      <c r="T157" s="85"/>
      <c r="U157" s="85"/>
      <c r="V157" s="85"/>
      <c r="W157" s="138"/>
      <c r="X157" s="139"/>
      <c r="Y157" s="139"/>
      <c r="Z157" s="139"/>
      <c r="AA157" s="139"/>
      <c r="AB157" s="139"/>
      <c r="AC157" s="139"/>
      <c r="AD157" s="139"/>
      <c r="AE157" s="139"/>
      <c r="AF157" s="139"/>
      <c r="AG157" s="139"/>
      <c r="AH157" s="139"/>
      <c r="AI157" s="139"/>
      <c r="AJ157" s="139"/>
      <c r="AK157" s="139"/>
      <c r="AL157" s="139"/>
      <c r="AM157" s="139"/>
      <c r="AN157" s="139"/>
      <c r="AO157" s="139"/>
    </row>
    <row r="158">
      <c r="A158" s="85">
        <v>44938.0</v>
      </c>
      <c r="B158" s="86">
        <v>315.14</v>
      </c>
      <c r="C158" s="85">
        <v>44937.0</v>
      </c>
      <c r="D158" s="89" t="s">
        <v>1071</v>
      </c>
      <c r="E158" s="89" t="s">
        <v>1072</v>
      </c>
      <c r="F158" s="89" t="s">
        <v>1073</v>
      </c>
      <c r="G158" s="89" t="s">
        <v>110</v>
      </c>
      <c r="H158" s="89" t="s">
        <v>94</v>
      </c>
      <c r="I158" s="89" t="s">
        <v>94</v>
      </c>
      <c r="J158" s="89" t="s">
        <v>95</v>
      </c>
      <c r="K158" s="89"/>
      <c r="L158" s="89">
        <v>1.0</v>
      </c>
      <c r="M158" s="89"/>
      <c r="N158" s="89"/>
      <c r="O158" s="85"/>
      <c r="P158" s="89"/>
      <c r="Q158" s="137"/>
      <c r="R158" s="138"/>
      <c r="S158" s="138"/>
      <c r="T158" s="85"/>
      <c r="U158" s="85"/>
      <c r="V158" s="85"/>
      <c r="W158" s="138"/>
      <c r="X158" s="139"/>
      <c r="Y158" s="139"/>
      <c r="Z158" s="139"/>
      <c r="AA158" s="139"/>
      <c r="AB158" s="139"/>
      <c r="AC158" s="139"/>
      <c r="AD158" s="139"/>
      <c r="AE158" s="139"/>
      <c r="AF158" s="139"/>
      <c r="AG158" s="139"/>
      <c r="AH158" s="139"/>
      <c r="AI158" s="139"/>
      <c r="AJ158" s="139"/>
      <c r="AK158" s="139"/>
      <c r="AL158" s="139"/>
      <c r="AM158" s="139"/>
      <c r="AN158" s="139"/>
      <c r="AO158" s="139"/>
    </row>
    <row r="159">
      <c r="A159" s="85">
        <v>44938.0</v>
      </c>
      <c r="B159" s="86">
        <v>80.0</v>
      </c>
      <c r="C159" s="85">
        <v>44914.0</v>
      </c>
      <c r="D159" s="89" t="s">
        <v>1074</v>
      </c>
      <c r="E159" s="89" t="s">
        <v>1075</v>
      </c>
      <c r="F159" s="89" t="s">
        <v>1076</v>
      </c>
      <c r="G159" s="89" t="s">
        <v>114</v>
      </c>
      <c r="H159" s="89" t="s">
        <v>94</v>
      </c>
      <c r="I159" s="89" t="s">
        <v>94</v>
      </c>
      <c r="J159" s="89" t="s">
        <v>95</v>
      </c>
      <c r="K159" s="89"/>
      <c r="L159" s="89"/>
      <c r="M159" s="89">
        <v>1.0</v>
      </c>
      <c r="N159" s="89"/>
      <c r="O159" s="85"/>
      <c r="P159" s="89"/>
      <c r="Q159" s="137"/>
      <c r="R159" s="138"/>
      <c r="S159" s="138"/>
      <c r="T159" s="85"/>
      <c r="U159" s="85"/>
      <c r="V159" s="85"/>
      <c r="W159" s="138"/>
      <c r="X159" s="139"/>
      <c r="Y159" s="139"/>
      <c r="Z159" s="139"/>
      <c r="AA159" s="139"/>
      <c r="AB159" s="139"/>
      <c r="AC159" s="139"/>
      <c r="AD159" s="139"/>
      <c r="AE159" s="139"/>
      <c r="AF159" s="139"/>
      <c r="AG159" s="139"/>
      <c r="AH159" s="139"/>
      <c r="AI159" s="139"/>
      <c r="AJ159" s="139"/>
      <c r="AK159" s="139"/>
      <c r="AL159" s="139"/>
      <c r="AM159" s="139"/>
      <c r="AN159" s="139"/>
      <c r="AO159" s="139"/>
    </row>
    <row r="160">
      <c r="A160" s="85">
        <v>44938.0</v>
      </c>
      <c r="B160" s="86"/>
      <c r="C160" s="85"/>
      <c r="D160" s="89" t="s">
        <v>1080</v>
      </c>
      <c r="E160" s="89" t="s">
        <v>1081</v>
      </c>
      <c r="F160" s="356" t="s">
        <v>1082</v>
      </c>
      <c r="G160" s="89" t="s">
        <v>114</v>
      </c>
      <c r="H160" s="89" t="s">
        <v>94</v>
      </c>
      <c r="I160" s="89" t="s">
        <v>94</v>
      </c>
      <c r="J160" s="89" t="s">
        <v>95</v>
      </c>
      <c r="K160" s="89">
        <v>1.0</v>
      </c>
      <c r="L160" s="89"/>
      <c r="M160" s="89">
        <v>1.0</v>
      </c>
      <c r="N160" s="89">
        <v>1.0</v>
      </c>
      <c r="O160" s="85"/>
      <c r="P160" s="89">
        <v>1.0</v>
      </c>
      <c r="Q160" s="137"/>
      <c r="R160" s="138"/>
      <c r="S160" s="138"/>
      <c r="T160" s="85"/>
      <c r="U160" s="85"/>
      <c r="V160" s="85"/>
      <c r="W160" s="138"/>
      <c r="X160" s="139"/>
      <c r="Y160" s="139"/>
      <c r="Z160" s="139"/>
      <c r="AA160" s="139"/>
      <c r="AB160" s="139"/>
      <c r="AC160" s="139"/>
      <c r="AD160" s="139"/>
      <c r="AE160" s="139"/>
      <c r="AF160" s="139"/>
      <c r="AG160" s="139"/>
      <c r="AH160" s="139"/>
      <c r="AI160" s="139"/>
      <c r="AJ160" s="139"/>
      <c r="AK160" s="139"/>
      <c r="AL160" s="139"/>
      <c r="AM160" s="139"/>
      <c r="AN160" s="139"/>
      <c r="AO160" s="139"/>
    </row>
    <row r="161">
      <c r="A161" s="85">
        <v>44938.0</v>
      </c>
      <c r="B161" s="86">
        <v>86.25</v>
      </c>
      <c r="C161" s="85">
        <v>44938.0</v>
      </c>
      <c r="D161" s="89" t="s">
        <v>1086</v>
      </c>
      <c r="E161" s="89" t="s">
        <v>1087</v>
      </c>
      <c r="F161" s="194" t="s">
        <v>1088</v>
      </c>
      <c r="G161" s="89" t="s">
        <v>114</v>
      </c>
      <c r="H161" s="89" t="s">
        <v>94</v>
      </c>
      <c r="I161" s="89" t="s">
        <v>94</v>
      </c>
      <c r="J161" s="89" t="s">
        <v>95</v>
      </c>
      <c r="K161" s="89"/>
      <c r="L161" s="89"/>
      <c r="M161" s="89"/>
      <c r="N161" s="89"/>
      <c r="O161" s="85"/>
      <c r="P161" s="89"/>
      <c r="Q161" s="137"/>
      <c r="R161" s="138"/>
      <c r="S161" s="138"/>
      <c r="T161" s="85"/>
      <c r="U161" s="85"/>
      <c r="V161" s="85"/>
      <c r="W161" s="138"/>
      <c r="X161" s="139"/>
      <c r="Y161" s="139"/>
      <c r="Z161" s="139"/>
      <c r="AA161" s="139"/>
      <c r="AB161" s="139"/>
      <c r="AC161" s="139"/>
      <c r="AD161" s="139"/>
      <c r="AE161" s="139"/>
      <c r="AF161" s="139"/>
      <c r="AG161" s="139"/>
      <c r="AH161" s="139"/>
      <c r="AI161" s="139"/>
      <c r="AJ161" s="139"/>
      <c r="AK161" s="139"/>
      <c r="AL161" s="139"/>
      <c r="AM161" s="139"/>
      <c r="AN161" s="139"/>
      <c r="AO161" s="139"/>
    </row>
    <row r="162">
      <c r="A162" s="22">
        <v>44939.0</v>
      </c>
      <c r="B162" s="24">
        <v>75.86</v>
      </c>
      <c r="C162" s="22">
        <v>44926.0</v>
      </c>
      <c r="D162" s="25" t="s">
        <v>1092</v>
      </c>
      <c r="E162" s="25" t="s">
        <v>1093</v>
      </c>
      <c r="F162" s="357" t="s">
        <v>1094</v>
      </c>
      <c r="G162" s="25" t="s">
        <v>114</v>
      </c>
      <c r="H162" s="25" t="s">
        <v>94</v>
      </c>
      <c r="I162" s="25" t="s">
        <v>94</v>
      </c>
      <c r="J162" s="25" t="s">
        <v>95</v>
      </c>
      <c r="K162" s="25"/>
      <c r="L162" s="25"/>
      <c r="M162" s="25">
        <v>1.0</v>
      </c>
      <c r="N162" s="25"/>
      <c r="O162" s="22"/>
      <c r="P162" s="25"/>
      <c r="Q162" s="67"/>
      <c r="R162" s="68"/>
      <c r="S162" s="68"/>
      <c r="T162" s="22"/>
      <c r="U162" s="22"/>
      <c r="V162" s="22"/>
      <c r="W162" s="68"/>
      <c r="X162" s="69"/>
      <c r="Y162" s="69"/>
      <c r="Z162" s="69"/>
      <c r="AA162" s="69"/>
      <c r="AB162" s="69"/>
      <c r="AC162" s="69"/>
      <c r="AD162" s="69"/>
      <c r="AE162" s="69"/>
      <c r="AF162" s="69"/>
      <c r="AG162" s="69"/>
      <c r="AH162" s="69"/>
      <c r="AI162" s="69"/>
      <c r="AJ162" s="69"/>
      <c r="AK162" s="69"/>
      <c r="AL162" s="69"/>
      <c r="AM162" s="69"/>
      <c r="AN162" s="69"/>
      <c r="AO162" s="69"/>
    </row>
    <row r="163">
      <c r="A163" s="22">
        <v>44939.0</v>
      </c>
      <c r="B163" s="24">
        <v>340.58</v>
      </c>
      <c r="C163" s="22">
        <v>44905.0</v>
      </c>
      <c r="D163" s="25" t="s">
        <v>1098</v>
      </c>
      <c r="E163" s="25" t="s">
        <v>1099</v>
      </c>
      <c r="F163" s="25" t="s">
        <v>1100</v>
      </c>
      <c r="G163" s="25" t="s">
        <v>114</v>
      </c>
      <c r="H163" s="25" t="s">
        <v>94</v>
      </c>
      <c r="I163" s="25" t="s">
        <v>94</v>
      </c>
      <c r="J163" s="25" t="s">
        <v>95</v>
      </c>
      <c r="K163" s="25">
        <v>1.0</v>
      </c>
      <c r="L163" s="25"/>
      <c r="M163" s="25">
        <v>1.0</v>
      </c>
      <c r="N163" s="25">
        <v>1.0</v>
      </c>
      <c r="O163" s="22"/>
      <c r="P163" s="25">
        <v>1.0</v>
      </c>
      <c r="Q163" s="67"/>
      <c r="R163" s="68"/>
      <c r="S163" s="68"/>
      <c r="T163" s="22"/>
      <c r="U163" s="22"/>
      <c r="V163" s="22"/>
      <c r="W163" s="68"/>
      <c r="X163" s="69"/>
      <c r="Y163" s="69"/>
      <c r="Z163" s="69"/>
      <c r="AA163" s="69"/>
      <c r="AB163" s="69"/>
      <c r="AC163" s="69"/>
      <c r="AD163" s="69"/>
      <c r="AE163" s="69"/>
      <c r="AF163" s="69"/>
      <c r="AG163" s="69"/>
      <c r="AH163" s="69"/>
      <c r="AI163" s="69"/>
      <c r="AJ163" s="69"/>
      <c r="AK163" s="69"/>
      <c r="AL163" s="69"/>
      <c r="AM163" s="69"/>
      <c r="AN163" s="69"/>
      <c r="AO163" s="69"/>
    </row>
    <row r="164">
      <c r="A164" s="22">
        <v>44939.0</v>
      </c>
      <c r="B164" s="24">
        <v>272.6</v>
      </c>
      <c r="C164" s="22">
        <v>44920.0</v>
      </c>
      <c r="D164" s="25" t="s">
        <v>1104</v>
      </c>
      <c r="E164" s="25" t="s">
        <v>1105</v>
      </c>
      <c r="F164" s="357" t="s">
        <v>1106</v>
      </c>
      <c r="G164" s="25" t="s">
        <v>114</v>
      </c>
      <c r="H164" s="25" t="s">
        <v>94</v>
      </c>
      <c r="I164" s="25" t="s">
        <v>94</v>
      </c>
      <c r="J164" s="25" t="s">
        <v>95</v>
      </c>
      <c r="K164" s="25">
        <v>1.0</v>
      </c>
      <c r="L164" s="25"/>
      <c r="M164" s="25"/>
      <c r="N164" s="25">
        <v>1.0</v>
      </c>
      <c r="O164" s="22"/>
      <c r="P164" s="25">
        <v>1.0</v>
      </c>
      <c r="Q164" s="67"/>
      <c r="R164" s="68"/>
      <c r="S164" s="68"/>
      <c r="T164" s="22"/>
      <c r="U164" s="22"/>
      <c r="V164" s="22"/>
      <c r="W164" s="68"/>
      <c r="X164" s="69"/>
      <c r="Y164" s="69"/>
      <c r="Z164" s="69"/>
      <c r="AA164" s="69"/>
      <c r="AB164" s="69"/>
      <c r="AC164" s="69"/>
      <c r="AD164" s="69"/>
      <c r="AE164" s="69"/>
      <c r="AF164" s="69"/>
      <c r="AG164" s="69"/>
      <c r="AH164" s="69"/>
      <c r="AI164" s="69"/>
      <c r="AJ164" s="69"/>
      <c r="AK164" s="69"/>
      <c r="AL164" s="69"/>
      <c r="AM164" s="69"/>
      <c r="AN164" s="69"/>
      <c r="AO164" s="69"/>
    </row>
    <row r="165">
      <c r="A165" s="22">
        <v>44939.0</v>
      </c>
      <c r="B165" s="24">
        <v>18.0</v>
      </c>
      <c r="C165" s="22">
        <v>44371.0</v>
      </c>
      <c r="D165" s="25" t="s">
        <v>1110</v>
      </c>
      <c r="E165" s="25" t="s">
        <v>1111</v>
      </c>
      <c r="F165" s="25" t="s">
        <v>1112</v>
      </c>
      <c r="G165" s="25" t="s">
        <v>110</v>
      </c>
      <c r="H165" s="25" t="s">
        <v>161</v>
      </c>
      <c r="I165" s="25" t="s">
        <v>135</v>
      </c>
      <c r="J165" s="25" t="s">
        <v>765</v>
      </c>
      <c r="K165" s="25"/>
      <c r="L165" s="25"/>
      <c r="M165" s="25"/>
      <c r="N165" s="25">
        <v>1.0</v>
      </c>
      <c r="O165" s="22"/>
      <c r="P165" s="25"/>
      <c r="Q165" s="67"/>
      <c r="R165" s="68"/>
      <c r="S165" s="68"/>
      <c r="T165" s="22"/>
      <c r="U165" s="22"/>
      <c r="V165" s="22"/>
      <c r="W165" s="68"/>
      <c r="X165" s="69"/>
      <c r="Y165" s="69"/>
      <c r="Z165" s="69"/>
      <c r="AA165" s="69"/>
      <c r="AB165" s="69"/>
      <c r="AC165" s="69"/>
      <c r="AD165" s="69"/>
      <c r="AE165" s="69"/>
      <c r="AF165" s="69"/>
      <c r="AG165" s="69"/>
      <c r="AH165" s="69"/>
      <c r="AI165" s="69"/>
      <c r="AJ165" s="69"/>
      <c r="AK165" s="69"/>
      <c r="AL165" s="69"/>
      <c r="AM165" s="69"/>
      <c r="AN165" s="69"/>
      <c r="AO165" s="69"/>
    </row>
    <row r="166">
      <c r="A166" s="362">
        <v>44939.0</v>
      </c>
      <c r="B166" s="363">
        <v>379.0</v>
      </c>
      <c r="C166" s="362">
        <v>44495.0</v>
      </c>
      <c r="D166" s="364" t="s">
        <v>1116</v>
      </c>
      <c r="E166" s="364" t="s">
        <v>1117</v>
      </c>
      <c r="F166" s="364" t="s">
        <v>1118</v>
      </c>
      <c r="G166" s="364" t="s">
        <v>110</v>
      </c>
      <c r="H166" s="364" t="s">
        <v>94</v>
      </c>
      <c r="I166" s="364" t="s">
        <v>94</v>
      </c>
      <c r="J166" s="364" t="s">
        <v>1121</v>
      </c>
      <c r="K166" s="364">
        <v>2.0</v>
      </c>
      <c r="L166" s="364"/>
      <c r="M166" s="364"/>
      <c r="N166" s="364"/>
      <c r="O166" s="362"/>
      <c r="P166" s="364"/>
      <c r="Q166" s="365"/>
      <c r="R166" s="366"/>
      <c r="S166" s="366"/>
      <c r="T166" s="362"/>
      <c r="U166" s="362"/>
      <c r="V166" s="362"/>
      <c r="W166" s="366"/>
      <c r="X166" s="368"/>
      <c r="Y166" s="368"/>
      <c r="Z166" s="368"/>
      <c r="AA166" s="368"/>
      <c r="AB166" s="368"/>
      <c r="AC166" s="368"/>
      <c r="AD166" s="368"/>
      <c r="AE166" s="368"/>
      <c r="AF166" s="368"/>
      <c r="AG166" s="368"/>
      <c r="AH166" s="368"/>
      <c r="AI166" s="368"/>
      <c r="AJ166" s="368"/>
      <c r="AK166" s="368"/>
      <c r="AL166" s="368"/>
      <c r="AM166" s="368"/>
      <c r="AN166" s="368"/>
      <c r="AO166" s="368"/>
    </row>
    <row r="167">
      <c r="A167" s="22">
        <v>44939.0</v>
      </c>
      <c r="B167" s="24">
        <v>220.0</v>
      </c>
      <c r="C167" s="22">
        <v>44371.0</v>
      </c>
      <c r="D167" s="25" t="s">
        <v>1128</v>
      </c>
      <c r="E167" s="25" t="s">
        <v>1129</v>
      </c>
      <c r="F167" s="25" t="s">
        <v>1130</v>
      </c>
      <c r="G167" s="25" t="s">
        <v>110</v>
      </c>
      <c r="H167" s="25" t="s">
        <v>161</v>
      </c>
      <c r="I167" s="25" t="s">
        <v>135</v>
      </c>
      <c r="J167" s="25" t="s">
        <v>191</v>
      </c>
      <c r="K167" s="25">
        <v>1.0</v>
      </c>
      <c r="L167" s="25"/>
      <c r="M167" s="25"/>
      <c r="N167" s="25">
        <v>1.0</v>
      </c>
      <c r="O167" s="22"/>
      <c r="P167" s="25"/>
      <c r="Q167" s="67"/>
      <c r="R167" s="68"/>
      <c r="S167" s="68"/>
      <c r="T167" s="22"/>
      <c r="U167" s="22"/>
      <c r="V167" s="22"/>
      <c r="W167" s="68"/>
      <c r="X167" s="69"/>
      <c r="Y167" s="69"/>
      <c r="Z167" s="69"/>
      <c r="AA167" s="69"/>
      <c r="AB167" s="69"/>
      <c r="AC167" s="69"/>
      <c r="AD167" s="69"/>
      <c r="AE167" s="69"/>
      <c r="AF167" s="69"/>
      <c r="AG167" s="69"/>
      <c r="AH167" s="69"/>
      <c r="AI167" s="69"/>
      <c r="AJ167" s="69"/>
      <c r="AK167" s="69"/>
      <c r="AL167" s="69"/>
      <c r="AM167" s="69"/>
      <c r="AN167" s="69"/>
      <c r="AO167" s="69"/>
    </row>
    <row r="168">
      <c r="A168" s="22">
        <v>44939.0</v>
      </c>
      <c r="B168" s="24">
        <v>253.0</v>
      </c>
      <c r="C168" s="22">
        <v>44896.0</v>
      </c>
      <c r="D168" s="25" t="s">
        <v>1136</v>
      </c>
      <c r="E168" s="25" t="s">
        <v>1137</v>
      </c>
      <c r="F168" s="25" t="s">
        <v>1138</v>
      </c>
      <c r="G168" s="25" t="s">
        <v>110</v>
      </c>
      <c r="H168" s="25" t="s">
        <v>94</v>
      </c>
      <c r="I168" s="25" t="s">
        <v>94</v>
      </c>
      <c r="J168" s="25" t="s">
        <v>95</v>
      </c>
      <c r="K168" s="25">
        <v>1.0</v>
      </c>
      <c r="L168" s="25"/>
      <c r="M168" s="25"/>
      <c r="N168" s="25">
        <v>1.0</v>
      </c>
      <c r="O168" s="22"/>
      <c r="P168" s="25">
        <v>1.0</v>
      </c>
      <c r="Q168" s="67"/>
      <c r="R168" s="68"/>
      <c r="S168" s="68"/>
      <c r="T168" s="22"/>
      <c r="U168" s="22"/>
      <c r="V168" s="22"/>
      <c r="W168" s="68"/>
      <c r="X168" s="69"/>
      <c r="Y168" s="69"/>
      <c r="Z168" s="69"/>
      <c r="AA168" s="69"/>
      <c r="AB168" s="69"/>
      <c r="AC168" s="69"/>
      <c r="AD168" s="69"/>
      <c r="AE168" s="69"/>
      <c r="AF168" s="69"/>
      <c r="AG168" s="69"/>
      <c r="AH168" s="69"/>
      <c r="AI168" s="69"/>
      <c r="AJ168" s="69"/>
      <c r="AK168" s="69"/>
      <c r="AL168" s="69"/>
      <c r="AM168" s="69"/>
      <c r="AN168" s="69"/>
      <c r="AO168" s="69"/>
    </row>
    <row r="169">
      <c r="A169" s="22">
        <v>44939.0</v>
      </c>
      <c r="B169" s="363">
        <v>245.03</v>
      </c>
      <c r="C169" s="22">
        <v>44905.0</v>
      </c>
      <c r="D169" s="25" t="s">
        <v>1142</v>
      </c>
      <c r="E169" s="25" t="s">
        <v>1143</v>
      </c>
      <c r="F169" s="25" t="s">
        <v>1144</v>
      </c>
      <c r="G169" s="25" t="s">
        <v>110</v>
      </c>
      <c r="H169" s="25" t="s">
        <v>94</v>
      </c>
      <c r="I169" s="25" t="s">
        <v>94</v>
      </c>
      <c r="J169" s="25" t="s">
        <v>95</v>
      </c>
      <c r="K169" s="25">
        <v>1.0</v>
      </c>
      <c r="L169" s="25"/>
      <c r="M169" s="25"/>
      <c r="N169" s="25"/>
      <c r="O169" s="22"/>
      <c r="P169" s="25">
        <v>1.0</v>
      </c>
      <c r="Q169" s="67"/>
      <c r="R169" s="68"/>
      <c r="S169" s="68"/>
      <c r="T169" s="22"/>
      <c r="U169" s="22"/>
      <c r="V169" s="22"/>
      <c r="W169" s="68"/>
      <c r="X169" s="69"/>
      <c r="Y169" s="69"/>
      <c r="Z169" s="69"/>
      <c r="AA169" s="69"/>
      <c r="AB169" s="69"/>
      <c r="AC169" s="69"/>
      <c r="AD169" s="69"/>
      <c r="AE169" s="69"/>
      <c r="AF169" s="69"/>
      <c r="AG169" s="69"/>
      <c r="AH169" s="69"/>
      <c r="AI169" s="69"/>
      <c r="AJ169" s="69"/>
      <c r="AK169" s="69"/>
      <c r="AL169" s="69"/>
      <c r="AM169" s="69"/>
      <c r="AN169" s="69"/>
      <c r="AO169" s="69"/>
    </row>
    <row r="170">
      <c r="A170" s="22">
        <v>44939.0</v>
      </c>
      <c r="B170" s="363">
        <v>34.0</v>
      </c>
      <c r="C170" s="22">
        <v>45242.0</v>
      </c>
      <c r="D170" s="25" t="s">
        <v>1149</v>
      </c>
      <c r="E170" s="357" t="s">
        <v>1150</v>
      </c>
      <c r="F170" s="357" t="s">
        <v>1151</v>
      </c>
      <c r="G170" s="25" t="s">
        <v>114</v>
      </c>
      <c r="H170" s="25" t="s">
        <v>94</v>
      </c>
      <c r="I170" s="25" t="s">
        <v>94</v>
      </c>
      <c r="J170" s="25" t="s">
        <v>205</v>
      </c>
      <c r="K170" s="25"/>
      <c r="L170" s="25"/>
      <c r="M170" s="25"/>
      <c r="N170" s="25"/>
      <c r="O170" s="22"/>
      <c r="P170" s="25"/>
      <c r="Q170" s="67"/>
      <c r="R170" s="68"/>
      <c r="S170" s="68"/>
      <c r="T170" s="22"/>
      <c r="U170" s="22"/>
      <c r="V170" s="22"/>
      <c r="W170" s="68"/>
      <c r="X170" s="69"/>
      <c r="Y170" s="69"/>
      <c r="Z170" s="69"/>
      <c r="AA170" s="69"/>
      <c r="AB170" s="69"/>
      <c r="AC170" s="69"/>
      <c r="AD170" s="69"/>
      <c r="AE170" s="69"/>
      <c r="AF170" s="69"/>
      <c r="AG170" s="69"/>
      <c r="AH170" s="69"/>
      <c r="AI170" s="69"/>
      <c r="AJ170" s="69"/>
      <c r="AK170" s="69"/>
      <c r="AL170" s="69"/>
      <c r="AM170" s="69"/>
      <c r="AN170" s="69"/>
      <c r="AO170" s="69"/>
    </row>
    <row r="171">
      <c r="A171" s="22">
        <v>44939.0</v>
      </c>
      <c r="B171" s="363">
        <v>25.6</v>
      </c>
      <c r="C171" s="22">
        <v>44880.0</v>
      </c>
      <c r="D171" s="25" t="s">
        <v>1155</v>
      </c>
      <c r="E171" s="25" t="s">
        <v>1156</v>
      </c>
      <c r="F171" s="25" t="s">
        <v>1158</v>
      </c>
      <c r="G171" s="25" t="s">
        <v>1159</v>
      </c>
      <c r="H171" s="25" t="s">
        <v>94</v>
      </c>
      <c r="I171" s="25" t="s">
        <v>94</v>
      </c>
      <c r="J171" s="25" t="s">
        <v>95</v>
      </c>
      <c r="K171" s="25"/>
      <c r="L171" s="25"/>
      <c r="M171" s="25"/>
      <c r="N171" s="25">
        <v>1.0</v>
      </c>
      <c r="O171" s="22"/>
      <c r="P171" s="25"/>
      <c r="Q171" s="67"/>
      <c r="R171" s="68"/>
      <c r="S171" s="68"/>
      <c r="T171" s="22"/>
      <c r="U171" s="22"/>
      <c r="V171" s="22"/>
      <c r="W171" s="68"/>
      <c r="X171" s="69"/>
      <c r="Y171" s="69"/>
      <c r="Z171" s="69"/>
      <c r="AA171" s="69"/>
      <c r="AB171" s="69"/>
      <c r="AC171" s="69"/>
      <c r="AD171" s="69"/>
      <c r="AE171" s="69"/>
      <c r="AF171" s="69"/>
      <c r="AG171" s="69"/>
      <c r="AH171" s="69"/>
      <c r="AI171" s="69"/>
      <c r="AJ171" s="69"/>
      <c r="AK171" s="69"/>
      <c r="AL171" s="69"/>
      <c r="AM171" s="69"/>
      <c r="AN171" s="69"/>
      <c r="AO171" s="69"/>
    </row>
    <row r="172">
      <c r="A172" s="22">
        <v>44939.0</v>
      </c>
      <c r="B172" s="24">
        <v>311.37</v>
      </c>
      <c r="C172" s="22">
        <v>44886.0</v>
      </c>
      <c r="D172" s="25" t="s">
        <v>1163</v>
      </c>
      <c r="E172" s="25" t="s">
        <v>1164</v>
      </c>
      <c r="F172" s="357" t="s">
        <v>1165</v>
      </c>
      <c r="G172" s="25" t="s">
        <v>114</v>
      </c>
      <c r="H172" s="25" t="s">
        <v>94</v>
      </c>
      <c r="I172" s="25" t="s">
        <v>94</v>
      </c>
      <c r="J172" s="25" t="s">
        <v>95</v>
      </c>
      <c r="K172" s="25">
        <v>1.0</v>
      </c>
      <c r="L172" s="25"/>
      <c r="M172" s="25">
        <v>1.0</v>
      </c>
      <c r="N172" s="25"/>
      <c r="O172" s="22"/>
      <c r="P172" s="25">
        <v>1.0</v>
      </c>
      <c r="Q172" s="67">
        <v>1.0</v>
      </c>
      <c r="R172" s="68"/>
      <c r="S172" s="68"/>
      <c r="T172" s="22"/>
      <c r="U172" s="22"/>
      <c r="V172" s="22"/>
      <c r="W172" s="68"/>
      <c r="X172" s="69"/>
      <c r="Y172" s="69"/>
      <c r="Z172" s="69"/>
      <c r="AA172" s="69"/>
      <c r="AB172" s="69"/>
      <c r="AC172" s="69"/>
      <c r="AD172" s="69"/>
      <c r="AE172" s="69"/>
      <c r="AF172" s="69"/>
      <c r="AG172" s="69"/>
      <c r="AH172" s="69"/>
      <c r="AI172" s="69"/>
      <c r="AJ172" s="69"/>
      <c r="AK172" s="69"/>
      <c r="AL172" s="69"/>
      <c r="AM172" s="69"/>
      <c r="AN172" s="69"/>
      <c r="AO172" s="69"/>
    </row>
    <row r="173">
      <c r="A173" s="22">
        <v>44939.0</v>
      </c>
      <c r="B173" s="24">
        <v>338.3</v>
      </c>
      <c r="C173" s="22">
        <v>44721.0</v>
      </c>
      <c r="D173" s="25" t="s">
        <v>1170</v>
      </c>
      <c r="E173" s="357" t="s">
        <v>1171</v>
      </c>
      <c r="F173" s="357" t="s">
        <v>1172</v>
      </c>
      <c r="G173" s="25" t="s">
        <v>114</v>
      </c>
      <c r="H173" s="25" t="s">
        <v>94</v>
      </c>
      <c r="I173" s="25" t="s">
        <v>94</v>
      </c>
      <c r="J173" s="25" t="s">
        <v>95</v>
      </c>
      <c r="K173" s="25"/>
      <c r="L173" s="25"/>
      <c r="M173" s="25"/>
      <c r="N173" s="25"/>
      <c r="O173" s="22"/>
      <c r="P173" s="25"/>
      <c r="Q173" s="67"/>
      <c r="R173" s="68"/>
      <c r="S173" s="68"/>
      <c r="T173" s="22"/>
      <c r="U173" s="22"/>
      <c r="V173" s="22"/>
      <c r="W173" s="68"/>
      <c r="X173" s="69"/>
      <c r="Y173" s="69"/>
      <c r="Z173" s="69"/>
      <c r="AA173" s="69"/>
      <c r="AB173" s="69"/>
      <c r="AC173" s="69"/>
      <c r="AD173" s="69"/>
      <c r="AE173" s="69"/>
      <c r="AF173" s="69"/>
      <c r="AG173" s="69"/>
      <c r="AH173" s="69"/>
      <c r="AI173" s="69"/>
      <c r="AJ173" s="69"/>
      <c r="AK173" s="69"/>
      <c r="AL173" s="69"/>
      <c r="AM173" s="69"/>
      <c r="AN173" s="69"/>
      <c r="AO173" s="69"/>
    </row>
    <row r="174">
      <c r="A174" s="22">
        <v>44939.0</v>
      </c>
      <c r="B174" s="24">
        <v>36.25</v>
      </c>
      <c r="C174" s="22">
        <v>44922.0</v>
      </c>
      <c r="D174" s="25" t="s">
        <v>1178</v>
      </c>
      <c r="E174" s="25" t="s">
        <v>1179</v>
      </c>
      <c r="F174" s="25" t="s">
        <v>1181</v>
      </c>
      <c r="G174" s="25" t="s">
        <v>110</v>
      </c>
      <c r="H174" s="25" t="s">
        <v>94</v>
      </c>
      <c r="I174" s="25" t="s">
        <v>94</v>
      </c>
      <c r="J174" s="25" t="s">
        <v>95</v>
      </c>
      <c r="K174" s="25"/>
      <c r="L174" s="25"/>
      <c r="M174" s="25"/>
      <c r="N174" s="25">
        <v>1.0</v>
      </c>
      <c r="O174" s="22"/>
      <c r="P174" s="25"/>
      <c r="Q174" s="67"/>
      <c r="R174" s="68"/>
      <c r="S174" s="68"/>
      <c r="T174" s="22"/>
      <c r="U174" s="22"/>
      <c r="V174" s="22"/>
      <c r="W174" s="68"/>
      <c r="X174" s="69"/>
      <c r="Y174" s="69"/>
      <c r="Z174" s="69"/>
      <c r="AA174" s="69"/>
      <c r="AB174" s="69"/>
      <c r="AC174" s="69"/>
      <c r="AD174" s="69"/>
      <c r="AE174" s="69"/>
      <c r="AF174" s="69"/>
      <c r="AG174" s="69"/>
      <c r="AH174" s="69"/>
      <c r="AI174" s="69"/>
      <c r="AJ174" s="69"/>
      <c r="AK174" s="69"/>
      <c r="AL174" s="69"/>
      <c r="AM174" s="69"/>
      <c r="AN174" s="69"/>
      <c r="AO174" s="69"/>
    </row>
    <row r="175">
      <c r="A175" s="22">
        <v>44939.0</v>
      </c>
      <c r="B175" s="24">
        <v>621.0</v>
      </c>
      <c r="C175" s="22">
        <v>44894.0</v>
      </c>
      <c r="D175" s="380" t="s">
        <v>1186</v>
      </c>
      <c r="E175" s="130" t="s">
        <v>1187</v>
      </c>
      <c r="F175" s="130" t="s">
        <v>1188</v>
      </c>
      <c r="G175" s="25" t="s">
        <v>114</v>
      </c>
      <c r="H175" s="25" t="s">
        <v>94</v>
      </c>
      <c r="I175" s="25" t="s">
        <v>94</v>
      </c>
      <c r="J175" s="25" t="s">
        <v>95</v>
      </c>
      <c r="K175" s="25">
        <v>2.0</v>
      </c>
      <c r="L175" s="25"/>
      <c r="M175" s="25">
        <v>2.0</v>
      </c>
      <c r="N175" s="25">
        <v>2.0</v>
      </c>
      <c r="O175" s="22"/>
      <c r="P175" s="25"/>
      <c r="Q175" s="67"/>
      <c r="R175" s="68"/>
      <c r="S175" s="68"/>
      <c r="T175" s="22"/>
      <c r="U175" s="22"/>
      <c r="V175" s="22"/>
      <c r="W175" s="68"/>
      <c r="X175" s="69"/>
      <c r="Y175" s="69"/>
      <c r="Z175" s="69"/>
      <c r="AA175" s="69"/>
      <c r="AB175" s="69"/>
      <c r="AC175" s="69"/>
      <c r="AD175" s="69"/>
      <c r="AE175" s="69"/>
      <c r="AF175" s="69"/>
      <c r="AG175" s="69"/>
      <c r="AH175" s="69"/>
      <c r="AI175" s="69"/>
      <c r="AJ175" s="69"/>
      <c r="AK175" s="69"/>
      <c r="AL175" s="69"/>
      <c r="AM175" s="69"/>
      <c r="AN175" s="69"/>
      <c r="AO175" s="69"/>
    </row>
    <row r="176">
      <c r="A176" s="381">
        <v>44940.0</v>
      </c>
      <c r="B176" s="382">
        <v>229.6</v>
      </c>
      <c r="C176" s="381">
        <v>44919.0</v>
      </c>
      <c r="D176" s="383" t="s">
        <v>1193</v>
      </c>
      <c r="E176" s="383" t="s">
        <v>1196</v>
      </c>
      <c r="F176" s="383" t="s">
        <v>1197</v>
      </c>
      <c r="G176" s="383" t="s">
        <v>114</v>
      </c>
      <c r="H176" s="383" t="s">
        <v>94</v>
      </c>
      <c r="I176" s="383" t="s">
        <v>94</v>
      </c>
      <c r="J176" s="383" t="s">
        <v>95</v>
      </c>
      <c r="K176" s="383">
        <v>1.0</v>
      </c>
      <c r="L176" s="383"/>
      <c r="M176" s="383">
        <v>1.0</v>
      </c>
      <c r="N176" s="383"/>
      <c r="O176" s="381"/>
      <c r="P176" s="383">
        <v>1.0</v>
      </c>
      <c r="Q176" s="384"/>
      <c r="R176" s="385"/>
      <c r="S176" s="385"/>
      <c r="T176" s="381"/>
      <c r="U176" s="381"/>
      <c r="V176" s="381"/>
      <c r="W176" s="385"/>
      <c r="X176" s="386"/>
      <c r="Y176" s="386"/>
      <c r="Z176" s="386"/>
      <c r="AA176" s="386"/>
      <c r="AB176" s="386"/>
      <c r="AC176" s="386"/>
      <c r="AD176" s="386"/>
      <c r="AE176" s="386"/>
      <c r="AF176" s="386"/>
      <c r="AG176" s="386"/>
      <c r="AH176" s="386"/>
      <c r="AI176" s="386"/>
      <c r="AJ176" s="386"/>
      <c r="AK176" s="386"/>
      <c r="AL176" s="386"/>
      <c r="AM176" s="386"/>
      <c r="AN176" s="386"/>
      <c r="AO176" s="386"/>
    </row>
    <row r="177">
      <c r="A177" s="381">
        <v>44940.0</v>
      </c>
      <c r="B177" s="382">
        <v>25.44</v>
      </c>
      <c r="C177" s="381">
        <v>44878.0</v>
      </c>
      <c r="D177" s="383" t="s">
        <v>715</v>
      </c>
      <c r="E177" s="383" t="s">
        <v>716</v>
      </c>
      <c r="F177" s="383" t="s">
        <v>717</v>
      </c>
      <c r="G177" s="383" t="s">
        <v>114</v>
      </c>
      <c r="H177" s="383" t="s">
        <v>94</v>
      </c>
      <c r="I177" s="383" t="s">
        <v>94</v>
      </c>
      <c r="J177" s="383" t="s">
        <v>95</v>
      </c>
      <c r="K177" s="383"/>
      <c r="L177" s="383"/>
      <c r="M177" s="383"/>
      <c r="N177" s="383">
        <v>1.0</v>
      </c>
      <c r="O177" s="381"/>
      <c r="P177" s="383"/>
      <c r="Q177" s="384"/>
      <c r="R177" s="385"/>
      <c r="S177" s="385"/>
      <c r="T177" s="381"/>
      <c r="U177" s="381"/>
      <c r="V177" s="381"/>
      <c r="W177" s="385"/>
      <c r="X177" s="388"/>
      <c r="Y177" s="388"/>
      <c r="Z177" s="388"/>
      <c r="AA177" s="388"/>
      <c r="AB177" s="388"/>
      <c r="AC177" s="388"/>
      <c r="AD177" s="388"/>
      <c r="AE177" s="388"/>
      <c r="AF177" s="388"/>
      <c r="AG177" s="388"/>
      <c r="AH177" s="388"/>
      <c r="AI177" s="388"/>
      <c r="AJ177" s="388"/>
      <c r="AK177" s="388"/>
      <c r="AL177" s="388"/>
      <c r="AM177" s="388"/>
      <c r="AN177" s="388"/>
      <c r="AO177" s="388"/>
    </row>
    <row r="178">
      <c r="A178" s="381">
        <v>44940.0</v>
      </c>
      <c r="B178" s="382">
        <v>315.14</v>
      </c>
      <c r="C178" s="381">
        <v>44906.0</v>
      </c>
      <c r="D178" s="383" t="s">
        <v>1205</v>
      </c>
      <c r="E178" s="383" t="s">
        <v>1206</v>
      </c>
      <c r="F178" s="383" t="s">
        <v>1208</v>
      </c>
      <c r="G178" s="383" t="s">
        <v>110</v>
      </c>
      <c r="H178" s="383" t="s">
        <v>94</v>
      </c>
      <c r="I178" s="383" t="s">
        <v>94</v>
      </c>
      <c r="J178" s="383" t="s">
        <v>95</v>
      </c>
      <c r="K178" s="383">
        <v>1.0</v>
      </c>
      <c r="L178" s="383"/>
      <c r="M178" s="383">
        <v>1.0</v>
      </c>
      <c r="N178" s="383"/>
      <c r="O178" s="381"/>
      <c r="P178" s="383">
        <v>1.0</v>
      </c>
      <c r="Q178" s="384"/>
      <c r="R178" s="385"/>
      <c r="S178" s="385"/>
      <c r="T178" s="381"/>
      <c r="U178" s="381"/>
      <c r="V178" s="381"/>
      <c r="W178" s="385"/>
      <c r="X178" s="388"/>
      <c r="Y178" s="388"/>
      <c r="Z178" s="388"/>
      <c r="AA178" s="388"/>
      <c r="AB178" s="388"/>
      <c r="AC178" s="388"/>
      <c r="AD178" s="388"/>
      <c r="AE178" s="388"/>
      <c r="AF178" s="388"/>
      <c r="AG178" s="388"/>
      <c r="AH178" s="388"/>
      <c r="AI178" s="388"/>
      <c r="AJ178" s="388"/>
      <c r="AK178" s="388"/>
      <c r="AL178" s="388"/>
      <c r="AM178" s="388"/>
      <c r="AN178" s="388"/>
      <c r="AO178" s="388"/>
    </row>
    <row r="179" ht="15.0" customHeight="1">
      <c r="A179" s="381">
        <v>44940.0</v>
      </c>
      <c r="B179" s="382">
        <v>349.66</v>
      </c>
      <c r="C179" s="381">
        <v>44902.0</v>
      </c>
      <c r="D179" s="383" t="s">
        <v>1212</v>
      </c>
      <c r="E179" s="383" t="s">
        <v>1213</v>
      </c>
      <c r="F179" s="383" t="s">
        <v>1214</v>
      </c>
      <c r="G179" s="383" t="s">
        <v>141</v>
      </c>
      <c r="H179" s="383" t="s">
        <v>94</v>
      </c>
      <c r="I179" s="383" t="s">
        <v>94</v>
      </c>
      <c r="J179" s="383" t="s">
        <v>95</v>
      </c>
      <c r="K179" s="383">
        <v>1.0</v>
      </c>
      <c r="L179" s="383"/>
      <c r="M179" s="383">
        <v>1.0</v>
      </c>
      <c r="N179" s="383">
        <v>1.0</v>
      </c>
      <c r="O179" s="381"/>
      <c r="P179" s="383">
        <v>1.0</v>
      </c>
      <c r="Q179" s="384"/>
      <c r="R179" s="385"/>
      <c r="S179" s="385"/>
      <c r="T179" s="381"/>
      <c r="U179" s="381"/>
      <c r="V179" s="381"/>
      <c r="W179" s="385"/>
      <c r="X179" s="388"/>
      <c r="Y179" s="388"/>
      <c r="Z179" s="388"/>
      <c r="AA179" s="388"/>
      <c r="AB179" s="388"/>
      <c r="AC179" s="388"/>
      <c r="AD179" s="388"/>
      <c r="AE179" s="388"/>
      <c r="AF179" s="388"/>
      <c r="AG179" s="388"/>
      <c r="AH179" s="388"/>
      <c r="AI179" s="388"/>
      <c r="AJ179" s="388"/>
      <c r="AK179" s="388"/>
      <c r="AL179" s="388"/>
      <c r="AM179" s="388"/>
      <c r="AN179" s="388"/>
      <c r="AO179" s="388"/>
    </row>
    <row r="180" ht="15.0" customHeight="1">
      <c r="A180" s="381">
        <v>44940.0</v>
      </c>
      <c r="B180" s="382">
        <v>313.51</v>
      </c>
      <c r="C180" s="381">
        <v>44865.0</v>
      </c>
      <c r="D180" s="383" t="s">
        <v>1219</v>
      </c>
      <c r="E180" s="383" t="s">
        <v>1220</v>
      </c>
      <c r="F180" s="383" t="s">
        <v>1222</v>
      </c>
      <c r="G180" s="383" t="s">
        <v>141</v>
      </c>
      <c r="H180" s="383" t="s">
        <v>94</v>
      </c>
      <c r="I180" s="383" t="s">
        <v>94</v>
      </c>
      <c r="J180" s="383" t="s">
        <v>95</v>
      </c>
      <c r="K180" s="383"/>
      <c r="L180" s="383">
        <v>1.0</v>
      </c>
      <c r="M180" s="383"/>
      <c r="N180" s="383">
        <v>1.0</v>
      </c>
      <c r="O180" s="381"/>
      <c r="P180" s="383">
        <v>1.0</v>
      </c>
      <c r="Q180" s="384"/>
      <c r="R180" s="385"/>
      <c r="S180" s="385"/>
      <c r="T180" s="381"/>
      <c r="U180" s="381"/>
      <c r="V180" s="381"/>
      <c r="W180" s="385"/>
      <c r="X180" s="388"/>
      <c r="Y180" s="388"/>
      <c r="Z180" s="388"/>
      <c r="AA180" s="388"/>
      <c r="AB180" s="388"/>
      <c r="AC180" s="388"/>
      <c r="AD180" s="388"/>
      <c r="AE180" s="388"/>
      <c r="AF180" s="388"/>
      <c r="AG180" s="388"/>
      <c r="AH180" s="388"/>
      <c r="AI180" s="388"/>
      <c r="AJ180" s="388"/>
      <c r="AK180" s="388"/>
      <c r="AL180" s="388"/>
      <c r="AM180" s="388"/>
      <c r="AN180" s="388"/>
      <c r="AO180" s="388"/>
    </row>
    <row r="181" ht="15.0" customHeight="1">
      <c r="A181" s="381">
        <v>44940.0</v>
      </c>
      <c r="B181" s="382">
        <v>395.28</v>
      </c>
      <c r="C181" s="381">
        <v>44939.0</v>
      </c>
      <c r="D181" s="383" t="s">
        <v>1227</v>
      </c>
      <c r="E181" s="383" t="s">
        <v>1228</v>
      </c>
      <c r="F181" s="383" t="s">
        <v>1229</v>
      </c>
      <c r="G181" s="383" t="s">
        <v>141</v>
      </c>
      <c r="H181" s="383" t="s">
        <v>94</v>
      </c>
      <c r="I181" s="383" t="s">
        <v>94</v>
      </c>
      <c r="J181" s="383" t="s">
        <v>95</v>
      </c>
      <c r="K181" s="383"/>
      <c r="L181" s="383">
        <v>1.0</v>
      </c>
      <c r="M181" s="383">
        <v>1.0</v>
      </c>
      <c r="N181" s="383"/>
      <c r="O181" s="381"/>
      <c r="P181" s="383">
        <v>1.0</v>
      </c>
      <c r="Q181" s="384"/>
      <c r="R181" s="385"/>
      <c r="S181" s="385"/>
      <c r="T181" s="381"/>
      <c r="U181" s="381"/>
      <c r="V181" s="381"/>
      <c r="W181" s="385"/>
      <c r="X181" s="388"/>
      <c r="Y181" s="388"/>
      <c r="Z181" s="388"/>
      <c r="AA181" s="388"/>
      <c r="AB181" s="388"/>
      <c r="AC181" s="388"/>
      <c r="AD181" s="388"/>
      <c r="AE181" s="388"/>
      <c r="AF181" s="388"/>
      <c r="AG181" s="388"/>
      <c r="AH181" s="388"/>
      <c r="AI181" s="388"/>
      <c r="AJ181" s="388"/>
      <c r="AK181" s="388"/>
      <c r="AL181" s="388"/>
      <c r="AM181" s="388"/>
      <c r="AN181" s="388"/>
      <c r="AO181" s="388"/>
    </row>
    <row r="182">
      <c r="A182" s="381">
        <v>44940.0</v>
      </c>
      <c r="B182" s="382">
        <v>182.84</v>
      </c>
      <c r="C182" s="381">
        <v>44931.0</v>
      </c>
      <c r="D182" s="383" t="s">
        <v>1235</v>
      </c>
      <c r="E182" s="383" t="s">
        <v>1236</v>
      </c>
      <c r="F182" s="383" t="s">
        <v>1237</v>
      </c>
      <c r="G182" s="383" t="s">
        <v>141</v>
      </c>
      <c r="H182" s="383" t="s">
        <v>94</v>
      </c>
      <c r="I182" s="383" t="s">
        <v>94</v>
      </c>
      <c r="J182" s="383" t="s">
        <v>95</v>
      </c>
      <c r="K182" s="383">
        <v>1.0</v>
      </c>
      <c r="L182" s="383"/>
      <c r="M182" s="383"/>
      <c r="N182" s="383"/>
      <c r="O182" s="381"/>
      <c r="P182" s="383">
        <v>1.0</v>
      </c>
      <c r="Q182" s="384"/>
      <c r="R182" s="385"/>
      <c r="S182" s="385"/>
      <c r="T182" s="381"/>
      <c r="U182" s="381"/>
      <c r="V182" s="381"/>
      <c r="W182" s="385"/>
      <c r="X182" s="388"/>
      <c r="Y182" s="388"/>
      <c r="Z182" s="388"/>
      <c r="AA182" s="388"/>
      <c r="AB182" s="388"/>
      <c r="AC182" s="388"/>
      <c r="AD182" s="388"/>
      <c r="AE182" s="388"/>
      <c r="AF182" s="388"/>
      <c r="AG182" s="388"/>
      <c r="AH182" s="388"/>
      <c r="AI182" s="388"/>
      <c r="AJ182" s="388"/>
      <c r="AK182" s="388"/>
      <c r="AL182" s="388"/>
      <c r="AM182" s="388"/>
      <c r="AN182" s="388"/>
      <c r="AO182" s="388"/>
    </row>
    <row r="183" ht="16.5" customHeight="1">
      <c r="A183" s="231">
        <v>44940.0</v>
      </c>
      <c r="B183" s="232">
        <v>125.8</v>
      </c>
      <c r="C183" s="231">
        <v>44153.0</v>
      </c>
      <c r="D183" s="231" t="s">
        <v>514</v>
      </c>
      <c r="E183" s="389" t="s">
        <v>515</v>
      </c>
      <c r="F183" s="389" t="s">
        <v>517</v>
      </c>
      <c r="G183" s="233" t="s">
        <v>114</v>
      </c>
      <c r="H183" s="233" t="s">
        <v>170</v>
      </c>
      <c r="I183" s="233" t="s">
        <v>170</v>
      </c>
      <c r="J183" s="233" t="s">
        <v>191</v>
      </c>
      <c r="K183" s="233">
        <v>1.0</v>
      </c>
      <c r="L183" s="233"/>
      <c r="M183" s="233"/>
      <c r="N183" s="233">
        <v>1.0</v>
      </c>
      <c r="O183" s="231"/>
      <c r="P183" s="233"/>
      <c r="Q183" s="234"/>
      <c r="R183" s="235"/>
      <c r="S183" s="235"/>
      <c r="T183" s="231"/>
      <c r="U183" s="231"/>
      <c r="V183" s="231"/>
      <c r="W183" s="235"/>
      <c r="X183" s="236"/>
      <c r="Y183" s="236"/>
      <c r="Z183" s="236"/>
      <c r="AA183" s="236"/>
      <c r="AB183" s="236"/>
      <c r="AC183" s="236"/>
      <c r="AD183" s="236"/>
      <c r="AE183" s="236"/>
      <c r="AF183" s="236"/>
      <c r="AG183" s="236"/>
      <c r="AH183" s="236"/>
      <c r="AI183" s="236"/>
      <c r="AJ183" s="236"/>
      <c r="AK183" s="236"/>
      <c r="AL183" s="236"/>
      <c r="AM183" s="236"/>
      <c r="AN183" s="236"/>
      <c r="AO183" s="236"/>
    </row>
    <row r="184">
      <c r="A184" s="85">
        <v>44941.0</v>
      </c>
      <c r="B184" s="393">
        <v>308.0</v>
      </c>
      <c r="C184" s="85">
        <v>44566.0</v>
      </c>
      <c r="D184" s="89" t="s">
        <v>1242</v>
      </c>
      <c r="E184" s="89" t="s">
        <v>1243</v>
      </c>
      <c r="F184" s="395" t="s">
        <v>1244</v>
      </c>
      <c r="G184" s="89" t="s">
        <v>114</v>
      </c>
      <c r="H184" s="89" t="s">
        <v>94</v>
      </c>
      <c r="I184" s="89" t="s">
        <v>94</v>
      </c>
      <c r="J184" s="89" t="s">
        <v>95</v>
      </c>
      <c r="K184" s="89"/>
      <c r="L184" s="89">
        <v>1.0</v>
      </c>
      <c r="M184" s="89"/>
      <c r="N184" s="89"/>
      <c r="O184" s="89">
        <v>1.0</v>
      </c>
      <c r="P184" s="89">
        <v>1.0</v>
      </c>
      <c r="Q184" s="137"/>
      <c r="R184" s="138"/>
      <c r="S184" s="138"/>
      <c r="T184" s="85"/>
      <c r="U184" s="85"/>
      <c r="V184" s="85"/>
      <c r="W184" s="138"/>
      <c r="X184" s="139"/>
      <c r="Y184" s="139"/>
      <c r="Z184" s="139"/>
      <c r="AA184" s="139"/>
      <c r="AB184" s="139"/>
      <c r="AC184" s="139"/>
      <c r="AD184" s="139"/>
      <c r="AE184" s="139"/>
      <c r="AF184" s="139"/>
      <c r="AG184" s="139"/>
      <c r="AH184" s="139"/>
      <c r="AI184" s="139"/>
      <c r="AJ184" s="139"/>
      <c r="AK184" s="139"/>
      <c r="AL184" s="139"/>
      <c r="AM184" s="139"/>
      <c r="AN184" s="139"/>
      <c r="AO184" s="139"/>
    </row>
    <row r="185">
      <c r="A185" s="85">
        <v>44941.0</v>
      </c>
      <c r="B185" s="86">
        <v>369.15</v>
      </c>
      <c r="C185" s="85">
        <v>44937.0</v>
      </c>
      <c r="D185" s="89" t="s">
        <v>1248</v>
      </c>
      <c r="E185" s="89" t="s">
        <v>1249</v>
      </c>
      <c r="F185" s="89" t="s">
        <v>1250</v>
      </c>
      <c r="G185" s="89" t="s">
        <v>114</v>
      </c>
      <c r="H185" s="89" t="s">
        <v>94</v>
      </c>
      <c r="I185" s="89" t="s">
        <v>94</v>
      </c>
      <c r="J185" s="89" t="s">
        <v>95</v>
      </c>
      <c r="K185" s="89"/>
      <c r="L185" s="89">
        <v>1.0</v>
      </c>
      <c r="M185" s="89"/>
      <c r="N185" s="89">
        <v>1.0</v>
      </c>
      <c r="O185" s="85"/>
      <c r="P185" s="89">
        <v>1.0</v>
      </c>
      <c r="Q185" s="137">
        <v>1.0</v>
      </c>
      <c r="R185" s="138"/>
      <c r="S185" s="138"/>
      <c r="T185" s="85"/>
      <c r="U185" s="85"/>
      <c r="V185" s="85"/>
      <c r="W185" s="138"/>
      <c r="X185" s="139"/>
      <c r="Y185" s="139"/>
      <c r="Z185" s="139"/>
      <c r="AA185" s="139"/>
      <c r="AB185" s="139"/>
      <c r="AC185" s="139"/>
      <c r="AD185" s="139"/>
      <c r="AE185" s="139"/>
      <c r="AF185" s="139"/>
      <c r="AG185" s="139"/>
      <c r="AH185" s="139"/>
      <c r="AI185" s="139"/>
      <c r="AJ185" s="139"/>
      <c r="AK185" s="139"/>
      <c r="AL185" s="139"/>
      <c r="AM185" s="139"/>
      <c r="AN185" s="139"/>
      <c r="AO185" s="139"/>
    </row>
    <row r="186">
      <c r="A186" s="85">
        <v>44941.0</v>
      </c>
      <c r="B186" s="86">
        <v>155.0</v>
      </c>
      <c r="C186" s="85">
        <v>44155.0</v>
      </c>
      <c r="D186" s="89" t="s">
        <v>1254</v>
      </c>
      <c r="E186" s="89" t="s">
        <v>1255</v>
      </c>
      <c r="F186" s="89" t="s">
        <v>1256</v>
      </c>
      <c r="G186" s="89" t="s">
        <v>110</v>
      </c>
      <c r="H186" s="89" t="s">
        <v>1257</v>
      </c>
      <c r="I186" s="89" t="s">
        <v>1257</v>
      </c>
      <c r="J186" s="89" t="s">
        <v>191</v>
      </c>
      <c r="K186" s="89">
        <v>1.0</v>
      </c>
      <c r="L186" s="89"/>
      <c r="M186" s="89"/>
      <c r="N186" s="89"/>
      <c r="O186" s="85"/>
      <c r="P186" s="89"/>
      <c r="Q186" s="137"/>
      <c r="R186" s="138"/>
      <c r="S186" s="138"/>
      <c r="T186" s="85"/>
      <c r="U186" s="85"/>
      <c r="V186" s="85"/>
      <c r="W186" s="138"/>
      <c r="X186" s="139"/>
      <c r="Y186" s="139"/>
      <c r="Z186" s="139"/>
      <c r="AA186" s="139"/>
      <c r="AB186" s="139"/>
      <c r="AC186" s="139"/>
      <c r="AD186" s="139"/>
      <c r="AE186" s="139"/>
      <c r="AF186" s="139"/>
      <c r="AG186" s="139"/>
      <c r="AH186" s="139"/>
      <c r="AI186" s="139"/>
      <c r="AJ186" s="139"/>
      <c r="AK186" s="139"/>
      <c r="AL186" s="139"/>
      <c r="AM186" s="139"/>
      <c r="AN186" s="139"/>
      <c r="AO186" s="139"/>
    </row>
    <row r="187">
      <c r="A187" s="85">
        <v>44941.0</v>
      </c>
      <c r="B187" s="86">
        <v>85.46</v>
      </c>
      <c r="C187" s="85">
        <v>44928.0</v>
      </c>
      <c r="D187" s="89" t="s">
        <v>1261</v>
      </c>
      <c r="E187" s="89" t="s">
        <v>1262</v>
      </c>
      <c r="F187" s="89" t="s">
        <v>1263</v>
      </c>
      <c r="G187" s="89" t="s">
        <v>114</v>
      </c>
      <c r="H187" s="89" t="s">
        <v>94</v>
      </c>
      <c r="I187" s="89" t="s">
        <v>94</v>
      </c>
      <c r="J187" s="89" t="s">
        <v>95</v>
      </c>
      <c r="K187" s="89"/>
      <c r="L187" s="89"/>
      <c r="M187" s="89">
        <v>1.0</v>
      </c>
      <c r="N187" s="89"/>
      <c r="O187" s="85"/>
      <c r="P187" s="89"/>
      <c r="Q187" s="137"/>
      <c r="R187" s="138"/>
      <c r="S187" s="138"/>
      <c r="T187" s="85"/>
      <c r="U187" s="85"/>
      <c r="V187" s="85"/>
      <c r="W187" s="138"/>
      <c r="X187" s="139"/>
      <c r="Y187" s="139"/>
      <c r="Z187" s="139"/>
      <c r="AA187" s="139"/>
      <c r="AB187" s="139"/>
      <c r="AC187" s="139"/>
      <c r="AD187" s="139"/>
      <c r="AE187" s="139"/>
      <c r="AF187" s="139"/>
      <c r="AG187" s="139"/>
      <c r="AH187" s="139"/>
      <c r="AI187" s="139"/>
      <c r="AJ187" s="139"/>
      <c r="AK187" s="139"/>
      <c r="AL187" s="139"/>
      <c r="AM187" s="139"/>
      <c r="AN187" s="139"/>
      <c r="AO187" s="139"/>
    </row>
    <row r="188">
      <c r="A188" s="400">
        <v>44942.0</v>
      </c>
      <c r="B188" s="401">
        <v>310.99</v>
      </c>
      <c r="C188" s="400">
        <v>44668.0</v>
      </c>
      <c r="D188" s="402" t="s">
        <v>907</v>
      </c>
      <c r="E188" s="402" t="s">
        <v>908</v>
      </c>
      <c r="F188" s="402" t="s">
        <v>909</v>
      </c>
      <c r="G188" s="402" t="s">
        <v>110</v>
      </c>
      <c r="H188" s="402" t="s">
        <v>94</v>
      </c>
      <c r="I188" s="402" t="s">
        <v>125</v>
      </c>
      <c r="J188" s="402" t="s">
        <v>95</v>
      </c>
      <c r="K188" s="402"/>
      <c r="L188" s="402">
        <v>1.0</v>
      </c>
      <c r="M188" s="402"/>
      <c r="N188" s="402">
        <v>1.0</v>
      </c>
      <c r="O188" s="400"/>
      <c r="P188" s="402"/>
      <c r="Q188" s="403"/>
      <c r="R188" s="404"/>
      <c r="S188" s="404"/>
      <c r="T188" s="400"/>
      <c r="U188" s="400"/>
      <c r="V188" s="400"/>
      <c r="W188" s="404"/>
      <c r="X188" s="405"/>
      <c r="Y188" s="405"/>
      <c r="Z188" s="405"/>
      <c r="AA188" s="405"/>
      <c r="AB188" s="405"/>
      <c r="AC188" s="405"/>
      <c r="AD188" s="405"/>
      <c r="AE188" s="405"/>
      <c r="AF188" s="405"/>
      <c r="AG188" s="405"/>
      <c r="AH188" s="405"/>
      <c r="AI188" s="405"/>
      <c r="AJ188" s="405"/>
      <c r="AK188" s="405"/>
      <c r="AL188" s="405"/>
      <c r="AM188" s="405"/>
      <c r="AN188" s="405"/>
      <c r="AO188" s="405"/>
    </row>
    <row r="189">
      <c r="A189" s="85">
        <v>44942.0</v>
      </c>
      <c r="B189" s="86">
        <v>35.27</v>
      </c>
      <c r="C189" s="85">
        <v>44934.0</v>
      </c>
      <c r="D189" s="86" t="s">
        <v>1269</v>
      </c>
      <c r="E189" s="89" t="s">
        <v>1271</v>
      </c>
      <c r="F189" s="89" t="s">
        <v>1273</v>
      </c>
      <c r="G189" s="89" t="s">
        <v>114</v>
      </c>
      <c r="H189" s="89" t="s">
        <v>94</v>
      </c>
      <c r="I189" s="89" t="s">
        <v>94</v>
      </c>
      <c r="J189" s="89" t="s">
        <v>95</v>
      </c>
      <c r="K189" s="89"/>
      <c r="L189" s="89"/>
      <c r="M189" s="89"/>
      <c r="N189" s="89">
        <v>1.0</v>
      </c>
      <c r="O189" s="85"/>
      <c r="P189" s="89"/>
      <c r="Q189" s="137"/>
      <c r="R189" s="138"/>
      <c r="S189" s="138"/>
      <c r="T189" s="85"/>
      <c r="U189" s="85"/>
      <c r="V189" s="85"/>
      <c r="W189" s="138"/>
      <c r="X189" s="139"/>
      <c r="Y189" s="139"/>
      <c r="Z189" s="139"/>
      <c r="AA189" s="139"/>
      <c r="AB189" s="139"/>
      <c r="AC189" s="139"/>
      <c r="AD189" s="139"/>
      <c r="AE189" s="139"/>
      <c r="AF189" s="139"/>
      <c r="AG189" s="139"/>
      <c r="AH189" s="139"/>
      <c r="AI189" s="139"/>
      <c r="AJ189" s="139"/>
      <c r="AK189" s="139"/>
      <c r="AL189" s="139"/>
      <c r="AM189" s="139"/>
      <c r="AN189" s="139"/>
      <c r="AO189" s="139"/>
    </row>
    <row r="190">
      <c r="A190" s="85">
        <v>44942.0</v>
      </c>
      <c r="B190" s="86">
        <v>276.48</v>
      </c>
      <c r="C190" s="85">
        <v>44683.0</v>
      </c>
      <c r="D190" s="89" t="s">
        <v>1274</v>
      </c>
      <c r="E190" s="89" t="s">
        <v>1275</v>
      </c>
      <c r="F190" s="89" t="s">
        <v>1276</v>
      </c>
      <c r="G190" s="89" t="s">
        <v>110</v>
      </c>
      <c r="H190" s="89" t="s">
        <v>94</v>
      </c>
      <c r="I190" s="89" t="s">
        <v>94</v>
      </c>
      <c r="J190" s="89" t="s">
        <v>95</v>
      </c>
      <c r="K190" s="89"/>
      <c r="L190" s="89">
        <v>1.0</v>
      </c>
      <c r="M190" s="89"/>
      <c r="N190" s="89"/>
      <c r="O190" s="85"/>
      <c r="P190" s="89"/>
      <c r="Q190" s="137"/>
      <c r="R190" s="138"/>
      <c r="S190" s="138"/>
      <c r="T190" s="85"/>
      <c r="U190" s="85"/>
      <c r="V190" s="85"/>
      <c r="W190" s="138"/>
      <c r="X190" s="139"/>
      <c r="Y190" s="139"/>
      <c r="Z190" s="139"/>
      <c r="AA190" s="139"/>
      <c r="AB190" s="139"/>
      <c r="AC190" s="139"/>
      <c r="AD190" s="139"/>
      <c r="AE190" s="139"/>
      <c r="AF190" s="139"/>
      <c r="AG190" s="139"/>
      <c r="AH190" s="139"/>
      <c r="AI190" s="139"/>
      <c r="AJ190" s="139"/>
      <c r="AK190" s="139"/>
      <c r="AL190" s="139"/>
      <c r="AM190" s="139"/>
      <c r="AN190" s="139"/>
      <c r="AO190" s="139"/>
    </row>
    <row r="191">
      <c r="A191" s="85">
        <v>44942.0</v>
      </c>
      <c r="B191" s="86">
        <v>19.29</v>
      </c>
      <c r="C191" s="85">
        <v>44677.0</v>
      </c>
      <c r="D191" s="89" t="s">
        <v>1280</v>
      </c>
      <c r="E191" s="357" t="s">
        <v>1281</v>
      </c>
      <c r="F191" s="89" t="s">
        <v>1282</v>
      </c>
      <c r="G191" s="89" t="s">
        <v>110</v>
      </c>
      <c r="H191" s="89" t="s">
        <v>94</v>
      </c>
      <c r="I191" s="89" t="s">
        <v>94</v>
      </c>
      <c r="J191" s="89" t="s">
        <v>95</v>
      </c>
      <c r="K191" s="89"/>
      <c r="L191" s="89"/>
      <c r="M191" s="89"/>
      <c r="N191" s="89">
        <v>1.0</v>
      </c>
      <c r="O191" s="85"/>
      <c r="P191" s="89"/>
      <c r="Q191" s="137"/>
      <c r="R191" s="138"/>
      <c r="S191" s="138"/>
      <c r="T191" s="85"/>
      <c r="U191" s="85"/>
      <c r="V191" s="85"/>
      <c r="W191" s="138"/>
      <c r="X191" s="139"/>
      <c r="Y191" s="139"/>
      <c r="Z191" s="139"/>
      <c r="AA191" s="139"/>
      <c r="AB191" s="139"/>
      <c r="AC191" s="139"/>
      <c r="AD191" s="139"/>
      <c r="AE191" s="139"/>
      <c r="AF191" s="139"/>
      <c r="AG191" s="139"/>
      <c r="AH191" s="139"/>
      <c r="AI191" s="139"/>
      <c r="AJ191" s="139"/>
      <c r="AK191" s="139"/>
      <c r="AL191" s="139"/>
      <c r="AM191" s="139"/>
      <c r="AN191" s="139"/>
      <c r="AO191" s="139"/>
    </row>
    <row r="192">
      <c r="A192" s="85">
        <v>44942.0</v>
      </c>
      <c r="B192" s="86">
        <v>245.03</v>
      </c>
      <c r="C192" s="85">
        <v>44921.0</v>
      </c>
      <c r="D192" s="89" t="s">
        <v>1286</v>
      </c>
      <c r="E192" s="357" t="s">
        <v>1287</v>
      </c>
      <c r="F192" s="356" t="s">
        <v>1288</v>
      </c>
      <c r="G192" s="89"/>
      <c r="H192" s="89"/>
      <c r="I192" s="89"/>
      <c r="J192" s="89"/>
      <c r="K192" s="89"/>
      <c r="L192" s="89"/>
      <c r="M192" s="89"/>
      <c r="N192" s="89"/>
      <c r="O192" s="85"/>
      <c r="P192" s="89"/>
      <c r="Q192" s="137"/>
      <c r="R192" s="138"/>
      <c r="S192" s="138"/>
      <c r="T192" s="85"/>
      <c r="U192" s="85"/>
      <c r="V192" s="85"/>
      <c r="W192" s="138"/>
      <c r="X192" s="139"/>
      <c r="Y192" s="139"/>
      <c r="Z192" s="139"/>
      <c r="AA192" s="139"/>
      <c r="AB192" s="139"/>
      <c r="AC192" s="139"/>
      <c r="AD192" s="139"/>
      <c r="AE192" s="139"/>
      <c r="AF192" s="139"/>
      <c r="AG192" s="139"/>
      <c r="AH192" s="139"/>
      <c r="AI192" s="139"/>
      <c r="AJ192" s="139"/>
      <c r="AK192" s="139"/>
      <c r="AL192" s="139"/>
      <c r="AM192" s="139"/>
      <c r="AN192" s="139"/>
      <c r="AO192" s="139"/>
    </row>
    <row r="193">
      <c r="A193" s="85">
        <v>44942.0</v>
      </c>
      <c r="B193" s="86">
        <v>80.0</v>
      </c>
      <c r="C193" s="85">
        <v>44942.0</v>
      </c>
      <c r="D193" s="89" t="s">
        <v>1289</v>
      </c>
      <c r="E193" s="89" t="s">
        <v>1290</v>
      </c>
      <c r="F193" s="89" t="s">
        <v>1291</v>
      </c>
      <c r="G193" s="89" t="s">
        <v>114</v>
      </c>
      <c r="H193" s="89" t="s">
        <v>94</v>
      </c>
      <c r="I193" s="89" t="s">
        <v>94</v>
      </c>
      <c r="J193" s="89" t="s">
        <v>95</v>
      </c>
      <c r="K193" s="89"/>
      <c r="L193" s="89"/>
      <c r="M193" s="89">
        <v>1.0</v>
      </c>
      <c r="N193" s="89"/>
      <c r="O193" s="85"/>
      <c r="P193" s="89"/>
      <c r="Q193" s="137"/>
      <c r="R193" s="138"/>
      <c r="S193" s="138"/>
      <c r="T193" s="85"/>
      <c r="U193" s="85"/>
      <c r="V193" s="85"/>
      <c r="W193" s="138"/>
      <c r="X193" s="139"/>
      <c r="Y193" s="139"/>
      <c r="Z193" s="139"/>
      <c r="AA193" s="139"/>
      <c r="AB193" s="139"/>
      <c r="AC193" s="139"/>
      <c r="AD193" s="139"/>
      <c r="AE193" s="139"/>
      <c r="AF193" s="139"/>
      <c r="AG193" s="139"/>
      <c r="AH193" s="139"/>
      <c r="AI193" s="139"/>
      <c r="AJ193" s="139"/>
      <c r="AK193" s="139"/>
      <c r="AL193" s="139"/>
      <c r="AM193" s="139"/>
      <c r="AN193" s="139"/>
      <c r="AO193" s="139"/>
    </row>
    <row r="194">
      <c r="A194" s="85">
        <v>44942.0</v>
      </c>
      <c r="B194" s="86">
        <v>36.81</v>
      </c>
      <c r="C194" s="85">
        <v>44922.0</v>
      </c>
      <c r="D194" s="89" t="s">
        <v>1295</v>
      </c>
      <c r="E194" s="89" t="s">
        <v>1296</v>
      </c>
      <c r="F194" s="89" t="s">
        <v>1297</v>
      </c>
      <c r="G194" s="89" t="s">
        <v>114</v>
      </c>
      <c r="H194" s="89" t="s">
        <v>94</v>
      </c>
      <c r="I194" s="89" t="s">
        <v>94</v>
      </c>
      <c r="J194" s="89" t="s">
        <v>95</v>
      </c>
      <c r="K194" s="89"/>
      <c r="L194" s="89"/>
      <c r="M194" s="89"/>
      <c r="N194" s="89">
        <v>1.0</v>
      </c>
      <c r="O194" s="85"/>
      <c r="P194" s="89"/>
      <c r="Q194" s="137"/>
      <c r="R194" s="138"/>
      <c r="S194" s="138"/>
      <c r="T194" s="85"/>
      <c r="U194" s="85"/>
      <c r="V194" s="85"/>
      <c r="W194" s="138"/>
      <c r="X194" s="139"/>
      <c r="Y194" s="139"/>
      <c r="Z194" s="139"/>
      <c r="AA194" s="139"/>
      <c r="AB194" s="139"/>
      <c r="AC194" s="139"/>
      <c r="AD194" s="139"/>
      <c r="AE194" s="139"/>
      <c r="AF194" s="139"/>
      <c r="AG194" s="139"/>
      <c r="AH194" s="139"/>
      <c r="AI194" s="139"/>
      <c r="AJ194" s="139"/>
      <c r="AK194" s="139"/>
      <c r="AL194" s="139"/>
      <c r="AM194" s="139"/>
      <c r="AN194" s="139"/>
      <c r="AO194" s="139"/>
    </row>
    <row r="195">
      <c r="A195" s="85">
        <v>44942.0</v>
      </c>
      <c r="B195" s="86">
        <v>84.8</v>
      </c>
      <c r="C195" s="85">
        <v>44905.0</v>
      </c>
      <c r="D195" s="89" t="s">
        <v>1301</v>
      </c>
      <c r="E195" s="89" t="s">
        <v>1302</v>
      </c>
      <c r="F195" s="89" t="s">
        <v>1303</v>
      </c>
      <c r="G195" s="89" t="s">
        <v>114</v>
      </c>
      <c r="H195" s="89" t="s">
        <v>94</v>
      </c>
      <c r="I195" s="89" t="s">
        <v>94</v>
      </c>
      <c r="J195" s="89" t="s">
        <v>95</v>
      </c>
      <c r="K195" s="89"/>
      <c r="L195" s="89"/>
      <c r="M195" s="89">
        <v>1.0</v>
      </c>
      <c r="N195" s="89"/>
      <c r="O195" s="85"/>
      <c r="P195" s="89"/>
      <c r="Q195" s="137"/>
      <c r="R195" s="138"/>
      <c r="S195" s="138"/>
      <c r="T195" s="85"/>
      <c r="U195" s="85"/>
      <c r="V195" s="85"/>
      <c r="W195" s="138"/>
      <c r="X195" s="139"/>
      <c r="Y195" s="139"/>
      <c r="Z195" s="139"/>
      <c r="AA195" s="139"/>
      <c r="AB195" s="139"/>
      <c r="AC195" s="139"/>
      <c r="AD195" s="139"/>
      <c r="AE195" s="139"/>
      <c r="AF195" s="139"/>
      <c r="AG195" s="139"/>
      <c r="AH195" s="139"/>
      <c r="AI195" s="139"/>
      <c r="AJ195" s="139"/>
      <c r="AK195" s="139"/>
      <c r="AL195" s="139"/>
      <c r="AM195" s="139"/>
      <c r="AN195" s="139"/>
      <c r="AO195" s="139"/>
    </row>
    <row r="196">
      <c r="A196" s="85">
        <v>44942.0</v>
      </c>
      <c r="B196" s="86">
        <v>509.0</v>
      </c>
      <c r="C196" s="85">
        <v>44919.0</v>
      </c>
      <c r="D196" s="89" t="s">
        <v>1304</v>
      </c>
      <c r="E196" s="89" t="s">
        <v>1305</v>
      </c>
      <c r="F196" s="89" t="s">
        <v>1306</v>
      </c>
      <c r="G196" s="89" t="s">
        <v>141</v>
      </c>
      <c r="H196" s="89" t="s">
        <v>94</v>
      </c>
      <c r="I196" s="89" t="s">
        <v>94</v>
      </c>
      <c r="J196" s="89" t="s">
        <v>328</v>
      </c>
      <c r="K196" s="89">
        <v>1.0</v>
      </c>
      <c r="L196" s="89"/>
      <c r="M196" s="89">
        <v>4.0</v>
      </c>
      <c r="N196" s="89"/>
      <c r="O196" s="85"/>
      <c r="P196" s="89"/>
      <c r="Q196" s="137"/>
      <c r="R196" s="138"/>
      <c r="S196" s="138"/>
      <c r="T196" s="85"/>
      <c r="U196" s="85"/>
      <c r="V196" s="85"/>
      <c r="W196" s="138"/>
      <c r="X196" s="139"/>
      <c r="Y196" s="139"/>
      <c r="Z196" s="139"/>
      <c r="AA196" s="139"/>
      <c r="AB196" s="139"/>
      <c r="AC196" s="139"/>
      <c r="AD196" s="139"/>
      <c r="AE196" s="139"/>
      <c r="AF196" s="139"/>
      <c r="AG196" s="139"/>
      <c r="AH196" s="139"/>
      <c r="AI196" s="139"/>
      <c r="AJ196" s="139"/>
      <c r="AK196" s="139"/>
      <c r="AL196" s="139"/>
      <c r="AM196" s="139"/>
      <c r="AN196" s="139"/>
      <c r="AO196" s="139"/>
    </row>
    <row r="197">
      <c r="A197" s="85">
        <v>44942.0</v>
      </c>
      <c r="B197" s="86">
        <v>121.13</v>
      </c>
      <c r="C197" s="85">
        <v>44923.0</v>
      </c>
      <c r="D197" s="89" t="s">
        <v>1311</v>
      </c>
      <c r="E197" s="89" t="s">
        <v>1312</v>
      </c>
      <c r="F197" s="89" t="s">
        <v>1313</v>
      </c>
      <c r="G197" s="89" t="s">
        <v>114</v>
      </c>
      <c r="H197" s="89" t="s">
        <v>94</v>
      </c>
      <c r="I197" s="89" t="s">
        <v>94</v>
      </c>
      <c r="J197" s="89" t="s">
        <v>95</v>
      </c>
      <c r="K197" s="89"/>
      <c r="L197" s="89"/>
      <c r="M197" s="89">
        <v>1.0</v>
      </c>
      <c r="N197" s="89">
        <v>1.0</v>
      </c>
      <c r="O197" s="85"/>
      <c r="P197" s="89"/>
      <c r="Q197" s="137"/>
      <c r="R197" s="138"/>
      <c r="S197" s="138"/>
      <c r="T197" s="85"/>
      <c r="U197" s="85"/>
      <c r="V197" s="85"/>
      <c r="W197" s="138"/>
      <c r="X197" s="139"/>
      <c r="Y197" s="139"/>
      <c r="Z197" s="139"/>
      <c r="AA197" s="139"/>
      <c r="AB197" s="139"/>
      <c r="AC197" s="139"/>
      <c r="AD197" s="139"/>
      <c r="AE197" s="139"/>
      <c r="AF197" s="139"/>
      <c r="AG197" s="139"/>
      <c r="AH197" s="139"/>
      <c r="AI197" s="139"/>
      <c r="AJ197" s="139"/>
      <c r="AK197" s="139"/>
      <c r="AL197" s="139"/>
      <c r="AM197" s="139"/>
      <c r="AN197" s="139"/>
      <c r="AO197" s="139"/>
    </row>
    <row r="198">
      <c r="A198" s="85">
        <v>44942.0</v>
      </c>
      <c r="B198" s="86">
        <v>268.18</v>
      </c>
      <c r="C198" s="85">
        <v>44927.0</v>
      </c>
      <c r="D198" s="89" t="s">
        <v>1317</v>
      </c>
      <c r="E198" s="89" t="s">
        <v>1318</v>
      </c>
      <c r="F198" s="89" t="s">
        <v>1319</v>
      </c>
      <c r="G198" s="89" t="s">
        <v>110</v>
      </c>
      <c r="H198" s="89" t="s">
        <v>94</v>
      </c>
      <c r="I198" s="89" t="s">
        <v>94</v>
      </c>
      <c r="J198" s="89" t="s">
        <v>95</v>
      </c>
      <c r="K198" s="89">
        <v>1.0</v>
      </c>
      <c r="L198" s="89"/>
      <c r="M198" s="89"/>
      <c r="N198" s="89">
        <v>1.0</v>
      </c>
      <c r="O198" s="85"/>
      <c r="P198" s="89">
        <v>1.0</v>
      </c>
      <c r="Q198" s="137"/>
      <c r="R198" s="138"/>
      <c r="S198" s="138"/>
      <c r="T198" s="85"/>
      <c r="U198" s="85"/>
      <c r="V198" s="85"/>
      <c r="W198" s="138"/>
      <c r="X198" s="139"/>
      <c r="Y198" s="139"/>
      <c r="Z198" s="139"/>
      <c r="AA198" s="139"/>
      <c r="AB198" s="139"/>
      <c r="AC198" s="139"/>
      <c r="AD198" s="139"/>
      <c r="AE198" s="139"/>
      <c r="AF198" s="139"/>
      <c r="AG198" s="139"/>
      <c r="AH198" s="139"/>
      <c r="AI198" s="139"/>
      <c r="AJ198" s="139"/>
      <c r="AK198" s="139"/>
      <c r="AL198" s="139"/>
      <c r="AM198" s="139"/>
      <c r="AN198" s="139"/>
      <c r="AO198" s="139"/>
    </row>
    <row r="199">
      <c r="A199" s="85">
        <v>44942.0</v>
      </c>
      <c r="B199" s="86">
        <v>355.62</v>
      </c>
      <c r="C199" s="85">
        <v>45284.0</v>
      </c>
      <c r="D199" s="89" t="s">
        <v>1323</v>
      </c>
      <c r="E199" s="89" t="s">
        <v>1324</v>
      </c>
      <c r="F199" s="89" t="s">
        <v>1325</v>
      </c>
      <c r="G199" s="89" t="s">
        <v>110</v>
      </c>
      <c r="H199" s="89" t="s">
        <v>94</v>
      </c>
      <c r="I199" s="89" t="s">
        <v>94</v>
      </c>
      <c r="J199" s="89" t="s">
        <v>95</v>
      </c>
      <c r="K199" s="89">
        <v>1.0</v>
      </c>
      <c r="L199" s="89"/>
      <c r="M199" s="89">
        <v>1.0</v>
      </c>
      <c r="N199" s="89">
        <v>1.0</v>
      </c>
      <c r="O199" s="85"/>
      <c r="P199" s="89"/>
      <c r="Q199" s="137"/>
      <c r="R199" s="138"/>
      <c r="S199" s="138"/>
      <c r="T199" s="85"/>
      <c r="U199" s="85"/>
      <c r="V199" s="85"/>
      <c r="W199" s="138"/>
      <c r="X199" s="139"/>
      <c r="Y199" s="139"/>
      <c r="Z199" s="139"/>
      <c r="AA199" s="139"/>
      <c r="AB199" s="139"/>
      <c r="AC199" s="139"/>
      <c r="AD199" s="139"/>
      <c r="AE199" s="139"/>
      <c r="AF199" s="139"/>
      <c r="AG199" s="139"/>
      <c r="AH199" s="139"/>
      <c r="AI199" s="139"/>
      <c r="AJ199" s="139"/>
      <c r="AK199" s="139"/>
      <c r="AL199" s="139"/>
      <c r="AM199" s="139"/>
      <c r="AN199" s="139"/>
      <c r="AO199" s="139"/>
    </row>
    <row r="200">
      <c r="A200" s="85">
        <v>44932.0</v>
      </c>
      <c r="B200" s="86">
        <v>230.94</v>
      </c>
      <c r="C200" s="85">
        <v>44862.0</v>
      </c>
      <c r="D200" s="89" t="s">
        <v>1326</v>
      </c>
      <c r="E200" s="89" t="s">
        <v>1327</v>
      </c>
      <c r="F200" s="89" t="s">
        <v>1328</v>
      </c>
      <c r="G200" s="89" t="s">
        <v>114</v>
      </c>
      <c r="H200" s="89" t="s">
        <v>94</v>
      </c>
      <c r="I200" s="89" t="s">
        <v>94</v>
      </c>
      <c r="J200" s="89" t="s">
        <v>95</v>
      </c>
      <c r="K200" s="89">
        <v>1.0</v>
      </c>
      <c r="L200" s="89"/>
      <c r="M200" s="89"/>
      <c r="N200" s="89"/>
      <c r="O200" s="85"/>
      <c r="P200" s="89"/>
      <c r="Q200" s="137"/>
      <c r="R200" s="138"/>
      <c r="S200" s="138"/>
      <c r="T200" s="85"/>
      <c r="U200" s="85"/>
      <c r="V200" s="85"/>
      <c r="W200" s="138"/>
      <c r="X200" s="139"/>
      <c r="Y200" s="139"/>
      <c r="Z200" s="139"/>
      <c r="AA200" s="139"/>
      <c r="AB200" s="139"/>
      <c r="AC200" s="139"/>
      <c r="AD200" s="139"/>
      <c r="AE200" s="139"/>
      <c r="AF200" s="139"/>
      <c r="AG200" s="139"/>
      <c r="AH200" s="139"/>
      <c r="AI200" s="139"/>
      <c r="AJ200" s="139"/>
      <c r="AK200" s="139"/>
      <c r="AL200" s="139"/>
      <c r="AM200" s="139"/>
      <c r="AN200" s="139"/>
      <c r="AO200" s="139"/>
    </row>
    <row r="201">
      <c r="A201" s="85">
        <v>44932.0</v>
      </c>
      <c r="B201" s="86">
        <v>319.18</v>
      </c>
      <c r="C201" s="85">
        <v>44919.0</v>
      </c>
      <c r="D201" s="89" t="s">
        <v>1332</v>
      </c>
      <c r="E201" s="89" t="s">
        <v>1333</v>
      </c>
      <c r="F201" s="89" t="s">
        <v>1334</v>
      </c>
      <c r="G201" s="89" t="s">
        <v>110</v>
      </c>
      <c r="H201" s="89" t="s">
        <v>94</v>
      </c>
      <c r="I201" s="89" t="s">
        <v>94</v>
      </c>
      <c r="J201" s="89" t="s">
        <v>95</v>
      </c>
      <c r="K201" s="89">
        <v>1.0</v>
      </c>
      <c r="L201" s="89"/>
      <c r="M201" s="89"/>
      <c r="N201" s="89"/>
      <c r="O201" s="85"/>
      <c r="P201" s="89"/>
      <c r="Q201" s="137"/>
      <c r="R201" s="138"/>
      <c r="S201" s="138"/>
      <c r="T201" s="85"/>
      <c r="U201" s="85"/>
      <c r="V201" s="85"/>
      <c r="W201" s="138"/>
      <c r="X201" s="139"/>
      <c r="Y201" s="139"/>
      <c r="Z201" s="139"/>
      <c r="AA201" s="139"/>
      <c r="AB201" s="139"/>
      <c r="AC201" s="139"/>
      <c r="AD201" s="139"/>
      <c r="AE201" s="139"/>
      <c r="AF201" s="139"/>
      <c r="AG201" s="139"/>
      <c r="AH201" s="139"/>
      <c r="AI201" s="139"/>
      <c r="AJ201" s="139"/>
      <c r="AK201" s="139"/>
      <c r="AL201" s="139"/>
      <c r="AM201" s="139"/>
      <c r="AN201" s="139"/>
      <c r="AO201" s="139"/>
    </row>
    <row r="202">
      <c r="A202" s="85">
        <v>44943.0</v>
      </c>
      <c r="B202" s="86">
        <v>94.0</v>
      </c>
      <c r="C202" s="85">
        <v>44856.0</v>
      </c>
      <c r="D202" s="89" t="s">
        <v>1339</v>
      </c>
      <c r="E202" s="89" t="s">
        <v>1340</v>
      </c>
      <c r="F202" s="89" t="s">
        <v>1341</v>
      </c>
      <c r="G202" s="89" t="s">
        <v>114</v>
      </c>
      <c r="H202" s="89" t="s">
        <v>94</v>
      </c>
      <c r="I202" s="89" t="s">
        <v>94</v>
      </c>
      <c r="J202" s="89" t="s">
        <v>95</v>
      </c>
      <c r="K202" s="89"/>
      <c r="L202" s="89"/>
      <c r="M202" s="89">
        <v>1.0</v>
      </c>
      <c r="N202" s="89">
        <v>1.0</v>
      </c>
      <c r="O202" s="85"/>
      <c r="P202" s="89">
        <v>1.0</v>
      </c>
      <c r="Q202" s="137"/>
      <c r="R202" s="138"/>
      <c r="S202" s="138"/>
      <c r="T202" s="85"/>
      <c r="U202" s="85"/>
      <c r="V202" s="85"/>
      <c r="W202" s="138"/>
      <c r="X202" s="139"/>
      <c r="Y202" s="139"/>
      <c r="Z202" s="139"/>
      <c r="AA202" s="139"/>
      <c r="AB202" s="139"/>
      <c r="AC202" s="139"/>
      <c r="AD202" s="139"/>
      <c r="AE202" s="139"/>
      <c r="AF202" s="139"/>
      <c r="AG202" s="139"/>
      <c r="AH202" s="139"/>
      <c r="AI202" s="139"/>
      <c r="AJ202" s="139"/>
      <c r="AK202" s="139"/>
      <c r="AL202" s="139"/>
      <c r="AM202" s="139"/>
      <c r="AN202" s="139"/>
      <c r="AO202" s="139"/>
    </row>
    <row r="203">
      <c r="A203" s="85">
        <v>44943.0</v>
      </c>
      <c r="B203" s="86">
        <v>36.04</v>
      </c>
      <c r="C203" s="85">
        <v>44576.0</v>
      </c>
      <c r="D203" s="89" t="s">
        <v>1346</v>
      </c>
      <c r="E203" s="89" t="s">
        <v>1347</v>
      </c>
      <c r="F203" s="89" t="s">
        <v>1348</v>
      </c>
      <c r="G203" s="89" t="s">
        <v>114</v>
      </c>
      <c r="H203" s="89" t="s">
        <v>94</v>
      </c>
      <c r="I203" s="89" t="s">
        <v>94</v>
      </c>
      <c r="J203" s="89" t="s">
        <v>95</v>
      </c>
      <c r="K203" s="89"/>
      <c r="L203" s="89"/>
      <c r="M203" s="89"/>
      <c r="N203" s="89">
        <v>1.0</v>
      </c>
      <c r="O203" s="85"/>
      <c r="P203" s="89"/>
      <c r="Q203" s="137"/>
      <c r="R203" s="138"/>
      <c r="S203" s="138"/>
      <c r="T203" s="85"/>
      <c r="U203" s="85"/>
      <c r="V203" s="85"/>
      <c r="W203" s="138"/>
      <c r="X203" s="139"/>
      <c r="Y203" s="139"/>
      <c r="Z203" s="139"/>
      <c r="AA203" s="139"/>
      <c r="AB203" s="139"/>
      <c r="AC203" s="139"/>
      <c r="AD203" s="139"/>
      <c r="AE203" s="139"/>
      <c r="AF203" s="139"/>
      <c r="AG203" s="139"/>
      <c r="AH203" s="139"/>
      <c r="AI203" s="139"/>
      <c r="AJ203" s="139"/>
      <c r="AK203" s="139"/>
      <c r="AL203" s="139"/>
      <c r="AM203" s="139"/>
      <c r="AN203" s="139"/>
      <c r="AO203" s="139"/>
    </row>
    <row r="204">
      <c r="A204" s="85">
        <v>44943.0</v>
      </c>
      <c r="B204" s="86">
        <v>361.06</v>
      </c>
      <c r="C204" s="85">
        <v>44842.0</v>
      </c>
      <c r="D204" s="89" t="s">
        <v>1349</v>
      </c>
      <c r="E204" s="89" t="s">
        <v>1350</v>
      </c>
      <c r="F204" s="89" t="s">
        <v>1351</v>
      </c>
      <c r="G204" s="89" t="s">
        <v>110</v>
      </c>
      <c r="H204" s="89" t="s">
        <v>94</v>
      </c>
      <c r="I204" s="89" t="s">
        <v>94</v>
      </c>
      <c r="J204" s="89" t="s">
        <v>95</v>
      </c>
      <c r="K204" s="89">
        <v>1.0</v>
      </c>
      <c r="L204" s="89"/>
      <c r="M204" s="89">
        <v>1.0</v>
      </c>
      <c r="N204" s="89">
        <v>1.0</v>
      </c>
      <c r="O204" s="85"/>
      <c r="P204" s="89">
        <v>1.0</v>
      </c>
      <c r="Q204" s="137">
        <v>1.0</v>
      </c>
      <c r="R204" s="138"/>
      <c r="S204" s="138"/>
      <c r="T204" s="85"/>
      <c r="U204" s="85"/>
      <c r="V204" s="85"/>
      <c r="W204" s="138"/>
      <c r="X204" s="139"/>
      <c r="Y204" s="139"/>
      <c r="Z204" s="139"/>
      <c r="AA204" s="139"/>
      <c r="AB204" s="139"/>
      <c r="AC204" s="139"/>
      <c r="AD204" s="139"/>
      <c r="AE204" s="139"/>
      <c r="AF204" s="139"/>
      <c r="AG204" s="139"/>
      <c r="AH204" s="139"/>
      <c r="AI204" s="139"/>
      <c r="AJ204" s="139"/>
      <c r="AK204" s="139"/>
      <c r="AL204" s="139"/>
      <c r="AM204" s="139"/>
      <c r="AN204" s="139"/>
      <c r="AO204" s="139"/>
    </row>
    <row r="205" ht="21.0" customHeight="1">
      <c r="A205" s="85">
        <v>44943.0</v>
      </c>
      <c r="B205" s="86">
        <v>35.44</v>
      </c>
      <c r="C205" s="85">
        <v>44921.0</v>
      </c>
      <c r="D205" s="89" t="s">
        <v>1355</v>
      </c>
      <c r="E205" s="1" t="s">
        <v>1356</v>
      </c>
      <c r="F205" s="89" t="s">
        <v>1357</v>
      </c>
      <c r="G205" s="89" t="s">
        <v>114</v>
      </c>
      <c r="H205" s="89" t="s">
        <v>94</v>
      </c>
      <c r="I205" s="89" t="s">
        <v>94</v>
      </c>
      <c r="J205" s="89" t="s">
        <v>95</v>
      </c>
      <c r="K205" s="89"/>
      <c r="L205" s="89"/>
      <c r="M205" s="89"/>
      <c r="N205" s="89">
        <v>1.0</v>
      </c>
      <c r="O205" s="85"/>
      <c r="P205" s="89"/>
      <c r="Q205" s="137"/>
      <c r="R205" s="138"/>
      <c r="S205" s="138"/>
      <c r="T205" s="85"/>
      <c r="U205" s="85"/>
      <c r="V205" s="85"/>
      <c r="W205" s="138"/>
      <c r="X205" s="139"/>
      <c r="Y205" s="139"/>
      <c r="Z205" s="139"/>
      <c r="AA205" s="139"/>
      <c r="AB205" s="139"/>
      <c r="AC205" s="139"/>
      <c r="AD205" s="139"/>
      <c r="AE205" s="139"/>
      <c r="AF205" s="139"/>
      <c r="AG205" s="139"/>
      <c r="AH205" s="139"/>
      <c r="AI205" s="139"/>
      <c r="AJ205" s="139"/>
      <c r="AK205" s="139"/>
      <c r="AL205" s="139"/>
      <c r="AM205" s="139"/>
      <c r="AN205" s="139"/>
      <c r="AO205" s="139"/>
    </row>
    <row r="206">
      <c r="A206" s="85">
        <v>44943.0</v>
      </c>
      <c r="B206" s="86">
        <v>26.1</v>
      </c>
      <c r="C206" s="85">
        <v>44924.0</v>
      </c>
      <c r="D206" s="89" t="s">
        <v>1361</v>
      </c>
      <c r="E206" s="89" t="s">
        <v>1362</v>
      </c>
      <c r="F206" s="89" t="s">
        <v>1363</v>
      </c>
      <c r="G206" s="89" t="s">
        <v>114</v>
      </c>
      <c r="H206" s="89" t="s">
        <v>94</v>
      </c>
      <c r="I206" s="89" t="s">
        <v>94</v>
      </c>
      <c r="J206" s="89" t="s">
        <v>95</v>
      </c>
      <c r="K206" s="89"/>
      <c r="L206" s="89"/>
      <c r="M206" s="89"/>
      <c r="N206" s="89">
        <v>1.0</v>
      </c>
      <c r="O206" s="85"/>
      <c r="P206" s="89"/>
      <c r="Q206" s="137"/>
      <c r="R206" s="138"/>
      <c r="S206" s="138"/>
      <c r="T206" s="85"/>
      <c r="U206" s="85"/>
      <c r="V206" s="85"/>
      <c r="W206" s="138"/>
      <c r="X206" s="139"/>
      <c r="Y206" s="139"/>
      <c r="Z206" s="139"/>
      <c r="AA206" s="139"/>
      <c r="AB206" s="139"/>
      <c r="AC206" s="139"/>
      <c r="AD206" s="139"/>
      <c r="AE206" s="139"/>
      <c r="AF206" s="139"/>
      <c r="AG206" s="139"/>
      <c r="AH206" s="139"/>
      <c r="AI206" s="139"/>
      <c r="AJ206" s="139"/>
      <c r="AK206" s="139"/>
      <c r="AL206" s="139"/>
      <c r="AM206" s="139"/>
      <c r="AN206" s="139"/>
      <c r="AO206" s="139"/>
    </row>
    <row r="207">
      <c r="A207" s="85">
        <v>44943.0</v>
      </c>
      <c r="B207" s="333">
        <v>576.4</v>
      </c>
      <c r="C207" s="85">
        <v>44206.0</v>
      </c>
      <c r="D207" s="1" t="s">
        <v>1364</v>
      </c>
      <c r="E207" s="89" t="s">
        <v>1365</v>
      </c>
      <c r="F207" s="89" t="s">
        <v>1366</v>
      </c>
      <c r="G207" s="89" t="s">
        <v>114</v>
      </c>
      <c r="H207" s="89" t="s">
        <v>170</v>
      </c>
      <c r="I207" s="89" t="s">
        <v>135</v>
      </c>
      <c r="J207" s="89" t="s">
        <v>191</v>
      </c>
      <c r="K207" s="89"/>
      <c r="L207" s="89">
        <v>2.0</v>
      </c>
      <c r="M207" s="89"/>
      <c r="N207" s="89">
        <v>2.0</v>
      </c>
      <c r="O207" s="89">
        <v>2.0</v>
      </c>
      <c r="P207" s="89">
        <v>2.0</v>
      </c>
      <c r="Q207" s="137"/>
      <c r="R207" s="138"/>
      <c r="S207" s="138"/>
      <c r="T207" s="85"/>
      <c r="U207" s="85"/>
      <c r="V207" s="85"/>
      <c r="W207" s="138"/>
      <c r="X207" s="139"/>
      <c r="Y207" s="139"/>
      <c r="Z207" s="139"/>
      <c r="AA207" s="139"/>
      <c r="AB207" s="139"/>
      <c r="AC207" s="139"/>
      <c r="AD207" s="139"/>
      <c r="AE207" s="139"/>
      <c r="AF207" s="139"/>
      <c r="AG207" s="139"/>
      <c r="AH207" s="139"/>
      <c r="AI207" s="139"/>
      <c r="AJ207" s="139"/>
      <c r="AK207" s="139"/>
      <c r="AL207" s="139"/>
      <c r="AM207" s="139"/>
      <c r="AN207" s="139"/>
      <c r="AO207" s="139"/>
    </row>
    <row r="208">
      <c r="A208" s="85">
        <v>44943.0</v>
      </c>
      <c r="B208" s="86">
        <v>281.0</v>
      </c>
      <c r="C208" s="85">
        <v>44626.0</v>
      </c>
      <c r="D208" s="89" t="s">
        <v>1371</v>
      </c>
      <c r="E208" s="89" t="s">
        <v>1372</v>
      </c>
      <c r="F208" s="89" t="s">
        <v>1373</v>
      </c>
      <c r="G208" s="89" t="s">
        <v>114</v>
      </c>
      <c r="H208" s="89" t="s">
        <v>170</v>
      </c>
      <c r="I208" s="89" t="s">
        <v>135</v>
      </c>
      <c r="J208" s="89" t="s">
        <v>574</v>
      </c>
      <c r="K208" s="89"/>
      <c r="L208" s="89">
        <v>1.0</v>
      </c>
      <c r="M208" s="89"/>
      <c r="N208" s="89"/>
      <c r="O208" s="85"/>
      <c r="P208" s="89"/>
      <c r="Q208" s="137"/>
      <c r="R208" s="138"/>
      <c r="S208" s="138"/>
      <c r="T208" s="85"/>
      <c r="U208" s="85"/>
      <c r="V208" s="85"/>
      <c r="W208" s="138"/>
      <c r="X208" s="139"/>
      <c r="Y208" s="139"/>
      <c r="Z208" s="139"/>
      <c r="AA208" s="139"/>
      <c r="AB208" s="139"/>
      <c r="AC208" s="139"/>
      <c r="AD208" s="139"/>
      <c r="AE208" s="139"/>
      <c r="AF208" s="139"/>
      <c r="AG208" s="139"/>
      <c r="AH208" s="139"/>
      <c r="AI208" s="139"/>
      <c r="AJ208" s="139"/>
      <c r="AK208" s="139"/>
      <c r="AL208" s="139"/>
      <c r="AM208" s="139"/>
      <c r="AN208" s="139"/>
      <c r="AO208" s="139"/>
    </row>
    <row r="209">
      <c r="A209" s="85">
        <v>44943.0</v>
      </c>
      <c r="B209" s="86">
        <v>184.6</v>
      </c>
      <c r="C209" s="85">
        <v>44160.0</v>
      </c>
      <c r="D209" s="89" t="s">
        <v>1378</v>
      </c>
      <c r="E209" s="89" t="s">
        <v>1379</v>
      </c>
      <c r="F209" s="89" t="s">
        <v>1380</v>
      </c>
      <c r="G209" s="89" t="s">
        <v>114</v>
      </c>
      <c r="H209" s="89" t="s">
        <v>170</v>
      </c>
      <c r="I209" s="89" t="s">
        <v>170</v>
      </c>
      <c r="J209" s="89" t="s">
        <v>1381</v>
      </c>
      <c r="K209" s="89">
        <v>1.0</v>
      </c>
      <c r="L209" s="89"/>
      <c r="M209" s="89"/>
      <c r="N209" s="89">
        <v>1.0</v>
      </c>
      <c r="O209" s="85"/>
      <c r="P209" s="89"/>
      <c r="Q209" s="137"/>
      <c r="R209" s="138"/>
      <c r="S209" s="138"/>
      <c r="T209" s="85"/>
      <c r="U209" s="85"/>
      <c r="V209" s="85"/>
      <c r="W209" s="138"/>
      <c r="X209" s="139"/>
      <c r="Y209" s="139"/>
      <c r="Z209" s="139"/>
      <c r="AA209" s="139"/>
      <c r="AB209" s="139"/>
      <c r="AC209" s="139"/>
      <c r="AD209" s="139"/>
      <c r="AE209" s="139"/>
      <c r="AF209" s="139"/>
      <c r="AG209" s="139"/>
      <c r="AH209" s="139"/>
      <c r="AI209" s="139"/>
      <c r="AJ209" s="139"/>
      <c r="AK209" s="139"/>
      <c r="AL209" s="139"/>
      <c r="AM209" s="139"/>
      <c r="AN209" s="139"/>
      <c r="AO209" s="139"/>
    </row>
    <row r="210">
      <c r="A210" s="85">
        <v>44943.0</v>
      </c>
      <c r="B210" s="333">
        <v>36.72</v>
      </c>
      <c r="C210" s="85">
        <v>44884.0</v>
      </c>
      <c r="D210" s="89" t="s">
        <v>1385</v>
      </c>
      <c r="E210" s="89" t="s">
        <v>1386</v>
      </c>
      <c r="F210" s="89" t="s">
        <v>1387</v>
      </c>
      <c r="G210" s="89" t="s">
        <v>114</v>
      </c>
      <c r="H210" s="89" t="s">
        <v>94</v>
      </c>
      <c r="I210" s="89" t="s">
        <v>94</v>
      </c>
      <c r="J210" s="89" t="s">
        <v>95</v>
      </c>
      <c r="K210" s="89"/>
      <c r="L210" s="89"/>
      <c r="M210" s="89"/>
      <c r="N210" s="89">
        <v>1.0</v>
      </c>
      <c r="O210" s="85"/>
      <c r="P210" s="89"/>
      <c r="Q210" s="137"/>
      <c r="R210" s="138"/>
      <c r="S210" s="138"/>
      <c r="T210" s="85"/>
      <c r="U210" s="85"/>
      <c r="V210" s="85"/>
      <c r="W210" s="138"/>
      <c r="X210" s="139"/>
      <c r="Y210" s="139"/>
      <c r="Z210" s="139"/>
      <c r="AA210" s="139"/>
      <c r="AB210" s="139"/>
      <c r="AC210" s="139"/>
      <c r="AD210" s="139"/>
      <c r="AE210" s="139"/>
      <c r="AF210" s="139"/>
      <c r="AG210" s="139"/>
      <c r="AH210" s="139"/>
      <c r="AI210" s="139"/>
      <c r="AJ210" s="139"/>
      <c r="AK210" s="139"/>
      <c r="AL210" s="139"/>
      <c r="AM210" s="139"/>
      <c r="AN210" s="139"/>
      <c r="AO210" s="139"/>
    </row>
    <row r="211">
      <c r="A211" s="85">
        <v>44943.0</v>
      </c>
      <c r="B211" s="86">
        <v>315.14</v>
      </c>
      <c r="C211" s="85">
        <v>44908.0</v>
      </c>
      <c r="D211" s="89" t="s">
        <v>1388</v>
      </c>
      <c r="E211" s="89" t="s">
        <v>1389</v>
      </c>
      <c r="F211" s="89" t="s">
        <v>1390</v>
      </c>
      <c r="G211" s="89" t="s">
        <v>110</v>
      </c>
      <c r="H211" s="89" t="s">
        <v>94</v>
      </c>
      <c r="I211" s="89" t="s">
        <v>94</v>
      </c>
      <c r="J211" s="89" t="s">
        <v>95</v>
      </c>
      <c r="K211" s="89">
        <v>1.0</v>
      </c>
      <c r="L211" s="89"/>
      <c r="M211" s="89">
        <v>1.0</v>
      </c>
      <c r="N211" s="89"/>
      <c r="O211" s="85"/>
      <c r="P211" s="89">
        <v>1.0</v>
      </c>
      <c r="Q211" s="137"/>
      <c r="R211" s="138"/>
      <c r="S211" s="138"/>
      <c r="T211" s="85"/>
      <c r="U211" s="85"/>
      <c r="V211" s="85"/>
      <c r="W211" s="138"/>
      <c r="X211" s="139"/>
      <c r="Y211" s="139"/>
      <c r="Z211" s="139"/>
      <c r="AA211" s="139"/>
      <c r="AB211" s="139"/>
      <c r="AC211" s="139"/>
      <c r="AD211" s="139"/>
      <c r="AE211" s="139"/>
      <c r="AF211" s="139"/>
      <c r="AG211" s="139"/>
      <c r="AH211" s="139"/>
      <c r="AI211" s="139"/>
      <c r="AJ211" s="139"/>
      <c r="AK211" s="139"/>
      <c r="AL211" s="139"/>
      <c r="AM211" s="139"/>
      <c r="AN211" s="139"/>
      <c r="AO211" s="139"/>
    </row>
    <row r="212">
      <c r="A212" s="85">
        <v>44943.0</v>
      </c>
      <c r="B212" s="86">
        <v>35.27</v>
      </c>
      <c r="C212" s="85">
        <v>44886.0</v>
      </c>
      <c r="D212" s="89" t="s">
        <v>1394</v>
      </c>
      <c r="E212" s="89" t="s">
        <v>1395</v>
      </c>
      <c r="F212" s="89" t="s">
        <v>1396</v>
      </c>
      <c r="G212" s="89" t="s">
        <v>114</v>
      </c>
      <c r="H212" s="89" t="s">
        <v>94</v>
      </c>
      <c r="I212" s="89" t="s">
        <v>94</v>
      </c>
      <c r="J212" s="89" t="s">
        <v>95</v>
      </c>
      <c r="K212" s="89"/>
      <c r="L212" s="89"/>
      <c r="M212" s="89"/>
      <c r="N212" s="89">
        <v>1.0</v>
      </c>
      <c r="O212" s="85"/>
      <c r="P212" s="89"/>
      <c r="Q212" s="137"/>
      <c r="R212" s="138"/>
      <c r="S212" s="138"/>
      <c r="T212" s="85"/>
      <c r="U212" s="85"/>
      <c r="V212" s="85"/>
      <c r="W212" s="138"/>
      <c r="X212" s="139"/>
      <c r="Y212" s="139"/>
      <c r="Z212" s="139"/>
      <c r="AA212" s="139"/>
      <c r="AB212" s="139"/>
      <c r="AC212" s="139"/>
      <c r="AD212" s="139"/>
      <c r="AE212" s="139"/>
      <c r="AF212" s="139"/>
      <c r="AG212" s="139"/>
      <c r="AH212" s="139"/>
      <c r="AI212" s="139"/>
      <c r="AJ212" s="139"/>
      <c r="AK212" s="139"/>
      <c r="AL212" s="139"/>
      <c r="AM212" s="139"/>
      <c r="AN212" s="139"/>
      <c r="AO212" s="139"/>
    </row>
    <row r="213">
      <c r="A213" s="85">
        <v>44943.0</v>
      </c>
      <c r="B213" s="86">
        <v>251.33</v>
      </c>
      <c r="C213" s="85">
        <v>44896.0</v>
      </c>
      <c r="D213" s="89" t="s">
        <v>1400</v>
      </c>
      <c r="E213" s="89" t="s">
        <v>1401</v>
      </c>
      <c r="F213" s="89" t="s">
        <v>1402</v>
      </c>
      <c r="G213" s="89" t="s">
        <v>114</v>
      </c>
      <c r="H213" s="89" t="s">
        <v>94</v>
      </c>
      <c r="I213" s="89" t="s">
        <v>94</v>
      </c>
      <c r="J213" s="89" t="s">
        <v>95</v>
      </c>
      <c r="K213" s="89">
        <v>1.0</v>
      </c>
      <c r="L213" s="89"/>
      <c r="M213" s="89"/>
      <c r="N213" s="89"/>
      <c r="O213" s="85"/>
      <c r="P213" s="89">
        <v>1.0</v>
      </c>
      <c r="Q213" s="137"/>
      <c r="R213" s="138"/>
      <c r="S213" s="138"/>
      <c r="T213" s="85"/>
      <c r="U213" s="85"/>
      <c r="V213" s="85"/>
      <c r="W213" s="138"/>
      <c r="X213" s="139"/>
      <c r="Y213" s="139"/>
      <c r="Z213" s="139"/>
      <c r="AA213" s="139"/>
      <c r="AB213" s="139"/>
      <c r="AC213" s="139"/>
      <c r="AD213" s="139"/>
      <c r="AE213" s="139"/>
      <c r="AF213" s="139"/>
      <c r="AG213" s="139"/>
      <c r="AH213" s="139"/>
      <c r="AI213" s="139"/>
      <c r="AJ213" s="139"/>
      <c r="AK213" s="139"/>
      <c r="AL213" s="139"/>
      <c r="AM213" s="139"/>
      <c r="AN213" s="139"/>
      <c r="AO213" s="139"/>
    </row>
    <row r="214">
      <c r="A214" s="85">
        <v>44943.0</v>
      </c>
      <c r="B214" s="86">
        <v>240.94</v>
      </c>
      <c r="C214" s="85">
        <v>44943.0</v>
      </c>
      <c r="D214" s="89" t="s">
        <v>1406</v>
      </c>
      <c r="E214" s="89" t="s">
        <v>1407</v>
      </c>
      <c r="F214" s="89" t="s">
        <v>1408</v>
      </c>
      <c r="G214" s="89" t="s">
        <v>114</v>
      </c>
      <c r="H214" s="89" t="s">
        <v>94</v>
      </c>
      <c r="I214" s="89" t="s">
        <v>94</v>
      </c>
      <c r="J214" s="89" t="s">
        <v>95</v>
      </c>
      <c r="K214" s="89">
        <v>1.0</v>
      </c>
      <c r="L214" s="89"/>
      <c r="M214" s="89"/>
      <c r="N214" s="89"/>
      <c r="O214" s="85"/>
      <c r="P214" s="89"/>
      <c r="Q214" s="137"/>
      <c r="R214" s="138"/>
      <c r="S214" s="138"/>
      <c r="T214" s="85"/>
      <c r="U214" s="85"/>
      <c r="V214" s="85"/>
      <c r="W214" s="138"/>
      <c r="X214" s="139"/>
      <c r="Y214" s="139"/>
      <c r="Z214" s="139"/>
      <c r="AA214" s="139"/>
      <c r="AB214" s="139"/>
      <c r="AC214" s="139"/>
      <c r="AD214" s="139"/>
      <c r="AE214" s="139"/>
      <c r="AF214" s="139"/>
      <c r="AG214" s="139"/>
      <c r="AH214" s="139"/>
      <c r="AI214" s="139"/>
      <c r="AJ214" s="139"/>
      <c r="AK214" s="139"/>
      <c r="AL214" s="139"/>
      <c r="AM214" s="139"/>
      <c r="AN214" s="139"/>
      <c r="AO214" s="139"/>
    </row>
    <row r="215">
      <c r="A215" s="85">
        <v>44943.0</v>
      </c>
      <c r="B215" s="86">
        <v>72.93</v>
      </c>
      <c r="C215" s="85">
        <v>44942.0</v>
      </c>
      <c r="D215" s="89" t="s">
        <v>1412</v>
      </c>
      <c r="E215" s="89" t="s">
        <v>1413</v>
      </c>
      <c r="F215" s="89" t="s">
        <v>1414</v>
      </c>
      <c r="G215" s="89" t="s">
        <v>114</v>
      </c>
      <c r="H215" s="89" t="s">
        <v>94</v>
      </c>
      <c r="I215" s="89" t="s">
        <v>94</v>
      </c>
      <c r="J215" s="89" t="s">
        <v>95</v>
      </c>
      <c r="K215" s="89"/>
      <c r="L215" s="89"/>
      <c r="M215" s="89"/>
      <c r="N215" s="89">
        <v>1.0</v>
      </c>
      <c r="O215" s="85"/>
      <c r="P215" s="89"/>
      <c r="Q215" s="137">
        <v>1.0</v>
      </c>
      <c r="R215" s="138"/>
      <c r="S215" s="138"/>
      <c r="T215" s="85"/>
      <c r="U215" s="85"/>
      <c r="V215" s="85"/>
      <c r="W215" s="138"/>
      <c r="X215" s="139"/>
      <c r="Y215" s="139"/>
      <c r="Z215" s="139"/>
      <c r="AA215" s="139"/>
      <c r="AB215" s="139"/>
      <c r="AC215" s="139"/>
      <c r="AD215" s="139"/>
      <c r="AE215" s="139"/>
      <c r="AF215" s="139"/>
      <c r="AG215" s="139"/>
      <c r="AH215" s="139"/>
      <c r="AI215" s="139"/>
      <c r="AJ215" s="139"/>
      <c r="AK215" s="139"/>
      <c r="AL215" s="139"/>
      <c r="AM215" s="139"/>
      <c r="AN215" s="139"/>
      <c r="AO215" s="139"/>
    </row>
    <row r="216">
      <c r="A216" s="85">
        <v>44943.0</v>
      </c>
      <c r="B216" s="86">
        <v>317.99</v>
      </c>
      <c r="C216" s="85">
        <v>44939.0</v>
      </c>
      <c r="D216" s="89" t="s">
        <v>1415</v>
      </c>
      <c r="E216" s="89" t="s">
        <v>1416</v>
      </c>
      <c r="F216" s="89" t="s">
        <v>1417</v>
      </c>
      <c r="G216" s="89" t="s">
        <v>114</v>
      </c>
      <c r="H216" s="89" t="s">
        <v>94</v>
      </c>
      <c r="I216" s="89" t="s">
        <v>94</v>
      </c>
      <c r="J216" s="89" t="s">
        <v>95</v>
      </c>
      <c r="K216" s="89"/>
      <c r="L216" s="89">
        <v>1.0</v>
      </c>
      <c r="M216" s="89"/>
      <c r="N216" s="89"/>
      <c r="O216" s="85"/>
      <c r="P216" s="89"/>
      <c r="Q216" s="137"/>
      <c r="R216" s="138"/>
      <c r="S216" s="138"/>
      <c r="T216" s="85"/>
      <c r="U216" s="85"/>
      <c r="V216" s="85"/>
      <c r="W216" s="138"/>
      <c r="X216" s="139"/>
      <c r="Y216" s="139"/>
      <c r="Z216" s="139"/>
      <c r="AA216" s="139"/>
      <c r="AB216" s="139"/>
      <c r="AC216" s="139"/>
      <c r="AD216" s="139"/>
      <c r="AE216" s="139"/>
      <c r="AF216" s="139"/>
      <c r="AG216" s="139"/>
      <c r="AH216" s="139"/>
      <c r="AI216" s="139"/>
      <c r="AJ216" s="139"/>
      <c r="AK216" s="139"/>
      <c r="AL216" s="139"/>
      <c r="AM216" s="139"/>
      <c r="AN216" s="139"/>
      <c r="AO216" s="139"/>
    </row>
    <row r="217">
      <c r="A217" s="85">
        <v>44944.0</v>
      </c>
      <c r="B217" s="86">
        <v>319.37</v>
      </c>
      <c r="C217" s="85">
        <v>44874.0</v>
      </c>
      <c r="D217" s="89" t="s">
        <v>1421</v>
      </c>
      <c r="E217" s="89" t="s">
        <v>1422</v>
      </c>
      <c r="F217" s="89" t="s">
        <v>1423</v>
      </c>
      <c r="G217" s="89" t="s">
        <v>110</v>
      </c>
      <c r="H217" s="89" t="s">
        <v>94</v>
      </c>
      <c r="I217" s="89" t="s">
        <v>94</v>
      </c>
      <c r="J217" s="89" t="s">
        <v>95</v>
      </c>
      <c r="K217" s="89"/>
      <c r="L217" s="89">
        <v>1.0</v>
      </c>
      <c r="M217" s="89"/>
      <c r="N217" s="89">
        <v>1.0</v>
      </c>
      <c r="O217" s="85"/>
      <c r="P217" s="89">
        <v>1.0</v>
      </c>
      <c r="Q217" s="137"/>
      <c r="R217" s="138"/>
      <c r="S217" s="138"/>
      <c r="T217" s="85"/>
      <c r="U217" s="85"/>
      <c r="V217" s="85"/>
      <c r="W217" s="138"/>
      <c r="X217" s="139"/>
      <c r="Y217" s="139"/>
      <c r="Z217" s="139"/>
      <c r="AA217" s="139"/>
      <c r="AB217" s="139"/>
      <c r="AC217" s="139"/>
      <c r="AD217" s="139"/>
      <c r="AE217" s="139"/>
      <c r="AF217" s="139"/>
      <c r="AG217" s="139"/>
      <c r="AH217" s="139"/>
      <c r="AI217" s="139"/>
      <c r="AJ217" s="139"/>
      <c r="AK217" s="139"/>
      <c r="AL217" s="139"/>
      <c r="AM217" s="139"/>
      <c r="AN217" s="139"/>
      <c r="AO217" s="139"/>
    </row>
    <row r="218">
      <c r="A218" s="85">
        <v>44944.0</v>
      </c>
      <c r="B218" s="86">
        <v>319.93</v>
      </c>
      <c r="C218" s="85">
        <v>44579.0</v>
      </c>
      <c r="D218" s="1" t="s">
        <v>1427</v>
      </c>
      <c r="E218" s="89" t="s">
        <v>1428</v>
      </c>
      <c r="F218" s="89" t="s">
        <v>1429</v>
      </c>
      <c r="G218" s="89" t="s">
        <v>114</v>
      </c>
      <c r="H218" s="89" t="s">
        <v>94</v>
      </c>
      <c r="I218" s="89" t="s">
        <v>94</v>
      </c>
      <c r="J218" s="89" t="s">
        <v>95</v>
      </c>
      <c r="K218" s="89"/>
      <c r="L218" s="89">
        <v>1.0</v>
      </c>
      <c r="M218" s="89"/>
      <c r="N218" s="89"/>
      <c r="O218" s="85"/>
      <c r="P218" s="89">
        <v>1.0</v>
      </c>
      <c r="Q218" s="137"/>
      <c r="R218" s="138"/>
      <c r="S218" s="138"/>
      <c r="T218" s="85"/>
      <c r="U218" s="85"/>
      <c r="V218" s="85"/>
      <c r="W218" s="138"/>
      <c r="X218" s="139"/>
      <c r="Y218" s="139"/>
      <c r="Z218" s="139"/>
      <c r="AA218" s="139"/>
      <c r="AB218" s="139"/>
      <c r="AC218" s="139"/>
      <c r="AD218" s="139"/>
      <c r="AE218" s="139"/>
      <c r="AF218" s="139"/>
      <c r="AG218" s="139"/>
      <c r="AH218" s="139"/>
      <c r="AI218" s="139"/>
      <c r="AJ218" s="139"/>
      <c r="AK218" s="139"/>
      <c r="AL218" s="139"/>
      <c r="AM218" s="139"/>
      <c r="AN218" s="139"/>
      <c r="AO218" s="139"/>
    </row>
    <row r="219">
      <c r="A219" s="85">
        <v>44944.0</v>
      </c>
      <c r="B219" s="333">
        <v>80.0</v>
      </c>
      <c r="C219" s="85">
        <v>44930.0</v>
      </c>
      <c r="D219" s="89" t="s">
        <v>1433</v>
      </c>
      <c r="E219" s="89" t="s">
        <v>1434</v>
      </c>
      <c r="F219" s="89" t="s">
        <v>1435</v>
      </c>
      <c r="G219" s="89" t="s">
        <v>114</v>
      </c>
      <c r="H219" s="89" t="s">
        <v>94</v>
      </c>
      <c r="I219" s="89" t="s">
        <v>94</v>
      </c>
      <c r="J219" s="89" t="s">
        <v>112</v>
      </c>
      <c r="K219" s="89"/>
      <c r="L219" s="89"/>
      <c r="M219" s="89">
        <v>1.0</v>
      </c>
      <c r="N219" s="89"/>
      <c r="O219" s="85"/>
      <c r="P219" s="89"/>
      <c r="Q219" s="137"/>
      <c r="R219" s="138"/>
      <c r="S219" s="138"/>
      <c r="T219" s="85"/>
      <c r="U219" s="85"/>
      <c r="V219" s="85"/>
      <c r="W219" s="138"/>
      <c r="X219" s="139"/>
      <c r="Y219" s="139"/>
      <c r="Z219" s="139"/>
      <c r="AA219" s="139"/>
      <c r="AB219" s="139"/>
      <c r="AC219" s="139"/>
      <c r="AD219" s="139"/>
      <c r="AE219" s="139"/>
      <c r="AF219" s="139"/>
      <c r="AG219" s="139"/>
      <c r="AH219" s="139"/>
      <c r="AI219" s="139"/>
      <c r="AJ219" s="139"/>
      <c r="AK219" s="139"/>
      <c r="AL219" s="139"/>
      <c r="AM219" s="139"/>
      <c r="AN219" s="139"/>
      <c r="AO219" s="139"/>
    </row>
    <row r="220">
      <c r="A220" s="85">
        <v>44944.0</v>
      </c>
      <c r="B220" s="86">
        <v>112.0</v>
      </c>
      <c r="C220" s="85">
        <v>44934.0</v>
      </c>
      <c r="D220" s="89" t="s">
        <v>1436</v>
      </c>
      <c r="E220" s="89" t="s">
        <v>1434</v>
      </c>
      <c r="F220" s="89" t="s">
        <v>1435</v>
      </c>
      <c r="G220" s="89" t="s">
        <v>114</v>
      </c>
      <c r="H220" s="89" t="s">
        <v>94</v>
      </c>
      <c r="I220" s="89" t="s">
        <v>94</v>
      </c>
      <c r="J220" s="89" t="s">
        <v>112</v>
      </c>
      <c r="K220" s="89"/>
      <c r="L220" s="89"/>
      <c r="M220" s="89">
        <v>1.0</v>
      </c>
      <c r="N220" s="89"/>
      <c r="O220" s="85"/>
      <c r="P220" s="89"/>
      <c r="Q220" s="137">
        <v>1.0</v>
      </c>
      <c r="R220" s="138"/>
      <c r="S220" s="138"/>
      <c r="T220" s="85"/>
      <c r="U220" s="85"/>
      <c r="V220" s="85"/>
      <c r="W220" s="138"/>
      <c r="X220" s="139"/>
      <c r="Y220" s="139"/>
      <c r="Z220" s="139"/>
      <c r="AA220" s="139"/>
      <c r="AB220" s="139"/>
      <c r="AC220" s="139"/>
      <c r="AD220" s="139"/>
      <c r="AE220" s="139"/>
      <c r="AF220" s="139"/>
      <c r="AG220" s="139"/>
      <c r="AH220" s="139"/>
      <c r="AI220" s="139"/>
      <c r="AJ220" s="139"/>
      <c r="AK220" s="139"/>
      <c r="AL220" s="139"/>
      <c r="AM220" s="139"/>
      <c r="AN220" s="139"/>
      <c r="AO220" s="139"/>
    </row>
    <row r="221">
      <c r="A221" s="85">
        <v>44944.0</v>
      </c>
      <c r="B221" s="86">
        <v>107.19</v>
      </c>
      <c r="C221" s="85">
        <v>44917.0</v>
      </c>
      <c r="D221" s="89" t="s">
        <v>1440</v>
      </c>
      <c r="E221" s="89" t="s">
        <v>1441</v>
      </c>
      <c r="F221" s="89" t="s">
        <v>1442</v>
      </c>
      <c r="G221" s="89" t="s">
        <v>114</v>
      </c>
      <c r="H221" s="89" t="s">
        <v>94</v>
      </c>
      <c r="I221" s="89" t="s">
        <v>94</v>
      </c>
      <c r="J221" s="89" t="s">
        <v>95</v>
      </c>
      <c r="K221" s="89"/>
      <c r="L221" s="89"/>
      <c r="M221" s="89">
        <v>1.0</v>
      </c>
      <c r="N221" s="89"/>
      <c r="O221" s="85"/>
      <c r="P221" s="89">
        <v>1.0</v>
      </c>
      <c r="Q221" s="137"/>
      <c r="R221" s="138"/>
      <c r="S221" s="138"/>
      <c r="T221" s="85"/>
      <c r="U221" s="85"/>
      <c r="V221" s="85"/>
      <c r="W221" s="138"/>
      <c r="X221" s="139"/>
      <c r="Y221" s="139"/>
      <c r="Z221" s="139"/>
      <c r="AA221" s="139"/>
      <c r="AB221" s="139"/>
      <c r="AC221" s="139"/>
      <c r="AD221" s="139"/>
      <c r="AE221" s="139"/>
      <c r="AF221" s="139"/>
      <c r="AG221" s="139"/>
      <c r="AH221" s="139"/>
      <c r="AI221" s="139"/>
      <c r="AJ221" s="139"/>
      <c r="AK221" s="139"/>
      <c r="AL221" s="139"/>
      <c r="AM221" s="139"/>
      <c r="AN221" s="139"/>
      <c r="AO221" s="139"/>
    </row>
    <row r="222">
      <c r="A222" s="85">
        <v>44944.0</v>
      </c>
      <c r="B222" s="86">
        <v>366.58</v>
      </c>
      <c r="C222" s="85">
        <v>44911.0</v>
      </c>
      <c r="D222" s="89" t="s">
        <v>1446</v>
      </c>
      <c r="E222" s="89" t="s">
        <v>1447</v>
      </c>
      <c r="F222" s="89" t="s">
        <v>1448</v>
      </c>
      <c r="G222" s="89" t="s">
        <v>110</v>
      </c>
      <c r="H222" s="89" t="s">
        <v>1449</v>
      </c>
      <c r="I222" s="89" t="s">
        <v>94</v>
      </c>
      <c r="J222" s="89" t="s">
        <v>95</v>
      </c>
      <c r="K222" s="89">
        <v>1.0</v>
      </c>
      <c r="L222" s="89"/>
      <c r="M222" s="89">
        <v>1.0</v>
      </c>
      <c r="N222" s="89">
        <v>1.0</v>
      </c>
      <c r="O222" s="85"/>
      <c r="P222" s="89">
        <v>1.0</v>
      </c>
      <c r="Q222" s="137">
        <v>1.0</v>
      </c>
      <c r="R222" s="138"/>
      <c r="S222" s="138"/>
      <c r="T222" s="85"/>
      <c r="U222" s="85"/>
      <c r="V222" s="85"/>
      <c r="W222" s="138"/>
      <c r="X222" s="139"/>
      <c r="Y222" s="139"/>
      <c r="Z222" s="139"/>
      <c r="AA222" s="139"/>
      <c r="AB222" s="139"/>
      <c r="AC222" s="139"/>
      <c r="AD222" s="139"/>
      <c r="AE222" s="139"/>
      <c r="AF222" s="139"/>
      <c r="AG222" s="139"/>
      <c r="AH222" s="139"/>
      <c r="AI222" s="139"/>
      <c r="AJ222" s="139"/>
      <c r="AK222" s="139"/>
      <c r="AL222" s="139"/>
      <c r="AM222" s="139"/>
      <c r="AN222" s="139"/>
      <c r="AO222" s="139"/>
    </row>
    <row r="223">
      <c r="A223" s="85">
        <v>44944.0</v>
      </c>
      <c r="B223" s="86">
        <v>340.58</v>
      </c>
      <c r="C223" s="85">
        <v>44890.0</v>
      </c>
      <c r="D223" s="89" t="s">
        <v>1453</v>
      </c>
      <c r="E223" s="89" t="s">
        <v>1454</v>
      </c>
      <c r="F223" s="89" t="s">
        <v>1455</v>
      </c>
      <c r="G223" s="89" t="s">
        <v>114</v>
      </c>
      <c r="H223" s="89" t="s">
        <v>1449</v>
      </c>
      <c r="I223" s="89" t="s">
        <v>94</v>
      </c>
      <c r="J223" s="89" t="s">
        <v>95</v>
      </c>
      <c r="K223" s="89">
        <v>1.0</v>
      </c>
      <c r="L223" s="89"/>
      <c r="M223" s="89">
        <v>1.0</v>
      </c>
      <c r="N223" s="89">
        <v>1.0</v>
      </c>
      <c r="O223" s="85"/>
      <c r="P223" s="89">
        <v>1.0</v>
      </c>
      <c r="Q223" s="137"/>
      <c r="R223" s="138"/>
      <c r="S223" s="138"/>
      <c r="T223" s="85"/>
      <c r="U223" s="85"/>
      <c r="V223" s="85"/>
      <c r="W223" s="138"/>
      <c r="X223" s="139"/>
      <c r="Y223" s="139"/>
      <c r="Z223" s="139"/>
      <c r="AA223" s="139"/>
      <c r="AB223" s="139"/>
      <c r="AC223" s="139"/>
      <c r="AD223" s="139"/>
      <c r="AE223" s="139"/>
      <c r="AF223" s="139"/>
      <c r="AG223" s="139"/>
      <c r="AH223" s="139"/>
      <c r="AI223" s="139"/>
      <c r="AJ223" s="139"/>
      <c r="AK223" s="139"/>
      <c r="AL223" s="139"/>
      <c r="AM223" s="139"/>
      <c r="AN223" s="139"/>
      <c r="AO223" s="139"/>
    </row>
    <row r="224">
      <c r="A224" s="85">
        <v>44944.0</v>
      </c>
      <c r="B224" s="86">
        <v>232.14</v>
      </c>
      <c r="C224" s="85">
        <v>44867.0</v>
      </c>
      <c r="D224" s="89" t="s">
        <v>1456</v>
      </c>
      <c r="E224" s="89" t="s">
        <v>1458</v>
      </c>
      <c r="F224" s="89" t="s">
        <v>1459</v>
      </c>
      <c r="G224" s="89" t="s">
        <v>114</v>
      </c>
      <c r="H224" s="89" t="s">
        <v>94</v>
      </c>
      <c r="I224" s="89" t="s">
        <v>94</v>
      </c>
      <c r="J224" s="89" t="s">
        <v>95</v>
      </c>
      <c r="K224" s="89">
        <v>1.0</v>
      </c>
      <c r="L224" s="89"/>
      <c r="M224" s="89"/>
      <c r="N224" s="89"/>
      <c r="O224" s="85"/>
      <c r="P224" s="89">
        <v>1.0</v>
      </c>
      <c r="Q224" s="137"/>
      <c r="R224" s="138"/>
      <c r="S224" s="138"/>
      <c r="T224" s="85"/>
      <c r="U224" s="85"/>
      <c r="V224" s="85"/>
      <c r="W224" s="138"/>
      <c r="X224" s="139"/>
      <c r="Y224" s="139"/>
      <c r="Z224" s="139"/>
      <c r="AA224" s="139"/>
      <c r="AB224" s="139"/>
      <c r="AC224" s="139"/>
      <c r="AD224" s="139"/>
      <c r="AE224" s="139"/>
      <c r="AF224" s="139"/>
      <c r="AG224" s="139"/>
      <c r="AH224" s="139"/>
      <c r="AI224" s="139"/>
      <c r="AJ224" s="139"/>
      <c r="AK224" s="139"/>
      <c r="AL224" s="139"/>
      <c r="AM224" s="139"/>
      <c r="AN224" s="139"/>
      <c r="AO224" s="139"/>
    </row>
    <row r="225">
      <c r="A225" s="85">
        <v>44944.0</v>
      </c>
      <c r="B225" s="86">
        <v>305.81</v>
      </c>
      <c r="C225" s="85">
        <v>44859.0</v>
      </c>
      <c r="D225" s="89" t="s">
        <v>1462</v>
      </c>
      <c r="E225" s="89" t="s">
        <v>1463</v>
      </c>
      <c r="F225" s="89" t="s">
        <v>1464</v>
      </c>
      <c r="G225" s="89" t="s">
        <v>114</v>
      </c>
      <c r="H225" s="89" t="s">
        <v>94</v>
      </c>
      <c r="I225" s="89" t="s">
        <v>94</v>
      </c>
      <c r="J225" s="89" t="s">
        <v>1465</v>
      </c>
      <c r="K225" s="89">
        <v>1.0</v>
      </c>
      <c r="L225" s="89"/>
      <c r="M225" s="89"/>
      <c r="N225" s="89"/>
      <c r="O225" s="85"/>
      <c r="P225" s="89"/>
      <c r="Q225" s="137"/>
      <c r="R225" s="138"/>
      <c r="S225" s="138"/>
      <c r="T225" s="85"/>
      <c r="U225" s="85"/>
      <c r="V225" s="85"/>
      <c r="W225" s="138"/>
      <c r="X225" s="139"/>
      <c r="Y225" s="139"/>
      <c r="Z225" s="139"/>
      <c r="AA225" s="139"/>
      <c r="AB225" s="139"/>
      <c r="AC225" s="139"/>
      <c r="AD225" s="139"/>
      <c r="AE225" s="139"/>
      <c r="AF225" s="139"/>
      <c r="AG225" s="139"/>
      <c r="AH225" s="139"/>
      <c r="AI225" s="139"/>
      <c r="AJ225" s="139"/>
      <c r="AK225" s="139"/>
      <c r="AL225" s="139"/>
      <c r="AM225" s="139"/>
      <c r="AN225" s="139"/>
      <c r="AO225" s="139"/>
    </row>
    <row r="226">
      <c r="A226" s="85">
        <v>44944.0</v>
      </c>
      <c r="B226" s="86">
        <v>128.43</v>
      </c>
      <c r="C226" s="85">
        <v>44649.0</v>
      </c>
      <c r="D226" s="89" t="s">
        <v>1469</v>
      </c>
      <c r="E226" s="89" t="s">
        <v>1470</v>
      </c>
      <c r="F226" s="89" t="s">
        <v>1471</v>
      </c>
      <c r="G226" s="89" t="s">
        <v>114</v>
      </c>
      <c r="H226" s="89" t="s">
        <v>94</v>
      </c>
      <c r="I226" s="89" t="s">
        <v>135</v>
      </c>
      <c r="J226" s="89" t="s">
        <v>112</v>
      </c>
      <c r="K226" s="89"/>
      <c r="L226" s="89"/>
      <c r="M226" s="89"/>
      <c r="N226" s="89"/>
      <c r="O226" s="85"/>
      <c r="P226" s="89"/>
      <c r="Q226" s="137"/>
      <c r="R226" s="138"/>
      <c r="S226" s="138"/>
      <c r="T226" s="85"/>
      <c r="U226" s="85"/>
      <c r="V226" s="85"/>
      <c r="W226" s="138"/>
      <c r="X226" s="423" t="s">
        <v>1472</v>
      </c>
      <c r="Y226" s="139"/>
      <c r="Z226" s="139"/>
      <c r="AA226" s="139"/>
      <c r="AB226" s="139"/>
      <c r="AC226" s="139"/>
      <c r="AD226" s="139"/>
      <c r="AE226" s="139"/>
      <c r="AF226" s="139"/>
      <c r="AG226" s="139"/>
      <c r="AH226" s="139"/>
      <c r="AI226" s="139"/>
      <c r="AJ226" s="139"/>
      <c r="AK226" s="139"/>
      <c r="AL226" s="139"/>
      <c r="AM226" s="139"/>
      <c r="AN226" s="139"/>
      <c r="AO226" s="139"/>
    </row>
    <row r="227">
      <c r="A227" s="85">
        <v>44944.0</v>
      </c>
      <c r="B227" s="86">
        <v>364.7</v>
      </c>
      <c r="C227" s="85">
        <v>44889.0</v>
      </c>
      <c r="D227" s="89" t="s">
        <v>1476</v>
      </c>
      <c r="E227" s="89" t="s">
        <v>1477</v>
      </c>
      <c r="F227" s="89" t="s">
        <v>1478</v>
      </c>
      <c r="G227" s="89" t="s">
        <v>114</v>
      </c>
      <c r="H227" s="89" t="s">
        <v>94</v>
      </c>
      <c r="I227" s="89" t="s">
        <v>94</v>
      </c>
      <c r="J227" s="89" t="s">
        <v>95</v>
      </c>
      <c r="K227" s="89">
        <v>1.0</v>
      </c>
      <c r="L227" s="89"/>
      <c r="M227" s="89">
        <v>1.0</v>
      </c>
      <c r="N227" s="89">
        <v>1.0</v>
      </c>
      <c r="O227" s="85"/>
      <c r="P227" s="89">
        <v>1.0</v>
      </c>
      <c r="Q227" s="137">
        <v>1.0</v>
      </c>
      <c r="R227" s="138"/>
      <c r="S227" s="138"/>
      <c r="T227" s="85"/>
      <c r="U227" s="85"/>
      <c r="V227" s="85"/>
      <c r="W227" s="138"/>
      <c r="X227" s="139"/>
      <c r="Y227" s="139"/>
      <c r="Z227" s="139"/>
      <c r="AA227" s="139"/>
      <c r="AB227" s="139"/>
      <c r="AC227" s="139"/>
      <c r="AD227" s="139"/>
      <c r="AE227" s="139"/>
      <c r="AF227" s="139"/>
      <c r="AG227" s="139"/>
      <c r="AH227" s="139"/>
      <c r="AI227" s="139"/>
      <c r="AJ227" s="139"/>
      <c r="AK227" s="139"/>
      <c r="AL227" s="139"/>
      <c r="AM227" s="139"/>
      <c r="AN227" s="139"/>
      <c r="AO227" s="139"/>
    </row>
    <row r="228">
      <c r="A228" s="425">
        <v>44944.0</v>
      </c>
      <c r="B228" s="426">
        <v>18.0</v>
      </c>
      <c r="C228" s="425">
        <v>44393.0</v>
      </c>
      <c r="D228" s="427" t="s">
        <v>1482</v>
      </c>
      <c r="E228" s="427" t="s">
        <v>1483</v>
      </c>
      <c r="F228" s="427" t="s">
        <v>1484</v>
      </c>
      <c r="G228" s="427" t="s">
        <v>114</v>
      </c>
      <c r="H228" s="427" t="s">
        <v>94</v>
      </c>
      <c r="I228" s="427" t="s">
        <v>135</v>
      </c>
      <c r="J228" s="427" t="s">
        <v>112</v>
      </c>
      <c r="K228" s="427"/>
      <c r="L228" s="427"/>
      <c r="M228" s="427"/>
      <c r="N228" s="427"/>
      <c r="O228" s="427">
        <v>1.0</v>
      </c>
      <c r="P228" s="427"/>
      <c r="Q228" s="428"/>
      <c r="R228" s="429"/>
      <c r="S228" s="429"/>
      <c r="T228" s="425"/>
      <c r="U228" s="425"/>
      <c r="V228" s="425"/>
      <c r="W228" s="429"/>
      <c r="X228" s="430"/>
      <c r="Y228" s="430"/>
      <c r="Z228" s="430"/>
      <c r="AA228" s="430"/>
      <c r="AB228" s="430"/>
      <c r="AC228" s="430"/>
      <c r="AD228" s="430"/>
      <c r="AE228" s="430"/>
      <c r="AF228" s="430"/>
      <c r="AG228" s="430"/>
      <c r="AH228" s="430"/>
      <c r="AI228" s="430"/>
      <c r="AJ228" s="430"/>
      <c r="AK228" s="430"/>
      <c r="AL228" s="430"/>
      <c r="AM228" s="430"/>
      <c r="AN228" s="430"/>
      <c r="AO228" s="430"/>
    </row>
    <row r="229">
      <c r="A229" s="85">
        <v>44944.0</v>
      </c>
      <c r="B229" s="86">
        <v>25.59</v>
      </c>
      <c r="C229" s="85">
        <v>44874.0</v>
      </c>
      <c r="D229" s="89" t="s">
        <v>1488</v>
      </c>
      <c r="E229" s="89" t="s">
        <v>1489</v>
      </c>
      <c r="F229" s="89" t="s">
        <v>1490</v>
      </c>
      <c r="G229" s="89" t="s">
        <v>114</v>
      </c>
      <c r="H229" s="89" t="s">
        <v>94</v>
      </c>
      <c r="I229" s="89" t="s">
        <v>94</v>
      </c>
      <c r="J229" s="89" t="s">
        <v>95</v>
      </c>
      <c r="K229" s="89"/>
      <c r="L229" s="89"/>
      <c r="M229" s="89"/>
      <c r="N229" s="89">
        <v>1.0</v>
      </c>
      <c r="O229" s="85"/>
      <c r="P229" s="89"/>
      <c r="Q229" s="137"/>
      <c r="R229" s="138"/>
      <c r="S229" s="138"/>
      <c r="T229" s="85"/>
      <c r="U229" s="85"/>
      <c r="V229" s="85"/>
      <c r="W229" s="138"/>
      <c r="X229" s="139"/>
      <c r="Y229" s="139"/>
      <c r="Z229" s="139"/>
      <c r="AA229" s="139"/>
      <c r="AB229" s="139"/>
      <c r="AC229" s="139"/>
      <c r="AD229" s="139"/>
      <c r="AE229" s="139"/>
      <c r="AF229" s="139"/>
      <c r="AG229" s="139"/>
      <c r="AH229" s="139"/>
      <c r="AI229" s="139"/>
      <c r="AJ229" s="139"/>
      <c r="AK229" s="139"/>
      <c r="AL229" s="139"/>
      <c r="AM229" s="139"/>
      <c r="AN229" s="139"/>
      <c r="AO229" s="139"/>
    </row>
    <row r="230">
      <c r="A230" s="85">
        <v>44944.0</v>
      </c>
      <c r="B230" s="86">
        <v>74.73</v>
      </c>
      <c r="C230" s="85">
        <v>44941.0</v>
      </c>
      <c r="D230" s="89" t="s">
        <v>1491</v>
      </c>
      <c r="E230" s="89" t="s">
        <v>1492</v>
      </c>
      <c r="F230" s="89" t="s">
        <v>1493</v>
      </c>
      <c r="G230" s="89" t="s">
        <v>114</v>
      </c>
      <c r="H230" s="89" t="s">
        <v>94</v>
      </c>
      <c r="I230" s="89" t="s">
        <v>94</v>
      </c>
      <c r="J230" s="89" t="s">
        <v>95</v>
      </c>
      <c r="K230" s="89"/>
      <c r="L230" s="89"/>
      <c r="M230" s="89">
        <v>1.0</v>
      </c>
      <c r="N230" s="89"/>
      <c r="O230" s="89"/>
      <c r="P230" s="89"/>
      <c r="Q230" s="137"/>
      <c r="R230" s="138"/>
      <c r="S230" s="138"/>
      <c r="T230" s="85"/>
      <c r="U230" s="85"/>
      <c r="V230" s="85"/>
      <c r="W230" s="138"/>
      <c r="X230" s="139"/>
      <c r="Y230" s="139"/>
      <c r="Z230" s="139"/>
      <c r="AA230" s="139"/>
      <c r="AB230" s="139"/>
      <c r="AC230" s="139"/>
      <c r="AD230" s="139"/>
      <c r="AE230" s="139"/>
      <c r="AF230" s="139"/>
      <c r="AG230" s="139"/>
      <c r="AH230" s="139"/>
      <c r="AI230" s="139"/>
      <c r="AJ230" s="139"/>
      <c r="AK230" s="139"/>
      <c r="AL230" s="139"/>
      <c r="AM230" s="139"/>
      <c r="AN230" s="139"/>
      <c r="AO230" s="139"/>
    </row>
    <row r="231">
      <c r="A231" s="85">
        <v>44944.0</v>
      </c>
      <c r="B231" s="86">
        <v>244.46</v>
      </c>
      <c r="C231" s="85">
        <v>44894.0</v>
      </c>
      <c r="D231" s="89" t="s">
        <v>1498</v>
      </c>
      <c r="E231" s="89" t="s">
        <v>1499</v>
      </c>
      <c r="F231" s="89" t="s">
        <v>1500</v>
      </c>
      <c r="G231" s="89" t="s">
        <v>110</v>
      </c>
      <c r="H231" s="89" t="s">
        <v>94</v>
      </c>
      <c r="I231" s="89" t="s">
        <v>94</v>
      </c>
      <c r="J231" s="89" t="s">
        <v>95</v>
      </c>
      <c r="K231" s="89">
        <v>1.0</v>
      </c>
      <c r="L231" s="89"/>
      <c r="M231" s="89"/>
      <c r="N231" s="89"/>
      <c r="O231" s="85"/>
      <c r="P231" s="89">
        <v>1.0</v>
      </c>
      <c r="Q231" s="137"/>
      <c r="R231" s="138"/>
      <c r="S231" s="138"/>
      <c r="T231" s="85"/>
      <c r="U231" s="85"/>
      <c r="V231" s="85"/>
      <c r="W231" s="138"/>
      <c r="X231" s="139"/>
      <c r="Y231" s="139"/>
      <c r="Z231" s="139"/>
      <c r="AA231" s="139"/>
      <c r="AB231" s="139"/>
      <c r="AC231" s="139"/>
      <c r="AD231" s="139"/>
      <c r="AE231" s="139"/>
      <c r="AF231" s="139"/>
      <c r="AG231" s="139"/>
      <c r="AH231" s="139"/>
      <c r="AI231" s="139"/>
      <c r="AJ231" s="139"/>
      <c r="AK231" s="139"/>
      <c r="AL231" s="139"/>
      <c r="AM231" s="139"/>
      <c r="AN231" s="139"/>
      <c r="AO231" s="139"/>
    </row>
    <row r="232">
      <c r="A232" s="85">
        <v>44944.0</v>
      </c>
      <c r="B232" s="86">
        <v>269.06</v>
      </c>
      <c r="C232" s="85">
        <v>44931.0</v>
      </c>
      <c r="D232" s="89" t="s">
        <v>1504</v>
      </c>
      <c r="E232" s="89" t="s">
        <v>1505</v>
      </c>
      <c r="F232" s="89" t="s">
        <v>1506</v>
      </c>
      <c r="G232" s="89" t="s">
        <v>114</v>
      </c>
      <c r="H232" s="89" t="s">
        <v>94</v>
      </c>
      <c r="I232" s="89" t="s">
        <v>94</v>
      </c>
      <c r="J232" s="89" t="s">
        <v>95</v>
      </c>
      <c r="K232" s="89">
        <v>1.0</v>
      </c>
      <c r="L232" s="89"/>
      <c r="M232" s="89"/>
      <c r="N232" s="89">
        <v>1.0</v>
      </c>
      <c r="O232" s="85"/>
      <c r="P232" s="89">
        <v>1.0</v>
      </c>
      <c r="Q232" s="137"/>
      <c r="R232" s="138"/>
      <c r="S232" s="138"/>
      <c r="T232" s="85"/>
      <c r="U232" s="85"/>
      <c r="V232" s="85"/>
      <c r="W232" s="138"/>
      <c r="X232" s="139"/>
      <c r="Y232" s="139"/>
      <c r="Z232" s="139"/>
      <c r="AA232" s="139"/>
      <c r="AB232" s="139"/>
      <c r="AC232" s="139"/>
      <c r="AD232" s="139"/>
      <c r="AE232" s="139"/>
      <c r="AF232" s="139"/>
      <c r="AG232" s="139"/>
      <c r="AH232" s="139"/>
      <c r="AI232" s="139"/>
      <c r="AJ232" s="139"/>
      <c r="AK232" s="139"/>
      <c r="AL232" s="139"/>
      <c r="AM232" s="139"/>
      <c r="AN232" s="139"/>
      <c r="AO232" s="139"/>
    </row>
    <row r="233">
      <c r="A233" s="85">
        <v>44944.0</v>
      </c>
      <c r="B233" s="86">
        <v>93.83</v>
      </c>
      <c r="C233" s="85">
        <v>44677.0</v>
      </c>
      <c r="D233" s="89" t="s">
        <v>1510</v>
      </c>
      <c r="E233" s="89" t="s">
        <v>1511</v>
      </c>
      <c r="F233" s="89" t="s">
        <v>1512</v>
      </c>
      <c r="G233" s="89" t="s">
        <v>114</v>
      </c>
      <c r="H233" s="89" t="s">
        <v>94</v>
      </c>
      <c r="I233" s="89" t="s">
        <v>94</v>
      </c>
      <c r="J233" s="89" t="s">
        <v>95</v>
      </c>
      <c r="K233" s="89"/>
      <c r="L233" s="89"/>
      <c r="M233" s="89">
        <v>1.0</v>
      </c>
      <c r="N233" s="89">
        <v>1.0</v>
      </c>
      <c r="O233" s="85"/>
      <c r="P233" s="89"/>
      <c r="Q233" s="137"/>
      <c r="R233" s="138"/>
      <c r="S233" s="138"/>
      <c r="T233" s="85"/>
      <c r="U233" s="85"/>
      <c r="V233" s="85"/>
      <c r="W233" s="138"/>
      <c r="X233" s="139"/>
      <c r="Y233" s="139"/>
      <c r="Z233" s="139"/>
      <c r="AA233" s="139"/>
      <c r="AB233" s="139"/>
      <c r="AC233" s="139"/>
      <c r="AD233" s="139"/>
      <c r="AE233" s="139"/>
      <c r="AF233" s="139"/>
      <c r="AG233" s="139"/>
      <c r="AH233" s="139"/>
      <c r="AI233" s="139"/>
      <c r="AJ233" s="139"/>
      <c r="AK233" s="139"/>
      <c r="AL233" s="139"/>
      <c r="AM233" s="139"/>
      <c r="AN233" s="139"/>
      <c r="AO233" s="139"/>
    </row>
    <row r="234">
      <c r="A234" s="85">
        <v>44945.0</v>
      </c>
      <c r="B234" s="86">
        <v>363.98</v>
      </c>
      <c r="C234" s="85">
        <v>44940.0</v>
      </c>
      <c r="D234" s="89" t="s">
        <v>1513</v>
      </c>
      <c r="E234" s="89" t="s">
        <v>1514</v>
      </c>
      <c r="F234" s="89" t="s">
        <v>1515</v>
      </c>
      <c r="G234" s="89" t="s">
        <v>114</v>
      </c>
      <c r="H234" s="89" t="s">
        <v>94</v>
      </c>
      <c r="I234" s="89" t="s">
        <v>94</v>
      </c>
      <c r="J234" s="89" t="s">
        <v>95</v>
      </c>
      <c r="K234" s="89"/>
      <c r="L234" s="89">
        <v>1.0</v>
      </c>
      <c r="M234" s="89"/>
      <c r="N234" s="89">
        <v>1.0</v>
      </c>
      <c r="O234" s="85"/>
      <c r="P234" s="89">
        <v>1.0</v>
      </c>
      <c r="Q234" s="137">
        <v>1.0</v>
      </c>
      <c r="R234" s="138"/>
      <c r="S234" s="137"/>
      <c r="T234" s="85"/>
      <c r="U234" s="85"/>
      <c r="V234" s="85"/>
      <c r="W234" s="138"/>
      <c r="X234" s="139"/>
      <c r="Y234" s="139"/>
      <c r="Z234" s="139"/>
      <c r="AA234" s="139"/>
      <c r="AB234" s="139"/>
      <c r="AC234" s="139"/>
      <c r="AD234" s="139"/>
      <c r="AE234" s="139"/>
      <c r="AF234" s="139"/>
      <c r="AG234" s="139"/>
      <c r="AH234" s="139"/>
      <c r="AI234" s="139"/>
      <c r="AJ234" s="139"/>
      <c r="AK234" s="139"/>
      <c r="AL234" s="139"/>
      <c r="AM234" s="139"/>
      <c r="AN234" s="139"/>
      <c r="AO234" s="139"/>
    </row>
    <row r="235">
      <c r="A235" s="85">
        <v>44945.0</v>
      </c>
      <c r="B235" s="86">
        <v>243.55</v>
      </c>
      <c r="C235" s="85">
        <v>44935.0</v>
      </c>
      <c r="D235" s="89" t="s">
        <v>1519</v>
      </c>
      <c r="E235" s="89" t="s">
        <v>1520</v>
      </c>
      <c r="F235" s="89" t="s">
        <v>1521</v>
      </c>
      <c r="G235" s="89" t="s">
        <v>114</v>
      </c>
      <c r="H235" s="89" t="s">
        <v>94</v>
      </c>
      <c r="I235" s="89" t="s">
        <v>94</v>
      </c>
      <c r="J235" s="89" t="s">
        <v>95</v>
      </c>
      <c r="K235" s="89">
        <v>1.0</v>
      </c>
      <c r="L235" s="89"/>
      <c r="M235" s="89"/>
      <c r="N235" s="89"/>
      <c r="O235" s="85"/>
      <c r="P235" s="89">
        <v>1.0</v>
      </c>
      <c r="Q235" s="137"/>
      <c r="R235" s="138"/>
      <c r="S235" s="138"/>
      <c r="T235" s="85"/>
      <c r="U235" s="85"/>
      <c r="V235" s="85"/>
      <c r="W235" s="138"/>
      <c r="X235" s="139"/>
      <c r="Y235" s="139"/>
      <c r="Z235" s="139"/>
      <c r="AA235" s="139"/>
      <c r="AB235" s="139"/>
      <c r="AC235" s="139"/>
      <c r="AD235" s="139"/>
      <c r="AE235" s="139"/>
      <c r="AF235" s="139"/>
      <c r="AG235" s="139"/>
      <c r="AH235" s="139"/>
      <c r="AI235" s="139"/>
      <c r="AJ235" s="139"/>
      <c r="AK235" s="139"/>
      <c r="AL235" s="139"/>
      <c r="AM235" s="139"/>
      <c r="AN235" s="139"/>
      <c r="AO235" s="139"/>
    </row>
    <row r="236">
      <c r="A236" s="85">
        <v>44945.0</v>
      </c>
      <c r="B236" s="86">
        <v>71.45</v>
      </c>
      <c r="C236" s="85">
        <v>44934.0</v>
      </c>
      <c r="D236" s="89" t="s">
        <v>1525</v>
      </c>
      <c r="E236" s="89" t="s">
        <v>1526</v>
      </c>
      <c r="F236" s="89" t="s">
        <v>1527</v>
      </c>
      <c r="G236" s="89" t="s">
        <v>114</v>
      </c>
      <c r="H236" s="89" t="s">
        <v>94</v>
      </c>
      <c r="I236" s="89" t="s">
        <v>94</v>
      </c>
      <c r="J236" s="89" t="s">
        <v>95</v>
      </c>
      <c r="K236" s="89"/>
      <c r="L236" s="89"/>
      <c r="M236" s="89"/>
      <c r="N236" s="89">
        <v>1.0</v>
      </c>
      <c r="O236" s="85"/>
      <c r="P236" s="89"/>
      <c r="Q236" s="137">
        <v>1.0</v>
      </c>
      <c r="R236" s="138"/>
      <c r="S236" s="138"/>
      <c r="T236" s="85"/>
      <c r="U236" s="85"/>
      <c r="V236" s="85"/>
      <c r="W236" s="138"/>
      <c r="X236" s="139"/>
      <c r="Y236" s="139"/>
      <c r="Z236" s="139"/>
      <c r="AA236" s="139"/>
      <c r="AB236" s="139"/>
      <c r="AC236" s="139"/>
      <c r="AD236" s="139"/>
      <c r="AE236" s="139"/>
      <c r="AF236" s="139"/>
      <c r="AG236" s="139"/>
      <c r="AH236" s="139"/>
      <c r="AI236" s="139"/>
      <c r="AJ236" s="139"/>
      <c r="AK236" s="139"/>
      <c r="AL236" s="139"/>
      <c r="AM236" s="139"/>
      <c r="AN236" s="139"/>
      <c r="AO236" s="139"/>
    </row>
    <row r="237">
      <c r="A237" s="85">
        <v>44945.0</v>
      </c>
      <c r="B237" s="86">
        <v>37.32</v>
      </c>
      <c r="C237" s="85">
        <v>44890.0</v>
      </c>
      <c r="D237" s="89" t="s">
        <v>1531</v>
      </c>
      <c r="E237" s="89" t="s">
        <v>1532</v>
      </c>
      <c r="F237" s="89" t="s">
        <v>1533</v>
      </c>
      <c r="G237" s="89" t="s">
        <v>114</v>
      </c>
      <c r="H237" s="89" t="s">
        <v>94</v>
      </c>
      <c r="I237" s="89" t="s">
        <v>94</v>
      </c>
      <c r="J237" s="89" t="s">
        <v>95</v>
      </c>
      <c r="K237" s="89"/>
      <c r="L237" s="89"/>
      <c r="M237" s="89"/>
      <c r="N237" s="89">
        <v>1.0</v>
      </c>
      <c r="O237" s="85"/>
      <c r="P237" s="89"/>
      <c r="Q237" s="137"/>
      <c r="R237" s="138"/>
      <c r="S237" s="138"/>
      <c r="T237" s="85"/>
      <c r="U237" s="85"/>
      <c r="V237" s="85"/>
      <c r="W237" s="138"/>
      <c r="X237" s="139"/>
      <c r="Y237" s="139"/>
      <c r="Z237" s="139"/>
      <c r="AA237" s="139"/>
      <c r="AB237" s="139"/>
      <c r="AC237" s="139"/>
      <c r="AD237" s="139"/>
      <c r="AE237" s="139"/>
      <c r="AF237" s="139"/>
      <c r="AG237" s="139"/>
      <c r="AH237" s="139"/>
      <c r="AI237" s="139"/>
      <c r="AJ237" s="139"/>
      <c r="AK237" s="139"/>
      <c r="AL237" s="139"/>
      <c r="AM237" s="139"/>
      <c r="AN237" s="139"/>
      <c r="AO237" s="139"/>
    </row>
    <row r="238" ht="17.25" customHeight="1">
      <c r="A238" s="85">
        <v>44945.0</v>
      </c>
      <c r="B238" s="86">
        <v>70.38</v>
      </c>
      <c r="C238" s="85">
        <v>44927.0</v>
      </c>
      <c r="D238" s="89" t="s">
        <v>1534</v>
      </c>
      <c r="E238" s="89" t="s">
        <v>1535</v>
      </c>
      <c r="F238" s="89" t="s">
        <v>1536</v>
      </c>
      <c r="G238" s="89" t="s">
        <v>114</v>
      </c>
      <c r="H238" s="89" t="s">
        <v>94</v>
      </c>
      <c r="I238" s="89" t="s">
        <v>94</v>
      </c>
      <c r="J238" s="89" t="s">
        <v>95</v>
      </c>
      <c r="K238" s="89"/>
      <c r="L238" s="89"/>
      <c r="M238" s="89"/>
      <c r="N238" s="89">
        <v>1.0</v>
      </c>
      <c r="O238" s="85"/>
      <c r="P238" s="89"/>
      <c r="Q238" s="137">
        <v>1.0</v>
      </c>
      <c r="R238" s="138"/>
      <c r="S238" s="138"/>
      <c r="T238" s="85"/>
      <c r="U238" s="85"/>
      <c r="V238" s="85"/>
      <c r="W238" s="138"/>
      <c r="X238" s="139"/>
      <c r="Y238" s="139"/>
      <c r="Z238" s="139"/>
      <c r="AA238" s="139"/>
      <c r="AB238" s="139"/>
      <c r="AC238" s="139"/>
      <c r="AD238" s="139"/>
      <c r="AE238" s="139"/>
      <c r="AF238" s="139"/>
      <c r="AG238" s="139"/>
      <c r="AH238" s="139"/>
      <c r="AI238" s="139"/>
      <c r="AJ238" s="139"/>
      <c r="AK238" s="139"/>
      <c r="AL238" s="139"/>
      <c r="AM238" s="139"/>
      <c r="AN238" s="139"/>
      <c r="AO238" s="139"/>
    </row>
    <row r="239">
      <c r="A239" s="85">
        <v>44945.0</v>
      </c>
      <c r="B239" s="86">
        <v>244.52</v>
      </c>
      <c r="C239" s="85">
        <v>44906.0</v>
      </c>
      <c r="D239" s="89" t="s">
        <v>1540</v>
      </c>
      <c r="E239" s="89" t="s">
        <v>1541</v>
      </c>
      <c r="F239" s="89" t="s">
        <v>1542</v>
      </c>
      <c r="G239" s="89" t="s">
        <v>114</v>
      </c>
      <c r="H239" s="89" t="s">
        <v>94</v>
      </c>
      <c r="I239" s="89" t="s">
        <v>94</v>
      </c>
      <c r="J239" s="89" t="s">
        <v>95</v>
      </c>
      <c r="K239" s="89">
        <v>1.0</v>
      </c>
      <c r="L239" s="89"/>
      <c r="M239" s="89"/>
      <c r="N239" s="89"/>
      <c r="O239" s="85"/>
      <c r="P239" s="89">
        <v>1.0</v>
      </c>
      <c r="Q239" s="137"/>
      <c r="R239" s="138"/>
      <c r="S239" s="138"/>
      <c r="T239" s="85"/>
      <c r="U239" s="85"/>
      <c r="V239" s="85"/>
      <c r="W239" s="138"/>
      <c r="X239" s="139"/>
      <c r="Y239" s="139"/>
      <c r="Z239" s="139"/>
      <c r="AA239" s="139"/>
      <c r="AB239" s="139"/>
      <c r="AC239" s="139"/>
      <c r="AD239" s="139"/>
      <c r="AE239" s="139"/>
      <c r="AF239" s="139"/>
      <c r="AG239" s="139"/>
      <c r="AH239" s="139"/>
      <c r="AI239" s="139"/>
      <c r="AJ239" s="139"/>
      <c r="AK239" s="139"/>
      <c r="AL239" s="139"/>
      <c r="AM239" s="139"/>
      <c r="AN239" s="139"/>
      <c r="AO239" s="139"/>
    </row>
    <row r="240">
      <c r="A240" s="85">
        <v>44945.0</v>
      </c>
      <c r="B240" s="86">
        <v>23.38</v>
      </c>
      <c r="C240" s="85">
        <v>44860.0</v>
      </c>
      <c r="D240" s="89" t="s">
        <v>1549</v>
      </c>
      <c r="E240" s="89" t="s">
        <v>1550</v>
      </c>
      <c r="F240" s="89" t="s">
        <v>1551</v>
      </c>
      <c r="G240" s="89" t="s">
        <v>1552</v>
      </c>
      <c r="H240" s="89" t="s">
        <v>94</v>
      </c>
      <c r="I240" s="89" t="s">
        <v>94</v>
      </c>
      <c r="J240" s="89" t="s">
        <v>95</v>
      </c>
      <c r="K240" s="85"/>
      <c r="L240" s="89"/>
      <c r="M240" s="85"/>
      <c r="N240" s="89"/>
      <c r="O240" s="85"/>
      <c r="P240" s="89"/>
      <c r="Q240" s="89">
        <v>1.0</v>
      </c>
      <c r="R240" s="85"/>
      <c r="S240" s="85"/>
      <c r="T240" s="85"/>
      <c r="U240" s="85"/>
      <c r="V240" s="89"/>
      <c r="W240" s="89"/>
      <c r="X240" s="89"/>
      <c r="Y240" s="89"/>
      <c r="Z240" s="89"/>
      <c r="AA240" s="89"/>
      <c r="AB240" s="89"/>
      <c r="AC240" s="89"/>
      <c r="AD240" s="89"/>
      <c r="AE240" s="89"/>
      <c r="AF240" s="89"/>
      <c r="AG240" s="89"/>
      <c r="AH240" s="89"/>
      <c r="AI240" s="89"/>
      <c r="AJ240" s="89"/>
      <c r="AK240" s="89"/>
      <c r="AL240" s="89"/>
      <c r="AM240" s="89"/>
      <c r="AN240" s="89"/>
      <c r="AO240" s="89"/>
    </row>
    <row r="241">
      <c r="A241" s="85">
        <v>44945.0</v>
      </c>
      <c r="B241" s="86">
        <v>18.0</v>
      </c>
      <c r="C241" s="85">
        <v>44602.0</v>
      </c>
      <c r="D241" s="89" t="s">
        <v>1556</v>
      </c>
      <c r="E241" s="89" t="s">
        <v>1557</v>
      </c>
      <c r="F241" s="89" t="s">
        <v>1558</v>
      </c>
      <c r="G241" s="89" t="s">
        <v>110</v>
      </c>
      <c r="H241" s="89" t="s">
        <v>94</v>
      </c>
      <c r="I241" s="89" t="s">
        <v>94</v>
      </c>
      <c r="J241" s="89" t="s">
        <v>1559</v>
      </c>
      <c r="K241" s="89"/>
      <c r="L241" s="89"/>
      <c r="M241" s="89"/>
      <c r="N241" s="89"/>
      <c r="O241" s="89">
        <v>1.0</v>
      </c>
      <c r="P241" s="89"/>
      <c r="Q241" s="137"/>
      <c r="R241" s="138"/>
      <c r="S241" s="138"/>
      <c r="T241" s="85"/>
      <c r="U241" s="85"/>
      <c r="V241" s="85"/>
      <c r="W241" s="138"/>
      <c r="X241" s="139"/>
      <c r="Y241" s="139"/>
      <c r="Z241" s="139"/>
      <c r="AA241" s="139"/>
      <c r="AB241" s="139"/>
      <c r="AC241" s="139"/>
      <c r="AD241" s="139"/>
      <c r="AE241" s="139"/>
      <c r="AF241" s="139"/>
      <c r="AG241" s="139"/>
      <c r="AH241" s="139"/>
      <c r="AI241" s="139"/>
      <c r="AJ241" s="139"/>
      <c r="AK241" s="139"/>
      <c r="AL241" s="139"/>
      <c r="AM241" s="139"/>
      <c r="AN241" s="139"/>
      <c r="AO241" s="139"/>
    </row>
    <row r="242">
      <c r="A242" s="85">
        <v>44945.0</v>
      </c>
      <c r="B242" s="86">
        <v>36.0</v>
      </c>
      <c r="C242" s="85">
        <v>44712.0</v>
      </c>
      <c r="D242" s="89" t="s">
        <v>1566</v>
      </c>
      <c r="E242" s="89" t="s">
        <v>1567</v>
      </c>
      <c r="F242" s="89" t="s">
        <v>1568</v>
      </c>
      <c r="G242" s="89" t="s">
        <v>114</v>
      </c>
      <c r="H242" s="89" t="s">
        <v>94</v>
      </c>
      <c r="I242" s="89" t="s">
        <v>94</v>
      </c>
      <c r="J242" s="89" t="s">
        <v>1569</v>
      </c>
      <c r="K242" s="89"/>
      <c r="L242" s="89"/>
      <c r="M242" s="89"/>
      <c r="N242" s="89"/>
      <c r="O242" s="89">
        <v>2.0</v>
      </c>
      <c r="P242" s="89"/>
      <c r="Q242" s="137"/>
      <c r="R242" s="138"/>
      <c r="S242" s="138"/>
      <c r="T242" s="85"/>
      <c r="U242" s="85"/>
      <c r="V242" s="85"/>
      <c r="W242" s="138"/>
      <c r="X242" s="139"/>
      <c r="Y242" s="139"/>
      <c r="Z242" s="139"/>
      <c r="AA242" s="139"/>
      <c r="AB242" s="139"/>
      <c r="AC242" s="139"/>
      <c r="AD242" s="139"/>
      <c r="AE242" s="139"/>
      <c r="AF242" s="139"/>
      <c r="AG242" s="139"/>
      <c r="AH242" s="139"/>
      <c r="AI242" s="139"/>
      <c r="AJ242" s="139"/>
      <c r="AK242" s="139"/>
      <c r="AL242" s="139"/>
      <c r="AM242" s="139"/>
      <c r="AN242" s="139"/>
      <c r="AO242" s="139"/>
    </row>
    <row r="243">
      <c r="A243" s="85">
        <v>44945.0</v>
      </c>
      <c r="B243" s="86">
        <v>86.26</v>
      </c>
      <c r="C243" s="89" t="s">
        <v>1575</v>
      </c>
      <c r="D243" s="89" t="s">
        <v>1576</v>
      </c>
      <c r="E243" s="130" t="s">
        <v>1577</v>
      </c>
      <c r="F243" s="89" t="s">
        <v>1578</v>
      </c>
      <c r="G243" s="89" t="s">
        <v>114</v>
      </c>
      <c r="H243" s="89" t="s">
        <v>94</v>
      </c>
      <c r="I243" s="89" t="s">
        <v>94</v>
      </c>
      <c r="J243" s="89" t="s">
        <v>95</v>
      </c>
      <c r="K243" s="89"/>
      <c r="L243" s="89"/>
      <c r="M243" s="89">
        <v>1.0</v>
      </c>
      <c r="N243" s="89"/>
      <c r="O243" s="85"/>
      <c r="P243" s="89"/>
      <c r="Q243" s="137"/>
      <c r="R243" s="138"/>
      <c r="S243" s="138"/>
      <c r="T243" s="85"/>
      <c r="U243" s="85"/>
      <c r="V243" s="85"/>
      <c r="W243" s="138"/>
      <c r="X243" s="139"/>
      <c r="Y243" s="139"/>
      <c r="Z243" s="139"/>
      <c r="AA243" s="139"/>
      <c r="AB243" s="139"/>
      <c r="AC243" s="139"/>
      <c r="AD243" s="139"/>
      <c r="AE243" s="139"/>
      <c r="AF243" s="139"/>
      <c r="AG243" s="139"/>
      <c r="AH243" s="139"/>
      <c r="AI243" s="139"/>
      <c r="AJ243" s="139"/>
      <c r="AK243" s="139"/>
      <c r="AL243" s="139"/>
      <c r="AM243" s="139"/>
      <c r="AN243" s="139"/>
      <c r="AO243" s="139"/>
    </row>
    <row r="244">
      <c r="A244" s="85">
        <v>44945.0</v>
      </c>
      <c r="B244" s="86">
        <v>118.72</v>
      </c>
      <c r="C244" s="85">
        <v>44940.0</v>
      </c>
      <c r="D244" s="89" t="s">
        <v>1582</v>
      </c>
      <c r="E244" s="89" t="s">
        <v>1583</v>
      </c>
      <c r="F244" s="89" t="s">
        <v>1584</v>
      </c>
      <c r="G244" s="89" t="s">
        <v>114</v>
      </c>
      <c r="H244" s="89" t="s">
        <v>94</v>
      </c>
      <c r="I244" s="89" t="s">
        <v>94</v>
      </c>
      <c r="J244" s="89" t="s">
        <v>95</v>
      </c>
      <c r="K244" s="89"/>
      <c r="L244" s="89"/>
      <c r="M244" s="89">
        <v>1.0</v>
      </c>
      <c r="N244" s="89"/>
      <c r="O244" s="85"/>
      <c r="P244" s="89"/>
      <c r="Q244" s="137">
        <v>1.0</v>
      </c>
      <c r="R244" s="138"/>
      <c r="S244" s="138"/>
      <c r="T244" s="85"/>
      <c r="U244" s="85"/>
      <c r="V244" s="85"/>
      <c r="W244" s="138"/>
      <c r="X244" s="139"/>
      <c r="Y244" s="139"/>
      <c r="Z244" s="139"/>
      <c r="AA244" s="139"/>
      <c r="AB244" s="139"/>
      <c r="AC244" s="139"/>
      <c r="AD244" s="139"/>
      <c r="AE244" s="139"/>
      <c r="AF244" s="139"/>
      <c r="AG244" s="139"/>
      <c r="AH244" s="139"/>
      <c r="AI244" s="139"/>
      <c r="AJ244" s="139"/>
      <c r="AK244" s="139"/>
      <c r="AL244" s="139"/>
      <c r="AM244" s="139"/>
      <c r="AN244" s="139"/>
      <c r="AO244" s="139"/>
    </row>
    <row r="245">
      <c r="A245" s="85">
        <v>44946.0</v>
      </c>
      <c r="B245" s="86">
        <v>184.0</v>
      </c>
      <c r="C245" s="85">
        <v>44153.0</v>
      </c>
      <c r="D245" s="89" t="s">
        <v>1588</v>
      </c>
      <c r="E245" s="89" t="s">
        <v>1589</v>
      </c>
      <c r="F245" s="89" t="s">
        <v>1590</v>
      </c>
      <c r="G245" s="89" t="s">
        <v>110</v>
      </c>
      <c r="H245" s="89" t="s">
        <v>170</v>
      </c>
      <c r="I245" s="89" t="s">
        <v>135</v>
      </c>
      <c r="J245" s="89" t="s">
        <v>95</v>
      </c>
      <c r="K245" s="89"/>
      <c r="L245" s="89">
        <v>1.0</v>
      </c>
      <c r="M245" s="89"/>
      <c r="N245" s="89"/>
      <c r="O245" s="85"/>
      <c r="P245" s="89"/>
      <c r="Q245" s="137"/>
      <c r="R245" s="138"/>
      <c r="S245" s="138"/>
      <c r="T245" s="85"/>
      <c r="U245" s="85"/>
      <c r="V245" s="85"/>
      <c r="W245" s="138"/>
      <c r="X245" s="139"/>
      <c r="Y245" s="139"/>
      <c r="Z245" s="139"/>
      <c r="AA245" s="139"/>
      <c r="AB245" s="139"/>
      <c r="AC245" s="139"/>
      <c r="AD245" s="139"/>
      <c r="AE245" s="139"/>
      <c r="AF245" s="139"/>
      <c r="AG245" s="139"/>
      <c r="AH245" s="139"/>
      <c r="AI245" s="139"/>
      <c r="AJ245" s="139"/>
      <c r="AK245" s="139"/>
      <c r="AL245" s="139"/>
      <c r="AM245" s="139"/>
      <c r="AN245" s="139"/>
      <c r="AO245" s="139"/>
    </row>
    <row r="246">
      <c r="A246" s="85">
        <v>44946.0</v>
      </c>
      <c r="B246" s="86">
        <v>36.25</v>
      </c>
      <c r="C246" s="85">
        <v>44916.0</v>
      </c>
      <c r="D246" s="89" t="s">
        <v>1594</v>
      </c>
      <c r="E246" s="89" t="s">
        <v>1595</v>
      </c>
      <c r="F246" s="89" t="s">
        <v>1596</v>
      </c>
      <c r="G246" s="89" t="s">
        <v>114</v>
      </c>
      <c r="H246" s="89" t="s">
        <v>94</v>
      </c>
      <c r="I246" s="89" t="s">
        <v>94</v>
      </c>
      <c r="J246" s="89" t="s">
        <v>95</v>
      </c>
      <c r="K246" s="89"/>
      <c r="L246" s="89"/>
      <c r="M246" s="89"/>
      <c r="N246" s="89">
        <v>1.0</v>
      </c>
      <c r="O246" s="85"/>
      <c r="P246" s="89"/>
      <c r="Q246" s="137"/>
      <c r="R246" s="138"/>
      <c r="S246" s="138"/>
      <c r="T246" s="85"/>
      <c r="U246" s="85"/>
      <c r="V246" s="85"/>
      <c r="W246" s="138"/>
      <c r="X246" s="139"/>
      <c r="Y246" s="139"/>
      <c r="Z246" s="139"/>
      <c r="AA246" s="139"/>
      <c r="AB246" s="139"/>
      <c r="AC246" s="139"/>
      <c r="AD246" s="139"/>
      <c r="AE246" s="139"/>
      <c r="AF246" s="139"/>
      <c r="AG246" s="139"/>
      <c r="AH246" s="139"/>
      <c r="AI246" s="139"/>
      <c r="AJ246" s="139"/>
      <c r="AK246" s="139"/>
      <c r="AL246" s="139"/>
      <c r="AM246" s="139"/>
      <c r="AN246" s="139"/>
      <c r="AO246" s="139"/>
    </row>
    <row r="247">
      <c r="A247" s="85">
        <v>44946.0</v>
      </c>
      <c r="B247" s="86">
        <v>324.8</v>
      </c>
      <c r="C247" s="85">
        <v>44905.0</v>
      </c>
      <c r="D247" s="89" t="s">
        <v>1600</v>
      </c>
      <c r="E247" s="89" t="s">
        <v>1601</v>
      </c>
      <c r="F247" s="89" t="s">
        <v>1602</v>
      </c>
      <c r="G247" s="89" t="s">
        <v>141</v>
      </c>
      <c r="H247" s="89" t="s">
        <v>94</v>
      </c>
      <c r="I247" s="89" t="s">
        <v>94</v>
      </c>
      <c r="J247" s="89" t="s">
        <v>95</v>
      </c>
      <c r="K247" s="89">
        <v>1.0</v>
      </c>
      <c r="L247" s="89"/>
      <c r="M247" s="89">
        <v>1.0</v>
      </c>
      <c r="N247" s="89"/>
      <c r="O247" s="85"/>
      <c r="P247" s="89">
        <v>1.0</v>
      </c>
      <c r="Q247" s="137"/>
      <c r="R247" s="138"/>
      <c r="S247" s="138"/>
      <c r="T247" s="85"/>
      <c r="U247" s="85"/>
      <c r="V247" s="85"/>
      <c r="W247" s="138"/>
      <c r="X247" s="139"/>
      <c r="Y247" s="139"/>
      <c r="Z247" s="139"/>
      <c r="AA247" s="139"/>
      <c r="AB247" s="139"/>
      <c r="AC247" s="139"/>
      <c r="AD247" s="139"/>
      <c r="AE247" s="139"/>
      <c r="AF247" s="139"/>
      <c r="AG247" s="139"/>
      <c r="AH247" s="139"/>
      <c r="AI247" s="139"/>
      <c r="AJ247" s="139"/>
      <c r="AK247" s="139"/>
      <c r="AL247" s="139"/>
      <c r="AM247" s="139"/>
      <c r="AN247" s="139"/>
      <c r="AO247" s="423"/>
    </row>
    <row r="248">
      <c r="A248" s="85">
        <v>44946.0</v>
      </c>
      <c r="B248" s="86">
        <v>322.92</v>
      </c>
      <c r="C248" s="85">
        <v>44929.0</v>
      </c>
      <c r="D248" s="89" t="s">
        <v>1608</v>
      </c>
      <c r="E248" s="89" t="s">
        <v>1610</v>
      </c>
      <c r="F248" s="89" t="s">
        <v>1611</v>
      </c>
      <c r="G248" s="89" t="s">
        <v>141</v>
      </c>
      <c r="H248" s="89" t="s">
        <v>94</v>
      </c>
      <c r="I248" s="89" t="s">
        <v>94</v>
      </c>
      <c r="J248" s="89" t="s">
        <v>95</v>
      </c>
      <c r="K248" s="89">
        <v>1.0</v>
      </c>
      <c r="L248" s="89"/>
      <c r="M248" s="89">
        <v>1.0</v>
      </c>
      <c r="N248" s="89"/>
      <c r="O248" s="85"/>
      <c r="P248" s="89">
        <v>1.0</v>
      </c>
      <c r="Q248" s="137"/>
      <c r="R248" s="138"/>
      <c r="S248" s="138"/>
      <c r="T248" s="85"/>
      <c r="U248" s="85"/>
      <c r="V248" s="85"/>
      <c r="W248" s="138"/>
      <c r="X248" s="139"/>
      <c r="Y248" s="139"/>
      <c r="Z248" s="139"/>
      <c r="AA248" s="139"/>
      <c r="AB248" s="139"/>
      <c r="AC248" s="139"/>
      <c r="AD248" s="139"/>
      <c r="AE248" s="139"/>
      <c r="AF248" s="139"/>
      <c r="AG248" s="139"/>
      <c r="AH248" s="139"/>
      <c r="AI248" s="139"/>
      <c r="AJ248" s="139"/>
      <c r="AK248" s="139"/>
      <c r="AL248" s="139"/>
      <c r="AM248" s="139"/>
      <c r="AN248" s="139"/>
      <c r="AO248" s="139"/>
    </row>
    <row r="249">
      <c r="A249" s="437">
        <v>44946.0</v>
      </c>
      <c r="B249" s="438">
        <v>18.0</v>
      </c>
      <c r="C249" s="437">
        <v>44459.0</v>
      </c>
      <c r="D249" s="439" t="s">
        <v>1615</v>
      </c>
      <c r="E249" s="439" t="s">
        <v>1616</v>
      </c>
      <c r="F249" s="439" t="s">
        <v>1617</v>
      </c>
      <c r="G249" s="439" t="s">
        <v>114</v>
      </c>
      <c r="H249" s="439" t="s">
        <v>94</v>
      </c>
      <c r="I249" s="439" t="s">
        <v>781</v>
      </c>
      <c r="J249" s="439" t="s">
        <v>1618</v>
      </c>
      <c r="K249" s="439"/>
      <c r="L249" s="439"/>
      <c r="M249" s="439"/>
      <c r="N249" s="439"/>
      <c r="O249" s="439">
        <v>1.0</v>
      </c>
      <c r="P249" s="439"/>
      <c r="Q249" s="440"/>
      <c r="R249" s="441"/>
      <c r="S249" s="441"/>
      <c r="T249" s="437"/>
      <c r="U249" s="437"/>
      <c r="V249" s="437"/>
      <c r="W249" s="441"/>
      <c r="X249" s="442"/>
      <c r="Y249" s="442"/>
      <c r="Z249" s="442"/>
      <c r="AA249" s="442"/>
      <c r="AB249" s="442"/>
      <c r="AC249" s="442"/>
      <c r="AD249" s="442"/>
      <c r="AE249" s="442"/>
      <c r="AF249" s="442"/>
      <c r="AG249" s="442"/>
      <c r="AH249" s="442"/>
      <c r="AI249" s="442"/>
      <c r="AJ249" s="442"/>
      <c r="AK249" s="442"/>
      <c r="AL249" s="442"/>
      <c r="AM249" s="442"/>
      <c r="AN249" s="442"/>
      <c r="AO249" s="442"/>
    </row>
    <row r="250">
      <c r="A250" s="85">
        <v>44946.0</v>
      </c>
      <c r="B250" s="86">
        <v>25.44</v>
      </c>
      <c r="C250" s="85">
        <v>44876.0</v>
      </c>
      <c r="D250" s="89" t="s">
        <v>1622</v>
      </c>
      <c r="E250" s="89" t="s">
        <v>1623</v>
      </c>
      <c r="F250" s="89" t="s">
        <v>1624</v>
      </c>
      <c r="G250" s="89" t="s">
        <v>114</v>
      </c>
      <c r="H250" s="89" t="s">
        <v>94</v>
      </c>
      <c r="I250" s="89" t="s">
        <v>94</v>
      </c>
      <c r="J250" s="89" t="s">
        <v>95</v>
      </c>
      <c r="K250" s="89"/>
      <c r="L250" s="89"/>
      <c r="M250" s="89"/>
      <c r="N250" s="89">
        <v>1.0</v>
      </c>
      <c r="O250" s="85"/>
      <c r="P250" s="89"/>
      <c r="Q250" s="137"/>
      <c r="R250" s="138"/>
      <c r="S250" s="138"/>
      <c r="T250" s="85"/>
      <c r="U250" s="85"/>
      <c r="V250" s="85"/>
      <c r="W250" s="138"/>
      <c r="X250" s="139"/>
      <c r="Y250" s="139"/>
      <c r="Z250" s="139"/>
      <c r="AA250" s="139"/>
      <c r="AB250" s="139"/>
      <c r="AC250" s="139"/>
      <c r="AD250" s="139"/>
      <c r="AE250" s="139"/>
      <c r="AF250" s="139"/>
      <c r="AG250" s="139"/>
      <c r="AH250" s="139"/>
      <c r="AI250" s="139"/>
      <c r="AJ250" s="139"/>
      <c r="AK250" s="139"/>
      <c r="AL250" s="139"/>
      <c r="AM250" s="139"/>
      <c r="AN250" s="139"/>
      <c r="AO250" s="139"/>
    </row>
    <row r="251">
      <c r="A251" s="85">
        <v>44946.0</v>
      </c>
      <c r="B251" s="86">
        <v>236.2</v>
      </c>
      <c r="C251" s="85">
        <v>44155.0</v>
      </c>
      <c r="D251" s="89" t="s">
        <v>1628</v>
      </c>
      <c r="E251" s="89" t="s">
        <v>1629</v>
      </c>
      <c r="F251" s="89" t="s">
        <v>1630</v>
      </c>
      <c r="G251" s="89" t="s">
        <v>114</v>
      </c>
      <c r="H251" s="89" t="s">
        <v>170</v>
      </c>
      <c r="I251" s="89" t="s">
        <v>170</v>
      </c>
      <c r="J251" s="89" t="s">
        <v>112</v>
      </c>
      <c r="K251" s="89"/>
      <c r="L251" s="89">
        <v>1.0</v>
      </c>
      <c r="M251" s="89"/>
      <c r="N251" s="89"/>
      <c r="O251" s="85"/>
      <c r="P251" s="89"/>
      <c r="Q251" s="137"/>
      <c r="R251" s="138"/>
      <c r="S251" s="138"/>
      <c r="T251" s="85"/>
      <c r="U251" s="85"/>
      <c r="V251" s="85"/>
      <c r="W251" s="138"/>
      <c r="X251" s="139"/>
      <c r="Y251" s="139"/>
      <c r="Z251" s="139"/>
      <c r="AA251" s="139"/>
      <c r="AB251" s="139"/>
      <c r="AC251" s="139"/>
      <c r="AD251" s="139"/>
      <c r="AE251" s="139"/>
      <c r="AF251" s="139"/>
      <c r="AG251" s="139"/>
      <c r="AH251" s="139"/>
      <c r="AI251" s="139"/>
      <c r="AJ251" s="139"/>
      <c r="AK251" s="139"/>
      <c r="AL251" s="139"/>
      <c r="AM251" s="139"/>
      <c r="AN251" s="139"/>
      <c r="AO251" s="139"/>
    </row>
    <row r="252">
      <c r="A252" s="85">
        <v>44946.0</v>
      </c>
      <c r="B252" s="86">
        <v>301.0</v>
      </c>
      <c r="C252" s="85">
        <v>44848.0</v>
      </c>
      <c r="D252" s="89" t="s">
        <v>1637</v>
      </c>
      <c r="E252" s="89" t="s">
        <v>1638</v>
      </c>
      <c r="F252" s="89" t="s">
        <v>1639</v>
      </c>
      <c r="G252" s="89" t="s">
        <v>110</v>
      </c>
      <c r="H252" s="89" t="s">
        <v>94</v>
      </c>
      <c r="I252" s="89" t="s">
        <v>94</v>
      </c>
      <c r="J252" s="89" t="s">
        <v>95</v>
      </c>
      <c r="K252" s="89"/>
      <c r="L252" s="89">
        <v>1.0</v>
      </c>
      <c r="M252" s="89"/>
      <c r="N252" s="89"/>
      <c r="O252" s="85"/>
      <c r="P252" s="89">
        <v>1.0</v>
      </c>
      <c r="Q252" s="137"/>
      <c r="R252" s="138"/>
      <c r="S252" s="138"/>
      <c r="T252" s="85"/>
      <c r="U252" s="85"/>
      <c r="V252" s="85"/>
      <c r="W252" s="138"/>
      <c r="X252" s="139"/>
      <c r="Y252" s="139"/>
      <c r="Z252" s="139"/>
      <c r="AA252" s="139"/>
      <c r="AB252" s="139"/>
      <c r="AC252" s="139"/>
      <c r="AD252" s="139"/>
      <c r="AE252" s="139"/>
      <c r="AF252" s="139"/>
      <c r="AG252" s="139"/>
      <c r="AH252" s="139"/>
      <c r="AI252" s="139"/>
      <c r="AJ252" s="139"/>
      <c r="AK252" s="139"/>
      <c r="AL252" s="139"/>
      <c r="AM252" s="139"/>
      <c r="AN252" s="139"/>
      <c r="AO252" s="139"/>
    </row>
    <row r="253">
      <c r="A253" s="85">
        <v>44946.0</v>
      </c>
      <c r="B253" s="86">
        <v>27.91</v>
      </c>
      <c r="C253" s="85">
        <v>44921.0</v>
      </c>
      <c r="D253" s="89" t="s">
        <v>1643</v>
      </c>
      <c r="E253" s="89" t="s">
        <v>1644</v>
      </c>
      <c r="F253" s="89" t="s">
        <v>1645</v>
      </c>
      <c r="G253" s="89" t="s">
        <v>114</v>
      </c>
      <c r="H253" s="89" t="s">
        <v>94</v>
      </c>
      <c r="I253" s="89" t="s">
        <v>94</v>
      </c>
      <c r="J253" s="89" t="s">
        <v>95</v>
      </c>
      <c r="K253" s="89"/>
      <c r="L253" s="89"/>
      <c r="M253" s="89"/>
      <c r="N253" s="89"/>
      <c r="O253" s="85"/>
      <c r="P253" s="89"/>
      <c r="Q253" s="137">
        <v>1.0</v>
      </c>
      <c r="R253" s="138"/>
      <c r="S253" s="138"/>
      <c r="T253" s="85"/>
      <c r="U253" s="85"/>
      <c r="V253" s="85"/>
      <c r="W253" s="138"/>
      <c r="X253" s="139"/>
      <c r="Y253" s="139"/>
      <c r="Z253" s="139"/>
      <c r="AA253" s="139"/>
      <c r="AB253" s="139"/>
      <c r="AC253" s="139"/>
      <c r="AD253" s="139"/>
      <c r="AE253" s="139"/>
      <c r="AF253" s="139"/>
      <c r="AG253" s="139"/>
      <c r="AH253" s="139"/>
      <c r="AI253" s="139"/>
      <c r="AJ253" s="139"/>
      <c r="AK253" s="139"/>
      <c r="AL253" s="139"/>
      <c r="AM253" s="139"/>
      <c r="AN253" s="139"/>
      <c r="AO253" s="139"/>
    </row>
    <row r="254">
      <c r="A254" s="85">
        <v>44946.0</v>
      </c>
      <c r="B254" s="86">
        <v>83.68</v>
      </c>
      <c r="C254" s="85">
        <v>44925.0</v>
      </c>
      <c r="D254" s="89" t="s">
        <v>1649</v>
      </c>
      <c r="E254" s="89" t="s">
        <v>1644</v>
      </c>
      <c r="F254" s="89" t="s">
        <v>1645</v>
      </c>
      <c r="G254" s="89" t="s">
        <v>114</v>
      </c>
      <c r="H254" s="89" t="s">
        <v>94</v>
      </c>
      <c r="I254" s="89" t="s">
        <v>94</v>
      </c>
      <c r="J254" s="89" t="s">
        <v>95</v>
      </c>
      <c r="K254" s="89"/>
      <c r="L254" s="89"/>
      <c r="M254" s="89">
        <v>1.0</v>
      </c>
      <c r="N254" s="89"/>
      <c r="O254" s="85"/>
      <c r="P254" s="89"/>
      <c r="Q254" s="137"/>
      <c r="R254" s="138"/>
      <c r="S254" s="138"/>
      <c r="T254" s="85"/>
      <c r="U254" s="85"/>
      <c r="V254" s="85"/>
      <c r="W254" s="138"/>
      <c r="X254" s="139"/>
      <c r="Y254" s="139"/>
      <c r="Z254" s="139"/>
      <c r="AA254" s="139"/>
      <c r="AB254" s="139"/>
      <c r="AC254" s="139"/>
      <c r="AD254" s="139"/>
      <c r="AE254" s="139"/>
      <c r="AF254" s="139"/>
      <c r="AG254" s="139"/>
      <c r="AH254" s="139"/>
      <c r="AI254" s="139"/>
      <c r="AJ254" s="139"/>
      <c r="AK254" s="139"/>
      <c r="AL254" s="139"/>
      <c r="AM254" s="139"/>
      <c r="AN254" s="139"/>
      <c r="AO254" s="139"/>
    </row>
    <row r="255" ht="15.75" customHeight="1">
      <c r="A255" s="85">
        <v>44946.0</v>
      </c>
      <c r="B255" s="86">
        <v>617.41</v>
      </c>
      <c r="C255" s="85">
        <v>44937.0</v>
      </c>
      <c r="D255" s="89" t="s">
        <v>1653</v>
      </c>
      <c r="E255" s="89" t="s">
        <v>1654</v>
      </c>
      <c r="F255" s="89" t="s">
        <v>1655</v>
      </c>
      <c r="G255" s="89" t="s">
        <v>114</v>
      </c>
      <c r="H255" s="89" t="s">
        <v>94</v>
      </c>
      <c r="I255" s="89" t="s">
        <v>94</v>
      </c>
      <c r="J255" s="89" t="s">
        <v>95</v>
      </c>
      <c r="K255" s="89"/>
      <c r="L255" s="89">
        <v>2.0</v>
      </c>
      <c r="M255" s="89"/>
      <c r="N255" s="89"/>
      <c r="O255" s="85"/>
      <c r="P255" s="89">
        <v>2.0</v>
      </c>
      <c r="Q255" s="137"/>
      <c r="R255" s="138"/>
      <c r="S255" s="138"/>
      <c r="T255" s="85"/>
      <c r="U255" s="85"/>
      <c r="V255" s="85"/>
      <c r="W255" s="138"/>
      <c r="X255" s="139"/>
      <c r="Y255" s="139"/>
      <c r="Z255" s="139"/>
      <c r="AA255" s="139"/>
      <c r="AB255" s="139"/>
      <c r="AC255" s="139"/>
      <c r="AD255" s="139"/>
      <c r="AE255" s="139"/>
      <c r="AF255" s="139"/>
      <c r="AG255" s="139"/>
      <c r="AH255" s="139"/>
      <c r="AI255" s="139"/>
      <c r="AJ255" s="139"/>
      <c r="AK255" s="139"/>
      <c r="AL255" s="139"/>
      <c r="AM255" s="139"/>
      <c r="AN255" s="139"/>
      <c r="AO255" s="139"/>
    </row>
    <row r="256">
      <c r="A256" s="85">
        <v>44946.0</v>
      </c>
      <c r="B256" s="86">
        <v>193.96</v>
      </c>
      <c r="C256" s="85">
        <v>44937.0</v>
      </c>
      <c r="D256" s="89" t="s">
        <v>1659</v>
      </c>
      <c r="E256" s="89" t="s">
        <v>1654</v>
      </c>
      <c r="F256" s="89" t="s">
        <v>1655</v>
      </c>
      <c r="G256" s="89" t="s">
        <v>114</v>
      </c>
      <c r="H256" s="89" t="s">
        <v>94</v>
      </c>
      <c r="I256" s="89" t="s">
        <v>94</v>
      </c>
      <c r="J256" s="89" t="s">
        <v>95</v>
      </c>
      <c r="K256" s="89">
        <v>1.0</v>
      </c>
      <c r="L256" s="89"/>
      <c r="M256" s="89"/>
      <c r="N256" s="89"/>
      <c r="O256" s="85"/>
      <c r="P256" s="89">
        <v>1.0</v>
      </c>
      <c r="Q256" s="137"/>
      <c r="R256" s="138"/>
      <c r="S256" s="138"/>
      <c r="T256" s="85"/>
      <c r="U256" s="85"/>
      <c r="V256" s="85"/>
      <c r="W256" s="138"/>
      <c r="X256" s="139"/>
      <c r="Y256" s="139"/>
      <c r="Z256" s="139"/>
      <c r="AA256" s="139"/>
      <c r="AB256" s="139"/>
      <c r="AC256" s="139"/>
      <c r="AD256" s="139"/>
      <c r="AE256" s="139"/>
      <c r="AF256" s="139"/>
      <c r="AG256" s="139"/>
      <c r="AH256" s="139"/>
      <c r="AI256" s="139"/>
      <c r="AJ256" s="139"/>
      <c r="AK256" s="139"/>
      <c r="AL256" s="139"/>
      <c r="AM256" s="139"/>
      <c r="AN256" s="139"/>
      <c r="AO256" s="139"/>
    </row>
    <row r="257">
      <c r="A257" s="85">
        <v>44947.0</v>
      </c>
      <c r="B257" s="86">
        <v>277.66</v>
      </c>
      <c r="C257" s="85">
        <v>44898.0</v>
      </c>
      <c r="D257" s="89" t="s">
        <v>1663</v>
      </c>
      <c r="E257" s="89" t="s">
        <v>1664</v>
      </c>
      <c r="F257" s="89" t="s">
        <v>1665</v>
      </c>
      <c r="G257" s="89" t="s">
        <v>114</v>
      </c>
      <c r="H257" s="89" t="s">
        <v>94</v>
      </c>
      <c r="I257" s="89" t="s">
        <v>94</v>
      </c>
      <c r="J257" s="89" t="s">
        <v>95</v>
      </c>
      <c r="K257" s="89">
        <v>1.0</v>
      </c>
      <c r="L257" s="89"/>
      <c r="M257" s="89"/>
      <c r="N257" s="89">
        <v>1.0</v>
      </c>
      <c r="O257" s="85"/>
      <c r="P257" s="89">
        <v>1.0</v>
      </c>
      <c r="Q257" s="137"/>
      <c r="R257" s="138"/>
      <c r="S257" s="138"/>
      <c r="T257" s="85"/>
      <c r="U257" s="85"/>
      <c r="V257" s="85"/>
      <c r="W257" s="138"/>
      <c r="X257" s="139"/>
      <c r="Y257" s="139"/>
      <c r="Z257" s="139"/>
      <c r="AA257" s="139"/>
      <c r="AB257" s="139"/>
      <c r="AC257" s="139"/>
      <c r="AD257" s="139"/>
      <c r="AE257" s="139"/>
      <c r="AF257" s="139"/>
      <c r="AG257" s="139"/>
      <c r="AH257" s="139"/>
      <c r="AI257" s="139"/>
      <c r="AJ257" s="139"/>
      <c r="AK257" s="139"/>
      <c r="AL257" s="139"/>
      <c r="AM257" s="139"/>
      <c r="AN257" s="139"/>
      <c r="AO257" s="139"/>
    </row>
    <row r="258">
      <c r="A258" s="85">
        <v>44947.0</v>
      </c>
      <c r="B258" s="86">
        <v>299.0</v>
      </c>
      <c r="C258" s="85">
        <v>44926.0</v>
      </c>
      <c r="D258" s="89" t="s">
        <v>1669</v>
      </c>
      <c r="E258" s="89" t="s">
        <v>1670</v>
      </c>
      <c r="F258" s="89" t="s">
        <v>1671</v>
      </c>
      <c r="G258" s="89" t="s">
        <v>114</v>
      </c>
      <c r="H258" s="89" t="s">
        <v>94</v>
      </c>
      <c r="I258" s="89" t="s">
        <v>94</v>
      </c>
      <c r="J258" s="89" t="s">
        <v>95</v>
      </c>
      <c r="K258" s="89"/>
      <c r="L258" s="89"/>
      <c r="M258" s="89"/>
      <c r="N258" s="89"/>
      <c r="O258" s="85"/>
      <c r="P258" s="89"/>
      <c r="Q258" s="137"/>
      <c r="R258" s="138"/>
      <c r="S258" s="138"/>
      <c r="T258" s="85"/>
      <c r="U258" s="85"/>
      <c r="V258" s="89">
        <v>1.0</v>
      </c>
      <c r="W258" s="138"/>
      <c r="X258" s="139"/>
      <c r="Y258" s="139"/>
      <c r="Z258" s="139"/>
      <c r="AA258" s="139"/>
      <c r="AB258" s="139"/>
      <c r="AC258" s="139"/>
      <c r="AD258" s="139"/>
      <c r="AE258" s="139"/>
      <c r="AF258" s="139"/>
      <c r="AG258" s="139"/>
      <c r="AH258" s="139"/>
      <c r="AI258" s="139"/>
      <c r="AJ258" s="139"/>
      <c r="AK258" s="139"/>
      <c r="AL258" s="139"/>
      <c r="AM258" s="139"/>
      <c r="AN258" s="139"/>
      <c r="AO258" s="139"/>
    </row>
    <row r="259">
      <c r="A259" s="85">
        <v>44947.0</v>
      </c>
      <c r="B259" s="86">
        <v>120.84</v>
      </c>
      <c r="C259" s="85">
        <v>44924.0</v>
      </c>
      <c r="D259" s="89" t="s">
        <v>1676</v>
      </c>
      <c r="E259" s="89" t="s">
        <v>1677</v>
      </c>
      <c r="F259" s="89" t="s">
        <v>1678</v>
      </c>
      <c r="G259" s="89" t="s">
        <v>114</v>
      </c>
      <c r="H259" s="89" t="s">
        <v>94</v>
      </c>
      <c r="I259" s="89" t="s">
        <v>94</v>
      </c>
      <c r="J259" s="89" t="s">
        <v>95</v>
      </c>
      <c r="K259" s="89"/>
      <c r="L259" s="89"/>
      <c r="M259" s="89">
        <v>1.0</v>
      </c>
      <c r="N259" s="89">
        <v>1.0</v>
      </c>
      <c r="O259" s="85"/>
      <c r="P259" s="89"/>
      <c r="Q259" s="137"/>
      <c r="R259" s="138"/>
      <c r="S259" s="138"/>
      <c r="T259" s="85"/>
      <c r="U259" s="85"/>
      <c r="V259" s="85"/>
      <c r="W259" s="138"/>
      <c r="X259" s="139"/>
      <c r="Y259" s="139"/>
      <c r="Z259" s="139"/>
      <c r="AA259" s="139"/>
      <c r="AB259" s="139"/>
      <c r="AC259" s="139"/>
      <c r="AD259" s="139"/>
      <c r="AE259" s="139"/>
      <c r="AF259" s="139"/>
      <c r="AG259" s="139"/>
      <c r="AH259" s="139"/>
      <c r="AI259" s="139"/>
      <c r="AJ259" s="139"/>
      <c r="AK259" s="139"/>
      <c r="AL259" s="139"/>
      <c r="AM259" s="139"/>
      <c r="AN259" s="139"/>
      <c r="AO259" s="139"/>
    </row>
    <row r="260">
      <c r="A260" s="85">
        <v>44947.0</v>
      </c>
      <c r="B260" s="86">
        <v>255.3</v>
      </c>
      <c r="C260" s="85">
        <v>44162.0</v>
      </c>
      <c r="D260" s="89" t="s">
        <v>1684</v>
      </c>
      <c r="E260" s="89" t="s">
        <v>1685</v>
      </c>
      <c r="F260" s="89" t="s">
        <v>1686</v>
      </c>
      <c r="G260" s="89" t="s">
        <v>110</v>
      </c>
      <c r="H260" s="89" t="s">
        <v>170</v>
      </c>
      <c r="I260" s="89" t="s">
        <v>135</v>
      </c>
      <c r="J260" s="89" t="s">
        <v>191</v>
      </c>
      <c r="K260" s="89"/>
      <c r="L260" s="89">
        <v>1.0</v>
      </c>
      <c r="M260" s="89"/>
      <c r="N260" s="89">
        <v>1.0</v>
      </c>
      <c r="O260" s="89"/>
      <c r="P260" s="89">
        <v>1.0</v>
      </c>
      <c r="Q260" s="137"/>
      <c r="R260" s="138"/>
      <c r="S260" s="138"/>
      <c r="T260" s="85"/>
      <c r="U260" s="85"/>
      <c r="V260" s="85"/>
      <c r="W260" s="138"/>
      <c r="X260" s="139"/>
      <c r="Y260" s="139"/>
      <c r="Z260" s="139"/>
      <c r="AA260" s="139"/>
      <c r="AB260" s="139"/>
      <c r="AC260" s="139"/>
      <c r="AD260" s="139"/>
      <c r="AE260" s="139"/>
      <c r="AF260" s="139"/>
      <c r="AG260" s="139"/>
      <c r="AH260" s="139"/>
      <c r="AI260" s="139"/>
      <c r="AJ260" s="139"/>
      <c r="AK260" s="139"/>
      <c r="AL260" s="139"/>
      <c r="AM260" s="139"/>
      <c r="AN260" s="139"/>
      <c r="AO260" s="139"/>
    </row>
    <row r="261">
      <c r="A261" s="85">
        <v>44947.0</v>
      </c>
      <c r="B261" s="86">
        <v>26.02</v>
      </c>
      <c r="C261" s="85">
        <v>44868.0</v>
      </c>
      <c r="D261" s="89" t="s">
        <v>1691</v>
      </c>
      <c r="E261" s="89" t="s">
        <v>1693</v>
      </c>
      <c r="F261" s="89" t="s">
        <v>1695</v>
      </c>
      <c r="G261" s="89" t="s">
        <v>110</v>
      </c>
      <c r="H261" s="89" t="s">
        <v>94</v>
      </c>
      <c r="I261" s="89" t="s">
        <v>94</v>
      </c>
      <c r="J261" s="89" t="s">
        <v>95</v>
      </c>
      <c r="K261" s="89"/>
      <c r="L261" s="89"/>
      <c r="M261" s="89"/>
      <c r="N261" s="89"/>
      <c r="O261" s="85"/>
      <c r="P261" s="89">
        <v>1.0</v>
      </c>
      <c r="Q261" s="137"/>
      <c r="R261" s="138"/>
      <c r="S261" s="138"/>
      <c r="T261" s="85"/>
      <c r="U261" s="85"/>
      <c r="V261" s="85"/>
      <c r="W261" s="138"/>
      <c r="X261" s="139"/>
      <c r="Y261" s="139"/>
      <c r="Z261" s="139"/>
      <c r="AA261" s="139"/>
      <c r="AB261" s="139"/>
      <c r="AC261" s="139"/>
      <c r="AD261" s="139"/>
      <c r="AE261" s="139"/>
      <c r="AF261" s="139"/>
      <c r="AG261" s="139"/>
      <c r="AH261" s="139"/>
      <c r="AI261" s="139"/>
      <c r="AJ261" s="139"/>
      <c r="AK261" s="139"/>
      <c r="AL261" s="139"/>
      <c r="AM261" s="139"/>
      <c r="AN261" s="139"/>
      <c r="AO261" s="139"/>
    </row>
    <row r="262">
      <c r="A262" s="85">
        <v>44947.0</v>
      </c>
      <c r="B262" s="86">
        <v>322.92</v>
      </c>
      <c r="C262" s="85">
        <v>44942.0</v>
      </c>
      <c r="D262" s="89" t="s">
        <v>1696</v>
      </c>
      <c r="E262" s="89" t="s">
        <v>1697</v>
      </c>
      <c r="F262" s="89" t="s">
        <v>1698</v>
      </c>
      <c r="G262" s="89" t="s">
        <v>114</v>
      </c>
      <c r="H262" s="89" t="s">
        <v>94</v>
      </c>
      <c r="I262" s="89" t="s">
        <v>94</v>
      </c>
      <c r="J262" s="89" t="s">
        <v>95</v>
      </c>
      <c r="K262" s="89"/>
      <c r="L262" s="89">
        <v>1.0</v>
      </c>
      <c r="M262" s="89"/>
      <c r="N262" s="89"/>
      <c r="O262" s="85"/>
      <c r="P262" s="89"/>
      <c r="Q262" s="137"/>
      <c r="R262" s="138"/>
      <c r="S262" s="138"/>
      <c r="T262" s="85"/>
      <c r="U262" s="85"/>
      <c r="V262" s="85"/>
      <c r="W262" s="138"/>
      <c r="X262" s="139"/>
      <c r="Y262" s="139"/>
      <c r="Z262" s="139"/>
      <c r="AA262" s="139"/>
      <c r="AB262" s="139"/>
      <c r="AC262" s="139"/>
      <c r="AD262" s="139"/>
      <c r="AE262" s="139"/>
      <c r="AF262" s="139"/>
      <c r="AG262" s="139"/>
      <c r="AH262" s="139"/>
      <c r="AI262" s="139"/>
      <c r="AJ262" s="139"/>
      <c r="AK262" s="139"/>
      <c r="AL262" s="139"/>
      <c r="AM262" s="139"/>
      <c r="AN262" s="139"/>
      <c r="AO262" s="139"/>
    </row>
    <row r="263">
      <c r="A263" s="85">
        <v>44947.0</v>
      </c>
      <c r="B263" s="86">
        <v>36.47</v>
      </c>
      <c r="C263" s="85">
        <v>44947.0</v>
      </c>
      <c r="D263" s="89" t="s">
        <v>1704</v>
      </c>
      <c r="E263" s="89" t="s">
        <v>1705</v>
      </c>
      <c r="F263" s="89" t="s">
        <v>1706</v>
      </c>
      <c r="G263" s="89" t="s">
        <v>114</v>
      </c>
      <c r="H263" s="89" t="s">
        <v>94</v>
      </c>
      <c r="I263" s="89" t="s">
        <v>94</v>
      </c>
      <c r="J263" s="89" t="s">
        <v>95</v>
      </c>
      <c r="K263" s="89"/>
      <c r="L263" s="89"/>
      <c r="M263" s="89"/>
      <c r="N263" s="89">
        <v>1.0</v>
      </c>
      <c r="O263" s="85"/>
      <c r="P263" s="89"/>
      <c r="Q263" s="137"/>
      <c r="R263" s="138"/>
      <c r="S263" s="138"/>
      <c r="T263" s="85"/>
      <c r="U263" s="85"/>
      <c r="V263" s="85"/>
      <c r="W263" s="138"/>
      <c r="X263" s="139"/>
      <c r="Y263" s="139"/>
      <c r="Z263" s="139"/>
      <c r="AA263" s="139"/>
      <c r="AB263" s="139"/>
      <c r="AC263" s="139"/>
      <c r="AD263" s="139"/>
      <c r="AE263" s="139"/>
      <c r="AF263" s="139"/>
      <c r="AG263" s="139"/>
      <c r="AH263" s="139"/>
      <c r="AI263" s="139"/>
      <c r="AJ263" s="139"/>
      <c r="AK263" s="139"/>
      <c r="AL263" s="139"/>
      <c r="AM263" s="139"/>
      <c r="AN263" s="139"/>
      <c r="AO263" s="139"/>
    </row>
    <row r="264">
      <c r="A264" s="85">
        <v>44947.0</v>
      </c>
      <c r="B264" s="86">
        <v>190.88</v>
      </c>
      <c r="C264" s="85">
        <v>45277.0</v>
      </c>
      <c r="D264" s="89" t="s">
        <v>1711</v>
      </c>
      <c r="E264" s="89" t="s">
        <v>1712</v>
      </c>
      <c r="F264" s="89" t="s">
        <v>1713</v>
      </c>
      <c r="G264" s="89" t="s">
        <v>110</v>
      </c>
      <c r="H264" s="89" t="s">
        <v>94</v>
      </c>
      <c r="I264" s="89" t="s">
        <v>94</v>
      </c>
      <c r="J264" s="89" t="s">
        <v>95</v>
      </c>
      <c r="K264" s="89">
        <v>1.0</v>
      </c>
      <c r="L264" s="89"/>
      <c r="M264" s="89"/>
      <c r="N264" s="89"/>
      <c r="O264" s="85"/>
      <c r="P264" s="89"/>
      <c r="Q264" s="137"/>
      <c r="R264" s="138"/>
      <c r="S264" s="138"/>
      <c r="T264" s="85"/>
      <c r="U264" s="85"/>
      <c r="V264" s="85"/>
      <c r="W264" s="138"/>
      <c r="X264" s="139"/>
      <c r="Y264" s="139"/>
      <c r="Z264" s="139"/>
      <c r="AA264" s="139"/>
      <c r="AB264" s="139"/>
      <c r="AC264" s="139"/>
      <c r="AD264" s="139"/>
      <c r="AE264" s="139"/>
      <c r="AF264" s="139"/>
      <c r="AG264" s="139"/>
      <c r="AH264" s="139"/>
      <c r="AI264" s="139"/>
      <c r="AJ264" s="139"/>
      <c r="AK264" s="139"/>
      <c r="AL264" s="139"/>
      <c r="AM264" s="139"/>
      <c r="AN264" s="139"/>
      <c r="AO264" s="139"/>
    </row>
    <row r="265">
      <c r="A265" s="85">
        <v>44947.0</v>
      </c>
      <c r="B265" s="86">
        <v>227.3</v>
      </c>
      <c r="C265" s="85">
        <v>44936.0</v>
      </c>
      <c r="D265" s="89" t="s">
        <v>1718</v>
      </c>
      <c r="E265" s="89" t="s">
        <v>1719</v>
      </c>
      <c r="F265" s="89" t="s">
        <v>1720</v>
      </c>
      <c r="G265" s="89" t="s">
        <v>141</v>
      </c>
      <c r="H265" s="89" t="s">
        <v>94</v>
      </c>
      <c r="I265" s="89" t="s">
        <v>94</v>
      </c>
      <c r="J265" s="89" t="s">
        <v>95</v>
      </c>
      <c r="K265" s="89"/>
      <c r="L265" s="89">
        <v>1.0</v>
      </c>
      <c r="M265" s="89"/>
      <c r="N265" s="89"/>
      <c r="O265" s="85"/>
      <c r="P265" s="89"/>
      <c r="Q265" s="137"/>
      <c r="R265" s="138"/>
      <c r="S265" s="138"/>
      <c r="T265" s="85"/>
      <c r="U265" s="85"/>
      <c r="V265" s="85"/>
      <c r="W265" s="138"/>
      <c r="X265" s="139"/>
      <c r="Y265" s="139"/>
      <c r="Z265" s="139"/>
      <c r="AA265" s="139"/>
      <c r="AB265" s="139"/>
      <c r="AC265" s="139"/>
      <c r="AD265" s="139"/>
      <c r="AE265" s="139"/>
      <c r="AF265" s="139"/>
      <c r="AG265" s="139"/>
      <c r="AH265" s="139"/>
      <c r="AI265" s="139"/>
      <c r="AJ265" s="139"/>
      <c r="AK265" s="139"/>
      <c r="AL265" s="139"/>
      <c r="AM265" s="139"/>
      <c r="AN265" s="139"/>
      <c r="AO265" s="139"/>
    </row>
    <row r="266">
      <c r="A266" s="85">
        <v>44948.0</v>
      </c>
      <c r="B266" s="86">
        <v>36.04</v>
      </c>
      <c r="C266" s="85">
        <v>44943.0</v>
      </c>
      <c r="D266" s="89" t="s">
        <v>1725</v>
      </c>
      <c r="E266" s="89" t="s">
        <v>1727</v>
      </c>
      <c r="F266" s="89" t="s">
        <v>1729</v>
      </c>
      <c r="G266" s="89" t="s">
        <v>114</v>
      </c>
      <c r="H266" s="89" t="s">
        <v>94</v>
      </c>
      <c r="I266" s="89" t="s">
        <v>94</v>
      </c>
      <c r="J266" s="89" t="s">
        <v>95</v>
      </c>
      <c r="K266" s="89"/>
      <c r="L266" s="89"/>
      <c r="M266" s="89"/>
      <c r="N266" s="89">
        <v>1.0</v>
      </c>
      <c r="O266" s="85"/>
      <c r="P266" s="89"/>
      <c r="Q266" s="137"/>
      <c r="R266" s="138"/>
      <c r="S266" s="138"/>
      <c r="T266" s="85"/>
      <c r="U266" s="85"/>
      <c r="V266" s="85"/>
      <c r="W266" s="138"/>
      <c r="X266" s="139"/>
      <c r="Y266" s="139"/>
      <c r="Z266" s="139"/>
      <c r="AA266" s="139"/>
      <c r="AB266" s="139"/>
      <c r="AC266" s="139"/>
      <c r="AD266" s="139"/>
      <c r="AE266" s="139"/>
      <c r="AF266" s="139"/>
      <c r="AG266" s="139"/>
      <c r="AH266" s="139"/>
      <c r="AI266" s="139"/>
      <c r="AJ266" s="139"/>
      <c r="AK266" s="139"/>
      <c r="AL266" s="139"/>
      <c r="AM266" s="139"/>
      <c r="AN266" s="139"/>
      <c r="AO266" s="139"/>
    </row>
    <row r="267">
      <c r="A267" s="85">
        <v>44948.0</v>
      </c>
      <c r="B267" s="86">
        <v>342.38</v>
      </c>
      <c r="C267" s="85">
        <v>44932.0</v>
      </c>
      <c r="D267" s="86" t="s">
        <v>1732</v>
      </c>
      <c r="E267" s="89" t="s">
        <v>1727</v>
      </c>
      <c r="F267" s="89" t="s">
        <v>1729</v>
      </c>
      <c r="G267" s="89" t="s">
        <v>114</v>
      </c>
      <c r="H267" s="89" t="s">
        <v>94</v>
      </c>
      <c r="I267" s="89" t="s">
        <v>94</v>
      </c>
      <c r="J267" s="89" t="s">
        <v>95</v>
      </c>
      <c r="K267" s="89"/>
      <c r="L267" s="89">
        <v>1.0</v>
      </c>
      <c r="M267" s="89"/>
      <c r="N267" s="89">
        <v>1.0</v>
      </c>
      <c r="O267" s="85"/>
      <c r="P267" s="89">
        <v>1.0</v>
      </c>
      <c r="Q267" s="137"/>
      <c r="R267" s="138"/>
      <c r="S267" s="138"/>
      <c r="T267" s="85"/>
      <c r="U267" s="85"/>
      <c r="V267" s="85"/>
      <c r="W267" s="138"/>
      <c r="X267" s="139"/>
      <c r="Y267" s="139"/>
      <c r="Z267" s="139"/>
      <c r="AA267" s="139"/>
      <c r="AB267" s="139"/>
      <c r="AC267" s="139"/>
      <c r="AD267" s="139"/>
      <c r="AE267" s="139"/>
      <c r="AF267" s="139"/>
      <c r="AG267" s="139"/>
      <c r="AH267" s="139"/>
      <c r="AI267" s="139"/>
      <c r="AJ267" s="139"/>
      <c r="AK267" s="139"/>
      <c r="AL267" s="139"/>
      <c r="AM267" s="139"/>
      <c r="AN267" s="139"/>
      <c r="AO267" s="139"/>
    </row>
    <row r="268">
      <c r="A268" s="85">
        <v>44948.0</v>
      </c>
      <c r="B268" s="86">
        <v>98.0</v>
      </c>
      <c r="C268" s="85">
        <v>44518.0</v>
      </c>
      <c r="D268" s="89" t="s">
        <v>1736</v>
      </c>
      <c r="E268" s="89" t="s">
        <v>1737</v>
      </c>
      <c r="F268" s="452" t="s">
        <v>1738</v>
      </c>
      <c r="G268" s="89" t="s">
        <v>114</v>
      </c>
      <c r="H268" s="89" t="s">
        <v>94</v>
      </c>
      <c r="I268" s="89" t="s">
        <v>125</v>
      </c>
      <c r="J268" s="89" t="s">
        <v>95</v>
      </c>
      <c r="K268" s="89"/>
      <c r="L268" s="89"/>
      <c r="M268" s="89"/>
      <c r="N268" s="89"/>
      <c r="O268" s="85"/>
      <c r="P268" s="89"/>
      <c r="Q268" s="137"/>
      <c r="R268" s="138"/>
      <c r="S268" s="138"/>
      <c r="T268" s="85"/>
      <c r="U268" s="85"/>
      <c r="V268" s="85"/>
      <c r="W268" s="138"/>
      <c r="X268" s="139"/>
      <c r="Y268" s="139"/>
      <c r="Z268" s="139"/>
      <c r="AA268" s="139"/>
      <c r="AB268" s="139"/>
      <c r="AC268" s="139"/>
      <c r="AD268" s="139"/>
      <c r="AE268" s="139"/>
      <c r="AF268" s="139"/>
      <c r="AG268" s="139"/>
      <c r="AH268" s="139"/>
      <c r="AI268" s="139"/>
      <c r="AJ268" s="139"/>
      <c r="AK268" s="139"/>
      <c r="AL268" s="139"/>
      <c r="AM268" s="139"/>
      <c r="AN268" s="139"/>
      <c r="AO268" s="139"/>
    </row>
    <row r="269" ht="17.25" customHeight="1">
      <c r="A269" s="85">
        <v>44948.0</v>
      </c>
      <c r="B269" s="86">
        <v>23.32</v>
      </c>
      <c r="C269" s="85">
        <v>44834.0</v>
      </c>
      <c r="D269" s="89" t="s">
        <v>1742</v>
      </c>
      <c r="E269" s="89" t="s">
        <v>1743</v>
      </c>
      <c r="F269" s="89" t="s">
        <v>1744</v>
      </c>
      <c r="G269" s="89" t="s">
        <v>110</v>
      </c>
      <c r="H269" s="89" t="s">
        <v>94</v>
      </c>
      <c r="I269" s="89" t="s">
        <v>94</v>
      </c>
      <c r="J269" s="89" t="s">
        <v>95</v>
      </c>
      <c r="K269" s="89"/>
      <c r="L269" s="89"/>
      <c r="M269" s="89"/>
      <c r="N269" s="89"/>
      <c r="O269" s="85"/>
      <c r="P269" s="89"/>
      <c r="Q269" s="137">
        <v>1.0</v>
      </c>
      <c r="R269" s="138"/>
      <c r="S269" s="138"/>
      <c r="T269" s="85"/>
      <c r="U269" s="85"/>
      <c r="V269" s="85"/>
      <c r="W269" s="138"/>
      <c r="X269" s="139"/>
      <c r="Y269" s="139"/>
      <c r="Z269" s="139"/>
      <c r="AA269" s="139"/>
      <c r="AB269" s="139"/>
      <c r="AC269" s="139"/>
      <c r="AD269" s="139"/>
      <c r="AE269" s="139"/>
      <c r="AF269" s="139"/>
      <c r="AG269" s="139"/>
      <c r="AH269" s="139"/>
      <c r="AI269" s="139"/>
      <c r="AJ269" s="139"/>
      <c r="AK269" s="139"/>
      <c r="AL269" s="139"/>
      <c r="AM269" s="139"/>
      <c r="AN269" s="139"/>
      <c r="AO269" s="139"/>
    </row>
    <row r="270">
      <c r="A270" s="85">
        <v>44948.0</v>
      </c>
      <c r="B270" s="86">
        <v>18.66</v>
      </c>
      <c r="C270" s="85">
        <v>44893.0</v>
      </c>
      <c r="D270" s="89" t="s">
        <v>1748</v>
      </c>
      <c r="E270" s="89" t="s">
        <v>1743</v>
      </c>
      <c r="F270" s="89" t="s">
        <v>1744</v>
      </c>
      <c r="G270" s="89" t="s">
        <v>110</v>
      </c>
      <c r="H270" s="89" t="s">
        <v>94</v>
      </c>
      <c r="I270" s="89" t="s">
        <v>94</v>
      </c>
      <c r="J270" s="89" t="s">
        <v>95</v>
      </c>
      <c r="K270" s="89"/>
      <c r="L270" s="89"/>
      <c r="M270" s="89"/>
      <c r="N270" s="89"/>
      <c r="O270" s="85"/>
      <c r="P270" s="89">
        <v>1.0</v>
      </c>
      <c r="Q270" s="137"/>
      <c r="R270" s="138"/>
      <c r="S270" s="138"/>
      <c r="T270" s="85"/>
      <c r="U270" s="85"/>
      <c r="V270" s="85"/>
      <c r="W270" s="138"/>
      <c r="X270" s="139"/>
      <c r="Y270" s="139"/>
      <c r="Z270" s="139"/>
      <c r="AA270" s="139"/>
      <c r="AB270" s="139"/>
      <c r="AC270" s="139"/>
      <c r="AD270" s="139"/>
      <c r="AE270" s="139"/>
      <c r="AF270" s="139"/>
      <c r="AG270" s="139"/>
      <c r="AH270" s="139"/>
      <c r="AI270" s="139"/>
      <c r="AJ270" s="139"/>
      <c r="AK270" s="139"/>
      <c r="AL270" s="139"/>
      <c r="AM270" s="139"/>
      <c r="AN270" s="139"/>
      <c r="AO270" s="139"/>
    </row>
    <row r="271">
      <c r="A271" s="85">
        <v>44949.0</v>
      </c>
      <c r="B271" s="86">
        <v>18.3</v>
      </c>
      <c r="C271" s="85">
        <v>44187.0</v>
      </c>
      <c r="D271" s="89" t="s">
        <v>1753</v>
      </c>
      <c r="E271" s="89" t="s">
        <v>1754</v>
      </c>
      <c r="F271" s="89" t="s">
        <v>1755</v>
      </c>
      <c r="G271" s="89" t="s">
        <v>114</v>
      </c>
      <c r="H271" s="89" t="s">
        <v>170</v>
      </c>
      <c r="I271" s="89" t="s">
        <v>135</v>
      </c>
      <c r="J271" s="89" t="s">
        <v>112</v>
      </c>
      <c r="K271" s="89"/>
      <c r="L271" s="89"/>
      <c r="M271" s="89"/>
      <c r="N271" s="89"/>
      <c r="O271" s="89">
        <v>1.0</v>
      </c>
      <c r="P271" s="89"/>
      <c r="Q271" s="137"/>
      <c r="R271" s="138"/>
      <c r="S271" s="138"/>
      <c r="T271" s="85"/>
      <c r="U271" s="85"/>
      <c r="V271" s="85"/>
      <c r="W271" s="138"/>
      <c r="X271" s="139"/>
      <c r="Y271" s="139"/>
      <c r="Z271" s="139"/>
      <c r="AA271" s="139"/>
      <c r="AB271" s="139"/>
      <c r="AC271" s="139"/>
      <c r="AD271" s="139"/>
      <c r="AE271" s="139"/>
      <c r="AF271" s="139"/>
      <c r="AG271" s="139"/>
      <c r="AH271" s="139"/>
      <c r="AI271" s="139"/>
      <c r="AJ271" s="139"/>
      <c r="AK271" s="139"/>
      <c r="AL271" s="139"/>
      <c r="AM271" s="139"/>
      <c r="AN271" s="139"/>
      <c r="AO271" s="139"/>
    </row>
    <row r="272">
      <c r="A272" s="85">
        <v>44949.0</v>
      </c>
      <c r="B272" s="86">
        <v>36.0</v>
      </c>
      <c r="C272" s="85">
        <v>44371.0</v>
      </c>
      <c r="D272" s="89" t="s">
        <v>1762</v>
      </c>
      <c r="E272" s="89" t="s">
        <v>1763</v>
      </c>
      <c r="F272" s="89" t="s">
        <v>1764</v>
      </c>
      <c r="G272" s="89" t="s">
        <v>114</v>
      </c>
      <c r="H272" s="89" t="s">
        <v>161</v>
      </c>
      <c r="I272" s="89" t="s">
        <v>125</v>
      </c>
      <c r="J272" s="89" t="s">
        <v>95</v>
      </c>
      <c r="K272" s="89"/>
      <c r="L272" s="89"/>
      <c r="M272" s="89"/>
      <c r="N272" s="89"/>
      <c r="O272" s="89">
        <v>2.0</v>
      </c>
      <c r="P272" s="89"/>
      <c r="Q272" s="137"/>
      <c r="R272" s="138"/>
      <c r="S272" s="138"/>
      <c r="T272" s="85"/>
      <c r="U272" s="85"/>
      <c r="V272" s="85"/>
      <c r="W272" s="138"/>
      <c r="X272" s="139"/>
      <c r="Y272" s="139"/>
      <c r="Z272" s="139"/>
      <c r="AA272" s="139"/>
      <c r="AB272" s="139"/>
      <c r="AC272" s="139"/>
      <c r="AD272" s="139"/>
      <c r="AE272" s="139"/>
      <c r="AF272" s="139"/>
      <c r="AG272" s="139"/>
      <c r="AH272" s="139"/>
      <c r="AI272" s="139"/>
      <c r="AJ272" s="139"/>
      <c r="AK272" s="139"/>
      <c r="AL272" s="139"/>
      <c r="AM272" s="139"/>
      <c r="AN272" s="139"/>
      <c r="AO272" s="139"/>
    </row>
    <row r="273">
      <c r="A273" s="85">
        <v>44949.0</v>
      </c>
      <c r="B273" s="86">
        <v>17.8</v>
      </c>
      <c r="C273" s="85">
        <v>44159.0</v>
      </c>
      <c r="D273" s="89" t="s">
        <v>1768</v>
      </c>
      <c r="E273" s="89" t="s">
        <v>1769</v>
      </c>
      <c r="F273" s="89" t="s">
        <v>1770</v>
      </c>
      <c r="G273" s="89" t="s">
        <v>114</v>
      </c>
      <c r="H273" s="89" t="s">
        <v>170</v>
      </c>
      <c r="I273" s="89" t="s">
        <v>135</v>
      </c>
      <c r="J273" s="89" t="s">
        <v>1772</v>
      </c>
      <c r="K273" s="89"/>
      <c r="L273" s="89"/>
      <c r="M273" s="89"/>
      <c r="N273" s="89"/>
      <c r="O273" s="89">
        <v>1.0</v>
      </c>
      <c r="P273" s="89"/>
      <c r="Q273" s="137"/>
      <c r="R273" s="138"/>
      <c r="S273" s="138"/>
      <c r="T273" s="85"/>
      <c r="U273" s="85"/>
      <c r="V273" s="85"/>
      <c r="W273" s="138"/>
      <c r="X273" s="139"/>
      <c r="Y273" s="139"/>
      <c r="Z273" s="139"/>
      <c r="AA273" s="139"/>
      <c r="AB273" s="139"/>
      <c r="AC273" s="139"/>
      <c r="AD273" s="139"/>
      <c r="AE273" s="139"/>
      <c r="AF273" s="139"/>
      <c r="AG273" s="139"/>
      <c r="AH273" s="139"/>
      <c r="AI273" s="139"/>
      <c r="AJ273" s="139"/>
      <c r="AK273" s="139"/>
      <c r="AL273" s="139"/>
      <c r="AM273" s="139"/>
      <c r="AN273" s="139"/>
      <c r="AO273" s="139"/>
    </row>
    <row r="274">
      <c r="A274" s="85">
        <v>44949.0</v>
      </c>
      <c r="B274" s="86">
        <v>376.07</v>
      </c>
      <c r="C274" s="85">
        <v>44932.0</v>
      </c>
      <c r="D274" s="89" t="s">
        <v>1774</v>
      </c>
      <c r="E274" s="89" t="s">
        <v>1775</v>
      </c>
      <c r="F274" s="89" t="s">
        <v>1778</v>
      </c>
      <c r="G274" s="89" t="s">
        <v>141</v>
      </c>
      <c r="H274" s="89" t="s">
        <v>94</v>
      </c>
      <c r="I274" s="89" t="s">
        <v>94</v>
      </c>
      <c r="J274" s="89" t="s">
        <v>95</v>
      </c>
      <c r="K274" s="89"/>
      <c r="L274" s="89">
        <v>1.0</v>
      </c>
      <c r="M274" s="89"/>
      <c r="N274" s="89">
        <v>1.0</v>
      </c>
      <c r="O274" s="85"/>
      <c r="P274" s="89">
        <v>1.0</v>
      </c>
      <c r="Q274" s="137">
        <v>1.0</v>
      </c>
      <c r="R274" s="138"/>
      <c r="S274" s="138"/>
      <c r="T274" s="85"/>
      <c r="U274" s="85"/>
      <c r="V274" s="85"/>
      <c r="W274" s="138"/>
      <c r="X274" s="139"/>
      <c r="Y274" s="139"/>
      <c r="Z274" s="139"/>
      <c r="AA274" s="139"/>
      <c r="AB274" s="139"/>
      <c r="AC274" s="139"/>
      <c r="AD274" s="139"/>
      <c r="AE274" s="139"/>
      <c r="AF274" s="139"/>
      <c r="AG274" s="139"/>
      <c r="AH274" s="139"/>
      <c r="AI274" s="139"/>
      <c r="AJ274" s="139"/>
      <c r="AK274" s="139"/>
      <c r="AL274" s="139"/>
      <c r="AM274" s="139"/>
      <c r="AN274" s="139"/>
      <c r="AO274" s="139"/>
    </row>
    <row r="275">
      <c r="A275" s="85">
        <v>44949.0</v>
      </c>
      <c r="B275" s="86">
        <v>216.0</v>
      </c>
      <c r="C275" s="85">
        <v>44504.0</v>
      </c>
      <c r="D275" s="89" t="s">
        <v>1782</v>
      </c>
      <c r="E275" s="89" t="s">
        <v>1783</v>
      </c>
      <c r="F275" s="89" t="s">
        <v>1784</v>
      </c>
      <c r="G275" s="89" t="s">
        <v>114</v>
      </c>
      <c r="H275" s="89" t="s">
        <v>94</v>
      </c>
      <c r="I275" s="89" t="s">
        <v>135</v>
      </c>
      <c r="J275" s="89" t="s">
        <v>191</v>
      </c>
      <c r="K275" s="89">
        <v>1.0</v>
      </c>
      <c r="L275" s="89"/>
      <c r="M275" s="89"/>
      <c r="N275" s="89"/>
      <c r="O275" s="85"/>
      <c r="P275" s="89"/>
      <c r="Q275" s="137"/>
      <c r="R275" s="138"/>
      <c r="S275" s="138"/>
      <c r="T275" s="85"/>
      <c r="U275" s="85"/>
      <c r="V275" s="85"/>
      <c r="W275" s="138"/>
      <c r="X275" s="139"/>
      <c r="Y275" s="139"/>
      <c r="Z275" s="139"/>
      <c r="AA275" s="139"/>
      <c r="AB275" s="139"/>
      <c r="AC275" s="139"/>
      <c r="AD275" s="139"/>
      <c r="AE275" s="139"/>
      <c r="AF275" s="139"/>
      <c r="AG275" s="139"/>
      <c r="AH275" s="139"/>
      <c r="AI275" s="139"/>
      <c r="AJ275" s="139"/>
      <c r="AK275" s="139"/>
      <c r="AL275" s="139"/>
      <c r="AM275" s="139"/>
      <c r="AN275" s="139"/>
      <c r="AO275" s="139"/>
    </row>
    <row r="276">
      <c r="A276" s="85">
        <v>44949.0</v>
      </c>
      <c r="B276" s="86">
        <v>18.3</v>
      </c>
      <c r="C276" s="85">
        <v>44197.0</v>
      </c>
      <c r="D276" s="89" t="s">
        <v>1789</v>
      </c>
      <c r="E276" s="89" t="s">
        <v>1790</v>
      </c>
      <c r="F276" s="89" t="s">
        <v>1791</v>
      </c>
      <c r="G276" s="89" t="s">
        <v>114</v>
      </c>
      <c r="H276" s="89" t="s">
        <v>170</v>
      </c>
      <c r="I276" s="89" t="s">
        <v>135</v>
      </c>
      <c r="J276" s="89" t="s">
        <v>112</v>
      </c>
      <c r="K276" s="89"/>
      <c r="L276" s="89"/>
      <c r="M276" s="89"/>
      <c r="N276" s="89"/>
      <c r="O276" s="89">
        <v>1.0</v>
      </c>
      <c r="P276" s="89"/>
      <c r="Q276" s="137"/>
      <c r="R276" s="138"/>
      <c r="S276" s="138"/>
      <c r="T276" s="85"/>
      <c r="U276" s="85"/>
      <c r="V276" s="85"/>
      <c r="W276" s="138"/>
      <c r="X276" s="139"/>
      <c r="Y276" s="139"/>
      <c r="Z276" s="139"/>
      <c r="AA276" s="139"/>
      <c r="AB276" s="139"/>
      <c r="AC276" s="139"/>
      <c r="AD276" s="139"/>
      <c r="AE276" s="139"/>
      <c r="AF276" s="139"/>
      <c r="AG276" s="139"/>
      <c r="AH276" s="139"/>
      <c r="AI276" s="139"/>
      <c r="AJ276" s="139"/>
      <c r="AK276" s="139"/>
      <c r="AL276" s="139"/>
      <c r="AM276" s="139"/>
      <c r="AN276" s="139"/>
      <c r="AO276" s="139"/>
    </row>
    <row r="277">
      <c r="A277" s="85">
        <v>44949.0</v>
      </c>
      <c r="B277" s="86">
        <v>18.0</v>
      </c>
      <c r="C277" s="85">
        <v>44459.0</v>
      </c>
      <c r="D277" s="89" t="s">
        <v>1615</v>
      </c>
      <c r="E277" s="89" t="s">
        <v>1616</v>
      </c>
      <c r="F277" s="89" t="s">
        <v>1617</v>
      </c>
      <c r="G277" s="89" t="s">
        <v>114</v>
      </c>
      <c r="H277" s="89" t="s">
        <v>170</v>
      </c>
      <c r="I277" s="89" t="s">
        <v>135</v>
      </c>
      <c r="J277" s="89" t="s">
        <v>1618</v>
      </c>
      <c r="K277" s="89"/>
      <c r="L277" s="89"/>
      <c r="M277" s="89"/>
      <c r="N277" s="89"/>
      <c r="O277" s="89">
        <v>1.0</v>
      </c>
      <c r="P277" s="89"/>
      <c r="Q277" s="137"/>
      <c r="R277" s="138"/>
      <c r="S277" s="138"/>
      <c r="T277" s="85"/>
      <c r="U277" s="85"/>
      <c r="V277" s="85"/>
      <c r="W277" s="138"/>
      <c r="X277" s="139"/>
      <c r="Y277" s="139"/>
      <c r="Z277" s="139"/>
      <c r="AA277" s="139"/>
      <c r="AB277" s="139"/>
      <c r="AC277" s="139"/>
      <c r="AD277" s="139"/>
      <c r="AE277" s="139"/>
      <c r="AF277" s="139"/>
      <c r="AG277" s="139"/>
      <c r="AH277" s="139"/>
      <c r="AI277" s="139"/>
      <c r="AJ277" s="139"/>
      <c r="AK277" s="139"/>
      <c r="AL277" s="139"/>
      <c r="AM277" s="139"/>
      <c r="AN277" s="139"/>
      <c r="AO277" s="139"/>
    </row>
    <row r="278">
      <c r="A278" s="85">
        <v>44949.0</v>
      </c>
      <c r="B278" s="86">
        <v>251.0</v>
      </c>
      <c r="C278" s="85">
        <v>44935.0</v>
      </c>
      <c r="D278" s="89" t="s">
        <v>1800</v>
      </c>
      <c r="E278" s="89" t="s">
        <v>1802</v>
      </c>
      <c r="F278" s="89" t="s">
        <v>1803</v>
      </c>
      <c r="G278" s="89" t="s">
        <v>114</v>
      </c>
      <c r="H278" s="89" t="s">
        <v>94</v>
      </c>
      <c r="I278" s="89" t="s">
        <v>94</v>
      </c>
      <c r="J278" s="89" t="s">
        <v>95</v>
      </c>
      <c r="K278" s="89">
        <v>1.0</v>
      </c>
      <c r="L278" s="89"/>
      <c r="M278" s="89"/>
      <c r="N278" s="89"/>
      <c r="O278" s="85"/>
      <c r="P278" s="89">
        <v>1.0</v>
      </c>
      <c r="Q278" s="137">
        <v>1.0</v>
      </c>
      <c r="R278" s="138"/>
      <c r="S278" s="138"/>
      <c r="T278" s="85"/>
      <c r="U278" s="85"/>
      <c r="V278" s="85"/>
      <c r="W278" s="138"/>
      <c r="X278" s="139"/>
      <c r="Y278" s="139"/>
      <c r="Z278" s="139"/>
      <c r="AA278" s="139"/>
      <c r="AB278" s="139"/>
      <c r="AC278" s="139"/>
      <c r="AD278" s="139"/>
      <c r="AE278" s="139"/>
      <c r="AF278" s="139"/>
      <c r="AG278" s="139"/>
      <c r="AH278" s="139"/>
      <c r="AI278" s="139"/>
      <c r="AJ278" s="139"/>
      <c r="AK278" s="139"/>
      <c r="AL278" s="139"/>
      <c r="AM278" s="139"/>
      <c r="AN278" s="139"/>
      <c r="AO278" s="139"/>
    </row>
    <row r="279">
      <c r="A279" s="85">
        <v>44949.0</v>
      </c>
      <c r="B279" s="86">
        <v>342.38</v>
      </c>
      <c r="C279" s="85">
        <v>44947.0</v>
      </c>
      <c r="D279" s="89" t="s">
        <v>1807</v>
      </c>
      <c r="E279" s="89" t="s">
        <v>1808</v>
      </c>
      <c r="F279" s="89" t="s">
        <v>1809</v>
      </c>
      <c r="G279" s="89" t="s">
        <v>114</v>
      </c>
      <c r="H279" s="89" t="s">
        <v>94</v>
      </c>
      <c r="I279" s="89" t="s">
        <v>94</v>
      </c>
      <c r="J279" s="89" t="s">
        <v>95</v>
      </c>
      <c r="K279" s="89"/>
      <c r="L279" s="89">
        <v>1.0</v>
      </c>
      <c r="M279" s="89"/>
      <c r="N279" s="89">
        <v>1.0</v>
      </c>
      <c r="O279" s="85"/>
      <c r="P279" s="89">
        <v>1.0</v>
      </c>
      <c r="Q279" s="137"/>
      <c r="R279" s="138"/>
      <c r="S279" s="138"/>
      <c r="T279" s="85"/>
      <c r="U279" s="85"/>
      <c r="V279" s="85"/>
      <c r="W279" s="138"/>
      <c r="X279" s="139"/>
      <c r="Y279" s="139"/>
      <c r="Z279" s="139"/>
      <c r="AA279" s="139"/>
      <c r="AB279" s="139"/>
      <c r="AC279" s="139"/>
      <c r="AD279" s="139"/>
      <c r="AE279" s="139"/>
      <c r="AF279" s="139"/>
      <c r="AG279" s="139"/>
      <c r="AH279" s="139"/>
      <c r="AI279" s="139"/>
      <c r="AJ279" s="139"/>
      <c r="AK279" s="139"/>
      <c r="AL279" s="139"/>
      <c r="AM279" s="139"/>
      <c r="AN279" s="139"/>
      <c r="AO279" s="139"/>
    </row>
    <row r="280">
      <c r="A280" s="85">
        <v>44949.0</v>
      </c>
      <c r="B280" s="86">
        <v>18.0</v>
      </c>
      <c r="C280" s="85">
        <v>44671.0</v>
      </c>
      <c r="D280" s="89" t="s">
        <v>1813</v>
      </c>
      <c r="E280" s="89" t="s">
        <v>1815</v>
      </c>
      <c r="F280" s="89" t="s">
        <v>1818</v>
      </c>
      <c r="G280" s="89" t="s">
        <v>114</v>
      </c>
      <c r="H280" s="89" t="s">
        <v>94</v>
      </c>
      <c r="I280" s="89" t="s">
        <v>94</v>
      </c>
      <c r="J280" s="89" t="s">
        <v>95</v>
      </c>
      <c r="K280" s="89"/>
      <c r="L280" s="89"/>
      <c r="M280" s="89"/>
      <c r="N280" s="89"/>
      <c r="O280" s="89">
        <v>1.0</v>
      </c>
      <c r="P280" s="89"/>
      <c r="Q280" s="137"/>
      <c r="R280" s="138"/>
      <c r="S280" s="138"/>
      <c r="T280" s="85"/>
      <c r="U280" s="85"/>
      <c r="V280" s="85"/>
      <c r="W280" s="138"/>
      <c r="X280" s="139"/>
      <c r="Y280" s="139"/>
      <c r="Z280" s="139"/>
      <c r="AA280" s="139"/>
      <c r="AB280" s="139"/>
      <c r="AC280" s="139"/>
      <c r="AD280" s="139"/>
      <c r="AE280" s="139"/>
      <c r="AF280" s="139"/>
      <c r="AG280" s="139"/>
      <c r="AH280" s="139"/>
      <c r="AI280" s="139"/>
      <c r="AJ280" s="139"/>
      <c r="AK280" s="139"/>
      <c r="AL280" s="139"/>
      <c r="AM280" s="139"/>
      <c r="AN280" s="139"/>
      <c r="AO280" s="139"/>
    </row>
    <row r="281">
      <c r="A281" s="85">
        <v>44949.0</v>
      </c>
      <c r="B281" s="86">
        <v>18.0</v>
      </c>
      <c r="C281" s="85">
        <v>44341.0</v>
      </c>
      <c r="D281" s="89" t="s">
        <v>1822</v>
      </c>
      <c r="E281" s="89" t="s">
        <v>1823</v>
      </c>
      <c r="F281" s="89" t="s">
        <v>1824</v>
      </c>
      <c r="G281" s="89" t="s">
        <v>114</v>
      </c>
      <c r="H281" s="89" t="s">
        <v>94</v>
      </c>
      <c r="I281" s="89" t="s">
        <v>94</v>
      </c>
      <c r="J281" s="89" t="s">
        <v>95</v>
      </c>
      <c r="K281" s="89"/>
      <c r="L281" s="89"/>
      <c r="M281" s="89"/>
      <c r="N281" s="89"/>
      <c r="O281" s="89">
        <v>1.0</v>
      </c>
      <c r="P281" s="89"/>
      <c r="Q281" s="137"/>
      <c r="R281" s="138"/>
      <c r="S281" s="138"/>
      <c r="T281" s="85"/>
      <c r="U281" s="85"/>
      <c r="V281" s="85"/>
      <c r="W281" s="138"/>
      <c r="X281" s="139"/>
      <c r="Y281" s="139"/>
      <c r="Z281" s="139"/>
      <c r="AA281" s="139"/>
      <c r="AB281" s="139"/>
      <c r="AC281" s="139"/>
      <c r="AD281" s="139"/>
      <c r="AE281" s="139"/>
      <c r="AF281" s="139"/>
      <c r="AG281" s="139"/>
      <c r="AH281" s="139"/>
      <c r="AI281" s="139"/>
      <c r="AJ281" s="139"/>
      <c r="AK281" s="139"/>
      <c r="AL281" s="139"/>
      <c r="AM281" s="139"/>
      <c r="AN281" s="139"/>
      <c r="AO281" s="139"/>
    </row>
    <row r="282">
      <c r="A282" s="457">
        <v>44949.0</v>
      </c>
      <c r="B282" s="458">
        <v>18.0</v>
      </c>
      <c r="C282" s="457">
        <v>44409.0</v>
      </c>
      <c r="D282" s="459" t="s">
        <v>1828</v>
      </c>
      <c r="E282" s="459" t="s">
        <v>1829</v>
      </c>
      <c r="F282" s="459" t="s">
        <v>1830</v>
      </c>
      <c r="G282" s="459" t="s">
        <v>114</v>
      </c>
      <c r="H282" s="459" t="s">
        <v>94</v>
      </c>
      <c r="I282" s="459" t="s">
        <v>781</v>
      </c>
      <c r="J282" s="459" t="s">
        <v>112</v>
      </c>
      <c r="K282" s="459"/>
      <c r="L282" s="459"/>
      <c r="M282" s="459"/>
      <c r="N282" s="459"/>
      <c r="O282" s="459">
        <v>1.0</v>
      </c>
      <c r="P282" s="459"/>
      <c r="Q282" s="460"/>
      <c r="R282" s="461"/>
      <c r="S282" s="461"/>
      <c r="T282" s="457"/>
      <c r="U282" s="457"/>
      <c r="V282" s="457"/>
      <c r="W282" s="461"/>
      <c r="X282" s="462"/>
      <c r="Y282" s="462"/>
      <c r="Z282" s="462"/>
      <c r="AA282" s="462"/>
      <c r="AB282" s="462"/>
      <c r="AC282" s="462"/>
      <c r="AD282" s="462"/>
      <c r="AE282" s="462"/>
      <c r="AF282" s="462"/>
      <c r="AG282" s="462"/>
      <c r="AH282" s="462"/>
      <c r="AI282" s="462"/>
      <c r="AJ282" s="462"/>
      <c r="AK282" s="462"/>
      <c r="AL282" s="462"/>
      <c r="AM282" s="462"/>
      <c r="AN282" s="462"/>
      <c r="AO282" s="462"/>
    </row>
    <row r="283">
      <c r="A283" s="85">
        <v>44949.0</v>
      </c>
      <c r="B283" s="86">
        <v>34.0</v>
      </c>
      <c r="C283" s="85">
        <v>44930.0</v>
      </c>
      <c r="D283" s="89" t="s">
        <v>1837</v>
      </c>
      <c r="E283" s="89" t="s">
        <v>1838</v>
      </c>
      <c r="F283" s="89" t="s">
        <v>1839</v>
      </c>
      <c r="G283" s="89" t="s">
        <v>110</v>
      </c>
      <c r="H283" s="89" t="s">
        <v>94</v>
      </c>
      <c r="I283" s="89" t="s">
        <v>94</v>
      </c>
      <c r="J283" s="89" t="s">
        <v>328</v>
      </c>
      <c r="K283" s="89"/>
      <c r="L283" s="89"/>
      <c r="M283" s="89"/>
      <c r="N283" s="89">
        <v>1.0</v>
      </c>
      <c r="O283" s="85"/>
      <c r="P283" s="89"/>
      <c r="Q283" s="137"/>
      <c r="R283" s="138"/>
      <c r="S283" s="138"/>
      <c r="T283" s="85"/>
      <c r="U283" s="85"/>
      <c r="V283" s="85"/>
      <c r="W283" s="138"/>
      <c r="X283" s="139"/>
      <c r="Y283" s="139"/>
      <c r="Z283" s="139"/>
      <c r="AA283" s="139"/>
      <c r="AB283" s="139"/>
      <c r="AC283" s="139"/>
      <c r="AD283" s="139"/>
      <c r="AE283" s="139"/>
      <c r="AF283" s="139"/>
      <c r="AG283" s="139"/>
      <c r="AH283" s="139"/>
      <c r="AI283" s="139"/>
      <c r="AJ283" s="139"/>
      <c r="AK283" s="139"/>
      <c r="AL283" s="139"/>
      <c r="AM283" s="139"/>
      <c r="AN283" s="139"/>
      <c r="AO283" s="139"/>
    </row>
    <row r="284">
      <c r="A284" s="85">
        <v>44949.0</v>
      </c>
      <c r="B284" s="86">
        <v>26.5</v>
      </c>
      <c r="C284" s="85">
        <v>44902.0</v>
      </c>
      <c r="D284" s="89" t="s">
        <v>1843</v>
      </c>
      <c r="E284" s="89" t="s">
        <v>1844</v>
      </c>
      <c r="F284" s="89" t="s">
        <v>1845</v>
      </c>
      <c r="G284" s="89" t="s">
        <v>114</v>
      </c>
      <c r="H284" s="89" t="s">
        <v>94</v>
      </c>
      <c r="I284" s="89" t="s">
        <v>94</v>
      </c>
      <c r="J284" s="89" t="s">
        <v>205</v>
      </c>
      <c r="K284" s="89"/>
      <c r="L284" s="89"/>
      <c r="M284" s="89"/>
      <c r="N284" s="89"/>
      <c r="O284" s="85"/>
      <c r="P284" s="89"/>
      <c r="Q284" s="137">
        <v>1.0</v>
      </c>
      <c r="R284" s="138"/>
      <c r="S284" s="138"/>
      <c r="T284" s="85"/>
      <c r="U284" s="85"/>
      <c r="V284" s="85"/>
      <c r="W284" s="138"/>
      <c r="X284" s="139"/>
      <c r="Y284" s="139"/>
      <c r="Z284" s="139"/>
      <c r="AA284" s="139"/>
      <c r="AB284" s="139"/>
      <c r="AC284" s="139"/>
      <c r="AD284" s="139"/>
      <c r="AE284" s="139"/>
      <c r="AF284" s="139"/>
      <c r="AG284" s="139"/>
      <c r="AH284" s="139"/>
      <c r="AI284" s="139"/>
      <c r="AJ284" s="139"/>
      <c r="AK284" s="139"/>
      <c r="AL284" s="139"/>
      <c r="AM284" s="139"/>
      <c r="AN284" s="139"/>
      <c r="AO284" s="139"/>
    </row>
    <row r="285">
      <c r="A285" s="85">
        <v>44949.0</v>
      </c>
      <c r="B285" s="86">
        <v>25.44</v>
      </c>
      <c r="C285" s="85">
        <v>44886.0</v>
      </c>
      <c r="D285" s="89" t="s">
        <v>1850</v>
      </c>
      <c r="E285" s="89" t="s">
        <v>1851</v>
      </c>
      <c r="F285" s="89" t="s">
        <v>1852</v>
      </c>
      <c r="G285" s="89" t="s">
        <v>114</v>
      </c>
      <c r="H285" s="89" t="s">
        <v>94</v>
      </c>
      <c r="I285" s="89" t="s">
        <v>94</v>
      </c>
      <c r="J285" s="89" t="s">
        <v>95</v>
      </c>
      <c r="K285" s="89"/>
      <c r="L285" s="89"/>
      <c r="M285" s="89"/>
      <c r="N285" s="89">
        <v>1.0</v>
      </c>
      <c r="O285" s="85"/>
      <c r="P285" s="89"/>
      <c r="Q285" s="137"/>
      <c r="R285" s="138"/>
      <c r="S285" s="138"/>
      <c r="T285" s="85"/>
      <c r="U285" s="85"/>
      <c r="V285" s="85"/>
      <c r="W285" s="138"/>
      <c r="X285" s="139"/>
      <c r="Y285" s="139"/>
      <c r="Z285" s="139"/>
      <c r="AA285" s="139"/>
      <c r="AB285" s="139"/>
      <c r="AC285" s="139"/>
      <c r="AD285" s="139"/>
      <c r="AE285" s="139"/>
      <c r="AF285" s="139"/>
      <c r="AG285" s="139"/>
      <c r="AH285" s="139"/>
      <c r="AI285" s="139"/>
      <c r="AJ285" s="139"/>
      <c r="AK285" s="139"/>
      <c r="AL285" s="139"/>
      <c r="AM285" s="139"/>
      <c r="AN285" s="139"/>
      <c r="AO285" s="139"/>
    </row>
    <row r="286" ht="19.5" customHeight="1">
      <c r="A286" s="85">
        <v>44949.0</v>
      </c>
      <c r="B286" s="86">
        <v>20.34</v>
      </c>
      <c r="C286" s="85">
        <v>44922.0</v>
      </c>
      <c r="D286" s="89" t="s">
        <v>1855</v>
      </c>
      <c r="E286" s="89" t="s">
        <v>1856</v>
      </c>
      <c r="F286" s="89" t="s">
        <v>1857</v>
      </c>
      <c r="G286" s="89" t="s">
        <v>114</v>
      </c>
      <c r="H286" s="89" t="s">
        <v>94</v>
      </c>
      <c r="I286" s="89" t="s">
        <v>94</v>
      </c>
      <c r="J286" s="89" t="s">
        <v>95</v>
      </c>
      <c r="K286" s="89"/>
      <c r="L286" s="89"/>
      <c r="M286" s="89"/>
      <c r="N286" s="89"/>
      <c r="O286" s="85"/>
      <c r="P286" s="89">
        <v>1.0</v>
      </c>
      <c r="Q286" s="137"/>
      <c r="R286" s="138"/>
      <c r="S286" s="138"/>
      <c r="T286" s="85"/>
      <c r="U286" s="85"/>
      <c r="V286" s="85"/>
      <c r="W286" s="138"/>
      <c r="X286" s="139"/>
      <c r="Y286" s="139"/>
      <c r="Z286" s="139"/>
      <c r="AA286" s="139"/>
      <c r="AB286" s="139"/>
      <c r="AC286" s="139"/>
      <c r="AD286" s="139"/>
      <c r="AE286" s="139"/>
      <c r="AF286" s="139"/>
      <c r="AG286" s="139"/>
      <c r="AH286" s="139"/>
      <c r="AI286" s="139"/>
      <c r="AJ286" s="139"/>
      <c r="AK286" s="139"/>
      <c r="AL286" s="139"/>
      <c r="AM286" s="139"/>
      <c r="AN286" s="139"/>
      <c r="AO286" s="139"/>
    </row>
    <row r="287">
      <c r="A287" s="85">
        <v>44949.0</v>
      </c>
      <c r="B287" s="86">
        <v>250.76</v>
      </c>
      <c r="C287" s="85">
        <v>44949.0</v>
      </c>
      <c r="D287" s="89" t="s">
        <v>1861</v>
      </c>
      <c r="E287" s="89" t="s">
        <v>1862</v>
      </c>
      <c r="F287" s="89" t="s">
        <v>1863</v>
      </c>
      <c r="G287" s="89" t="s">
        <v>114</v>
      </c>
      <c r="H287" s="89" t="s">
        <v>94</v>
      </c>
      <c r="I287" s="89" t="s">
        <v>94</v>
      </c>
      <c r="J287" s="89" t="s">
        <v>95</v>
      </c>
      <c r="K287" s="89">
        <v>1.0</v>
      </c>
      <c r="L287" s="89"/>
      <c r="M287" s="89"/>
      <c r="N287" s="89"/>
      <c r="O287" s="85"/>
      <c r="P287" s="89">
        <v>1.0</v>
      </c>
      <c r="Q287" s="137"/>
      <c r="R287" s="138"/>
      <c r="S287" s="138"/>
      <c r="T287" s="85"/>
      <c r="U287" s="85"/>
      <c r="V287" s="85"/>
      <c r="W287" s="138"/>
      <c r="X287" s="139"/>
      <c r="Y287" s="139"/>
      <c r="Z287" s="139"/>
      <c r="AA287" s="139"/>
      <c r="AB287" s="139"/>
      <c r="AC287" s="139"/>
      <c r="AD287" s="139"/>
      <c r="AE287" s="139"/>
      <c r="AF287" s="139"/>
      <c r="AG287" s="139"/>
      <c r="AH287" s="139"/>
      <c r="AI287" s="139"/>
      <c r="AJ287" s="139"/>
      <c r="AK287" s="139"/>
      <c r="AL287" s="139"/>
      <c r="AM287" s="139"/>
      <c r="AN287" s="139"/>
      <c r="AO287" s="139"/>
    </row>
    <row r="288">
      <c r="A288" s="85">
        <v>44949.0</v>
      </c>
      <c r="B288" s="86">
        <v>74.2</v>
      </c>
      <c r="C288" s="85">
        <v>44946.0</v>
      </c>
      <c r="D288" s="281" t="s">
        <v>1867</v>
      </c>
      <c r="E288" s="89" t="s">
        <v>1868</v>
      </c>
      <c r="F288" s="89" t="s">
        <v>1869</v>
      </c>
      <c r="G288" s="89" t="s">
        <v>114</v>
      </c>
      <c r="H288" s="89" t="s">
        <v>94</v>
      </c>
      <c r="I288" s="89" t="s">
        <v>94</v>
      </c>
      <c r="J288" s="89" t="s">
        <v>95</v>
      </c>
      <c r="K288" s="89"/>
      <c r="L288" s="89"/>
      <c r="M288" s="89">
        <v>1.0</v>
      </c>
      <c r="N288" s="89"/>
      <c r="O288" s="85"/>
      <c r="P288" s="89"/>
      <c r="Q288" s="137"/>
      <c r="R288" s="138"/>
      <c r="S288" s="138"/>
      <c r="T288" s="85"/>
      <c r="U288" s="85"/>
      <c r="V288" s="85"/>
      <c r="W288" s="138"/>
      <c r="X288" s="139"/>
      <c r="Y288" s="139"/>
      <c r="Z288" s="139"/>
      <c r="AA288" s="139"/>
      <c r="AB288" s="139"/>
      <c r="AC288" s="139"/>
      <c r="AD288" s="139"/>
      <c r="AE288" s="139"/>
      <c r="AF288" s="139"/>
      <c r="AG288" s="139"/>
      <c r="AH288" s="139"/>
      <c r="AI288" s="139"/>
      <c r="AJ288" s="139"/>
      <c r="AK288" s="139"/>
      <c r="AL288" s="139"/>
      <c r="AM288" s="139"/>
      <c r="AN288" s="139"/>
      <c r="AO288" s="139"/>
    </row>
    <row r="289">
      <c r="A289" s="85">
        <v>44950.0</v>
      </c>
      <c r="B289" s="86">
        <v>240.94</v>
      </c>
      <c r="C289" s="85">
        <v>44922.0</v>
      </c>
      <c r="D289" s="288" t="s">
        <v>1873</v>
      </c>
      <c r="E289" s="89" t="s">
        <v>1874</v>
      </c>
      <c r="F289" s="89" t="s">
        <v>1875</v>
      </c>
      <c r="G289" s="89" t="s">
        <v>110</v>
      </c>
      <c r="H289" s="89" t="s">
        <v>94</v>
      </c>
      <c r="I289" s="89" t="s">
        <v>94</v>
      </c>
      <c r="J289" s="89" t="s">
        <v>95</v>
      </c>
      <c r="K289" s="89">
        <v>1.0</v>
      </c>
      <c r="L289" s="89"/>
      <c r="M289" s="89"/>
      <c r="N289" s="89"/>
      <c r="O289" s="85"/>
      <c r="P289" s="89"/>
      <c r="Q289" s="137"/>
      <c r="R289" s="138"/>
      <c r="S289" s="138"/>
      <c r="T289" s="85"/>
      <c r="U289" s="85"/>
      <c r="V289" s="85"/>
      <c r="W289" s="138"/>
      <c r="X289" s="139"/>
      <c r="Y289" s="139"/>
      <c r="Z289" s="139"/>
      <c r="AA289" s="139"/>
      <c r="AB289" s="139"/>
      <c r="AC289" s="139"/>
      <c r="AD289" s="139"/>
      <c r="AE289" s="139"/>
      <c r="AF289" s="139"/>
      <c r="AG289" s="139"/>
      <c r="AH289" s="139"/>
      <c r="AI289" s="139"/>
      <c r="AJ289" s="139"/>
      <c r="AK289" s="139"/>
      <c r="AL289" s="139"/>
      <c r="AM289" s="139"/>
      <c r="AN289" s="139"/>
      <c r="AO289" s="139"/>
    </row>
    <row r="290">
      <c r="A290" s="85">
        <v>44951.0</v>
      </c>
      <c r="B290" s="86">
        <v>342.38</v>
      </c>
      <c r="C290" s="85">
        <v>44937.0</v>
      </c>
      <c r="D290" s="89" t="s">
        <v>1879</v>
      </c>
      <c r="E290" s="89" t="s">
        <v>1880</v>
      </c>
      <c r="F290" s="89" t="s">
        <v>1882</v>
      </c>
      <c r="G290" s="89" t="s">
        <v>114</v>
      </c>
      <c r="H290" s="89" t="s">
        <v>94</v>
      </c>
      <c r="I290" s="89" t="s">
        <v>94</v>
      </c>
      <c r="J290" s="89" t="s">
        <v>95</v>
      </c>
      <c r="K290" s="89"/>
      <c r="L290" s="89">
        <v>1.0</v>
      </c>
      <c r="M290" s="89"/>
      <c r="N290" s="89">
        <v>1.0</v>
      </c>
      <c r="O290" s="85"/>
      <c r="P290" s="89">
        <v>1.0</v>
      </c>
      <c r="Q290" s="137"/>
      <c r="R290" s="138"/>
      <c r="S290" s="138"/>
      <c r="T290" s="85"/>
      <c r="U290" s="85"/>
      <c r="V290" s="85"/>
      <c r="W290" s="138"/>
      <c r="X290" s="139"/>
      <c r="Y290" s="139"/>
      <c r="Z290" s="139"/>
      <c r="AA290" s="139"/>
      <c r="AB290" s="139"/>
      <c r="AC290" s="139"/>
      <c r="AD290" s="139"/>
      <c r="AE290" s="139"/>
      <c r="AF290" s="139"/>
      <c r="AG290" s="139"/>
      <c r="AH290" s="139"/>
      <c r="AI290" s="139"/>
      <c r="AJ290" s="139"/>
      <c r="AK290" s="139"/>
      <c r="AL290" s="139"/>
      <c r="AM290" s="139"/>
      <c r="AN290" s="139"/>
      <c r="AO290" s="139"/>
    </row>
    <row r="291">
      <c r="A291" s="85">
        <v>44951.0</v>
      </c>
      <c r="B291" s="86">
        <v>316.94</v>
      </c>
      <c r="C291" s="85">
        <v>44896.0</v>
      </c>
      <c r="D291" s="89" t="s">
        <v>1888</v>
      </c>
      <c r="E291" s="89" t="s">
        <v>1889</v>
      </c>
      <c r="F291" s="89" t="s">
        <v>1890</v>
      </c>
      <c r="G291" s="89" t="s">
        <v>141</v>
      </c>
      <c r="H291" s="89" t="s">
        <v>94</v>
      </c>
      <c r="I291" s="89" t="s">
        <v>94</v>
      </c>
      <c r="J291" s="89" t="s">
        <v>95</v>
      </c>
      <c r="K291" s="89">
        <v>1.0</v>
      </c>
      <c r="L291" s="89"/>
      <c r="M291" s="89">
        <v>1.0</v>
      </c>
      <c r="N291" s="89"/>
      <c r="O291" s="85"/>
      <c r="P291" s="89">
        <v>1.0</v>
      </c>
      <c r="Q291" s="137"/>
      <c r="R291" s="138"/>
      <c r="S291" s="138"/>
      <c r="T291" s="85"/>
      <c r="U291" s="85"/>
      <c r="V291" s="85"/>
      <c r="W291" s="138"/>
      <c r="X291" s="139"/>
      <c r="Y291" s="139"/>
      <c r="Z291" s="139"/>
      <c r="AA291" s="139"/>
      <c r="AB291" s="139"/>
      <c r="AC291" s="139"/>
      <c r="AD291" s="139"/>
      <c r="AE291" s="139"/>
      <c r="AF291" s="139"/>
      <c r="AG291" s="139"/>
      <c r="AH291" s="139"/>
      <c r="AI291" s="139"/>
      <c r="AJ291" s="139"/>
      <c r="AK291" s="139"/>
      <c r="AL291" s="139"/>
      <c r="AM291" s="139"/>
      <c r="AN291" s="139"/>
      <c r="AO291" s="139"/>
    </row>
    <row r="292">
      <c r="A292" s="85">
        <v>44951.0</v>
      </c>
      <c r="B292" s="86">
        <v>18.0</v>
      </c>
      <c r="C292" s="85">
        <v>44371.0</v>
      </c>
      <c r="D292" s="89" t="s">
        <v>1894</v>
      </c>
      <c r="E292" s="89" t="s">
        <v>1434</v>
      </c>
      <c r="F292" s="89" t="s">
        <v>1435</v>
      </c>
      <c r="G292" s="89" t="s">
        <v>114</v>
      </c>
      <c r="H292" s="89" t="s">
        <v>161</v>
      </c>
      <c r="I292" s="89" t="s">
        <v>135</v>
      </c>
      <c r="J292" s="89" t="s">
        <v>112</v>
      </c>
      <c r="K292" s="89"/>
      <c r="L292" s="89"/>
      <c r="M292" s="89"/>
      <c r="N292" s="89"/>
      <c r="O292" s="89">
        <v>1.0</v>
      </c>
      <c r="P292" s="89"/>
      <c r="Q292" s="137"/>
      <c r="R292" s="138"/>
      <c r="S292" s="138"/>
      <c r="T292" s="85"/>
      <c r="U292" s="85"/>
      <c r="V292" s="85"/>
      <c r="W292" s="138"/>
      <c r="X292" s="139"/>
      <c r="Y292" s="139"/>
      <c r="Z292" s="139"/>
      <c r="AA292" s="139"/>
      <c r="AB292" s="139"/>
      <c r="AC292" s="139"/>
      <c r="AD292" s="139"/>
      <c r="AE292" s="139"/>
      <c r="AF292" s="139"/>
      <c r="AG292" s="139"/>
      <c r="AH292" s="139"/>
      <c r="AI292" s="139"/>
      <c r="AJ292" s="139"/>
      <c r="AK292" s="139"/>
      <c r="AL292" s="139"/>
      <c r="AM292" s="139"/>
      <c r="AN292" s="139"/>
      <c r="AO292" s="139"/>
    </row>
    <row r="293">
      <c r="A293" s="85">
        <v>44951.0</v>
      </c>
      <c r="B293" s="86">
        <v>231.0</v>
      </c>
      <c r="C293" s="85">
        <v>44852.0</v>
      </c>
      <c r="D293" s="89" t="s">
        <v>1898</v>
      </c>
      <c r="E293" s="89" t="s">
        <v>1899</v>
      </c>
      <c r="F293" s="89" t="s">
        <v>1900</v>
      </c>
      <c r="G293" s="89" t="s">
        <v>114</v>
      </c>
      <c r="H293" s="89" t="s">
        <v>94</v>
      </c>
      <c r="I293" s="89" t="s">
        <v>94</v>
      </c>
      <c r="J293" s="89" t="s">
        <v>136</v>
      </c>
      <c r="K293" s="89">
        <v>1.0</v>
      </c>
      <c r="L293" s="89"/>
      <c r="M293" s="89"/>
      <c r="N293" s="89"/>
      <c r="O293" s="85"/>
      <c r="P293" s="89">
        <v>1.0</v>
      </c>
      <c r="Q293" s="137"/>
      <c r="R293" s="138"/>
      <c r="S293" s="138"/>
      <c r="T293" s="85"/>
      <c r="U293" s="85"/>
      <c r="V293" s="85"/>
      <c r="W293" s="138"/>
      <c r="X293" s="139"/>
      <c r="Y293" s="139"/>
      <c r="Z293" s="139"/>
      <c r="AA293" s="139"/>
      <c r="AB293" s="139"/>
      <c r="AC293" s="139"/>
      <c r="AD293" s="139"/>
      <c r="AE293" s="139"/>
      <c r="AF293" s="139"/>
      <c r="AG293" s="139"/>
      <c r="AH293" s="139"/>
      <c r="AI293" s="139"/>
      <c r="AJ293" s="139"/>
      <c r="AK293" s="139"/>
      <c r="AL293" s="139"/>
      <c r="AM293" s="139"/>
      <c r="AN293" s="139"/>
      <c r="AO293" s="139"/>
    </row>
    <row r="294">
      <c r="A294" s="85">
        <v>44951.0</v>
      </c>
      <c r="B294" s="86">
        <v>304.0</v>
      </c>
      <c r="C294" s="85">
        <v>44948.0</v>
      </c>
      <c r="D294" s="89" t="s">
        <v>1904</v>
      </c>
      <c r="E294" s="89" t="s">
        <v>1905</v>
      </c>
      <c r="F294" s="89" t="s">
        <v>1906</v>
      </c>
      <c r="G294" s="89" t="s">
        <v>110</v>
      </c>
      <c r="H294" s="89" t="s">
        <v>94</v>
      </c>
      <c r="I294" s="89" t="s">
        <v>94</v>
      </c>
      <c r="J294" s="89" t="s">
        <v>773</v>
      </c>
      <c r="K294" s="89"/>
      <c r="L294" s="89">
        <v>1.0</v>
      </c>
      <c r="M294" s="89"/>
      <c r="N294" s="89"/>
      <c r="O294" s="85"/>
      <c r="P294" s="89">
        <v>1.0</v>
      </c>
      <c r="Q294" s="137"/>
      <c r="R294" s="138"/>
      <c r="S294" s="138"/>
      <c r="T294" s="85"/>
      <c r="U294" s="85"/>
      <c r="V294" s="85"/>
      <c r="W294" s="138"/>
      <c r="X294" s="139"/>
      <c r="Y294" s="139"/>
      <c r="Z294" s="139"/>
      <c r="AA294" s="139"/>
      <c r="AB294" s="139"/>
      <c r="AC294" s="139"/>
      <c r="AD294" s="139"/>
      <c r="AE294" s="139"/>
      <c r="AF294" s="139"/>
      <c r="AG294" s="139"/>
      <c r="AH294" s="139"/>
      <c r="AI294" s="139"/>
      <c r="AJ294" s="139"/>
      <c r="AK294" s="139"/>
      <c r="AL294" s="139"/>
      <c r="AM294" s="139"/>
      <c r="AN294" s="139"/>
      <c r="AO294" s="139"/>
    </row>
    <row r="295">
      <c r="A295" s="85">
        <v>44951.0</v>
      </c>
      <c r="B295" s="86">
        <v>322.2</v>
      </c>
      <c r="C295" s="85">
        <v>44947.0</v>
      </c>
      <c r="D295" s="89" t="s">
        <v>1913</v>
      </c>
      <c r="E295" s="89" t="s">
        <v>1914</v>
      </c>
      <c r="F295" s="89" t="s">
        <v>1915</v>
      </c>
      <c r="G295" s="89" t="s">
        <v>127</v>
      </c>
      <c r="H295" s="89" t="s">
        <v>94</v>
      </c>
      <c r="I295" s="89" t="s">
        <v>94</v>
      </c>
      <c r="J295" s="89" t="s">
        <v>95</v>
      </c>
      <c r="K295" s="89"/>
      <c r="L295" s="89">
        <v>1.0</v>
      </c>
      <c r="M295" s="89"/>
      <c r="N295" s="89"/>
      <c r="O295" s="85"/>
      <c r="P295" s="89">
        <v>1.0</v>
      </c>
      <c r="Q295" s="137"/>
      <c r="R295" s="138"/>
      <c r="S295" s="138"/>
      <c r="T295" s="85"/>
      <c r="U295" s="85"/>
      <c r="V295" s="85"/>
      <c r="W295" s="138"/>
      <c r="X295" s="139"/>
      <c r="Y295" s="139"/>
      <c r="Z295" s="139"/>
      <c r="AA295" s="139"/>
      <c r="AB295" s="139"/>
      <c r="AC295" s="139"/>
      <c r="AD295" s="139"/>
      <c r="AE295" s="139"/>
      <c r="AF295" s="139"/>
      <c r="AG295" s="139"/>
      <c r="AH295" s="139"/>
      <c r="AI295" s="139"/>
      <c r="AJ295" s="139"/>
      <c r="AK295" s="139"/>
      <c r="AL295" s="139"/>
      <c r="AM295" s="139"/>
      <c r="AN295" s="139"/>
      <c r="AO295" s="139"/>
    </row>
    <row r="296">
      <c r="A296" s="85">
        <v>44951.0</v>
      </c>
      <c r="B296" s="86">
        <v>209.95</v>
      </c>
      <c r="C296" s="85">
        <v>44922.0</v>
      </c>
      <c r="D296" s="89" t="s">
        <v>1919</v>
      </c>
      <c r="E296" s="89" t="s">
        <v>1920</v>
      </c>
      <c r="F296" s="89" t="s">
        <v>1921</v>
      </c>
      <c r="G296" s="89" t="s">
        <v>110</v>
      </c>
      <c r="H296" s="89" t="s">
        <v>94</v>
      </c>
      <c r="I296" s="89" t="s">
        <v>94</v>
      </c>
      <c r="J296" s="89" t="s">
        <v>95</v>
      </c>
      <c r="K296" s="89">
        <v>1.0</v>
      </c>
      <c r="L296" s="89"/>
      <c r="M296" s="89"/>
      <c r="N296" s="89"/>
      <c r="O296" s="85"/>
      <c r="P296" s="89">
        <v>1.0</v>
      </c>
      <c r="Q296" s="137"/>
      <c r="R296" s="138"/>
      <c r="S296" s="138"/>
      <c r="T296" s="85"/>
      <c r="U296" s="85"/>
      <c r="V296" s="85"/>
      <c r="W296" s="138"/>
      <c r="X296" s="139"/>
      <c r="Y296" s="139"/>
      <c r="Z296" s="139"/>
      <c r="AA296" s="139"/>
      <c r="AB296" s="139"/>
      <c r="AC296" s="139"/>
      <c r="AD296" s="139"/>
      <c r="AE296" s="139"/>
      <c r="AF296" s="139"/>
      <c r="AG296" s="139"/>
      <c r="AH296" s="139"/>
      <c r="AI296" s="139"/>
      <c r="AJ296" s="139"/>
      <c r="AK296" s="139"/>
      <c r="AL296" s="139"/>
      <c r="AM296" s="139"/>
      <c r="AN296" s="139"/>
      <c r="AO296" s="139"/>
    </row>
    <row r="297">
      <c r="A297" s="85">
        <v>44951.0</v>
      </c>
      <c r="B297" s="86">
        <v>342.38</v>
      </c>
      <c r="C297" s="85">
        <v>44913.0</v>
      </c>
      <c r="D297" s="89" t="s">
        <v>1926</v>
      </c>
      <c r="E297" s="89" t="s">
        <v>1927</v>
      </c>
      <c r="F297" s="89" t="s">
        <v>1928</v>
      </c>
      <c r="G297" s="89" t="s">
        <v>114</v>
      </c>
      <c r="H297" s="89" t="s">
        <v>94</v>
      </c>
      <c r="I297" s="89" t="s">
        <v>94</v>
      </c>
      <c r="J297" s="89" t="s">
        <v>95</v>
      </c>
      <c r="K297" s="89">
        <v>1.0</v>
      </c>
      <c r="L297" s="89"/>
      <c r="M297" s="89">
        <v>1.0</v>
      </c>
      <c r="N297" s="89">
        <v>1.0</v>
      </c>
      <c r="O297" s="85"/>
      <c r="P297" s="89">
        <v>1.0</v>
      </c>
      <c r="Q297" s="137"/>
      <c r="R297" s="138"/>
      <c r="S297" s="138"/>
      <c r="T297" s="85"/>
      <c r="U297" s="85"/>
      <c r="V297" s="85"/>
      <c r="W297" s="138"/>
      <c r="X297" s="139"/>
      <c r="Y297" s="139"/>
      <c r="Z297" s="139"/>
      <c r="AA297" s="139"/>
      <c r="AB297" s="139"/>
      <c r="AC297" s="139"/>
      <c r="AD297" s="139"/>
      <c r="AE297" s="139"/>
      <c r="AF297" s="139"/>
      <c r="AG297" s="139"/>
      <c r="AH297" s="139"/>
      <c r="AI297" s="139"/>
      <c r="AJ297" s="139"/>
      <c r="AK297" s="139"/>
      <c r="AL297" s="139"/>
      <c r="AM297" s="139"/>
      <c r="AN297" s="139"/>
      <c r="AO297" s="139"/>
    </row>
    <row r="298">
      <c r="A298" s="85">
        <v>44951.0</v>
      </c>
      <c r="B298" s="86">
        <v>271.98</v>
      </c>
      <c r="C298" s="85">
        <v>44898.0</v>
      </c>
      <c r="D298" s="89" t="s">
        <v>1935</v>
      </c>
      <c r="E298" s="89" t="s">
        <v>1936</v>
      </c>
      <c r="F298" s="89" t="s">
        <v>1937</v>
      </c>
      <c r="G298" s="89" t="s">
        <v>110</v>
      </c>
      <c r="H298" s="89" t="s">
        <v>94</v>
      </c>
      <c r="I298" s="89" t="s">
        <v>94</v>
      </c>
      <c r="J298" s="89" t="s">
        <v>95</v>
      </c>
      <c r="K298" s="89">
        <v>1.0</v>
      </c>
      <c r="L298" s="89"/>
      <c r="M298" s="89"/>
      <c r="N298" s="89">
        <v>1.0</v>
      </c>
      <c r="O298" s="85"/>
      <c r="P298" s="89">
        <v>1.0</v>
      </c>
      <c r="Q298" s="137"/>
      <c r="R298" s="138"/>
      <c r="S298" s="138"/>
      <c r="T298" s="85"/>
      <c r="U298" s="85"/>
      <c r="V298" s="85"/>
      <c r="W298" s="138"/>
      <c r="X298" s="139"/>
      <c r="Y298" s="139"/>
      <c r="Z298" s="139"/>
      <c r="AA298" s="139"/>
      <c r="AB298" s="139"/>
      <c r="AC298" s="139"/>
      <c r="AD298" s="139"/>
      <c r="AE298" s="139"/>
      <c r="AF298" s="139"/>
      <c r="AG298" s="139"/>
      <c r="AH298" s="139"/>
      <c r="AI298" s="139"/>
      <c r="AJ298" s="139"/>
      <c r="AK298" s="139"/>
      <c r="AL298" s="139"/>
      <c r="AM298" s="139"/>
      <c r="AN298" s="139"/>
      <c r="AO298" s="139"/>
    </row>
    <row r="299">
      <c r="A299" s="85">
        <v>44951.0</v>
      </c>
      <c r="B299" s="86">
        <v>245.04</v>
      </c>
      <c r="C299" s="85">
        <v>44932.0</v>
      </c>
      <c r="D299" s="89" t="s">
        <v>1944</v>
      </c>
      <c r="E299" s="89" t="s">
        <v>1945</v>
      </c>
      <c r="F299" s="89" t="s">
        <v>1946</v>
      </c>
      <c r="G299" s="89" t="s">
        <v>110</v>
      </c>
      <c r="H299" s="89" t="s">
        <v>94</v>
      </c>
      <c r="I299" s="89" t="s">
        <v>94</v>
      </c>
      <c r="J299" s="89" t="s">
        <v>95</v>
      </c>
      <c r="K299" s="89">
        <v>1.0</v>
      </c>
      <c r="L299" s="89"/>
      <c r="M299" s="89"/>
      <c r="N299" s="89"/>
      <c r="O299" s="85"/>
      <c r="P299" s="89">
        <v>1.0</v>
      </c>
      <c r="Q299" s="137"/>
      <c r="R299" s="138"/>
      <c r="S299" s="138"/>
      <c r="T299" s="85"/>
      <c r="U299" s="85"/>
      <c r="V299" s="85"/>
      <c r="W299" s="138"/>
      <c r="X299" s="139"/>
      <c r="Y299" s="139"/>
      <c r="Z299" s="139"/>
      <c r="AA299" s="139"/>
      <c r="AB299" s="139"/>
      <c r="AC299" s="139"/>
      <c r="AD299" s="139"/>
      <c r="AE299" s="139"/>
      <c r="AF299" s="139"/>
      <c r="AG299" s="139"/>
      <c r="AH299" s="139"/>
      <c r="AI299" s="139"/>
      <c r="AJ299" s="139"/>
      <c r="AK299" s="139"/>
      <c r="AL299" s="139"/>
      <c r="AM299" s="139"/>
      <c r="AN299" s="139"/>
      <c r="AO299" s="139"/>
    </row>
    <row r="300">
      <c r="A300" s="85">
        <v>44952.0</v>
      </c>
      <c r="B300" s="86">
        <v>216.0</v>
      </c>
      <c r="C300" s="85">
        <v>44416.0</v>
      </c>
      <c r="D300" s="89" t="s">
        <v>1950</v>
      </c>
      <c r="E300" s="89" t="s">
        <v>1951</v>
      </c>
      <c r="F300" s="89" t="s">
        <v>1952</v>
      </c>
      <c r="G300" s="89" t="s">
        <v>114</v>
      </c>
      <c r="H300" s="89" t="s">
        <v>94</v>
      </c>
      <c r="I300" s="89" t="s">
        <v>135</v>
      </c>
      <c r="J300" s="89" t="s">
        <v>1953</v>
      </c>
      <c r="K300" s="89">
        <v>1.0</v>
      </c>
      <c r="L300" s="89"/>
      <c r="M300" s="89"/>
      <c r="N300" s="89"/>
      <c r="O300" s="85"/>
      <c r="P300" s="89"/>
      <c r="Q300" s="137"/>
      <c r="R300" s="138"/>
      <c r="S300" s="138"/>
      <c r="T300" s="85"/>
      <c r="U300" s="85"/>
      <c r="V300" s="85"/>
      <c r="W300" s="138"/>
      <c r="X300" s="139"/>
      <c r="Y300" s="139"/>
      <c r="Z300" s="139"/>
      <c r="AA300" s="139"/>
      <c r="AB300" s="139"/>
      <c r="AC300" s="139"/>
      <c r="AD300" s="139"/>
      <c r="AE300" s="139"/>
      <c r="AF300" s="139"/>
      <c r="AG300" s="139"/>
      <c r="AH300" s="139"/>
      <c r="AI300" s="139"/>
      <c r="AJ300" s="139"/>
      <c r="AK300" s="139"/>
      <c r="AL300" s="139"/>
      <c r="AM300" s="139"/>
      <c r="AN300" s="139"/>
      <c r="AO300" s="139"/>
    </row>
    <row r="301">
      <c r="A301" s="85">
        <v>44952.0</v>
      </c>
      <c r="B301" s="86">
        <v>275.0</v>
      </c>
      <c r="C301" s="85">
        <v>44387.0</v>
      </c>
      <c r="D301" s="89" t="s">
        <v>1957</v>
      </c>
      <c r="E301" s="89" t="s">
        <v>1958</v>
      </c>
      <c r="F301" s="89" t="s">
        <v>1959</v>
      </c>
      <c r="G301" s="89" t="s">
        <v>114</v>
      </c>
      <c r="H301" s="89" t="s">
        <v>94</v>
      </c>
      <c r="I301" s="89" t="s">
        <v>94</v>
      </c>
      <c r="J301" s="89" t="s">
        <v>941</v>
      </c>
      <c r="K301" s="89"/>
      <c r="L301" s="89">
        <v>1.0</v>
      </c>
      <c r="M301" s="89"/>
      <c r="N301" s="89"/>
      <c r="O301" s="85"/>
      <c r="P301" s="89"/>
      <c r="Q301" s="137"/>
      <c r="R301" s="138"/>
      <c r="S301" s="138"/>
      <c r="T301" s="85"/>
      <c r="U301" s="85"/>
      <c r="V301" s="85"/>
      <c r="W301" s="138"/>
      <c r="X301" s="139"/>
      <c r="Y301" s="139"/>
      <c r="Z301" s="139"/>
      <c r="AA301" s="139"/>
      <c r="AB301" s="139"/>
      <c r="AC301" s="139"/>
      <c r="AD301" s="139"/>
      <c r="AE301" s="139"/>
      <c r="AF301" s="139"/>
      <c r="AG301" s="139"/>
      <c r="AH301" s="139"/>
      <c r="AI301" s="139"/>
      <c r="AJ301" s="139"/>
      <c r="AK301" s="139"/>
      <c r="AL301" s="139"/>
      <c r="AM301" s="139"/>
      <c r="AN301" s="139"/>
      <c r="AO301" s="139"/>
    </row>
    <row r="302">
      <c r="A302" s="85">
        <v>44952.0</v>
      </c>
      <c r="B302" s="86">
        <v>20.39</v>
      </c>
      <c r="C302" s="85">
        <v>44937.0</v>
      </c>
      <c r="D302" s="89" t="s">
        <v>1963</v>
      </c>
      <c r="E302" s="89" t="s">
        <v>1964</v>
      </c>
      <c r="F302" s="89" t="s">
        <v>1965</v>
      </c>
      <c r="G302" s="89" t="s">
        <v>110</v>
      </c>
      <c r="H302" s="89" t="s">
        <v>94</v>
      </c>
      <c r="I302" s="89" t="s">
        <v>94</v>
      </c>
      <c r="J302" s="89" t="s">
        <v>95</v>
      </c>
      <c r="K302" s="89"/>
      <c r="L302" s="89"/>
      <c r="M302" s="89"/>
      <c r="N302" s="89"/>
      <c r="O302" s="85"/>
      <c r="P302" s="89">
        <v>1.0</v>
      </c>
      <c r="Q302" s="137"/>
      <c r="R302" s="138"/>
      <c r="S302" s="138"/>
      <c r="T302" s="85"/>
      <c r="U302" s="85"/>
      <c r="V302" s="85"/>
      <c r="W302" s="138"/>
      <c r="X302" s="139"/>
      <c r="Y302" s="139"/>
      <c r="Z302" s="139"/>
      <c r="AA302" s="139"/>
      <c r="AB302" s="139"/>
      <c r="AC302" s="139"/>
      <c r="AD302" s="139"/>
      <c r="AE302" s="139"/>
      <c r="AF302" s="139"/>
      <c r="AG302" s="139"/>
      <c r="AH302" s="139"/>
      <c r="AI302" s="139"/>
      <c r="AJ302" s="139"/>
      <c r="AK302" s="139"/>
      <c r="AL302" s="139"/>
      <c r="AM302" s="139"/>
      <c r="AN302" s="139"/>
      <c r="AO302" s="139"/>
    </row>
    <row r="303">
      <c r="A303" s="85">
        <v>44952.0</v>
      </c>
      <c r="B303" s="86">
        <v>244.46</v>
      </c>
      <c r="C303" s="85">
        <v>44908.0</v>
      </c>
      <c r="D303" s="89" t="s">
        <v>1969</v>
      </c>
      <c r="E303" s="89" t="s">
        <v>1970</v>
      </c>
      <c r="F303" s="89" t="s">
        <v>1971</v>
      </c>
      <c r="G303" s="89" t="s">
        <v>110</v>
      </c>
      <c r="H303" s="89" t="s">
        <v>94</v>
      </c>
      <c r="I303" s="89" t="s">
        <v>94</v>
      </c>
      <c r="J303" s="89" t="s">
        <v>95</v>
      </c>
      <c r="K303" s="89">
        <v>1.0</v>
      </c>
      <c r="L303" s="89"/>
      <c r="M303" s="89"/>
      <c r="N303" s="89"/>
      <c r="O303" s="85"/>
      <c r="P303" s="89">
        <v>1.0</v>
      </c>
      <c r="Q303" s="137"/>
      <c r="R303" s="138"/>
      <c r="S303" s="138"/>
      <c r="T303" s="85"/>
      <c r="U303" s="85"/>
      <c r="V303" s="85"/>
      <c r="W303" s="138"/>
      <c r="X303" s="139"/>
      <c r="Y303" s="139"/>
      <c r="Z303" s="139"/>
      <c r="AA303" s="139"/>
      <c r="AB303" s="139"/>
      <c r="AC303" s="139"/>
      <c r="AD303" s="139"/>
      <c r="AE303" s="139"/>
      <c r="AF303" s="139"/>
      <c r="AG303" s="139"/>
      <c r="AH303" s="139"/>
      <c r="AI303" s="139"/>
      <c r="AJ303" s="139"/>
      <c r="AK303" s="139"/>
      <c r="AL303" s="139"/>
      <c r="AM303" s="139"/>
      <c r="AN303" s="139"/>
      <c r="AO303" s="139"/>
    </row>
    <row r="304">
      <c r="A304" s="85">
        <v>44952.0</v>
      </c>
      <c r="B304" s="333">
        <v>346.1</v>
      </c>
      <c r="C304" s="85">
        <v>44952.0</v>
      </c>
      <c r="D304" s="89" t="s">
        <v>1975</v>
      </c>
      <c r="E304" s="89" t="s">
        <v>1976</v>
      </c>
      <c r="F304" s="89" t="s">
        <v>1977</v>
      </c>
      <c r="G304" s="89" t="s">
        <v>110</v>
      </c>
      <c r="H304" s="89" t="s">
        <v>94</v>
      </c>
      <c r="I304" s="89" t="s">
        <v>94</v>
      </c>
      <c r="J304" s="89" t="s">
        <v>95</v>
      </c>
      <c r="K304" s="89"/>
      <c r="L304" s="89">
        <v>1.0</v>
      </c>
      <c r="M304" s="89"/>
      <c r="N304" s="89"/>
      <c r="O304" s="85"/>
      <c r="P304" s="89">
        <v>1.0</v>
      </c>
      <c r="Q304" s="137">
        <v>1.0</v>
      </c>
      <c r="R304" s="138"/>
      <c r="S304" s="138"/>
      <c r="T304" s="85"/>
      <c r="U304" s="85"/>
      <c r="V304" s="85"/>
      <c r="W304" s="138"/>
      <c r="X304" s="139"/>
      <c r="Y304" s="139"/>
      <c r="Z304" s="139"/>
      <c r="AA304" s="139"/>
      <c r="AB304" s="139"/>
      <c r="AC304" s="139"/>
      <c r="AD304" s="139"/>
      <c r="AE304" s="139"/>
      <c r="AF304" s="139"/>
      <c r="AG304" s="139"/>
      <c r="AH304" s="139"/>
      <c r="AI304" s="139"/>
      <c r="AJ304" s="139"/>
      <c r="AK304" s="139"/>
      <c r="AL304" s="139"/>
      <c r="AM304" s="139"/>
      <c r="AN304" s="139"/>
      <c r="AO304" s="139"/>
    </row>
    <row r="305">
      <c r="A305" s="85">
        <v>44952.0</v>
      </c>
      <c r="B305" s="86">
        <v>216.67</v>
      </c>
      <c r="C305" s="85">
        <v>44905.0</v>
      </c>
      <c r="D305" s="89" t="s">
        <v>1983</v>
      </c>
      <c r="E305" s="89" t="s">
        <v>1985</v>
      </c>
      <c r="F305" s="89" t="s">
        <v>1986</v>
      </c>
      <c r="G305" s="89" t="s">
        <v>110</v>
      </c>
      <c r="H305" s="89" t="s">
        <v>94</v>
      </c>
      <c r="I305" s="89" t="s">
        <v>94</v>
      </c>
      <c r="J305" s="89" t="s">
        <v>95</v>
      </c>
      <c r="K305" s="89">
        <v>1.0</v>
      </c>
      <c r="L305" s="89"/>
      <c r="M305" s="89"/>
      <c r="N305" s="89"/>
      <c r="O305" s="85"/>
      <c r="P305" s="89">
        <v>1.0</v>
      </c>
      <c r="Q305" s="137"/>
      <c r="R305" s="138"/>
      <c r="S305" s="138"/>
      <c r="T305" s="85"/>
      <c r="U305" s="85"/>
      <c r="V305" s="85"/>
      <c r="W305" s="138"/>
      <c r="X305" s="139"/>
      <c r="Y305" s="139"/>
      <c r="Z305" s="139"/>
      <c r="AA305" s="139"/>
      <c r="AB305" s="139"/>
      <c r="AC305" s="139"/>
      <c r="AD305" s="139"/>
      <c r="AE305" s="139"/>
      <c r="AF305" s="139"/>
      <c r="AG305" s="139"/>
      <c r="AH305" s="139"/>
      <c r="AI305" s="139"/>
      <c r="AJ305" s="139"/>
      <c r="AK305" s="139"/>
      <c r="AL305" s="139"/>
      <c r="AM305" s="139"/>
      <c r="AN305" s="139"/>
      <c r="AO305" s="139"/>
    </row>
    <row r="306">
      <c r="A306" s="85">
        <v>44952.0</v>
      </c>
      <c r="B306" s="86">
        <v>342.38</v>
      </c>
      <c r="C306" s="85">
        <v>44901.0</v>
      </c>
      <c r="D306" s="89" t="s">
        <v>1990</v>
      </c>
      <c r="E306" s="89" t="s">
        <v>1991</v>
      </c>
      <c r="F306" s="89" t="s">
        <v>1992</v>
      </c>
      <c r="G306" s="89" t="s">
        <v>110</v>
      </c>
      <c r="H306" s="89" t="s">
        <v>94</v>
      </c>
      <c r="I306" s="89" t="s">
        <v>94</v>
      </c>
      <c r="J306" s="89" t="s">
        <v>95</v>
      </c>
      <c r="K306" s="89">
        <v>1.0</v>
      </c>
      <c r="L306" s="89"/>
      <c r="M306" s="89">
        <v>1.0</v>
      </c>
      <c r="N306" s="89">
        <v>1.0</v>
      </c>
      <c r="O306" s="85"/>
      <c r="P306" s="89">
        <v>1.0</v>
      </c>
      <c r="Q306" s="137"/>
      <c r="R306" s="138"/>
      <c r="S306" s="138"/>
      <c r="T306" s="85"/>
      <c r="U306" s="85"/>
      <c r="V306" s="85"/>
      <c r="W306" s="138"/>
      <c r="X306" s="139"/>
      <c r="Y306" s="139"/>
      <c r="Z306" s="139"/>
      <c r="AA306" s="139"/>
      <c r="AB306" s="139"/>
      <c r="AC306" s="139"/>
      <c r="AD306" s="139"/>
      <c r="AE306" s="139"/>
      <c r="AF306" s="139"/>
      <c r="AG306" s="139"/>
      <c r="AH306" s="139"/>
      <c r="AI306" s="139"/>
      <c r="AJ306" s="139"/>
      <c r="AK306" s="139"/>
      <c r="AL306" s="139"/>
      <c r="AM306" s="139"/>
      <c r="AN306" s="139"/>
      <c r="AO306" s="139"/>
    </row>
    <row r="307">
      <c r="A307" s="85">
        <v>44952.0</v>
      </c>
      <c r="B307" s="86">
        <v>36.25</v>
      </c>
      <c r="C307" s="85">
        <v>44576.0</v>
      </c>
      <c r="D307" s="89" t="s">
        <v>1999</v>
      </c>
      <c r="E307" s="89" t="s">
        <v>2000</v>
      </c>
      <c r="F307" s="89" t="s">
        <v>2001</v>
      </c>
      <c r="G307" s="89" t="s">
        <v>110</v>
      </c>
      <c r="H307" s="89" t="s">
        <v>94</v>
      </c>
      <c r="I307" s="89" t="s">
        <v>94</v>
      </c>
      <c r="J307" s="89" t="s">
        <v>95</v>
      </c>
      <c r="K307" s="89"/>
      <c r="L307" s="89"/>
      <c r="M307" s="89"/>
      <c r="N307" s="89">
        <v>1.0</v>
      </c>
      <c r="O307" s="85"/>
      <c r="P307" s="89"/>
      <c r="Q307" s="137"/>
      <c r="R307" s="138"/>
      <c r="S307" s="138"/>
      <c r="T307" s="85"/>
      <c r="U307" s="85"/>
      <c r="V307" s="85"/>
      <c r="W307" s="138"/>
      <c r="X307" s="139"/>
      <c r="Y307" s="139"/>
      <c r="Z307" s="139"/>
      <c r="AA307" s="139"/>
      <c r="AB307" s="139"/>
      <c r="AC307" s="139"/>
      <c r="AD307" s="139"/>
      <c r="AE307" s="139"/>
      <c r="AF307" s="139"/>
      <c r="AG307" s="139"/>
      <c r="AH307" s="139"/>
      <c r="AI307" s="139"/>
      <c r="AJ307" s="139"/>
      <c r="AK307" s="139"/>
      <c r="AL307" s="139"/>
      <c r="AM307" s="139"/>
      <c r="AN307" s="139"/>
      <c r="AO307" s="139"/>
    </row>
    <row r="308">
      <c r="A308" s="85">
        <v>44953.0</v>
      </c>
      <c r="B308" s="333">
        <v>323.0</v>
      </c>
      <c r="C308" s="85">
        <v>44889.0</v>
      </c>
      <c r="D308" s="89" t="s">
        <v>2005</v>
      </c>
      <c r="E308" s="89" t="s">
        <v>2006</v>
      </c>
      <c r="F308" s="89" t="s">
        <v>2007</v>
      </c>
      <c r="G308" s="89" t="s">
        <v>110</v>
      </c>
      <c r="H308" s="89" t="s">
        <v>94</v>
      </c>
      <c r="I308" s="89" t="s">
        <v>94</v>
      </c>
      <c r="J308" s="89" t="s">
        <v>328</v>
      </c>
      <c r="K308" s="89">
        <v>1.0</v>
      </c>
      <c r="L308" s="89"/>
      <c r="M308" s="89">
        <v>1.0</v>
      </c>
      <c r="N308" s="89">
        <v>1.0</v>
      </c>
      <c r="O308" s="85"/>
      <c r="P308" s="89">
        <v>1.0</v>
      </c>
      <c r="Q308" s="137"/>
      <c r="R308" s="138"/>
      <c r="S308" s="138"/>
      <c r="T308" s="85"/>
      <c r="U308" s="85"/>
      <c r="V308" s="85"/>
      <c r="W308" s="138"/>
      <c r="X308" s="139"/>
      <c r="Y308" s="139"/>
      <c r="Z308" s="139"/>
      <c r="AA308" s="139"/>
      <c r="AB308" s="139"/>
      <c r="AC308" s="139"/>
      <c r="AD308" s="139"/>
      <c r="AE308" s="139"/>
      <c r="AF308" s="139"/>
      <c r="AG308" s="139"/>
      <c r="AH308" s="139"/>
      <c r="AI308" s="139"/>
      <c r="AJ308" s="139"/>
      <c r="AK308" s="139"/>
      <c r="AL308" s="139"/>
      <c r="AM308" s="139"/>
      <c r="AN308" s="139"/>
      <c r="AO308" s="139"/>
    </row>
    <row r="309">
      <c r="A309" s="85">
        <v>44953.0</v>
      </c>
      <c r="B309" s="86">
        <v>249.0</v>
      </c>
      <c r="C309" s="85">
        <v>44645.0</v>
      </c>
      <c r="D309" s="89" t="s">
        <v>2014</v>
      </c>
      <c r="E309" s="89" t="s">
        <v>2015</v>
      </c>
      <c r="F309" s="89" t="s">
        <v>2016</v>
      </c>
      <c r="G309" s="89" t="s">
        <v>110</v>
      </c>
      <c r="H309" s="89" t="s">
        <v>94</v>
      </c>
      <c r="I309" s="89" t="s">
        <v>94</v>
      </c>
      <c r="J309" s="89" t="s">
        <v>191</v>
      </c>
      <c r="K309" s="89">
        <v>1.0</v>
      </c>
      <c r="L309" s="89"/>
      <c r="M309" s="89"/>
      <c r="N309" s="89"/>
      <c r="O309" s="89">
        <v>1.0</v>
      </c>
      <c r="P309" s="89"/>
      <c r="Q309" s="137"/>
      <c r="R309" s="138"/>
      <c r="S309" s="138"/>
      <c r="T309" s="85"/>
      <c r="U309" s="85"/>
      <c r="V309" s="85"/>
      <c r="W309" s="138"/>
      <c r="X309" s="139"/>
      <c r="Y309" s="139"/>
      <c r="Z309" s="139"/>
      <c r="AA309" s="139"/>
      <c r="AB309" s="139"/>
      <c r="AC309" s="139"/>
      <c r="AD309" s="139"/>
      <c r="AE309" s="139"/>
      <c r="AF309" s="139"/>
      <c r="AG309" s="139"/>
      <c r="AH309" s="139"/>
      <c r="AI309" s="139"/>
      <c r="AJ309" s="139"/>
      <c r="AK309" s="139"/>
      <c r="AL309" s="139"/>
      <c r="AM309" s="139"/>
      <c r="AN309" s="139"/>
      <c r="AO309" s="139"/>
    </row>
    <row r="310">
      <c r="A310" s="85">
        <v>44953.0</v>
      </c>
      <c r="B310" s="86">
        <v>244.17</v>
      </c>
      <c r="C310" s="85">
        <v>44916.0</v>
      </c>
      <c r="D310" s="89" t="s">
        <v>2020</v>
      </c>
      <c r="E310" s="89" t="s">
        <v>2021</v>
      </c>
      <c r="F310" s="89" t="s">
        <v>2022</v>
      </c>
      <c r="G310" s="89" t="s">
        <v>110</v>
      </c>
      <c r="H310" s="89" t="s">
        <v>94</v>
      </c>
      <c r="I310" s="89" t="s">
        <v>94</v>
      </c>
      <c r="J310" s="89" t="s">
        <v>95</v>
      </c>
      <c r="K310" s="89">
        <v>1.0</v>
      </c>
      <c r="L310" s="89"/>
      <c r="M310" s="89"/>
      <c r="N310" s="89"/>
      <c r="O310" s="85"/>
      <c r="P310" s="89">
        <v>1.0</v>
      </c>
      <c r="Q310" s="137"/>
      <c r="R310" s="138"/>
      <c r="S310" s="138"/>
      <c r="T310" s="85"/>
      <c r="U310" s="85"/>
      <c r="V310" s="85"/>
      <c r="W310" s="138"/>
      <c r="X310" s="139"/>
      <c r="Y310" s="139"/>
      <c r="Z310" s="139"/>
      <c r="AA310" s="139"/>
      <c r="AB310" s="139"/>
      <c r="AC310" s="139"/>
      <c r="AD310" s="139"/>
      <c r="AE310" s="139"/>
      <c r="AF310" s="139"/>
      <c r="AG310" s="139"/>
      <c r="AH310" s="139"/>
      <c r="AI310" s="139"/>
      <c r="AJ310" s="139"/>
      <c r="AK310" s="139"/>
      <c r="AL310" s="139"/>
      <c r="AM310" s="139"/>
      <c r="AN310" s="139"/>
      <c r="AO310" s="139"/>
    </row>
    <row r="311">
      <c r="A311" s="85">
        <v>44953.0</v>
      </c>
      <c r="B311" s="86">
        <v>316.94</v>
      </c>
      <c r="C311" s="85">
        <v>44917.0</v>
      </c>
      <c r="D311" s="89" t="s">
        <v>2026</v>
      </c>
      <c r="E311" s="89" t="s">
        <v>2027</v>
      </c>
      <c r="F311" s="89" t="s">
        <v>2028</v>
      </c>
      <c r="G311" s="89" t="s">
        <v>114</v>
      </c>
      <c r="H311" s="89" t="s">
        <v>94</v>
      </c>
      <c r="I311" s="89" t="s">
        <v>94</v>
      </c>
      <c r="J311" s="89" t="s">
        <v>95</v>
      </c>
      <c r="K311" s="89">
        <v>1.0</v>
      </c>
      <c r="L311" s="89"/>
      <c r="M311" s="89">
        <v>1.0</v>
      </c>
      <c r="N311" s="89"/>
      <c r="O311" s="85"/>
      <c r="P311" s="89">
        <v>1.0</v>
      </c>
      <c r="Q311" s="137"/>
      <c r="R311" s="138"/>
      <c r="S311" s="138"/>
      <c r="T311" s="85"/>
      <c r="U311" s="85"/>
      <c r="V311" s="85"/>
      <c r="W311" s="138"/>
      <c r="X311" s="139"/>
      <c r="Y311" s="139"/>
      <c r="Z311" s="139"/>
      <c r="AA311" s="139"/>
      <c r="AB311" s="139"/>
      <c r="AC311" s="139"/>
      <c r="AD311" s="139"/>
      <c r="AE311" s="139"/>
      <c r="AF311" s="139"/>
      <c r="AG311" s="139"/>
      <c r="AH311" s="139"/>
      <c r="AI311" s="139"/>
      <c r="AJ311" s="139"/>
      <c r="AK311" s="139"/>
      <c r="AL311" s="139"/>
      <c r="AM311" s="139"/>
      <c r="AN311" s="139"/>
      <c r="AO311" s="139"/>
    </row>
    <row r="312">
      <c r="A312" s="85">
        <v>44953.0</v>
      </c>
      <c r="B312" s="86">
        <v>25.5</v>
      </c>
      <c r="C312" s="85">
        <v>44891.0</v>
      </c>
      <c r="D312" s="89" t="s">
        <v>2035</v>
      </c>
      <c r="E312" s="89" t="s">
        <v>2036</v>
      </c>
      <c r="F312" s="89" t="s">
        <v>2037</v>
      </c>
      <c r="G312" s="89" t="s">
        <v>114</v>
      </c>
      <c r="H312" s="89" t="s">
        <v>94</v>
      </c>
      <c r="I312" s="89" t="s">
        <v>94</v>
      </c>
      <c r="J312" s="89" t="s">
        <v>95</v>
      </c>
      <c r="K312" s="89"/>
      <c r="L312" s="89"/>
      <c r="M312" s="89"/>
      <c r="N312" s="89">
        <v>1.0</v>
      </c>
      <c r="O312" s="85"/>
      <c r="P312" s="89">
        <v>1.0</v>
      </c>
      <c r="Q312" s="137"/>
      <c r="R312" s="138"/>
      <c r="S312" s="138"/>
      <c r="T312" s="85"/>
      <c r="U312" s="85"/>
      <c r="V312" s="85"/>
      <c r="W312" s="138"/>
      <c r="X312" s="139"/>
      <c r="Y312" s="139"/>
      <c r="Z312" s="139"/>
      <c r="AA312" s="139"/>
      <c r="AB312" s="139"/>
      <c r="AC312" s="139"/>
      <c r="AD312" s="139"/>
      <c r="AE312" s="139"/>
      <c r="AF312" s="139"/>
      <c r="AG312" s="139"/>
      <c r="AH312" s="139"/>
      <c r="AI312" s="139"/>
      <c r="AJ312" s="139"/>
      <c r="AK312" s="139"/>
      <c r="AL312" s="139"/>
      <c r="AM312" s="139"/>
      <c r="AN312" s="139"/>
      <c r="AO312" s="139"/>
    </row>
    <row r="313">
      <c r="A313" s="85">
        <v>44953.0</v>
      </c>
      <c r="B313" s="86">
        <v>374.95</v>
      </c>
      <c r="C313" s="85">
        <v>44927.0</v>
      </c>
      <c r="D313" s="89" t="s">
        <v>2041</v>
      </c>
      <c r="E313" s="89" t="s">
        <v>2042</v>
      </c>
      <c r="F313" s="89" t="s">
        <v>2043</v>
      </c>
      <c r="G313" s="89" t="s">
        <v>141</v>
      </c>
      <c r="H313" s="89" t="s">
        <v>94</v>
      </c>
      <c r="I313" s="89" t="s">
        <v>94</v>
      </c>
      <c r="J313" s="89" t="s">
        <v>95</v>
      </c>
      <c r="K313" s="89">
        <v>1.0</v>
      </c>
      <c r="L313" s="89"/>
      <c r="M313" s="89">
        <v>1.0</v>
      </c>
      <c r="N313" s="89">
        <v>1.0</v>
      </c>
      <c r="O313" s="85"/>
      <c r="P313" s="89"/>
      <c r="Q313" s="137">
        <v>1.0</v>
      </c>
      <c r="R313" s="138"/>
      <c r="S313" s="138"/>
      <c r="T313" s="85"/>
      <c r="U313" s="85"/>
      <c r="V313" s="85"/>
      <c r="W313" s="138"/>
      <c r="X313" s="139"/>
      <c r="Y313" s="139"/>
      <c r="Z313" s="139"/>
      <c r="AA313" s="139"/>
      <c r="AB313" s="139"/>
      <c r="AC313" s="139"/>
      <c r="AD313" s="139"/>
      <c r="AE313" s="139"/>
      <c r="AF313" s="139"/>
      <c r="AG313" s="139"/>
      <c r="AH313" s="139"/>
      <c r="AI313" s="139"/>
      <c r="AJ313" s="139"/>
      <c r="AK313" s="139"/>
      <c r="AL313" s="139"/>
      <c r="AM313" s="139"/>
      <c r="AN313" s="139"/>
      <c r="AO313" s="139"/>
    </row>
    <row r="314">
      <c r="A314" s="85">
        <v>44953.0</v>
      </c>
      <c r="B314" s="86">
        <v>75.96</v>
      </c>
      <c r="C314" s="85">
        <v>44927.0</v>
      </c>
      <c r="D314" s="89" t="s">
        <v>2047</v>
      </c>
      <c r="E314" s="89" t="s">
        <v>2050</v>
      </c>
      <c r="F314" s="89" t="s">
        <v>2052</v>
      </c>
      <c r="G314" s="89" t="s">
        <v>114</v>
      </c>
      <c r="H314" s="89" t="s">
        <v>94</v>
      </c>
      <c r="I314" s="89" t="s">
        <v>94</v>
      </c>
      <c r="J314" s="89" t="s">
        <v>95</v>
      </c>
      <c r="K314" s="89"/>
      <c r="L314" s="89"/>
      <c r="M314" s="89">
        <v>1.0</v>
      </c>
      <c r="N314" s="89"/>
      <c r="O314" s="85"/>
      <c r="P314" s="89"/>
      <c r="Q314" s="137"/>
      <c r="R314" s="138"/>
      <c r="S314" s="138"/>
      <c r="T314" s="85"/>
      <c r="U314" s="85"/>
      <c r="V314" s="85"/>
      <c r="W314" s="138"/>
      <c r="X314" s="139"/>
      <c r="Y314" s="139"/>
      <c r="Z314" s="139"/>
      <c r="AA314" s="139"/>
      <c r="AB314" s="139"/>
      <c r="AC314" s="139"/>
      <c r="AD314" s="139"/>
      <c r="AE314" s="139"/>
      <c r="AF314" s="139"/>
      <c r="AG314" s="139"/>
      <c r="AH314" s="139"/>
      <c r="AI314" s="139"/>
      <c r="AJ314" s="139"/>
      <c r="AK314" s="139"/>
      <c r="AL314" s="139"/>
      <c r="AM314" s="139"/>
      <c r="AN314" s="139"/>
      <c r="AO314" s="139"/>
    </row>
    <row r="315">
      <c r="A315" s="85">
        <v>44953.0</v>
      </c>
      <c r="B315" s="86">
        <v>287.83</v>
      </c>
      <c r="C315" s="85">
        <v>44938.0</v>
      </c>
      <c r="D315" s="89" t="s">
        <v>2056</v>
      </c>
      <c r="E315" s="89" t="s">
        <v>2057</v>
      </c>
      <c r="F315" s="89" t="s">
        <v>2058</v>
      </c>
      <c r="G315" s="89" t="s">
        <v>110</v>
      </c>
      <c r="H315" s="89" t="s">
        <v>94</v>
      </c>
      <c r="I315" s="89" t="s">
        <v>94</v>
      </c>
      <c r="J315" s="89" t="s">
        <v>95</v>
      </c>
      <c r="K315" s="89"/>
      <c r="L315" s="89">
        <v>1.0</v>
      </c>
      <c r="M315" s="89"/>
      <c r="N315" s="89"/>
      <c r="O315" s="85"/>
      <c r="P315" s="89"/>
      <c r="Q315" s="137"/>
      <c r="R315" s="138"/>
      <c r="S315" s="138"/>
      <c r="T315" s="85"/>
      <c r="U315" s="85"/>
      <c r="V315" s="85"/>
      <c r="W315" s="138"/>
      <c r="X315" s="139"/>
      <c r="Y315" s="139"/>
      <c r="Z315" s="139"/>
      <c r="AA315" s="139"/>
      <c r="AB315" s="139"/>
      <c r="AC315" s="139"/>
      <c r="AD315" s="139"/>
      <c r="AE315" s="139"/>
      <c r="AF315" s="139"/>
      <c r="AG315" s="139"/>
      <c r="AH315" s="139"/>
      <c r="AI315" s="139"/>
      <c r="AJ315" s="139"/>
      <c r="AK315" s="139"/>
      <c r="AL315" s="139"/>
      <c r="AM315" s="139"/>
      <c r="AN315" s="139"/>
      <c r="AO315" s="139"/>
    </row>
    <row r="316">
      <c r="A316" s="85">
        <v>44953.0</v>
      </c>
      <c r="B316" s="86">
        <v>43.02</v>
      </c>
      <c r="C316" s="85">
        <v>45047.0</v>
      </c>
      <c r="D316" s="354" t="s">
        <v>2062</v>
      </c>
      <c r="E316" s="89" t="s">
        <v>2063</v>
      </c>
      <c r="F316" s="89" t="s">
        <v>2064</v>
      </c>
      <c r="G316" s="89" t="s">
        <v>114</v>
      </c>
      <c r="H316" s="89" t="s">
        <v>94</v>
      </c>
      <c r="I316" s="89" t="s">
        <v>94</v>
      </c>
      <c r="J316" s="89" t="s">
        <v>95</v>
      </c>
      <c r="K316" s="89"/>
      <c r="L316" s="89"/>
      <c r="M316" s="89"/>
      <c r="N316" s="89"/>
      <c r="O316" s="85"/>
      <c r="P316" s="89">
        <v>1.0</v>
      </c>
      <c r="Q316" s="137">
        <v>1.0</v>
      </c>
      <c r="R316" s="138"/>
      <c r="S316" s="138"/>
      <c r="T316" s="85"/>
      <c r="U316" s="85"/>
      <c r="V316" s="85"/>
      <c r="W316" s="138"/>
      <c r="X316" s="139"/>
      <c r="Y316" s="139"/>
      <c r="Z316" s="139"/>
      <c r="AA316" s="139"/>
      <c r="AB316" s="139"/>
      <c r="AC316" s="139"/>
      <c r="AD316" s="139"/>
      <c r="AE316" s="139"/>
      <c r="AF316" s="139"/>
      <c r="AG316" s="139"/>
      <c r="AH316" s="139"/>
      <c r="AI316" s="139"/>
      <c r="AJ316" s="139"/>
      <c r="AK316" s="139"/>
      <c r="AL316" s="139"/>
      <c r="AM316" s="139"/>
      <c r="AN316" s="139"/>
      <c r="AO316" s="139"/>
    </row>
    <row r="317">
      <c r="A317" s="85">
        <v>44953.0</v>
      </c>
      <c r="B317" s="86">
        <v>299.0</v>
      </c>
      <c r="C317" s="85">
        <v>44949.0</v>
      </c>
      <c r="D317" s="89" t="s">
        <v>2068</v>
      </c>
      <c r="E317" s="89" t="s">
        <v>2069</v>
      </c>
      <c r="F317" s="89" t="s">
        <v>2070</v>
      </c>
      <c r="G317" s="89" t="s">
        <v>114</v>
      </c>
      <c r="H317" s="89" t="s">
        <v>94</v>
      </c>
      <c r="I317" s="89" t="s">
        <v>94</v>
      </c>
      <c r="J317" s="89" t="s">
        <v>95</v>
      </c>
      <c r="K317" s="89"/>
      <c r="L317" s="89">
        <v>1.0</v>
      </c>
      <c r="M317" s="89"/>
      <c r="N317" s="89"/>
      <c r="O317" s="85"/>
      <c r="P317" s="89">
        <v>1.0</v>
      </c>
      <c r="Q317" s="137"/>
      <c r="R317" s="138"/>
      <c r="S317" s="138"/>
      <c r="T317" s="85"/>
      <c r="U317" s="85"/>
      <c r="V317" s="85"/>
      <c r="W317" s="138"/>
      <c r="X317" s="139"/>
      <c r="Y317" s="139"/>
      <c r="Z317" s="139"/>
      <c r="AA317" s="139"/>
      <c r="AB317" s="139"/>
      <c r="AC317" s="139"/>
      <c r="AD317" s="139"/>
      <c r="AE317" s="139"/>
      <c r="AF317" s="139"/>
      <c r="AG317" s="139"/>
      <c r="AH317" s="139"/>
      <c r="AI317" s="139"/>
      <c r="AJ317" s="139"/>
      <c r="AK317" s="139"/>
      <c r="AL317" s="139"/>
      <c r="AM317" s="139"/>
      <c r="AN317" s="139"/>
      <c r="AO317" s="423"/>
    </row>
    <row r="318">
      <c r="A318" s="85">
        <v>44953.0</v>
      </c>
      <c r="B318" s="86">
        <v>366.58</v>
      </c>
      <c r="C318" s="85">
        <v>44913.0</v>
      </c>
      <c r="D318" s="89" t="s">
        <v>2074</v>
      </c>
      <c r="E318" s="89" t="s">
        <v>2075</v>
      </c>
      <c r="F318" s="89" t="s">
        <v>2076</v>
      </c>
      <c r="G318" s="89" t="s">
        <v>110</v>
      </c>
      <c r="H318" s="89" t="s">
        <v>94</v>
      </c>
      <c r="I318" s="89" t="s">
        <v>94</v>
      </c>
      <c r="J318" s="89" t="s">
        <v>95</v>
      </c>
      <c r="K318" s="89">
        <v>1.0</v>
      </c>
      <c r="L318" s="89"/>
      <c r="M318" s="89">
        <v>1.0</v>
      </c>
      <c r="N318" s="89">
        <v>1.0</v>
      </c>
      <c r="O318" s="85"/>
      <c r="P318" s="89">
        <v>1.0</v>
      </c>
      <c r="Q318" s="137">
        <v>1.0</v>
      </c>
      <c r="R318" s="138"/>
      <c r="S318" s="138"/>
      <c r="T318" s="85"/>
      <c r="U318" s="85"/>
      <c r="V318" s="85"/>
      <c r="W318" s="138"/>
      <c r="X318" s="139"/>
      <c r="Y318" s="139"/>
      <c r="Z318" s="139"/>
      <c r="AA318" s="139"/>
      <c r="AB318" s="139"/>
      <c r="AC318" s="139"/>
      <c r="AD318" s="139"/>
      <c r="AE318" s="139"/>
      <c r="AF318" s="139"/>
      <c r="AG318" s="139"/>
      <c r="AH318" s="139"/>
      <c r="AI318" s="139"/>
      <c r="AJ318" s="139"/>
      <c r="AK318" s="139"/>
      <c r="AL318" s="139"/>
      <c r="AM318" s="139"/>
      <c r="AN318" s="139"/>
      <c r="AO318" s="139"/>
    </row>
    <row r="319">
      <c r="A319" s="85">
        <v>44953.0</v>
      </c>
      <c r="B319" s="86">
        <v>268.57</v>
      </c>
      <c r="C319" s="85">
        <v>44927.0</v>
      </c>
      <c r="D319" s="89" t="s">
        <v>2080</v>
      </c>
      <c r="E319" s="89" t="s">
        <v>2081</v>
      </c>
      <c r="F319" s="89" t="s">
        <v>2082</v>
      </c>
      <c r="G319" s="89" t="s">
        <v>110</v>
      </c>
      <c r="H319" s="89" t="s">
        <v>94</v>
      </c>
      <c r="I319" s="89" t="s">
        <v>94</v>
      </c>
      <c r="J319" s="89" t="s">
        <v>95</v>
      </c>
      <c r="K319" s="89">
        <v>1.0</v>
      </c>
      <c r="L319" s="89"/>
      <c r="M319" s="89"/>
      <c r="N319" s="89"/>
      <c r="O319" s="85"/>
      <c r="P319" s="89">
        <v>1.0</v>
      </c>
      <c r="Q319" s="137">
        <v>1.0</v>
      </c>
      <c r="R319" s="138"/>
      <c r="S319" s="138"/>
      <c r="T319" s="85"/>
      <c r="U319" s="85"/>
      <c r="V319" s="85"/>
      <c r="W319" s="138"/>
      <c r="X319" s="139"/>
      <c r="Y319" s="139"/>
      <c r="Z319" s="139"/>
      <c r="AA319" s="139"/>
      <c r="AB319" s="139"/>
      <c r="AC319" s="139"/>
      <c r="AD319" s="139"/>
      <c r="AE319" s="139"/>
      <c r="AF319" s="139"/>
      <c r="AG319" s="139"/>
      <c r="AH319" s="139"/>
      <c r="AI319" s="139"/>
      <c r="AJ319" s="139"/>
      <c r="AK319" s="139"/>
      <c r="AL319" s="139"/>
      <c r="AM319" s="139"/>
      <c r="AN319" s="139"/>
      <c r="AO319" s="139"/>
    </row>
    <row r="320">
      <c r="A320" s="85">
        <v>44953.0</v>
      </c>
      <c r="B320" s="351">
        <v>36.04</v>
      </c>
      <c r="C320" s="85">
        <v>44942.0</v>
      </c>
      <c r="D320" s="89" t="s">
        <v>2086</v>
      </c>
      <c r="E320" s="89" t="s">
        <v>2087</v>
      </c>
      <c r="F320" s="89" t="s">
        <v>2088</v>
      </c>
      <c r="G320" s="89" t="s">
        <v>110</v>
      </c>
      <c r="H320" s="89" t="s">
        <v>94</v>
      </c>
      <c r="I320" s="89" t="s">
        <v>94</v>
      </c>
      <c r="J320" s="89" t="s">
        <v>95</v>
      </c>
      <c r="K320" s="89"/>
      <c r="L320" s="89"/>
      <c r="M320" s="89"/>
      <c r="N320" s="89">
        <v>1.0</v>
      </c>
      <c r="O320" s="85"/>
      <c r="P320" s="89"/>
      <c r="Q320" s="137"/>
      <c r="R320" s="138"/>
      <c r="S320" s="138"/>
      <c r="T320" s="85"/>
      <c r="U320" s="85"/>
      <c r="V320" s="85"/>
      <c r="W320" s="138"/>
      <c r="X320" s="139"/>
      <c r="Y320" s="139"/>
      <c r="Z320" s="139"/>
      <c r="AA320" s="139"/>
      <c r="AB320" s="139"/>
      <c r="AC320" s="139"/>
      <c r="AD320" s="139"/>
      <c r="AE320" s="139"/>
      <c r="AF320" s="139"/>
      <c r="AG320" s="139"/>
      <c r="AH320" s="139"/>
      <c r="AI320" s="139"/>
      <c r="AJ320" s="139"/>
      <c r="AK320" s="139"/>
      <c r="AL320" s="139"/>
      <c r="AM320" s="139"/>
      <c r="AN320" s="139"/>
      <c r="AO320" s="139"/>
    </row>
    <row r="321">
      <c r="A321" s="85">
        <v>44953.0</v>
      </c>
      <c r="B321" s="86">
        <v>349.89</v>
      </c>
      <c r="C321" s="85">
        <v>44942.0</v>
      </c>
      <c r="D321" s="89" t="s">
        <v>2092</v>
      </c>
      <c r="E321" s="89" t="s">
        <v>2093</v>
      </c>
      <c r="F321" s="89" t="s">
        <v>2095</v>
      </c>
      <c r="G321" s="89" t="s">
        <v>110</v>
      </c>
      <c r="H321" s="89" t="s">
        <v>94</v>
      </c>
      <c r="I321" s="89" t="s">
        <v>94</v>
      </c>
      <c r="J321" s="89" t="s">
        <v>95</v>
      </c>
      <c r="K321" s="89"/>
      <c r="L321" s="89">
        <v>1.0</v>
      </c>
      <c r="M321" s="89"/>
      <c r="N321" s="89"/>
      <c r="O321" s="85"/>
      <c r="P321" s="89">
        <v>1.0</v>
      </c>
      <c r="Q321" s="137">
        <v>1.0</v>
      </c>
      <c r="R321" s="138"/>
      <c r="S321" s="138"/>
      <c r="T321" s="85"/>
      <c r="U321" s="85"/>
      <c r="V321" s="85"/>
      <c r="W321" s="138"/>
      <c r="X321" s="139"/>
      <c r="Y321" s="139"/>
      <c r="Z321" s="139"/>
      <c r="AA321" s="139"/>
      <c r="AB321" s="139"/>
      <c r="AC321" s="139"/>
      <c r="AD321" s="139"/>
      <c r="AE321" s="139"/>
      <c r="AF321" s="139"/>
      <c r="AG321" s="139"/>
      <c r="AH321" s="139"/>
      <c r="AI321" s="139"/>
      <c r="AJ321" s="139"/>
      <c r="AK321" s="139"/>
      <c r="AL321" s="139"/>
      <c r="AM321" s="139"/>
      <c r="AN321" s="139"/>
      <c r="AO321" s="139"/>
    </row>
    <row r="322">
      <c r="A322" s="85">
        <v>44953.0</v>
      </c>
      <c r="B322" s="86">
        <v>18.9</v>
      </c>
      <c r="C322" s="85">
        <v>44686.0</v>
      </c>
      <c r="D322" s="89" t="s">
        <v>2098</v>
      </c>
      <c r="E322" s="89" t="s">
        <v>2099</v>
      </c>
      <c r="F322" s="89" t="s">
        <v>2101</v>
      </c>
      <c r="G322" s="89" t="s">
        <v>114</v>
      </c>
      <c r="H322" s="89" t="s">
        <v>94</v>
      </c>
      <c r="I322" s="89" t="s">
        <v>94</v>
      </c>
      <c r="J322" s="89" t="s">
        <v>95</v>
      </c>
      <c r="K322" s="89"/>
      <c r="L322" s="89"/>
      <c r="M322" s="89"/>
      <c r="N322" s="89"/>
      <c r="O322" s="89">
        <v>1.0</v>
      </c>
      <c r="P322" s="89"/>
      <c r="Q322" s="137"/>
      <c r="R322" s="138"/>
      <c r="S322" s="138"/>
      <c r="T322" s="85"/>
      <c r="U322" s="85"/>
      <c r="V322" s="85"/>
      <c r="W322" s="138"/>
      <c r="X322" s="139"/>
      <c r="Y322" s="139"/>
      <c r="Z322" s="139"/>
      <c r="AA322" s="139"/>
      <c r="AB322" s="139"/>
      <c r="AC322" s="139"/>
      <c r="AD322" s="139"/>
      <c r="AE322" s="139"/>
      <c r="AF322" s="139"/>
      <c r="AG322" s="139"/>
      <c r="AH322" s="139"/>
      <c r="AI322" s="139"/>
      <c r="AJ322" s="139"/>
      <c r="AK322" s="139"/>
      <c r="AL322" s="139"/>
      <c r="AM322" s="139"/>
      <c r="AN322" s="139"/>
      <c r="AO322" s="139"/>
    </row>
    <row r="323">
      <c r="A323" s="85">
        <v>44953.0</v>
      </c>
      <c r="B323" s="86">
        <v>26.28</v>
      </c>
      <c r="C323" s="85">
        <v>44790.0</v>
      </c>
      <c r="D323" s="89" t="s">
        <v>2103</v>
      </c>
      <c r="E323" s="89" t="s">
        <v>2104</v>
      </c>
      <c r="F323" s="89" t="s">
        <v>2105</v>
      </c>
      <c r="G323" s="89" t="s">
        <v>110</v>
      </c>
      <c r="H323" s="89" t="s">
        <v>94</v>
      </c>
      <c r="I323" s="89" t="s">
        <v>94</v>
      </c>
      <c r="J323" s="89" t="s">
        <v>95</v>
      </c>
      <c r="K323" s="89"/>
      <c r="L323" s="89"/>
      <c r="M323" s="89"/>
      <c r="N323" s="89"/>
      <c r="O323" s="85"/>
      <c r="P323" s="89"/>
      <c r="Q323" s="137">
        <v>1.0</v>
      </c>
      <c r="R323" s="138"/>
      <c r="S323" s="138"/>
      <c r="T323" s="85"/>
      <c r="U323" s="85"/>
      <c r="V323" s="85"/>
      <c r="W323" s="138"/>
      <c r="X323" s="139"/>
      <c r="Y323" s="139"/>
      <c r="Z323" s="139"/>
      <c r="AA323" s="139"/>
      <c r="AB323" s="139"/>
      <c r="AC323" s="139"/>
      <c r="AD323" s="139"/>
      <c r="AE323" s="139"/>
      <c r="AF323" s="139"/>
      <c r="AG323" s="139"/>
      <c r="AH323" s="139"/>
      <c r="AI323" s="139"/>
      <c r="AJ323" s="139"/>
      <c r="AK323" s="139"/>
      <c r="AL323" s="139"/>
      <c r="AM323" s="139"/>
      <c r="AN323" s="139"/>
      <c r="AO323" s="139"/>
    </row>
    <row r="324">
      <c r="A324" s="85">
        <v>44954.0</v>
      </c>
      <c r="B324" s="86">
        <v>24.0</v>
      </c>
      <c r="C324" s="85">
        <v>44886.0</v>
      </c>
      <c r="D324" s="89" t="s">
        <v>2112</v>
      </c>
      <c r="E324" s="89" t="s">
        <v>2113</v>
      </c>
      <c r="F324" s="89" t="s">
        <v>2114</v>
      </c>
      <c r="G324" s="89" t="s">
        <v>110</v>
      </c>
      <c r="H324" s="89" t="s">
        <v>94</v>
      </c>
      <c r="I324" s="89" t="s">
        <v>94</v>
      </c>
      <c r="J324" s="89" t="s">
        <v>95</v>
      </c>
      <c r="K324" s="89"/>
      <c r="L324" s="89"/>
      <c r="M324" s="89"/>
      <c r="N324" s="89">
        <v>1.0</v>
      </c>
      <c r="O324" s="85"/>
      <c r="P324" s="89">
        <v>1.0</v>
      </c>
      <c r="Q324" s="137"/>
      <c r="R324" s="138"/>
      <c r="S324" s="138"/>
      <c r="T324" s="85"/>
      <c r="U324" s="85"/>
      <c r="V324" s="85"/>
      <c r="W324" s="138"/>
      <c r="X324" s="139"/>
      <c r="Y324" s="139"/>
      <c r="Z324" s="139"/>
      <c r="AA324" s="139"/>
      <c r="AB324" s="139"/>
      <c r="AC324" s="139"/>
      <c r="AD324" s="139"/>
      <c r="AE324" s="139"/>
      <c r="AF324" s="139"/>
      <c r="AG324" s="139"/>
      <c r="AH324" s="139"/>
      <c r="AI324" s="139"/>
      <c r="AJ324" s="139"/>
      <c r="AK324" s="139"/>
      <c r="AL324" s="139"/>
      <c r="AM324" s="139"/>
      <c r="AN324" s="139"/>
      <c r="AO324" s="139"/>
    </row>
    <row r="325">
      <c r="A325" s="85">
        <v>44954.0</v>
      </c>
      <c r="B325" s="86">
        <v>48.0</v>
      </c>
      <c r="C325" s="85">
        <v>44367.0</v>
      </c>
      <c r="D325" s="89" t="s">
        <v>2119</v>
      </c>
      <c r="E325" s="89" t="s">
        <v>2120</v>
      </c>
      <c r="F325" s="89" t="s">
        <v>2121</v>
      </c>
      <c r="G325" s="89" t="s">
        <v>110</v>
      </c>
      <c r="H325" s="89" t="s">
        <v>94</v>
      </c>
      <c r="I325" s="89" t="s">
        <v>94</v>
      </c>
      <c r="J325" s="89" t="s">
        <v>136</v>
      </c>
      <c r="K325" s="89"/>
      <c r="L325" s="89"/>
      <c r="M325" s="89"/>
      <c r="N325" s="89">
        <v>1.0</v>
      </c>
      <c r="O325" s="89">
        <v>1.0</v>
      </c>
      <c r="P325" s="89">
        <v>1.0</v>
      </c>
      <c r="Q325" s="137"/>
      <c r="R325" s="138"/>
      <c r="S325" s="138"/>
      <c r="T325" s="85"/>
      <c r="U325" s="85"/>
      <c r="V325" s="85"/>
      <c r="W325" s="138"/>
      <c r="X325" s="139"/>
      <c r="Y325" s="139"/>
      <c r="Z325" s="139"/>
      <c r="AA325" s="139"/>
      <c r="AB325" s="139"/>
      <c r="AC325" s="139"/>
      <c r="AD325" s="139"/>
      <c r="AE325" s="139"/>
      <c r="AF325" s="139"/>
      <c r="AG325" s="139"/>
      <c r="AH325" s="139"/>
      <c r="AI325" s="139"/>
      <c r="AJ325" s="139"/>
      <c r="AK325" s="139"/>
      <c r="AL325" s="139"/>
      <c r="AM325" s="139"/>
      <c r="AN325" s="139"/>
      <c r="AO325" s="139"/>
    </row>
    <row r="326">
      <c r="A326" s="85">
        <v>44954.0</v>
      </c>
      <c r="B326" s="476">
        <v>321.43</v>
      </c>
      <c r="C326" s="85">
        <v>44917.0</v>
      </c>
      <c r="D326" s="89" t="s">
        <v>2125</v>
      </c>
      <c r="E326" s="89" t="s">
        <v>2126</v>
      </c>
      <c r="F326" s="89" t="s">
        <v>2127</v>
      </c>
      <c r="G326" s="89" t="s">
        <v>141</v>
      </c>
      <c r="H326" s="89" t="s">
        <v>94</v>
      </c>
      <c r="I326" s="89" t="s">
        <v>94</v>
      </c>
      <c r="J326" s="89" t="s">
        <v>95</v>
      </c>
      <c r="K326" s="89">
        <v>1.0</v>
      </c>
      <c r="L326" s="89"/>
      <c r="M326" s="89">
        <v>1.0</v>
      </c>
      <c r="N326" s="89"/>
      <c r="O326" s="85"/>
      <c r="P326" s="89">
        <v>1.0</v>
      </c>
      <c r="Q326" s="137"/>
      <c r="R326" s="138"/>
      <c r="S326" s="138"/>
      <c r="T326" s="85"/>
      <c r="U326" s="85"/>
      <c r="V326" s="85"/>
      <c r="W326" s="138"/>
      <c r="X326" s="139"/>
      <c r="Y326" s="139"/>
      <c r="Z326" s="139"/>
      <c r="AA326" s="139"/>
      <c r="AB326" s="139"/>
      <c r="AC326" s="139"/>
      <c r="AD326" s="139"/>
      <c r="AE326" s="139"/>
      <c r="AF326" s="139"/>
      <c r="AG326" s="139"/>
      <c r="AH326" s="139"/>
      <c r="AI326" s="139"/>
      <c r="AJ326" s="139"/>
      <c r="AK326" s="139"/>
      <c r="AL326" s="139"/>
      <c r="AM326" s="139"/>
      <c r="AN326" s="139"/>
      <c r="AO326" s="139"/>
    </row>
    <row r="327">
      <c r="A327" s="85">
        <v>44954.0</v>
      </c>
      <c r="B327" s="86">
        <v>270.7</v>
      </c>
      <c r="C327" s="85">
        <v>44900.0</v>
      </c>
      <c r="D327" s="89" t="s">
        <v>2134</v>
      </c>
      <c r="E327" s="89" t="s">
        <v>2135</v>
      </c>
      <c r="F327" s="89" t="s">
        <v>2136</v>
      </c>
      <c r="G327" s="89" t="s">
        <v>110</v>
      </c>
      <c r="H327" s="89" t="s">
        <v>94</v>
      </c>
      <c r="I327" s="89" t="s">
        <v>94</v>
      </c>
      <c r="J327" s="89" t="s">
        <v>95</v>
      </c>
      <c r="K327" s="89">
        <v>1.0</v>
      </c>
      <c r="L327" s="89"/>
      <c r="M327" s="89"/>
      <c r="N327" s="89">
        <v>1.0</v>
      </c>
      <c r="O327" s="85"/>
      <c r="P327" s="89"/>
      <c r="Q327" s="137"/>
      <c r="R327" s="138"/>
      <c r="S327" s="138"/>
      <c r="T327" s="85"/>
      <c r="U327" s="85"/>
      <c r="V327" s="85"/>
      <c r="W327" s="138"/>
      <c r="X327" s="139"/>
      <c r="Y327" s="139"/>
      <c r="Z327" s="139"/>
      <c r="AA327" s="139"/>
      <c r="AB327" s="139"/>
      <c r="AC327" s="139"/>
      <c r="AD327" s="139"/>
      <c r="AE327" s="139"/>
      <c r="AF327" s="139"/>
      <c r="AG327" s="139"/>
      <c r="AH327" s="139"/>
      <c r="AI327" s="139"/>
      <c r="AJ327" s="139"/>
      <c r="AK327" s="139"/>
      <c r="AL327" s="139"/>
      <c r="AM327" s="139"/>
      <c r="AN327" s="139"/>
      <c r="AO327" s="139"/>
    </row>
    <row r="328">
      <c r="A328" s="85">
        <v>44954.0</v>
      </c>
      <c r="B328" s="86" t="s">
        <v>2140</v>
      </c>
      <c r="C328" s="85">
        <v>44157.0</v>
      </c>
      <c r="D328" s="477" t="s">
        <v>2141</v>
      </c>
      <c r="E328" s="89" t="s">
        <v>2142</v>
      </c>
      <c r="F328" s="89" t="s">
        <v>2143</v>
      </c>
      <c r="G328" s="89" t="s">
        <v>141</v>
      </c>
      <c r="H328" s="89" t="s">
        <v>94</v>
      </c>
      <c r="I328" s="89" t="s">
        <v>2144</v>
      </c>
      <c r="J328" s="89" t="s">
        <v>191</v>
      </c>
      <c r="K328" s="89"/>
      <c r="L328" s="89"/>
      <c r="M328" s="89"/>
      <c r="N328" s="89"/>
      <c r="O328" s="89">
        <v>1.0</v>
      </c>
      <c r="P328" s="89">
        <v>1.0</v>
      </c>
      <c r="Q328" s="137"/>
      <c r="R328" s="138"/>
      <c r="S328" s="138"/>
      <c r="T328" s="85"/>
      <c r="U328" s="85"/>
      <c r="V328" s="85"/>
      <c r="W328" s="138"/>
      <c r="X328" s="139"/>
      <c r="Y328" s="139"/>
      <c r="Z328" s="139"/>
      <c r="AA328" s="139"/>
      <c r="AB328" s="139"/>
      <c r="AC328" s="139"/>
      <c r="AD328" s="139"/>
      <c r="AE328" s="139"/>
      <c r="AF328" s="139"/>
      <c r="AG328" s="139"/>
      <c r="AH328" s="139"/>
      <c r="AI328" s="139"/>
      <c r="AJ328" s="139"/>
      <c r="AK328" s="139"/>
      <c r="AL328" s="139"/>
      <c r="AM328" s="139"/>
      <c r="AN328" s="139"/>
      <c r="AO328" s="139"/>
    </row>
    <row r="329">
      <c r="A329" s="85">
        <v>44954.0</v>
      </c>
      <c r="B329" s="86">
        <v>17.8</v>
      </c>
      <c r="C329" s="85">
        <v>44156.0</v>
      </c>
      <c r="D329" s="89" t="s">
        <v>2148</v>
      </c>
      <c r="E329" s="89" t="s">
        <v>2149</v>
      </c>
      <c r="F329" s="89" t="s">
        <v>2150</v>
      </c>
      <c r="G329" s="89" t="s">
        <v>114</v>
      </c>
      <c r="H329" s="89" t="s">
        <v>94</v>
      </c>
      <c r="I329" s="89" t="s">
        <v>2144</v>
      </c>
      <c r="J329" s="89" t="s">
        <v>191</v>
      </c>
      <c r="K329" s="89"/>
      <c r="L329" s="89"/>
      <c r="M329" s="89"/>
      <c r="N329" s="89"/>
      <c r="O329" s="89">
        <v>1.0</v>
      </c>
      <c r="P329" s="89"/>
      <c r="Q329" s="137"/>
      <c r="R329" s="138"/>
      <c r="S329" s="138"/>
      <c r="T329" s="85"/>
      <c r="U329" s="85"/>
      <c r="V329" s="85"/>
      <c r="W329" s="138"/>
      <c r="X329" s="139"/>
      <c r="Y329" s="139"/>
      <c r="Z329" s="139"/>
      <c r="AA329" s="139"/>
      <c r="AB329" s="139"/>
      <c r="AC329" s="139"/>
      <c r="AD329" s="139"/>
      <c r="AE329" s="139"/>
      <c r="AF329" s="139"/>
      <c r="AG329" s="139"/>
      <c r="AH329" s="139"/>
      <c r="AI329" s="139"/>
      <c r="AJ329" s="139"/>
      <c r="AK329" s="139"/>
      <c r="AL329" s="139"/>
      <c r="AM329" s="139"/>
      <c r="AN329" s="139"/>
      <c r="AO329" s="139"/>
    </row>
    <row r="330">
      <c r="A330" s="85">
        <v>44954.0</v>
      </c>
      <c r="B330" s="86">
        <v>192.6</v>
      </c>
      <c r="C330" s="85">
        <v>44911.0</v>
      </c>
      <c r="D330" s="89" t="s">
        <v>2154</v>
      </c>
      <c r="E330" s="89" t="s">
        <v>2155</v>
      </c>
      <c r="F330" s="89" t="s">
        <v>2156</v>
      </c>
      <c r="G330" s="89" t="s">
        <v>110</v>
      </c>
      <c r="H330" s="89" t="s">
        <v>94</v>
      </c>
      <c r="I330" s="89" t="s">
        <v>94</v>
      </c>
      <c r="J330" s="89" t="s">
        <v>95</v>
      </c>
      <c r="K330" s="89">
        <v>1.0</v>
      </c>
      <c r="L330" s="89"/>
      <c r="M330" s="89"/>
      <c r="N330" s="89"/>
      <c r="O330" s="85"/>
      <c r="P330" s="89">
        <v>1.0</v>
      </c>
      <c r="Q330" s="137"/>
      <c r="R330" s="138"/>
      <c r="S330" s="138"/>
      <c r="T330" s="85"/>
      <c r="U330" s="85"/>
      <c r="V330" s="85"/>
      <c r="W330" s="138"/>
      <c r="X330" s="139"/>
      <c r="Y330" s="139"/>
      <c r="Z330" s="139"/>
      <c r="AA330" s="139"/>
      <c r="AB330" s="139"/>
      <c r="AC330" s="139"/>
      <c r="AD330" s="139"/>
      <c r="AE330" s="139"/>
      <c r="AF330" s="139"/>
      <c r="AG330" s="139"/>
      <c r="AH330" s="139"/>
      <c r="AI330" s="139"/>
      <c r="AJ330" s="139"/>
      <c r="AK330" s="139"/>
      <c r="AL330" s="139"/>
      <c r="AM330" s="139"/>
      <c r="AN330" s="139"/>
      <c r="AO330" s="139"/>
    </row>
    <row r="331">
      <c r="A331" s="85">
        <v>44954.0</v>
      </c>
      <c r="B331" s="86">
        <v>323.68</v>
      </c>
      <c r="C331" s="85">
        <v>44934.0</v>
      </c>
      <c r="D331" s="89" t="s">
        <v>2163</v>
      </c>
      <c r="E331" s="89" t="s">
        <v>2164</v>
      </c>
      <c r="F331" s="89" t="s">
        <v>2165</v>
      </c>
      <c r="G331" s="89" t="s">
        <v>114</v>
      </c>
      <c r="H331" s="89" t="s">
        <v>94</v>
      </c>
      <c r="I331" s="89" t="s">
        <v>94</v>
      </c>
      <c r="J331" s="89" t="s">
        <v>95</v>
      </c>
      <c r="K331" s="89"/>
      <c r="L331" s="89">
        <v>1.0</v>
      </c>
      <c r="M331" s="89"/>
      <c r="N331" s="89"/>
      <c r="O331" s="85"/>
      <c r="P331" s="89"/>
      <c r="Q331" s="137"/>
      <c r="R331" s="138"/>
      <c r="S331" s="138"/>
      <c r="T331" s="85"/>
      <c r="U331" s="85"/>
      <c r="V331" s="85"/>
      <c r="W331" s="138"/>
      <c r="X331" s="139"/>
      <c r="Y331" s="139"/>
      <c r="Z331" s="139"/>
      <c r="AA331" s="139"/>
      <c r="AB331" s="139"/>
      <c r="AC331" s="139"/>
      <c r="AD331" s="139"/>
      <c r="AE331" s="139"/>
      <c r="AF331" s="139"/>
      <c r="AG331" s="139"/>
      <c r="AH331" s="139"/>
      <c r="AI331" s="139"/>
      <c r="AJ331" s="139"/>
      <c r="AK331" s="139"/>
      <c r="AL331" s="139"/>
      <c r="AM331" s="139"/>
      <c r="AN331" s="139"/>
      <c r="AO331" s="139"/>
    </row>
    <row r="332">
      <c r="A332" s="85">
        <v>44954.0</v>
      </c>
      <c r="B332" s="86">
        <v>74.2</v>
      </c>
      <c r="C332" s="85">
        <v>44928.0</v>
      </c>
      <c r="D332" s="89" t="s">
        <v>2170</v>
      </c>
      <c r="E332" s="89" t="s">
        <v>2171</v>
      </c>
      <c r="F332" s="89" t="s">
        <v>2172</v>
      </c>
      <c r="G332" s="89" t="s">
        <v>141</v>
      </c>
      <c r="H332" s="89" t="s">
        <v>94</v>
      </c>
      <c r="I332" s="89" t="s">
        <v>94</v>
      </c>
      <c r="J332" s="89" t="s">
        <v>95</v>
      </c>
      <c r="K332" s="89"/>
      <c r="L332" s="89"/>
      <c r="M332" s="89"/>
      <c r="N332" s="89"/>
      <c r="O332" s="85"/>
      <c r="P332" s="89"/>
      <c r="Q332" s="137"/>
      <c r="R332" s="138"/>
      <c r="S332" s="138"/>
      <c r="T332" s="85"/>
      <c r="U332" s="85"/>
      <c r="V332" s="85"/>
      <c r="W332" s="138"/>
      <c r="X332" s="139"/>
      <c r="Y332" s="139"/>
      <c r="Z332" s="139"/>
      <c r="AA332" s="139"/>
      <c r="AB332" s="139"/>
      <c r="AC332" s="139"/>
      <c r="AD332" s="139"/>
      <c r="AE332" s="139"/>
      <c r="AF332" s="139"/>
      <c r="AG332" s="139"/>
      <c r="AH332" s="139"/>
      <c r="AI332" s="139"/>
      <c r="AJ332" s="139"/>
      <c r="AK332" s="139"/>
      <c r="AL332" s="139"/>
      <c r="AM332" s="139"/>
      <c r="AN332" s="139"/>
      <c r="AO332" s="139"/>
    </row>
    <row r="333">
      <c r="A333" s="85">
        <v>44954.0</v>
      </c>
      <c r="B333" s="86">
        <v>350.0</v>
      </c>
      <c r="C333" s="85"/>
      <c r="D333" s="354" t="s">
        <v>2176</v>
      </c>
      <c r="E333" s="89" t="s">
        <v>2177</v>
      </c>
      <c r="F333" s="89" t="s">
        <v>2178</v>
      </c>
      <c r="G333" s="89" t="s">
        <v>110</v>
      </c>
      <c r="H333" s="89" t="s">
        <v>94</v>
      </c>
      <c r="I333" s="89" t="s">
        <v>94</v>
      </c>
      <c r="J333" s="89" t="s">
        <v>95</v>
      </c>
      <c r="K333" s="89"/>
      <c r="L333" s="89">
        <v>1.0</v>
      </c>
      <c r="M333" s="89"/>
      <c r="N333" s="89">
        <v>1.0</v>
      </c>
      <c r="O333" s="85"/>
      <c r="P333" s="89">
        <v>1.0</v>
      </c>
      <c r="Q333" s="137">
        <v>1.0</v>
      </c>
      <c r="R333" s="138"/>
      <c r="S333" s="138"/>
      <c r="T333" s="85"/>
      <c r="U333" s="85"/>
      <c r="V333" s="85"/>
      <c r="W333" s="138"/>
      <c r="X333" s="139"/>
      <c r="Y333" s="139"/>
      <c r="Z333" s="139"/>
      <c r="AA333" s="139"/>
      <c r="AB333" s="139"/>
      <c r="AC333" s="139"/>
      <c r="AD333" s="139"/>
      <c r="AE333" s="139"/>
      <c r="AF333" s="139"/>
      <c r="AG333" s="139"/>
      <c r="AH333" s="139"/>
      <c r="AI333" s="139"/>
      <c r="AJ333" s="139"/>
      <c r="AK333" s="139"/>
      <c r="AL333" s="139"/>
      <c r="AM333" s="139"/>
      <c r="AN333" s="139"/>
      <c r="AO333" s="139"/>
    </row>
    <row r="334">
      <c r="A334" s="85">
        <v>44954.0</v>
      </c>
      <c r="B334" s="86">
        <v>364.7</v>
      </c>
      <c r="C334" s="85">
        <v>44946.0</v>
      </c>
      <c r="D334" s="89" t="s">
        <v>2182</v>
      </c>
      <c r="E334" s="89" t="s">
        <v>2183</v>
      </c>
      <c r="F334" s="89" t="s">
        <v>2184</v>
      </c>
      <c r="G334" s="89" t="s">
        <v>141</v>
      </c>
      <c r="H334" s="89" t="s">
        <v>94</v>
      </c>
      <c r="I334" s="89" t="s">
        <v>94</v>
      </c>
      <c r="J334" s="89" t="s">
        <v>95</v>
      </c>
      <c r="K334" s="89">
        <v>1.0</v>
      </c>
      <c r="L334" s="89"/>
      <c r="M334" s="89">
        <v>1.0</v>
      </c>
      <c r="N334" s="89">
        <v>1.0</v>
      </c>
      <c r="O334" s="85"/>
      <c r="P334" s="89">
        <v>1.0</v>
      </c>
      <c r="Q334" s="137">
        <v>1.0</v>
      </c>
      <c r="R334" s="138"/>
      <c r="S334" s="138"/>
      <c r="T334" s="85"/>
      <c r="U334" s="85"/>
      <c r="V334" s="85"/>
      <c r="W334" s="138"/>
      <c r="X334" s="139"/>
      <c r="Y334" s="139"/>
      <c r="Z334" s="139"/>
      <c r="AA334" s="139"/>
      <c r="AB334" s="139"/>
      <c r="AC334" s="139"/>
      <c r="AD334" s="139"/>
      <c r="AE334" s="139"/>
      <c r="AF334" s="139"/>
      <c r="AG334" s="139"/>
      <c r="AH334" s="139"/>
      <c r="AI334" s="139"/>
      <c r="AJ334" s="139"/>
      <c r="AK334" s="139"/>
      <c r="AL334" s="139"/>
      <c r="AM334" s="139"/>
      <c r="AN334" s="139"/>
      <c r="AO334" s="139"/>
    </row>
    <row r="335">
      <c r="A335" s="85">
        <v>44954.0</v>
      </c>
      <c r="B335" s="86">
        <v>354.49</v>
      </c>
      <c r="C335" s="85">
        <v>44930.0</v>
      </c>
      <c r="D335" s="89" t="s">
        <v>2189</v>
      </c>
      <c r="E335" s="89" t="s">
        <v>2190</v>
      </c>
      <c r="F335" s="89" t="s">
        <v>2191</v>
      </c>
      <c r="G335" s="89" t="s">
        <v>110</v>
      </c>
      <c r="H335" s="89" t="s">
        <v>94</v>
      </c>
      <c r="I335" s="89" t="s">
        <v>94</v>
      </c>
      <c r="J335" s="89" t="s">
        <v>95</v>
      </c>
      <c r="K335" s="89">
        <v>1.0</v>
      </c>
      <c r="L335" s="89"/>
      <c r="M335" s="89">
        <v>1.0</v>
      </c>
      <c r="N335" s="89">
        <v>1.0</v>
      </c>
      <c r="O335" s="85"/>
      <c r="P335" s="89">
        <v>1.0</v>
      </c>
      <c r="Q335" s="137"/>
      <c r="R335" s="138"/>
      <c r="S335" s="138"/>
      <c r="T335" s="85"/>
      <c r="U335" s="85"/>
      <c r="V335" s="85"/>
      <c r="W335" s="138"/>
      <c r="X335" s="139"/>
      <c r="Y335" s="139"/>
      <c r="Z335" s="139"/>
      <c r="AA335" s="139"/>
      <c r="AB335" s="139"/>
      <c r="AC335" s="139"/>
      <c r="AD335" s="139"/>
      <c r="AE335" s="139"/>
      <c r="AF335" s="139"/>
      <c r="AG335" s="139"/>
      <c r="AH335" s="139"/>
      <c r="AI335" s="139"/>
      <c r="AJ335" s="139"/>
      <c r="AK335" s="139"/>
      <c r="AL335" s="139"/>
      <c r="AM335" s="139"/>
      <c r="AN335" s="139"/>
      <c r="AO335" s="139"/>
    </row>
    <row r="336">
      <c r="A336" s="85">
        <v>44954.0</v>
      </c>
      <c r="B336" s="148">
        <v>34.0</v>
      </c>
      <c r="C336" s="85">
        <v>44932.0</v>
      </c>
      <c r="D336" s="89" t="s">
        <v>2197</v>
      </c>
      <c r="E336" s="89" t="s">
        <v>2198</v>
      </c>
      <c r="F336" s="89" t="s">
        <v>2201</v>
      </c>
      <c r="G336" s="89" t="s">
        <v>110</v>
      </c>
      <c r="H336" s="89" t="s">
        <v>94</v>
      </c>
      <c r="I336" s="89" t="s">
        <v>94</v>
      </c>
      <c r="J336" s="89" t="s">
        <v>95</v>
      </c>
      <c r="K336" s="89"/>
      <c r="L336" s="89"/>
      <c r="M336" s="89"/>
      <c r="N336" s="89">
        <v>1.0</v>
      </c>
      <c r="O336" s="85"/>
      <c r="P336" s="89"/>
      <c r="Q336" s="137"/>
      <c r="R336" s="138"/>
      <c r="S336" s="138"/>
      <c r="T336" s="85"/>
      <c r="U336" s="85"/>
      <c r="V336" s="85"/>
      <c r="W336" s="138"/>
      <c r="X336" s="139"/>
      <c r="Y336" s="139"/>
      <c r="Z336" s="139"/>
      <c r="AA336" s="139"/>
      <c r="AB336" s="139"/>
      <c r="AC336" s="139"/>
      <c r="AD336" s="139"/>
      <c r="AE336" s="139"/>
      <c r="AF336" s="139"/>
      <c r="AG336" s="139"/>
      <c r="AH336" s="139"/>
      <c r="AI336" s="139"/>
      <c r="AJ336" s="139"/>
      <c r="AK336" s="139"/>
      <c r="AL336" s="139"/>
      <c r="AM336" s="139"/>
      <c r="AN336" s="139"/>
      <c r="AO336" s="139"/>
    </row>
    <row r="337">
      <c r="A337" s="85">
        <v>44955.0</v>
      </c>
      <c r="B337" s="148"/>
      <c r="C337" s="85">
        <v>44918.0</v>
      </c>
      <c r="D337" s="89" t="s">
        <v>2205</v>
      </c>
      <c r="E337" s="89"/>
      <c r="F337" s="89" t="s">
        <v>2206</v>
      </c>
      <c r="G337" s="89" t="s">
        <v>110</v>
      </c>
      <c r="H337" s="89" t="s">
        <v>94</v>
      </c>
      <c r="I337" s="89" t="s">
        <v>94</v>
      </c>
      <c r="J337" s="89" t="s">
        <v>95</v>
      </c>
      <c r="K337" s="89"/>
      <c r="L337" s="89"/>
      <c r="M337" s="89"/>
      <c r="N337" s="89"/>
      <c r="O337" s="85"/>
      <c r="P337" s="89">
        <v>1.0</v>
      </c>
      <c r="Q337" s="137"/>
      <c r="R337" s="138"/>
      <c r="S337" s="138"/>
      <c r="T337" s="85"/>
      <c r="U337" s="85"/>
      <c r="V337" s="85"/>
      <c r="W337" s="138"/>
      <c r="X337" s="139"/>
      <c r="Y337" s="139"/>
      <c r="Z337" s="139"/>
      <c r="AA337" s="139"/>
      <c r="AB337" s="139"/>
      <c r="AC337" s="139"/>
      <c r="AD337" s="139"/>
      <c r="AE337" s="139"/>
      <c r="AF337" s="139"/>
      <c r="AG337" s="139"/>
      <c r="AH337" s="139"/>
      <c r="AI337" s="139"/>
      <c r="AJ337" s="139"/>
      <c r="AK337" s="139"/>
      <c r="AL337" s="139"/>
      <c r="AM337" s="139"/>
      <c r="AN337" s="139"/>
      <c r="AO337" s="139"/>
    </row>
    <row r="338">
      <c r="A338" s="85">
        <v>44955.0</v>
      </c>
      <c r="B338" s="86">
        <v>24.0</v>
      </c>
      <c r="C338" s="85">
        <v>44800.0</v>
      </c>
      <c r="D338" s="89" t="s">
        <v>2211</v>
      </c>
      <c r="E338" s="89" t="s">
        <v>2212</v>
      </c>
      <c r="F338" s="89" t="s">
        <v>2213</v>
      </c>
      <c r="G338" s="89" t="s">
        <v>114</v>
      </c>
      <c r="H338" s="89" t="s">
        <v>94</v>
      </c>
      <c r="I338" s="89" t="s">
        <v>94</v>
      </c>
      <c r="J338" s="89" t="s">
        <v>328</v>
      </c>
      <c r="K338" s="89"/>
      <c r="L338" s="89"/>
      <c r="M338" s="89"/>
      <c r="N338" s="89">
        <v>1.0</v>
      </c>
      <c r="O338" s="85"/>
      <c r="P338" s="89"/>
      <c r="Q338" s="137"/>
      <c r="R338" s="138"/>
      <c r="S338" s="138"/>
      <c r="T338" s="85"/>
      <c r="U338" s="85"/>
      <c r="V338" s="85"/>
      <c r="W338" s="138"/>
      <c r="X338" s="139"/>
      <c r="Y338" s="139"/>
      <c r="Z338" s="139"/>
      <c r="AA338" s="139"/>
      <c r="AB338" s="139"/>
      <c r="AC338" s="139"/>
      <c r="AD338" s="139"/>
      <c r="AE338" s="139"/>
      <c r="AF338" s="139"/>
      <c r="AG338" s="139"/>
      <c r="AH338" s="139"/>
      <c r="AI338" s="139"/>
      <c r="AJ338" s="139"/>
      <c r="AK338" s="139"/>
      <c r="AL338" s="139"/>
      <c r="AM338" s="139"/>
      <c r="AN338" s="139"/>
      <c r="AO338" s="139"/>
    </row>
    <row r="339">
      <c r="A339" s="85">
        <v>44955.0</v>
      </c>
      <c r="B339" s="86"/>
      <c r="C339" s="85">
        <v>44930.0</v>
      </c>
      <c r="D339" s="89" t="s">
        <v>2217</v>
      </c>
      <c r="E339" s="89" t="s">
        <v>2218</v>
      </c>
      <c r="F339" s="89" t="s">
        <v>2219</v>
      </c>
      <c r="G339" s="89" t="s">
        <v>114</v>
      </c>
      <c r="H339" s="89" t="s">
        <v>94</v>
      </c>
      <c r="I339" s="89" t="s">
        <v>94</v>
      </c>
      <c r="J339" s="89" t="s">
        <v>95</v>
      </c>
      <c r="K339" s="89"/>
      <c r="L339" s="89"/>
      <c r="M339" s="89"/>
      <c r="N339" s="89">
        <v>1.0</v>
      </c>
      <c r="O339" s="85"/>
      <c r="P339" s="89">
        <v>1.0</v>
      </c>
      <c r="Q339" s="137"/>
      <c r="R339" s="138"/>
      <c r="S339" s="138"/>
      <c r="T339" s="85"/>
      <c r="U339" s="85"/>
      <c r="V339" s="85"/>
      <c r="W339" s="138"/>
      <c r="X339" s="139"/>
      <c r="Y339" s="139"/>
      <c r="Z339" s="139"/>
      <c r="AA339" s="139"/>
      <c r="AB339" s="139"/>
      <c r="AC339" s="139"/>
      <c r="AD339" s="139"/>
      <c r="AE339" s="139"/>
      <c r="AF339" s="139"/>
      <c r="AG339" s="139"/>
      <c r="AH339" s="139"/>
      <c r="AI339" s="139"/>
      <c r="AJ339" s="139"/>
      <c r="AK339" s="139"/>
      <c r="AL339" s="139"/>
      <c r="AM339" s="139"/>
      <c r="AN339" s="139"/>
      <c r="AO339" s="139"/>
    </row>
    <row r="340">
      <c r="A340" s="85">
        <v>44955.0</v>
      </c>
      <c r="B340" s="86">
        <v>43.54</v>
      </c>
      <c r="C340" s="85">
        <v>44850.0</v>
      </c>
      <c r="D340" s="89" t="s">
        <v>2053</v>
      </c>
      <c r="E340" s="89" t="s">
        <v>2054</v>
      </c>
      <c r="F340" s="89" t="s">
        <v>2055</v>
      </c>
      <c r="G340" s="89" t="s">
        <v>114</v>
      </c>
      <c r="H340" s="89" t="s">
        <v>94</v>
      </c>
      <c r="I340" s="89" t="s">
        <v>94</v>
      </c>
      <c r="J340" s="89" t="s">
        <v>95</v>
      </c>
      <c r="K340" s="89"/>
      <c r="L340" s="89"/>
      <c r="M340" s="89"/>
      <c r="N340" s="89"/>
      <c r="O340" s="85"/>
      <c r="P340" s="89"/>
      <c r="Q340" s="137"/>
      <c r="R340" s="137">
        <v>1.0</v>
      </c>
      <c r="S340" s="138"/>
      <c r="T340" s="85"/>
      <c r="U340" s="85"/>
      <c r="V340" s="85"/>
      <c r="W340" s="138"/>
      <c r="X340" s="139"/>
      <c r="Y340" s="139"/>
      <c r="Z340" s="139"/>
      <c r="AA340" s="139"/>
      <c r="AB340" s="139"/>
      <c r="AC340" s="139"/>
      <c r="AD340" s="139"/>
      <c r="AE340" s="139"/>
      <c r="AF340" s="139"/>
      <c r="AG340" s="139"/>
      <c r="AH340" s="139"/>
      <c r="AI340" s="139"/>
      <c r="AJ340" s="139"/>
      <c r="AK340" s="139"/>
      <c r="AL340" s="139"/>
      <c r="AM340" s="139"/>
      <c r="AN340" s="139"/>
      <c r="AO340" s="139"/>
    </row>
    <row r="341">
      <c r="A341" s="85">
        <v>44956.0</v>
      </c>
      <c r="B341" s="86">
        <v>341.32</v>
      </c>
      <c r="C341" s="85">
        <v>44894.0</v>
      </c>
      <c r="D341" s="89" t="s">
        <v>2231</v>
      </c>
      <c r="E341" s="89" t="s">
        <v>2232</v>
      </c>
      <c r="F341" s="89" t="s">
        <v>2233</v>
      </c>
      <c r="G341" s="89" t="s">
        <v>2234</v>
      </c>
      <c r="H341" s="89" t="s">
        <v>94</v>
      </c>
      <c r="I341" s="89" t="s">
        <v>94</v>
      </c>
      <c r="J341" s="89" t="s">
        <v>95</v>
      </c>
      <c r="K341" s="89">
        <v>1.0</v>
      </c>
      <c r="L341" s="89"/>
      <c r="M341" s="89">
        <v>1.0</v>
      </c>
      <c r="N341" s="89">
        <v>1.0</v>
      </c>
      <c r="O341" s="85"/>
      <c r="P341" s="89">
        <v>1.0</v>
      </c>
      <c r="Q341" s="137"/>
      <c r="R341" s="138"/>
      <c r="S341" s="138"/>
      <c r="T341" s="85"/>
      <c r="U341" s="85"/>
      <c r="V341" s="85"/>
      <c r="W341" s="138"/>
      <c r="X341" s="139"/>
      <c r="Y341" s="139"/>
      <c r="Z341" s="139"/>
      <c r="AA341" s="139"/>
      <c r="AB341" s="139"/>
      <c r="AC341" s="139"/>
      <c r="AD341" s="139"/>
      <c r="AE341" s="139"/>
      <c r="AF341" s="139"/>
      <c r="AG341" s="139"/>
      <c r="AH341" s="139"/>
      <c r="AI341" s="139"/>
      <c r="AJ341" s="139"/>
      <c r="AK341" s="139"/>
      <c r="AL341" s="139"/>
      <c r="AM341" s="139"/>
      <c r="AN341" s="139"/>
      <c r="AO341" s="139"/>
    </row>
    <row r="342">
      <c r="A342" s="85">
        <v>44956.0</v>
      </c>
      <c r="B342" s="86">
        <v>242.74</v>
      </c>
      <c r="C342" s="85">
        <v>44928.0</v>
      </c>
      <c r="D342" s="89" t="s">
        <v>2238</v>
      </c>
      <c r="E342" s="89" t="s">
        <v>2239</v>
      </c>
      <c r="F342" s="89" t="s">
        <v>2240</v>
      </c>
      <c r="G342" s="89" t="s">
        <v>92</v>
      </c>
      <c r="H342" s="89" t="s">
        <v>94</v>
      </c>
      <c r="I342" s="89" t="s">
        <v>94</v>
      </c>
      <c r="J342" s="89" t="s">
        <v>95</v>
      </c>
      <c r="K342" s="89">
        <v>1.0</v>
      </c>
      <c r="L342" s="89"/>
      <c r="M342" s="89"/>
      <c r="N342" s="89"/>
      <c r="O342" s="85"/>
      <c r="P342" s="89">
        <v>1.0</v>
      </c>
      <c r="Q342" s="137"/>
      <c r="R342" s="138"/>
      <c r="S342" s="138"/>
      <c r="T342" s="85"/>
      <c r="U342" s="85"/>
      <c r="V342" s="85"/>
      <c r="W342" s="138"/>
      <c r="X342" s="139"/>
      <c r="Y342" s="139"/>
      <c r="Z342" s="139"/>
      <c r="AA342" s="139"/>
      <c r="AB342" s="139"/>
      <c r="AC342" s="139"/>
      <c r="AD342" s="139"/>
      <c r="AE342" s="139"/>
      <c r="AF342" s="139"/>
      <c r="AG342" s="139"/>
      <c r="AH342" s="139"/>
      <c r="AI342" s="139"/>
      <c r="AJ342" s="139"/>
      <c r="AK342" s="139"/>
      <c r="AL342" s="139"/>
      <c r="AM342" s="139"/>
      <c r="AN342" s="139"/>
      <c r="AO342" s="139"/>
    </row>
    <row r="343">
      <c r="A343" s="85">
        <v>44956.0</v>
      </c>
      <c r="B343" s="86">
        <v>77.0</v>
      </c>
      <c r="C343" s="85">
        <v>44916.0</v>
      </c>
      <c r="D343" s="89" t="s">
        <v>2245</v>
      </c>
      <c r="E343" s="89" t="s">
        <v>2246</v>
      </c>
      <c r="F343" s="89" t="s">
        <v>2247</v>
      </c>
      <c r="G343" s="89" t="s">
        <v>92</v>
      </c>
      <c r="H343" s="89" t="s">
        <v>94</v>
      </c>
      <c r="I343" s="89" t="s">
        <v>94</v>
      </c>
      <c r="J343" s="89" t="s">
        <v>95</v>
      </c>
      <c r="K343" s="89"/>
      <c r="L343" s="89"/>
      <c r="M343" s="89">
        <v>1.0</v>
      </c>
      <c r="N343" s="89">
        <v>1.0</v>
      </c>
      <c r="O343" s="85"/>
      <c r="P343" s="89"/>
      <c r="Q343" s="137"/>
      <c r="R343" s="138"/>
      <c r="S343" s="138"/>
      <c r="T343" s="85"/>
      <c r="U343" s="85"/>
      <c r="V343" s="85"/>
      <c r="W343" s="138"/>
      <c r="X343" s="139"/>
      <c r="Y343" s="139"/>
      <c r="Z343" s="139"/>
      <c r="AA343" s="139"/>
      <c r="AB343" s="139"/>
      <c r="AC343" s="139"/>
      <c r="AD343" s="139"/>
      <c r="AE343" s="139"/>
      <c r="AF343" s="139"/>
      <c r="AG343" s="139"/>
      <c r="AH343" s="139"/>
      <c r="AI343" s="139"/>
      <c r="AJ343" s="139"/>
      <c r="AK343" s="139"/>
      <c r="AL343" s="139"/>
      <c r="AM343" s="139"/>
      <c r="AN343" s="139"/>
      <c r="AO343" s="139"/>
    </row>
    <row r="344">
      <c r="A344" s="85">
        <v>44956.0</v>
      </c>
      <c r="B344" s="86">
        <v>242.74</v>
      </c>
      <c r="C344" s="85">
        <v>44954.0</v>
      </c>
      <c r="D344" s="89" t="s">
        <v>2254</v>
      </c>
      <c r="E344" s="89" t="s">
        <v>2255</v>
      </c>
      <c r="F344" s="89" t="s">
        <v>2256</v>
      </c>
      <c r="G344" s="89" t="s">
        <v>92</v>
      </c>
      <c r="H344" s="89" t="s">
        <v>94</v>
      </c>
      <c r="I344" s="89" t="s">
        <v>94</v>
      </c>
      <c r="J344" s="89" t="s">
        <v>95</v>
      </c>
      <c r="K344" s="89">
        <v>1.0</v>
      </c>
      <c r="L344" s="89"/>
      <c r="M344" s="89"/>
      <c r="N344" s="89"/>
      <c r="O344" s="85"/>
      <c r="P344" s="89">
        <v>1.0</v>
      </c>
      <c r="Q344" s="137"/>
      <c r="R344" s="138"/>
      <c r="S344" s="138"/>
      <c r="T344" s="85"/>
      <c r="U344" s="85"/>
      <c r="V344" s="85"/>
      <c r="W344" s="138"/>
      <c r="X344" s="139"/>
      <c r="Y344" s="139"/>
      <c r="Z344" s="139"/>
      <c r="AA344" s="139"/>
      <c r="AB344" s="139"/>
      <c r="AC344" s="139"/>
      <c r="AD344" s="139"/>
      <c r="AE344" s="139"/>
      <c r="AF344" s="139"/>
      <c r="AG344" s="139"/>
      <c r="AH344" s="139"/>
      <c r="AI344" s="139"/>
      <c r="AJ344" s="139"/>
      <c r="AK344" s="139"/>
      <c r="AL344" s="139"/>
      <c r="AM344" s="139"/>
      <c r="AN344" s="139"/>
      <c r="AO344" s="139"/>
    </row>
    <row r="345">
      <c r="A345" s="85">
        <v>44956.0</v>
      </c>
      <c r="B345" s="86">
        <v>234.0</v>
      </c>
      <c r="C345" s="85">
        <v>44935.0</v>
      </c>
      <c r="D345" s="89" t="s">
        <v>2260</v>
      </c>
      <c r="E345" s="89" t="s">
        <v>2261</v>
      </c>
      <c r="F345" s="89" t="s">
        <v>2262</v>
      </c>
      <c r="G345" s="89" t="s">
        <v>2234</v>
      </c>
      <c r="H345" s="89" t="s">
        <v>94</v>
      </c>
      <c r="I345" s="89" t="s">
        <v>94</v>
      </c>
      <c r="J345" s="89" t="s">
        <v>95</v>
      </c>
      <c r="K345" s="89">
        <v>1.0</v>
      </c>
      <c r="L345" s="89"/>
      <c r="M345" s="89"/>
      <c r="N345" s="89"/>
      <c r="O345" s="85"/>
      <c r="P345" s="89">
        <v>1.0</v>
      </c>
      <c r="Q345" s="137"/>
      <c r="R345" s="138"/>
      <c r="S345" s="138"/>
      <c r="T345" s="85"/>
      <c r="U345" s="85"/>
      <c r="V345" s="85"/>
      <c r="W345" s="138"/>
      <c r="X345" s="139"/>
      <c r="Y345" s="139"/>
      <c r="Z345" s="139"/>
      <c r="AA345" s="139"/>
      <c r="AB345" s="139"/>
      <c r="AC345" s="139"/>
      <c r="AD345" s="139"/>
      <c r="AE345" s="139"/>
      <c r="AF345" s="139"/>
      <c r="AG345" s="139"/>
      <c r="AH345" s="139"/>
      <c r="AI345" s="139"/>
      <c r="AJ345" s="139"/>
      <c r="AK345" s="139"/>
      <c r="AL345" s="139"/>
      <c r="AM345" s="139"/>
      <c r="AN345" s="139"/>
      <c r="AO345" s="139"/>
    </row>
    <row r="346">
      <c r="A346" s="85">
        <v>44956.0</v>
      </c>
      <c r="B346" s="86">
        <v>86.4</v>
      </c>
      <c r="C346" s="85">
        <v>44921.0</v>
      </c>
      <c r="D346" s="89" t="s">
        <v>2267</v>
      </c>
      <c r="E346" s="89" t="s">
        <v>2268</v>
      </c>
      <c r="F346" s="89" t="s">
        <v>2269</v>
      </c>
      <c r="G346" s="89" t="s">
        <v>114</v>
      </c>
      <c r="H346" s="89" t="s">
        <v>94</v>
      </c>
      <c r="I346" s="89" t="s">
        <v>94</v>
      </c>
      <c r="J346" s="89" t="s">
        <v>95</v>
      </c>
      <c r="K346" s="89"/>
      <c r="L346" s="89"/>
      <c r="M346" s="89">
        <v>1.0</v>
      </c>
      <c r="N346" s="89"/>
      <c r="O346" s="85"/>
      <c r="P346" s="89"/>
      <c r="Q346" s="137"/>
      <c r="R346" s="138"/>
      <c r="S346" s="138"/>
      <c r="T346" s="85"/>
      <c r="U346" s="85"/>
      <c r="V346" s="85"/>
      <c r="W346" s="138"/>
      <c r="X346" s="139"/>
      <c r="Y346" s="139"/>
      <c r="Z346" s="139"/>
      <c r="AA346" s="139"/>
      <c r="AB346" s="139"/>
      <c r="AC346" s="139"/>
      <c r="AD346" s="139"/>
      <c r="AE346" s="139"/>
      <c r="AF346" s="139"/>
      <c r="AG346" s="139"/>
      <c r="AH346" s="139"/>
      <c r="AI346" s="139"/>
      <c r="AJ346" s="139"/>
      <c r="AK346" s="139"/>
      <c r="AL346" s="139"/>
      <c r="AM346" s="139"/>
      <c r="AN346" s="139"/>
      <c r="AO346" s="139"/>
    </row>
    <row r="347">
      <c r="A347" s="85">
        <v>44956.0</v>
      </c>
      <c r="B347" s="86">
        <v>17.8</v>
      </c>
      <c r="C347" s="85">
        <v>44155.0</v>
      </c>
      <c r="D347" s="89" t="s">
        <v>2273</v>
      </c>
      <c r="E347" s="89" t="s">
        <v>2274</v>
      </c>
      <c r="F347" s="89" t="s">
        <v>2275</v>
      </c>
      <c r="G347" s="89" t="s">
        <v>114</v>
      </c>
      <c r="H347" s="89" t="s">
        <v>94</v>
      </c>
      <c r="I347" s="89" t="s">
        <v>94</v>
      </c>
      <c r="J347" s="89" t="s">
        <v>112</v>
      </c>
      <c r="K347" s="89"/>
      <c r="L347" s="89"/>
      <c r="M347" s="89"/>
      <c r="N347" s="89"/>
      <c r="O347" s="89">
        <v>1.0</v>
      </c>
      <c r="P347" s="89"/>
      <c r="Q347" s="137"/>
      <c r="R347" s="138"/>
      <c r="S347" s="138"/>
      <c r="T347" s="85"/>
      <c r="U347" s="85"/>
      <c r="V347" s="85"/>
      <c r="W347" s="138"/>
      <c r="X347" s="139"/>
      <c r="Y347" s="139"/>
      <c r="Z347" s="139"/>
      <c r="AA347" s="139"/>
      <c r="AB347" s="139"/>
      <c r="AC347" s="139"/>
      <c r="AD347" s="139"/>
      <c r="AE347" s="139"/>
      <c r="AF347" s="139"/>
      <c r="AG347" s="139"/>
      <c r="AH347" s="139"/>
      <c r="AI347" s="139"/>
      <c r="AJ347" s="139"/>
      <c r="AK347" s="139"/>
      <c r="AL347" s="139"/>
      <c r="AM347" s="139"/>
      <c r="AN347" s="139"/>
      <c r="AO347" s="139"/>
    </row>
    <row r="348">
      <c r="A348" s="85">
        <v>44956.0</v>
      </c>
      <c r="B348" s="86">
        <v>347.0</v>
      </c>
      <c r="C348" s="85">
        <v>44860.0</v>
      </c>
      <c r="D348" s="89" t="s">
        <v>2281</v>
      </c>
      <c r="E348" s="89" t="s">
        <v>2283</v>
      </c>
      <c r="F348" s="89" t="s">
        <v>2285</v>
      </c>
      <c r="G348" s="89" t="s">
        <v>2234</v>
      </c>
      <c r="H348" s="89" t="s">
        <v>94</v>
      </c>
      <c r="I348" s="89" t="s">
        <v>135</v>
      </c>
      <c r="J348" s="89" t="s">
        <v>2287</v>
      </c>
      <c r="K348" s="89"/>
      <c r="L348" s="89">
        <v>1.0</v>
      </c>
      <c r="M348" s="89"/>
      <c r="N348" s="89">
        <v>1.0</v>
      </c>
      <c r="O348" s="85"/>
      <c r="P348" s="89">
        <v>1.0</v>
      </c>
      <c r="Q348" s="137">
        <v>1.0</v>
      </c>
      <c r="R348" s="138"/>
      <c r="S348" s="138"/>
      <c r="T348" s="85"/>
      <c r="U348" s="85"/>
      <c r="V348" s="85"/>
      <c r="W348" s="138"/>
      <c r="X348" s="139"/>
      <c r="Y348" s="139"/>
      <c r="Z348" s="139"/>
      <c r="AA348" s="139"/>
      <c r="AB348" s="139"/>
      <c r="AC348" s="139"/>
      <c r="AD348" s="139"/>
      <c r="AE348" s="139"/>
      <c r="AF348" s="139"/>
      <c r="AG348" s="139"/>
      <c r="AH348" s="139"/>
      <c r="AI348" s="139"/>
      <c r="AJ348" s="139"/>
      <c r="AK348" s="139"/>
      <c r="AL348" s="139"/>
      <c r="AM348" s="139"/>
      <c r="AN348" s="139"/>
      <c r="AO348" s="139"/>
    </row>
    <row r="349">
      <c r="A349" s="85">
        <v>44956.0</v>
      </c>
      <c r="B349" s="86">
        <v>248.04</v>
      </c>
      <c r="C349" s="85">
        <v>44888.0</v>
      </c>
      <c r="D349" s="89" t="s">
        <v>2288</v>
      </c>
      <c r="E349" s="89" t="s">
        <v>2289</v>
      </c>
      <c r="F349" s="1" t="s">
        <v>2291</v>
      </c>
      <c r="G349" s="89" t="s">
        <v>2234</v>
      </c>
      <c r="H349" s="89" t="s">
        <v>94</v>
      </c>
      <c r="I349" s="89" t="s">
        <v>94</v>
      </c>
      <c r="J349" s="89" t="s">
        <v>95</v>
      </c>
      <c r="K349" s="89">
        <v>1.0</v>
      </c>
      <c r="L349" s="89"/>
      <c r="M349" s="89"/>
      <c r="N349" s="89"/>
      <c r="O349" s="85"/>
      <c r="P349" s="89">
        <v>1.0</v>
      </c>
      <c r="Q349" s="137"/>
      <c r="R349" s="138"/>
      <c r="S349" s="138"/>
      <c r="T349" s="85"/>
      <c r="U349" s="85"/>
      <c r="V349" s="85"/>
      <c r="W349" s="138"/>
      <c r="X349" s="139"/>
      <c r="Y349" s="139"/>
      <c r="Z349" s="139"/>
      <c r="AA349" s="139"/>
      <c r="AB349" s="139"/>
      <c r="AC349" s="139"/>
      <c r="AD349" s="139"/>
      <c r="AE349" s="139"/>
      <c r="AF349" s="139"/>
      <c r="AG349" s="139"/>
      <c r="AH349" s="139"/>
      <c r="AI349" s="139"/>
      <c r="AJ349" s="139"/>
      <c r="AK349" s="139"/>
      <c r="AL349" s="139"/>
      <c r="AM349" s="139"/>
      <c r="AN349" s="139"/>
      <c r="AO349" s="139"/>
    </row>
    <row r="350">
      <c r="A350" s="85">
        <v>44956.0</v>
      </c>
      <c r="B350" s="86">
        <v>363.9</v>
      </c>
      <c r="C350" s="85">
        <v>44953.0</v>
      </c>
      <c r="D350" s="89" t="s">
        <v>2295</v>
      </c>
      <c r="E350" s="89" t="s">
        <v>2296</v>
      </c>
      <c r="F350" s="89" t="s">
        <v>2297</v>
      </c>
      <c r="G350" s="89" t="s">
        <v>141</v>
      </c>
      <c r="H350" s="89" t="s">
        <v>94</v>
      </c>
      <c r="I350" s="89" t="s">
        <v>94</v>
      </c>
      <c r="J350" s="89" t="s">
        <v>95</v>
      </c>
      <c r="K350" s="89"/>
      <c r="L350" s="89">
        <v>1.0</v>
      </c>
      <c r="M350" s="89"/>
      <c r="N350" s="89">
        <v>1.0</v>
      </c>
      <c r="O350" s="85"/>
      <c r="P350" s="89">
        <v>1.0</v>
      </c>
      <c r="Q350" s="137">
        <v>1.0</v>
      </c>
      <c r="R350" s="138"/>
      <c r="S350" s="138"/>
      <c r="T350" s="85"/>
      <c r="U350" s="85"/>
      <c r="V350" s="85"/>
      <c r="W350" s="138"/>
      <c r="X350" s="139"/>
      <c r="Y350" s="139"/>
      <c r="Z350" s="139"/>
      <c r="AA350" s="139"/>
      <c r="AB350" s="139"/>
      <c r="AC350" s="139"/>
      <c r="AD350" s="139"/>
      <c r="AE350" s="139"/>
      <c r="AF350" s="139"/>
      <c r="AG350" s="139"/>
      <c r="AH350" s="139"/>
      <c r="AI350" s="139"/>
      <c r="AJ350" s="139"/>
      <c r="AK350" s="139"/>
      <c r="AL350" s="139"/>
      <c r="AM350" s="139"/>
      <c r="AN350" s="139"/>
      <c r="AO350" s="139"/>
    </row>
    <row r="351">
      <c r="A351" s="85">
        <v>44956.0</v>
      </c>
      <c r="B351" s="86">
        <v>25.5</v>
      </c>
      <c r="C351" s="85">
        <v>44934.0</v>
      </c>
      <c r="D351" s="89" t="s">
        <v>2301</v>
      </c>
      <c r="E351" s="89" t="s">
        <v>2302</v>
      </c>
      <c r="F351" s="89" t="s">
        <v>2303</v>
      </c>
      <c r="G351" s="89" t="s">
        <v>2234</v>
      </c>
      <c r="H351" s="89" t="s">
        <v>94</v>
      </c>
      <c r="I351" s="89" t="s">
        <v>94</v>
      </c>
      <c r="J351" s="89" t="s">
        <v>95</v>
      </c>
      <c r="K351" s="89"/>
      <c r="L351" s="89"/>
      <c r="M351" s="89"/>
      <c r="N351" s="89">
        <v>1.0</v>
      </c>
      <c r="O351" s="85"/>
      <c r="P351" s="89"/>
      <c r="Q351" s="137"/>
      <c r="R351" s="138"/>
      <c r="S351" s="138"/>
      <c r="T351" s="85"/>
      <c r="U351" s="85"/>
      <c r="V351" s="85"/>
      <c r="W351" s="138"/>
      <c r="X351" s="139"/>
      <c r="Y351" s="139"/>
      <c r="Z351" s="139"/>
      <c r="AA351" s="139"/>
      <c r="AB351" s="139"/>
      <c r="AC351" s="139"/>
      <c r="AD351" s="139"/>
      <c r="AE351" s="139"/>
      <c r="AF351" s="139"/>
      <c r="AG351" s="139"/>
      <c r="AH351" s="139"/>
      <c r="AI351" s="139"/>
      <c r="AJ351" s="139"/>
      <c r="AK351" s="139"/>
      <c r="AL351" s="139"/>
      <c r="AM351" s="139"/>
      <c r="AN351" s="139"/>
      <c r="AO351" s="139"/>
    </row>
    <row r="352">
      <c r="A352" s="85">
        <v>44957.0</v>
      </c>
      <c r="B352" s="86">
        <v>56.18</v>
      </c>
      <c r="C352" s="85">
        <v>44923.0</v>
      </c>
      <c r="D352" s="89" t="s">
        <v>2308</v>
      </c>
      <c r="E352" s="89" t="s">
        <v>2309</v>
      </c>
      <c r="F352" s="89" t="s">
        <v>2310</v>
      </c>
      <c r="G352" s="89" t="s">
        <v>2234</v>
      </c>
      <c r="H352" s="89" t="s">
        <v>94</v>
      </c>
      <c r="I352" s="89" t="s">
        <v>94</v>
      </c>
      <c r="J352" s="89" t="s">
        <v>95</v>
      </c>
      <c r="K352" s="89"/>
      <c r="L352" s="89"/>
      <c r="M352" s="89"/>
      <c r="N352" s="89">
        <v>1.0</v>
      </c>
      <c r="O352" s="85"/>
      <c r="P352" s="89"/>
      <c r="Q352" s="137"/>
      <c r="R352" s="138"/>
      <c r="S352" s="138"/>
      <c r="T352" s="85"/>
      <c r="U352" s="85"/>
      <c r="V352" s="85"/>
      <c r="W352" s="138"/>
      <c r="X352" s="139"/>
      <c r="Y352" s="139"/>
      <c r="Z352" s="139"/>
      <c r="AA352" s="139"/>
      <c r="AB352" s="139"/>
      <c r="AC352" s="139"/>
      <c r="AD352" s="139"/>
      <c r="AE352" s="139"/>
      <c r="AF352" s="139"/>
      <c r="AG352" s="139"/>
      <c r="AH352" s="139"/>
      <c r="AI352" s="139"/>
      <c r="AJ352" s="139"/>
      <c r="AK352" s="139"/>
      <c r="AL352" s="139"/>
      <c r="AM352" s="139"/>
      <c r="AN352" s="139"/>
      <c r="AO352" s="139"/>
    </row>
    <row r="353">
      <c r="A353" s="85">
        <v>44957.0</v>
      </c>
      <c r="B353" s="86">
        <v>24.0</v>
      </c>
      <c r="C353" s="85">
        <v>44957.0</v>
      </c>
      <c r="D353" s="89" t="s">
        <v>2314</v>
      </c>
      <c r="E353" s="89" t="s">
        <v>2315</v>
      </c>
      <c r="F353" s="89" t="s">
        <v>2316</v>
      </c>
      <c r="G353" s="89" t="s">
        <v>114</v>
      </c>
      <c r="H353" s="89" t="s">
        <v>94</v>
      </c>
      <c r="I353" s="89" t="s">
        <v>94</v>
      </c>
      <c r="J353" s="89" t="s">
        <v>1381</v>
      </c>
      <c r="K353" s="89"/>
      <c r="L353" s="89"/>
      <c r="M353" s="89"/>
      <c r="N353" s="89">
        <v>1.0</v>
      </c>
      <c r="O353" s="85"/>
      <c r="P353" s="89"/>
      <c r="Q353" s="137"/>
      <c r="R353" s="138"/>
      <c r="S353" s="138"/>
      <c r="T353" s="85"/>
      <c r="U353" s="85"/>
      <c r="V353" s="85"/>
      <c r="W353" s="138"/>
      <c r="X353" s="139"/>
      <c r="Y353" s="139"/>
      <c r="Z353" s="139"/>
      <c r="AA353" s="139"/>
      <c r="AB353" s="139"/>
      <c r="AC353" s="139"/>
      <c r="AD353" s="139"/>
      <c r="AE353" s="139"/>
      <c r="AF353" s="139"/>
      <c r="AG353" s="139"/>
      <c r="AH353" s="139"/>
      <c r="AI353" s="139"/>
      <c r="AJ353" s="139"/>
      <c r="AK353" s="139"/>
      <c r="AL353" s="139"/>
      <c r="AM353" s="139"/>
      <c r="AN353" s="139"/>
      <c r="AO353" s="139"/>
    </row>
    <row r="354">
      <c r="A354" s="85">
        <v>44957.0</v>
      </c>
      <c r="B354" s="351">
        <v>25.44</v>
      </c>
      <c r="C354" s="85">
        <v>44875.0</v>
      </c>
      <c r="D354" s="89" t="s">
        <v>2321</v>
      </c>
      <c r="E354" s="89" t="s">
        <v>2322</v>
      </c>
      <c r="F354" s="89" t="s">
        <v>2324</v>
      </c>
      <c r="G354" s="89" t="s">
        <v>114</v>
      </c>
      <c r="H354" s="89" t="s">
        <v>94</v>
      </c>
      <c r="I354" s="89" t="s">
        <v>94</v>
      </c>
      <c r="J354" s="89" t="s">
        <v>95</v>
      </c>
      <c r="K354" s="89"/>
      <c r="L354" s="89"/>
      <c r="M354" s="89"/>
      <c r="N354" s="89">
        <v>1.0</v>
      </c>
      <c r="O354" s="85"/>
      <c r="P354" s="89"/>
      <c r="Q354" s="137"/>
      <c r="R354" s="138"/>
      <c r="S354" s="138"/>
      <c r="T354" s="85"/>
      <c r="U354" s="85"/>
      <c r="V354" s="85"/>
      <c r="W354" s="138"/>
      <c r="X354" s="139"/>
      <c r="Y354" s="139"/>
      <c r="Z354" s="139"/>
      <c r="AA354" s="139"/>
      <c r="AB354" s="139"/>
      <c r="AC354" s="139"/>
      <c r="AD354" s="139"/>
      <c r="AE354" s="139"/>
      <c r="AF354" s="139"/>
      <c r="AG354" s="139"/>
      <c r="AH354" s="139"/>
      <c r="AI354" s="139"/>
      <c r="AJ354" s="139"/>
      <c r="AK354" s="139"/>
      <c r="AL354" s="139"/>
      <c r="AM354" s="139"/>
      <c r="AN354" s="139"/>
      <c r="AO354" s="139"/>
    </row>
    <row r="355">
      <c r="A355" s="85">
        <v>44957.0</v>
      </c>
      <c r="B355" s="86">
        <v>22.0</v>
      </c>
      <c r="C355" s="85">
        <v>44883.0</v>
      </c>
      <c r="D355" s="89" t="s">
        <v>2330</v>
      </c>
      <c r="E355" s="89" t="s">
        <v>2331</v>
      </c>
      <c r="F355" s="89" t="s">
        <v>2332</v>
      </c>
      <c r="G355" s="89" t="s">
        <v>114</v>
      </c>
      <c r="H355" s="89" t="s">
        <v>94</v>
      </c>
      <c r="I355" s="89" t="s">
        <v>94</v>
      </c>
      <c r="J355" s="89" t="s">
        <v>95</v>
      </c>
      <c r="K355" s="89"/>
      <c r="L355" s="89"/>
      <c r="M355" s="89"/>
      <c r="N355" s="89"/>
      <c r="O355" s="85"/>
      <c r="P355" s="89">
        <v>1.0</v>
      </c>
      <c r="Q355" s="137">
        <v>1.0</v>
      </c>
      <c r="R355" s="138"/>
      <c r="S355" s="138"/>
      <c r="T355" s="85"/>
      <c r="U355" s="85"/>
      <c r="V355" s="85"/>
      <c r="W355" s="138"/>
      <c r="X355" s="139"/>
      <c r="Y355" s="139"/>
      <c r="Z355" s="139"/>
      <c r="AA355" s="139"/>
      <c r="AB355" s="139"/>
      <c r="AC355" s="139"/>
      <c r="AD355" s="139"/>
      <c r="AE355" s="139"/>
      <c r="AF355" s="139"/>
      <c r="AG355" s="139"/>
      <c r="AH355" s="139"/>
      <c r="AI355" s="139"/>
      <c r="AJ355" s="139"/>
      <c r="AK355" s="139"/>
      <c r="AL355" s="139"/>
      <c r="AM355" s="139"/>
      <c r="AN355" s="139"/>
      <c r="AO355" s="139"/>
    </row>
    <row r="356" ht="19.5" customHeight="1">
      <c r="A356" s="85">
        <v>44957.0</v>
      </c>
      <c r="B356" s="86">
        <v>59.0</v>
      </c>
      <c r="C356" s="85">
        <v>44478.0</v>
      </c>
      <c r="D356" s="89" t="s">
        <v>2334</v>
      </c>
      <c r="E356" s="89" t="s">
        <v>2335</v>
      </c>
      <c r="F356" s="89" t="s">
        <v>2336</v>
      </c>
      <c r="G356" s="89" t="s">
        <v>114</v>
      </c>
      <c r="H356" s="89" t="s">
        <v>94</v>
      </c>
      <c r="I356" s="89" t="s">
        <v>94</v>
      </c>
      <c r="J356" s="89" t="s">
        <v>95</v>
      </c>
      <c r="K356" s="89"/>
      <c r="L356" s="89"/>
      <c r="M356" s="89">
        <v>1.0</v>
      </c>
      <c r="N356" s="89"/>
      <c r="O356" s="85"/>
      <c r="P356" s="89"/>
      <c r="Q356" s="137"/>
      <c r="R356" s="138"/>
      <c r="S356" s="138"/>
      <c r="T356" s="85"/>
      <c r="U356" s="85"/>
      <c r="V356" s="85"/>
      <c r="W356" s="138"/>
      <c r="X356" s="139"/>
      <c r="Y356" s="139"/>
      <c r="Z356" s="139"/>
      <c r="AA356" s="139"/>
      <c r="AB356" s="139"/>
      <c r="AC356" s="139"/>
      <c r="AD356" s="139"/>
      <c r="AE356" s="139"/>
      <c r="AF356" s="139"/>
      <c r="AG356" s="139"/>
      <c r="AH356" s="139"/>
      <c r="AI356" s="139"/>
      <c r="AJ356" s="139"/>
      <c r="AK356" s="139"/>
      <c r="AL356" s="139"/>
      <c r="AM356" s="139"/>
      <c r="AN356" s="139"/>
      <c r="AO356" s="139"/>
    </row>
    <row r="357">
      <c r="A357" s="85">
        <v>44957.0</v>
      </c>
      <c r="B357" s="86"/>
      <c r="C357" s="85"/>
      <c r="D357" s="89" t="s">
        <v>2340</v>
      </c>
      <c r="E357" s="89" t="s">
        <v>2341</v>
      </c>
      <c r="F357" s="89" t="s">
        <v>2342</v>
      </c>
      <c r="G357" s="89" t="s">
        <v>114</v>
      </c>
      <c r="H357" s="89" t="s">
        <v>94</v>
      </c>
      <c r="I357" s="89" t="s">
        <v>94</v>
      </c>
      <c r="J357" s="89" t="s">
        <v>95</v>
      </c>
      <c r="K357" s="89"/>
      <c r="L357" s="89">
        <v>1.0</v>
      </c>
      <c r="M357" s="89"/>
      <c r="N357" s="89"/>
      <c r="O357" s="85"/>
      <c r="P357" s="89">
        <v>1.0</v>
      </c>
      <c r="Q357" s="137"/>
      <c r="R357" s="138"/>
      <c r="S357" s="138"/>
      <c r="T357" s="85"/>
      <c r="U357" s="85"/>
      <c r="V357" s="85"/>
      <c r="W357" s="138"/>
      <c r="X357" s="139"/>
      <c r="Y357" s="139"/>
      <c r="Z357" s="139"/>
      <c r="AA357" s="139"/>
      <c r="AB357" s="139"/>
      <c r="AC357" s="139"/>
      <c r="AD357" s="139"/>
      <c r="AE357" s="139"/>
      <c r="AF357" s="139"/>
      <c r="AG357" s="139"/>
      <c r="AH357" s="139"/>
      <c r="AI357" s="139"/>
      <c r="AJ357" s="139"/>
      <c r="AK357" s="139"/>
      <c r="AL357" s="139"/>
      <c r="AM357" s="139"/>
      <c r="AN357" s="139"/>
      <c r="AO357" s="139"/>
    </row>
    <row r="358">
      <c r="A358" s="85">
        <v>44957.0</v>
      </c>
      <c r="B358" s="86">
        <v>268.18</v>
      </c>
      <c r="C358" s="85">
        <v>44899.0</v>
      </c>
      <c r="D358" s="89" t="s">
        <v>2343</v>
      </c>
      <c r="E358" s="89" t="s">
        <v>2344</v>
      </c>
      <c r="F358" s="89" t="s">
        <v>2345</v>
      </c>
      <c r="G358" s="89" t="s">
        <v>2234</v>
      </c>
      <c r="H358" s="89" t="s">
        <v>94</v>
      </c>
      <c r="I358" s="89" t="s">
        <v>94</v>
      </c>
      <c r="J358" s="89" t="s">
        <v>95</v>
      </c>
      <c r="K358" s="89">
        <v>1.0</v>
      </c>
      <c r="L358" s="89"/>
      <c r="M358" s="89"/>
      <c r="N358" s="89">
        <v>1.0</v>
      </c>
      <c r="O358" s="85"/>
      <c r="P358" s="89">
        <v>1.0</v>
      </c>
      <c r="Q358" s="137"/>
      <c r="R358" s="138"/>
      <c r="S358" s="138"/>
      <c r="T358" s="85"/>
      <c r="U358" s="85"/>
      <c r="V358" s="85"/>
      <c r="W358" s="138"/>
      <c r="X358" s="139"/>
      <c r="Y358" s="139"/>
      <c r="Z358" s="139"/>
      <c r="AA358" s="139"/>
      <c r="AB358" s="139"/>
      <c r="AC358" s="139"/>
      <c r="AD358" s="139"/>
      <c r="AE358" s="139"/>
      <c r="AF358" s="139"/>
      <c r="AG358" s="139"/>
      <c r="AH358" s="139"/>
      <c r="AI358" s="139"/>
      <c r="AJ358" s="139"/>
      <c r="AK358" s="139"/>
      <c r="AL358" s="139"/>
      <c r="AM358" s="139"/>
      <c r="AN358" s="139"/>
      <c r="AO358" s="139"/>
    </row>
    <row r="359">
      <c r="A359" s="22">
        <v>44957.0</v>
      </c>
      <c r="B359" s="24">
        <v>240.94</v>
      </c>
      <c r="C359" s="22">
        <v>44908.0</v>
      </c>
      <c r="D359" s="25" t="s">
        <v>2350</v>
      </c>
      <c r="E359" s="25" t="s">
        <v>2353</v>
      </c>
      <c r="F359" s="25" t="s">
        <v>2355</v>
      </c>
      <c r="G359" s="25" t="s">
        <v>2234</v>
      </c>
      <c r="H359" s="25" t="s">
        <v>94</v>
      </c>
      <c r="I359" s="25" t="s">
        <v>94</v>
      </c>
      <c r="J359" s="25" t="s">
        <v>95</v>
      </c>
      <c r="K359" s="25">
        <v>1.0</v>
      </c>
      <c r="L359" s="25"/>
      <c r="M359" s="25"/>
      <c r="N359" s="25"/>
      <c r="O359" s="22"/>
      <c r="P359" s="25">
        <v>1.0</v>
      </c>
      <c r="Q359" s="67"/>
      <c r="R359" s="68"/>
      <c r="S359" s="68"/>
      <c r="T359" s="22"/>
      <c r="U359" s="22"/>
      <c r="V359" s="22"/>
      <c r="W359" s="68"/>
      <c r="X359" s="69"/>
      <c r="Y359" s="69"/>
      <c r="Z359" s="69"/>
      <c r="AA359" s="69"/>
      <c r="AB359" s="69"/>
      <c r="AC359" s="69"/>
      <c r="AD359" s="69"/>
      <c r="AE359" s="69"/>
      <c r="AF359" s="69"/>
      <c r="AG359" s="69"/>
      <c r="AH359" s="69"/>
      <c r="AI359" s="69"/>
      <c r="AJ359" s="69"/>
      <c r="AK359" s="69"/>
      <c r="AL359" s="69"/>
      <c r="AM359" s="69"/>
      <c r="AN359" s="69"/>
      <c r="AO359" s="69"/>
    </row>
    <row r="360">
      <c r="A360" s="22">
        <v>44957.0</v>
      </c>
      <c r="B360" s="86">
        <v>319.86</v>
      </c>
      <c r="C360" s="85">
        <v>44942.0</v>
      </c>
      <c r="D360" s="89" t="s">
        <v>2359</v>
      </c>
      <c r="E360" s="89" t="s">
        <v>2360</v>
      </c>
      <c r="F360" s="89" t="s">
        <v>2361</v>
      </c>
      <c r="G360" s="89" t="s">
        <v>114</v>
      </c>
      <c r="H360" s="25" t="s">
        <v>94</v>
      </c>
      <c r="I360" s="25" t="s">
        <v>94</v>
      </c>
      <c r="J360" s="25" t="s">
        <v>95</v>
      </c>
      <c r="K360" s="89"/>
      <c r="L360" s="89">
        <v>1.0</v>
      </c>
      <c r="M360" s="89"/>
      <c r="N360" s="89"/>
      <c r="O360" s="85"/>
      <c r="P360" s="89">
        <v>1.0</v>
      </c>
      <c r="Q360" s="137"/>
      <c r="R360" s="138"/>
      <c r="S360" s="138"/>
      <c r="T360" s="85"/>
      <c r="U360" s="85"/>
      <c r="V360" s="85"/>
      <c r="W360" s="138"/>
      <c r="X360" s="139"/>
      <c r="Y360" s="139"/>
      <c r="Z360" s="139"/>
      <c r="AA360" s="139"/>
      <c r="AB360" s="139"/>
      <c r="AC360" s="139"/>
      <c r="AD360" s="139"/>
      <c r="AE360" s="139"/>
      <c r="AF360" s="139"/>
      <c r="AG360" s="139"/>
      <c r="AH360" s="139"/>
      <c r="AI360" s="139"/>
      <c r="AJ360" s="139"/>
      <c r="AK360" s="139"/>
      <c r="AL360" s="139"/>
      <c r="AM360" s="139"/>
      <c r="AN360" s="139"/>
      <c r="AO360" s="139"/>
    </row>
    <row r="361">
      <c r="A361" s="85">
        <v>44957.0</v>
      </c>
      <c r="B361" s="86">
        <v>36.43</v>
      </c>
      <c r="C361" s="85">
        <v>44929.0</v>
      </c>
      <c r="D361" s="89" t="s">
        <v>2366</v>
      </c>
      <c r="E361" s="25" t="s">
        <v>2367</v>
      </c>
      <c r="F361" s="89" t="s">
        <v>2368</v>
      </c>
      <c r="G361" s="89" t="s">
        <v>2234</v>
      </c>
      <c r="H361" s="89" t="s">
        <v>94</v>
      </c>
      <c r="I361" s="89" t="s">
        <v>94</v>
      </c>
      <c r="J361" s="89" t="s">
        <v>95</v>
      </c>
      <c r="K361" s="89"/>
      <c r="L361" s="89"/>
      <c r="M361" s="89"/>
      <c r="N361" s="89">
        <v>1.0</v>
      </c>
      <c r="O361" s="85"/>
      <c r="P361" s="89"/>
      <c r="Q361" s="137"/>
      <c r="R361" s="138"/>
      <c r="S361" s="138"/>
      <c r="T361" s="85"/>
      <c r="U361" s="85"/>
      <c r="V361" s="85"/>
      <c r="W361" s="138"/>
      <c r="X361" s="139"/>
      <c r="Y361" s="139"/>
      <c r="Z361" s="139"/>
      <c r="AA361" s="139"/>
      <c r="AB361" s="139"/>
      <c r="AC361" s="139"/>
      <c r="AD361" s="139"/>
      <c r="AE361" s="139"/>
      <c r="AF361" s="139"/>
      <c r="AG361" s="139"/>
      <c r="AH361" s="139"/>
      <c r="AI361" s="139"/>
      <c r="AJ361" s="139"/>
      <c r="AK361" s="139"/>
      <c r="AL361" s="139"/>
      <c r="AM361" s="139"/>
      <c r="AN361" s="139"/>
      <c r="AO361" s="139"/>
    </row>
    <row r="362">
      <c r="A362" s="85"/>
      <c r="B362" s="86"/>
      <c r="C362" s="85"/>
      <c r="D362" s="497"/>
      <c r="E362" s="89"/>
      <c r="F362" s="89"/>
      <c r="G362" s="89"/>
      <c r="H362" s="89"/>
      <c r="I362" s="89"/>
      <c r="J362" s="89"/>
      <c r="K362" s="89"/>
      <c r="L362" s="89"/>
      <c r="M362" s="89"/>
      <c r="N362" s="89"/>
      <c r="O362" s="85"/>
      <c r="P362" s="89"/>
      <c r="Q362" s="137"/>
      <c r="R362" s="138"/>
      <c r="S362" s="138"/>
      <c r="T362" s="85"/>
      <c r="U362" s="85"/>
      <c r="V362" s="85"/>
      <c r="W362" s="138"/>
      <c r="X362" s="139"/>
      <c r="Y362" s="139"/>
      <c r="Z362" s="139"/>
      <c r="AA362" s="139"/>
      <c r="AB362" s="139"/>
      <c r="AC362" s="139"/>
      <c r="AD362" s="139"/>
      <c r="AE362" s="139"/>
      <c r="AF362" s="139"/>
      <c r="AG362" s="139"/>
      <c r="AH362" s="139"/>
      <c r="AI362" s="139"/>
      <c r="AJ362" s="139"/>
      <c r="AK362" s="139"/>
      <c r="AL362" s="139"/>
      <c r="AM362" s="139"/>
      <c r="AN362" s="139"/>
      <c r="AO362" s="139"/>
    </row>
    <row r="363">
      <c r="A363" s="85"/>
      <c r="B363" s="86"/>
      <c r="C363" s="85"/>
      <c r="D363" s="89"/>
      <c r="E363" s="89"/>
      <c r="F363" s="89"/>
      <c r="G363" s="89"/>
      <c r="H363" s="89"/>
      <c r="I363" s="89"/>
      <c r="J363" s="89"/>
      <c r="K363" s="89"/>
      <c r="L363" s="89"/>
      <c r="M363" s="89"/>
      <c r="N363" s="89"/>
      <c r="O363" s="85"/>
      <c r="P363" s="89"/>
      <c r="Q363" s="137"/>
      <c r="R363" s="138"/>
      <c r="S363" s="138"/>
      <c r="T363" s="85"/>
      <c r="U363" s="85"/>
      <c r="V363" s="85"/>
      <c r="W363" s="138"/>
      <c r="X363" s="139"/>
      <c r="Y363" s="139"/>
      <c r="Z363" s="139"/>
      <c r="AA363" s="139"/>
      <c r="AB363" s="139"/>
      <c r="AC363" s="139"/>
      <c r="AD363" s="139"/>
      <c r="AE363" s="139"/>
      <c r="AF363" s="139"/>
      <c r="AG363" s="139"/>
      <c r="AH363" s="139"/>
      <c r="AI363" s="139"/>
      <c r="AJ363" s="139"/>
      <c r="AK363" s="139"/>
      <c r="AL363" s="139"/>
      <c r="AM363" s="139"/>
      <c r="AN363" s="139"/>
      <c r="AO363" s="139"/>
    </row>
    <row r="364">
      <c r="A364" s="85"/>
      <c r="B364" s="86"/>
      <c r="C364" s="85"/>
      <c r="D364" s="89"/>
      <c r="E364" s="89"/>
      <c r="F364" s="89"/>
      <c r="G364" s="89"/>
      <c r="H364" s="89"/>
      <c r="I364" s="89"/>
      <c r="J364" s="89"/>
      <c r="K364" s="89"/>
      <c r="L364" s="89"/>
      <c r="M364" s="89"/>
      <c r="N364" s="89"/>
      <c r="O364" s="85"/>
      <c r="P364" s="89"/>
      <c r="Q364" s="137"/>
      <c r="R364" s="138"/>
      <c r="S364" s="138"/>
      <c r="T364" s="85"/>
      <c r="U364" s="85"/>
      <c r="V364" s="85"/>
      <c r="W364" s="138"/>
      <c r="X364" s="139"/>
      <c r="Y364" s="139"/>
      <c r="Z364" s="139"/>
      <c r="AA364" s="139"/>
      <c r="AB364" s="139"/>
      <c r="AC364" s="139"/>
      <c r="AD364" s="139"/>
      <c r="AE364" s="139"/>
      <c r="AF364" s="139"/>
      <c r="AG364" s="139"/>
      <c r="AH364" s="139"/>
      <c r="AI364" s="139"/>
      <c r="AJ364" s="139"/>
      <c r="AK364" s="139"/>
      <c r="AL364" s="139"/>
      <c r="AM364" s="139"/>
      <c r="AN364" s="139"/>
      <c r="AO364" s="139"/>
    </row>
    <row r="365">
      <c r="A365" s="85"/>
      <c r="B365" s="86"/>
      <c r="C365" s="85"/>
      <c r="D365" s="89"/>
      <c r="E365" s="89"/>
      <c r="F365" s="89"/>
      <c r="G365" s="89"/>
      <c r="H365" s="89"/>
      <c r="I365" s="89"/>
      <c r="J365" s="89"/>
      <c r="K365" s="89"/>
      <c r="L365" s="89"/>
      <c r="M365" s="89"/>
      <c r="N365" s="89"/>
      <c r="O365" s="85"/>
      <c r="P365" s="89"/>
      <c r="Q365" s="137"/>
      <c r="R365" s="138"/>
      <c r="S365" s="138"/>
      <c r="T365" s="85"/>
      <c r="U365" s="85"/>
      <c r="V365" s="85"/>
      <c r="W365" s="138"/>
      <c r="X365" s="139"/>
      <c r="Y365" s="139"/>
      <c r="Z365" s="139"/>
      <c r="AA365" s="139"/>
      <c r="AB365" s="139"/>
      <c r="AC365" s="139"/>
      <c r="AD365" s="139"/>
      <c r="AE365" s="139"/>
      <c r="AF365" s="139"/>
      <c r="AG365" s="139"/>
      <c r="AH365" s="139"/>
      <c r="AI365" s="139"/>
      <c r="AJ365" s="139"/>
      <c r="AK365" s="139"/>
      <c r="AL365" s="139"/>
      <c r="AM365" s="139"/>
      <c r="AN365" s="139"/>
      <c r="AO365" s="139"/>
    </row>
    <row r="366">
      <c r="A366" s="85"/>
      <c r="B366" s="86"/>
      <c r="C366" s="85"/>
      <c r="D366" s="89"/>
      <c r="E366" s="89"/>
      <c r="F366" s="89"/>
      <c r="G366" s="89"/>
      <c r="H366" s="89"/>
      <c r="I366" s="89"/>
      <c r="J366" s="89"/>
      <c r="K366" s="89"/>
      <c r="L366" s="89"/>
      <c r="M366" s="89"/>
      <c r="N366" s="89"/>
      <c r="O366" s="85"/>
      <c r="P366" s="89"/>
      <c r="Q366" s="137"/>
      <c r="R366" s="138"/>
      <c r="S366" s="138"/>
      <c r="T366" s="85"/>
      <c r="U366" s="85"/>
      <c r="V366" s="85"/>
      <c r="W366" s="138"/>
      <c r="X366" s="139"/>
      <c r="Y366" s="139"/>
      <c r="Z366" s="139"/>
      <c r="AA366" s="139"/>
      <c r="AB366" s="139"/>
      <c r="AC366" s="139"/>
      <c r="AD366" s="139"/>
      <c r="AE366" s="139"/>
      <c r="AF366" s="139"/>
      <c r="AG366" s="139"/>
      <c r="AH366" s="139"/>
      <c r="AI366" s="139"/>
      <c r="AJ366" s="139"/>
      <c r="AK366" s="139"/>
      <c r="AL366" s="139"/>
      <c r="AM366" s="139"/>
      <c r="AN366" s="139"/>
      <c r="AO366" s="139"/>
    </row>
    <row r="367">
      <c r="A367" s="85"/>
      <c r="B367" s="86"/>
      <c r="C367" s="85"/>
      <c r="D367" s="89"/>
      <c r="E367" s="89"/>
      <c r="F367" s="89"/>
      <c r="G367" s="89"/>
      <c r="H367" s="89"/>
      <c r="I367" s="89"/>
      <c r="J367" s="89"/>
      <c r="K367" s="89"/>
      <c r="L367" s="89"/>
      <c r="M367" s="89"/>
      <c r="N367" s="89"/>
      <c r="O367" s="85"/>
      <c r="P367" s="89"/>
      <c r="Q367" s="137"/>
      <c r="R367" s="138"/>
      <c r="S367" s="138"/>
      <c r="T367" s="85"/>
      <c r="U367" s="85"/>
      <c r="V367" s="85"/>
      <c r="W367" s="138"/>
      <c r="X367" s="139"/>
      <c r="Y367" s="139"/>
      <c r="Z367" s="139"/>
      <c r="AA367" s="139"/>
      <c r="AB367" s="139"/>
      <c r="AC367" s="139"/>
      <c r="AD367" s="139"/>
      <c r="AE367" s="139"/>
      <c r="AF367" s="139"/>
      <c r="AG367" s="139"/>
      <c r="AH367" s="139"/>
      <c r="AI367" s="139"/>
      <c r="AJ367" s="139"/>
      <c r="AK367" s="139"/>
      <c r="AL367" s="139"/>
      <c r="AM367" s="139"/>
      <c r="AN367" s="139"/>
      <c r="AO367" s="139"/>
    </row>
    <row r="368">
      <c r="A368" s="85"/>
      <c r="B368" s="86"/>
      <c r="C368" s="85"/>
      <c r="D368" s="89"/>
      <c r="E368" s="89"/>
      <c r="F368" s="89"/>
      <c r="G368" s="89"/>
      <c r="H368" s="89"/>
      <c r="I368" s="89"/>
      <c r="J368" s="89"/>
      <c r="K368" s="89"/>
      <c r="L368" s="89"/>
      <c r="M368" s="89"/>
      <c r="N368" s="89"/>
      <c r="O368" s="85"/>
      <c r="P368" s="89"/>
      <c r="Q368" s="137"/>
      <c r="R368" s="138"/>
      <c r="S368" s="138"/>
      <c r="T368" s="85"/>
      <c r="U368" s="85"/>
      <c r="V368" s="85"/>
      <c r="W368" s="138"/>
      <c r="X368" s="139"/>
      <c r="Y368" s="139"/>
      <c r="Z368" s="139"/>
      <c r="AA368" s="139"/>
      <c r="AB368" s="139"/>
      <c r="AC368" s="139"/>
      <c r="AD368" s="139"/>
      <c r="AE368" s="139"/>
      <c r="AF368" s="139"/>
      <c r="AG368" s="139"/>
      <c r="AH368" s="139"/>
      <c r="AI368" s="139"/>
      <c r="AJ368" s="139"/>
      <c r="AK368" s="139"/>
      <c r="AL368" s="139"/>
      <c r="AM368" s="139"/>
      <c r="AN368" s="139"/>
      <c r="AO368" s="139"/>
    </row>
    <row r="369">
      <c r="A369" s="85"/>
      <c r="B369" s="86"/>
      <c r="C369" s="85"/>
      <c r="D369" s="89"/>
      <c r="E369" s="89"/>
      <c r="F369" s="89"/>
      <c r="G369" s="89"/>
      <c r="H369" s="89"/>
      <c r="I369" s="89"/>
      <c r="J369" s="89"/>
      <c r="K369" s="89"/>
      <c r="L369" s="89"/>
      <c r="M369" s="89"/>
      <c r="N369" s="89"/>
      <c r="O369" s="85"/>
      <c r="P369" s="89"/>
      <c r="Q369" s="137"/>
      <c r="R369" s="138"/>
      <c r="S369" s="138"/>
      <c r="T369" s="85"/>
      <c r="U369" s="85"/>
      <c r="V369" s="85"/>
      <c r="W369" s="138"/>
      <c r="X369" s="139"/>
      <c r="Y369" s="139"/>
      <c r="Z369" s="139"/>
      <c r="AA369" s="139"/>
      <c r="AB369" s="139"/>
      <c r="AC369" s="139"/>
      <c r="AD369" s="139"/>
      <c r="AE369" s="139"/>
      <c r="AF369" s="139"/>
      <c r="AG369" s="139"/>
      <c r="AH369" s="139"/>
      <c r="AI369" s="139"/>
      <c r="AJ369" s="139"/>
      <c r="AK369" s="139"/>
      <c r="AL369" s="139"/>
      <c r="AM369" s="139"/>
      <c r="AN369" s="139"/>
      <c r="AO369" s="139"/>
    </row>
    <row r="370">
      <c r="A370" s="85"/>
      <c r="B370" s="86"/>
      <c r="C370" s="85"/>
      <c r="D370" s="89"/>
      <c r="E370" s="89"/>
      <c r="F370" s="89"/>
      <c r="G370" s="89"/>
      <c r="H370" s="89"/>
      <c r="I370" s="89"/>
      <c r="J370" s="89"/>
      <c r="K370" s="89"/>
      <c r="L370" s="89"/>
      <c r="M370" s="89"/>
      <c r="N370" s="89"/>
      <c r="O370" s="85"/>
      <c r="P370" s="89"/>
      <c r="Q370" s="137"/>
      <c r="R370" s="138"/>
      <c r="S370" s="138"/>
      <c r="T370" s="85"/>
      <c r="U370" s="85"/>
      <c r="V370" s="85"/>
      <c r="W370" s="138"/>
      <c r="X370" s="139"/>
      <c r="Y370" s="139"/>
      <c r="Z370" s="139"/>
      <c r="AA370" s="139"/>
      <c r="AB370" s="139"/>
      <c r="AC370" s="139"/>
      <c r="AD370" s="139"/>
      <c r="AE370" s="139"/>
      <c r="AF370" s="139"/>
      <c r="AG370" s="139"/>
      <c r="AH370" s="139"/>
      <c r="AI370" s="139"/>
      <c r="AJ370" s="139"/>
      <c r="AK370" s="139"/>
      <c r="AL370" s="139"/>
      <c r="AM370" s="139"/>
      <c r="AN370" s="139"/>
      <c r="AO370" s="139"/>
    </row>
    <row r="371">
      <c r="A371" s="85"/>
      <c r="B371" s="86"/>
      <c r="C371" s="85"/>
      <c r="D371" s="89"/>
      <c r="E371" s="89"/>
      <c r="F371" s="89"/>
      <c r="G371" s="89"/>
      <c r="H371" s="89"/>
      <c r="I371" s="89"/>
      <c r="J371" s="89"/>
      <c r="K371" s="89"/>
      <c r="L371" s="89"/>
      <c r="M371" s="89"/>
      <c r="N371" s="89"/>
      <c r="O371" s="85"/>
      <c r="P371" s="89"/>
      <c r="Q371" s="137"/>
      <c r="R371" s="138"/>
      <c r="S371" s="138"/>
      <c r="T371" s="85"/>
      <c r="U371" s="85"/>
      <c r="V371" s="85"/>
      <c r="W371" s="138"/>
      <c r="X371" s="139"/>
      <c r="Y371" s="139"/>
      <c r="Z371" s="139"/>
      <c r="AA371" s="139"/>
      <c r="AB371" s="139"/>
      <c r="AC371" s="139"/>
      <c r="AD371" s="139"/>
      <c r="AE371" s="139"/>
      <c r="AF371" s="139"/>
      <c r="AG371" s="139"/>
      <c r="AH371" s="139"/>
      <c r="AI371" s="139"/>
      <c r="AJ371" s="139"/>
      <c r="AK371" s="139"/>
      <c r="AL371" s="139"/>
      <c r="AM371" s="139"/>
      <c r="AN371" s="139"/>
      <c r="AO371" s="139"/>
    </row>
    <row r="372">
      <c r="A372" s="85"/>
      <c r="B372" s="86"/>
      <c r="C372" s="85"/>
      <c r="D372" s="89"/>
      <c r="E372" s="89"/>
      <c r="F372" s="89"/>
      <c r="G372" s="89"/>
      <c r="H372" s="89"/>
      <c r="I372" s="89"/>
      <c r="J372" s="89"/>
      <c r="K372" s="89"/>
      <c r="L372" s="89"/>
      <c r="M372" s="89"/>
      <c r="N372" s="89"/>
      <c r="O372" s="85"/>
      <c r="P372" s="89"/>
      <c r="Q372" s="137"/>
      <c r="R372" s="138"/>
      <c r="S372" s="138"/>
      <c r="T372" s="85"/>
      <c r="U372" s="85"/>
      <c r="V372" s="85"/>
      <c r="W372" s="138"/>
      <c r="X372" s="139"/>
      <c r="Y372" s="139"/>
      <c r="Z372" s="139"/>
      <c r="AA372" s="139"/>
      <c r="AB372" s="139"/>
      <c r="AC372" s="139"/>
      <c r="AD372" s="139"/>
      <c r="AE372" s="139"/>
      <c r="AF372" s="139"/>
      <c r="AG372" s="139"/>
      <c r="AH372" s="139"/>
      <c r="AI372" s="139"/>
      <c r="AJ372" s="139"/>
      <c r="AK372" s="139"/>
      <c r="AL372" s="139"/>
      <c r="AM372" s="139"/>
      <c r="AN372" s="139"/>
      <c r="AO372" s="139"/>
    </row>
    <row r="373">
      <c r="A373" s="85"/>
      <c r="B373" s="86"/>
      <c r="C373" s="85"/>
      <c r="D373" s="89"/>
      <c r="E373" s="89"/>
      <c r="F373" s="89"/>
      <c r="G373" s="89"/>
      <c r="H373" s="89"/>
      <c r="I373" s="89"/>
      <c r="J373" s="89"/>
      <c r="K373" s="89"/>
      <c r="L373" s="89"/>
      <c r="M373" s="89"/>
      <c r="N373" s="89"/>
      <c r="O373" s="85"/>
      <c r="P373" s="89"/>
      <c r="Q373" s="137"/>
      <c r="R373" s="138"/>
      <c r="S373" s="138"/>
      <c r="T373" s="85"/>
      <c r="U373" s="85"/>
      <c r="V373" s="85"/>
      <c r="W373" s="138"/>
      <c r="X373" s="139"/>
      <c r="Y373" s="139"/>
      <c r="Z373" s="139"/>
      <c r="AA373" s="139"/>
      <c r="AB373" s="139"/>
      <c r="AC373" s="139"/>
      <c r="AD373" s="139"/>
      <c r="AE373" s="139"/>
      <c r="AF373" s="139"/>
      <c r="AG373" s="139"/>
      <c r="AH373" s="139"/>
      <c r="AI373" s="139"/>
      <c r="AJ373" s="139"/>
      <c r="AK373" s="139"/>
      <c r="AL373" s="139"/>
      <c r="AM373" s="139"/>
      <c r="AN373" s="139"/>
      <c r="AO373" s="139"/>
    </row>
    <row r="374">
      <c r="A374" s="85"/>
      <c r="B374" s="86"/>
      <c r="C374" s="85"/>
      <c r="D374" s="89"/>
      <c r="E374" s="89"/>
      <c r="F374" s="89"/>
      <c r="G374" s="89"/>
      <c r="H374" s="89"/>
      <c r="I374" s="89"/>
      <c r="J374" s="89"/>
      <c r="K374" s="89"/>
      <c r="L374" s="89"/>
      <c r="M374" s="89"/>
      <c r="N374" s="89"/>
      <c r="O374" s="85"/>
      <c r="P374" s="89"/>
      <c r="Q374" s="137"/>
      <c r="R374" s="138"/>
      <c r="S374" s="138"/>
      <c r="T374" s="85"/>
      <c r="U374" s="85"/>
      <c r="V374" s="85"/>
      <c r="W374" s="138"/>
      <c r="X374" s="139"/>
      <c r="Y374" s="139"/>
      <c r="Z374" s="139"/>
      <c r="AA374" s="139"/>
      <c r="AB374" s="139"/>
      <c r="AC374" s="139"/>
      <c r="AD374" s="139"/>
      <c r="AE374" s="139"/>
      <c r="AF374" s="139"/>
      <c r="AG374" s="139"/>
      <c r="AH374" s="139"/>
      <c r="AI374" s="139"/>
      <c r="AJ374" s="139"/>
      <c r="AK374" s="139"/>
      <c r="AL374" s="139"/>
      <c r="AM374" s="139"/>
      <c r="AN374" s="139"/>
      <c r="AO374" s="139"/>
    </row>
    <row r="375">
      <c r="A375" s="85"/>
      <c r="B375" s="86"/>
      <c r="C375" s="85"/>
      <c r="D375" s="89"/>
      <c r="E375" s="89"/>
      <c r="F375" s="89"/>
      <c r="G375" s="89"/>
      <c r="H375" s="89"/>
      <c r="I375" s="89"/>
      <c r="J375" s="89"/>
      <c r="K375" s="89"/>
      <c r="L375" s="89"/>
      <c r="M375" s="89"/>
      <c r="N375" s="89"/>
      <c r="O375" s="85"/>
      <c r="P375" s="89"/>
      <c r="Q375" s="137"/>
      <c r="R375" s="138"/>
      <c r="S375" s="138"/>
      <c r="T375" s="85"/>
      <c r="U375" s="85"/>
      <c r="V375" s="85"/>
      <c r="W375" s="138"/>
      <c r="X375" s="139"/>
      <c r="Y375" s="139"/>
      <c r="Z375" s="139"/>
      <c r="AA375" s="139"/>
      <c r="AB375" s="139"/>
      <c r="AC375" s="139"/>
      <c r="AD375" s="139"/>
      <c r="AE375" s="139"/>
      <c r="AF375" s="139"/>
      <c r="AG375" s="139"/>
      <c r="AH375" s="139"/>
      <c r="AI375" s="139"/>
      <c r="AJ375" s="139"/>
      <c r="AK375" s="139"/>
      <c r="AL375" s="139"/>
      <c r="AM375" s="139"/>
      <c r="AN375" s="139"/>
      <c r="AO375" s="139"/>
    </row>
    <row r="376">
      <c r="A376" s="85"/>
      <c r="B376" s="86"/>
      <c r="C376" s="85"/>
      <c r="D376" s="89"/>
      <c r="E376" s="89"/>
      <c r="F376" s="89"/>
      <c r="G376" s="89"/>
      <c r="H376" s="89"/>
      <c r="I376" s="89"/>
      <c r="J376" s="89"/>
      <c r="K376" s="89"/>
      <c r="L376" s="89"/>
      <c r="M376" s="89"/>
      <c r="N376" s="89"/>
      <c r="O376" s="85"/>
      <c r="P376" s="89"/>
      <c r="Q376" s="137"/>
      <c r="R376" s="138"/>
      <c r="S376" s="138"/>
      <c r="T376" s="85"/>
      <c r="U376" s="85"/>
      <c r="V376" s="85"/>
      <c r="W376" s="138"/>
      <c r="X376" s="139"/>
      <c r="Y376" s="139"/>
      <c r="Z376" s="139"/>
      <c r="AA376" s="139"/>
      <c r="AB376" s="139"/>
      <c r="AC376" s="139"/>
      <c r="AD376" s="139"/>
      <c r="AE376" s="139"/>
      <c r="AF376" s="139"/>
      <c r="AG376" s="139"/>
      <c r="AH376" s="139"/>
      <c r="AI376" s="139"/>
      <c r="AJ376" s="139"/>
      <c r="AK376" s="139"/>
      <c r="AL376" s="139"/>
      <c r="AM376" s="139"/>
      <c r="AN376" s="139"/>
      <c r="AO376" s="139"/>
    </row>
    <row r="377">
      <c r="A377" s="85"/>
      <c r="B377" s="86"/>
      <c r="C377" s="85"/>
      <c r="D377" s="89"/>
      <c r="E377" s="89"/>
      <c r="F377" s="89"/>
      <c r="G377" s="89"/>
      <c r="H377" s="89"/>
      <c r="I377" s="89"/>
      <c r="J377" s="89"/>
      <c r="K377" s="89"/>
      <c r="L377" s="89"/>
      <c r="M377" s="89"/>
      <c r="N377" s="89"/>
      <c r="O377" s="85"/>
      <c r="P377" s="89"/>
      <c r="Q377" s="137"/>
      <c r="R377" s="138"/>
      <c r="S377" s="138"/>
      <c r="T377" s="85"/>
      <c r="U377" s="85"/>
      <c r="V377" s="85"/>
      <c r="W377" s="138"/>
      <c r="X377" s="139"/>
      <c r="Y377" s="139"/>
      <c r="Z377" s="139"/>
      <c r="AA377" s="139"/>
      <c r="AB377" s="139"/>
      <c r="AC377" s="139"/>
      <c r="AD377" s="139"/>
      <c r="AE377" s="139"/>
      <c r="AF377" s="139"/>
      <c r="AG377" s="139"/>
      <c r="AH377" s="139"/>
      <c r="AI377" s="139"/>
      <c r="AJ377" s="139"/>
      <c r="AK377" s="139"/>
      <c r="AL377" s="139"/>
      <c r="AM377" s="139"/>
      <c r="AN377" s="139"/>
      <c r="AO377" s="139"/>
    </row>
    <row r="378">
      <c r="A378" s="85"/>
      <c r="B378" s="86"/>
      <c r="C378" s="85"/>
      <c r="D378" s="89"/>
      <c r="E378" s="89"/>
      <c r="F378" s="89"/>
      <c r="G378" s="89"/>
      <c r="H378" s="89"/>
      <c r="I378" s="89"/>
      <c r="J378" s="89"/>
      <c r="K378" s="89"/>
      <c r="L378" s="89"/>
      <c r="M378" s="89"/>
      <c r="N378" s="89"/>
      <c r="O378" s="85"/>
      <c r="P378" s="89"/>
      <c r="Q378" s="137"/>
      <c r="R378" s="138"/>
      <c r="S378" s="138"/>
      <c r="T378" s="85"/>
      <c r="U378" s="85"/>
      <c r="V378" s="85"/>
      <c r="W378" s="138"/>
      <c r="X378" s="139"/>
      <c r="Y378" s="139"/>
      <c r="Z378" s="139"/>
      <c r="AA378" s="139"/>
      <c r="AB378" s="139"/>
      <c r="AC378" s="139"/>
      <c r="AD378" s="139"/>
      <c r="AE378" s="139"/>
      <c r="AF378" s="139"/>
      <c r="AG378" s="139"/>
      <c r="AH378" s="139"/>
      <c r="AI378" s="139"/>
      <c r="AJ378" s="139"/>
      <c r="AK378" s="139"/>
      <c r="AL378" s="139"/>
      <c r="AM378" s="139"/>
      <c r="AN378" s="139"/>
      <c r="AO378" s="139"/>
    </row>
    <row r="379">
      <c r="A379" s="85"/>
      <c r="B379" s="86"/>
      <c r="C379" s="85"/>
      <c r="D379" s="89"/>
      <c r="E379" s="89"/>
      <c r="F379" s="89"/>
      <c r="G379" s="89"/>
      <c r="H379" s="89"/>
      <c r="I379" s="89"/>
      <c r="J379" s="89"/>
      <c r="K379" s="89"/>
      <c r="L379" s="89"/>
      <c r="M379" s="89"/>
      <c r="N379" s="89"/>
      <c r="O379" s="85"/>
      <c r="P379" s="89"/>
      <c r="Q379" s="137"/>
      <c r="R379" s="138"/>
      <c r="S379" s="138"/>
      <c r="T379" s="85"/>
      <c r="U379" s="85"/>
      <c r="V379" s="85"/>
      <c r="W379" s="138"/>
      <c r="X379" s="139"/>
      <c r="Y379" s="139"/>
      <c r="Z379" s="139"/>
      <c r="AA379" s="139"/>
      <c r="AB379" s="139"/>
      <c r="AC379" s="139"/>
      <c r="AD379" s="139"/>
      <c r="AE379" s="139"/>
      <c r="AF379" s="139"/>
      <c r="AG379" s="139"/>
      <c r="AH379" s="139"/>
      <c r="AI379" s="139"/>
      <c r="AJ379" s="139"/>
      <c r="AK379" s="139"/>
      <c r="AL379" s="139"/>
      <c r="AM379" s="139"/>
      <c r="AN379" s="139"/>
      <c r="AO379" s="139"/>
    </row>
    <row r="380">
      <c r="A380" s="85"/>
      <c r="B380" s="86"/>
      <c r="C380" s="85"/>
      <c r="D380" s="89"/>
      <c r="E380" s="89"/>
      <c r="F380" s="89"/>
      <c r="G380" s="89"/>
      <c r="H380" s="89"/>
      <c r="I380" s="89"/>
      <c r="J380" s="89"/>
      <c r="K380" s="89"/>
      <c r="L380" s="89"/>
      <c r="M380" s="89"/>
      <c r="N380" s="89"/>
      <c r="O380" s="85"/>
      <c r="P380" s="89"/>
      <c r="Q380" s="137"/>
      <c r="R380" s="138"/>
      <c r="S380" s="138"/>
      <c r="T380" s="85"/>
      <c r="U380" s="85"/>
      <c r="V380" s="85"/>
      <c r="W380" s="138"/>
      <c r="X380" s="139"/>
      <c r="Y380" s="139"/>
      <c r="Z380" s="139"/>
      <c r="AA380" s="139"/>
      <c r="AB380" s="139"/>
      <c r="AC380" s="139"/>
      <c r="AD380" s="139"/>
      <c r="AE380" s="139"/>
      <c r="AF380" s="139"/>
      <c r="AG380" s="139"/>
      <c r="AH380" s="139"/>
      <c r="AI380" s="139"/>
      <c r="AJ380" s="139"/>
      <c r="AK380" s="139"/>
      <c r="AL380" s="139"/>
      <c r="AM380" s="139"/>
      <c r="AN380" s="139"/>
      <c r="AO380" s="139"/>
    </row>
    <row r="381">
      <c r="A381" s="85"/>
      <c r="B381" s="86"/>
      <c r="C381" s="85"/>
      <c r="D381" s="89"/>
      <c r="E381" s="89"/>
      <c r="F381" s="89"/>
      <c r="G381" s="89"/>
      <c r="H381" s="89"/>
      <c r="I381" s="89"/>
      <c r="J381" s="89"/>
      <c r="K381" s="89"/>
      <c r="L381" s="89"/>
      <c r="M381" s="89"/>
      <c r="N381" s="89"/>
      <c r="O381" s="85"/>
      <c r="P381" s="89"/>
      <c r="Q381" s="137"/>
      <c r="R381" s="138"/>
      <c r="S381" s="138"/>
      <c r="T381" s="85"/>
      <c r="U381" s="85"/>
      <c r="V381" s="85"/>
      <c r="W381" s="138"/>
      <c r="X381" s="139"/>
      <c r="Y381" s="139"/>
      <c r="Z381" s="139"/>
      <c r="AA381" s="139"/>
      <c r="AB381" s="139"/>
      <c r="AC381" s="139"/>
      <c r="AD381" s="139"/>
      <c r="AE381" s="139"/>
      <c r="AF381" s="139"/>
      <c r="AG381" s="139"/>
      <c r="AH381" s="139"/>
      <c r="AI381" s="139"/>
      <c r="AJ381" s="139"/>
      <c r="AK381" s="139"/>
      <c r="AL381" s="139"/>
      <c r="AM381" s="139"/>
      <c r="AN381" s="139"/>
      <c r="AO381" s="139"/>
    </row>
    <row r="382">
      <c r="A382" s="85"/>
      <c r="B382" s="86"/>
      <c r="C382" s="85"/>
      <c r="D382" s="89"/>
      <c r="E382" s="89"/>
      <c r="F382" s="89"/>
      <c r="G382" s="89"/>
      <c r="H382" s="89"/>
      <c r="I382" s="89"/>
      <c r="J382" s="89"/>
      <c r="K382" s="89"/>
      <c r="L382" s="89"/>
      <c r="M382" s="89"/>
      <c r="N382" s="89"/>
      <c r="O382" s="85"/>
      <c r="P382" s="89"/>
      <c r="Q382" s="137"/>
      <c r="R382" s="138"/>
      <c r="S382" s="138"/>
      <c r="T382" s="85"/>
      <c r="U382" s="85"/>
      <c r="V382" s="85"/>
      <c r="W382" s="138"/>
      <c r="X382" s="139"/>
      <c r="Y382" s="139"/>
      <c r="Z382" s="139"/>
      <c r="AA382" s="139"/>
      <c r="AB382" s="139"/>
      <c r="AC382" s="139"/>
      <c r="AD382" s="139"/>
      <c r="AE382" s="139"/>
      <c r="AF382" s="139"/>
      <c r="AG382" s="139"/>
      <c r="AH382" s="139"/>
      <c r="AI382" s="139"/>
      <c r="AJ382" s="139"/>
      <c r="AK382" s="139"/>
      <c r="AL382" s="139"/>
      <c r="AM382" s="139"/>
      <c r="AN382" s="139"/>
      <c r="AO382" s="139"/>
    </row>
    <row r="383">
      <c r="A383" s="85"/>
      <c r="B383" s="86"/>
      <c r="C383" s="85"/>
      <c r="D383" s="89"/>
      <c r="E383" s="89"/>
      <c r="F383" s="89"/>
      <c r="G383" s="89"/>
      <c r="H383" s="89"/>
      <c r="I383" s="89"/>
      <c r="J383" s="89"/>
      <c r="K383" s="89"/>
      <c r="L383" s="89"/>
      <c r="M383" s="89"/>
      <c r="N383" s="89"/>
      <c r="O383" s="85"/>
      <c r="P383" s="89"/>
      <c r="Q383" s="137"/>
      <c r="R383" s="138"/>
      <c r="S383" s="138"/>
      <c r="T383" s="85"/>
      <c r="U383" s="85"/>
      <c r="V383" s="85"/>
      <c r="W383" s="138"/>
      <c r="X383" s="139"/>
      <c r="Y383" s="139"/>
      <c r="Z383" s="139"/>
      <c r="AA383" s="139"/>
      <c r="AB383" s="139"/>
      <c r="AC383" s="139"/>
      <c r="AD383" s="139"/>
      <c r="AE383" s="139"/>
      <c r="AF383" s="139"/>
      <c r="AG383" s="139"/>
      <c r="AH383" s="139"/>
      <c r="AI383" s="139"/>
      <c r="AJ383" s="139"/>
      <c r="AK383" s="139"/>
      <c r="AL383" s="139"/>
      <c r="AM383" s="139"/>
      <c r="AN383" s="139"/>
      <c r="AO383" s="139"/>
    </row>
    <row r="384">
      <c r="A384" s="85"/>
      <c r="B384" s="86"/>
      <c r="C384" s="85"/>
      <c r="D384" s="89"/>
      <c r="E384" s="89"/>
      <c r="F384" s="89"/>
      <c r="G384" s="89"/>
      <c r="H384" s="89"/>
      <c r="I384" s="89"/>
      <c r="J384" s="89"/>
      <c r="K384" s="89"/>
      <c r="L384" s="89"/>
      <c r="M384" s="89"/>
      <c r="N384" s="89"/>
      <c r="O384" s="85"/>
      <c r="P384" s="89"/>
      <c r="Q384" s="137"/>
      <c r="R384" s="138"/>
      <c r="S384" s="138"/>
      <c r="T384" s="85"/>
      <c r="U384" s="85"/>
      <c r="V384" s="85"/>
      <c r="W384" s="138"/>
      <c r="X384" s="139"/>
      <c r="Y384" s="139"/>
      <c r="Z384" s="139"/>
      <c r="AA384" s="139"/>
      <c r="AB384" s="139"/>
      <c r="AC384" s="139"/>
      <c r="AD384" s="139"/>
      <c r="AE384" s="139"/>
      <c r="AF384" s="139"/>
      <c r="AG384" s="139"/>
      <c r="AH384" s="139"/>
      <c r="AI384" s="139"/>
      <c r="AJ384" s="139"/>
      <c r="AK384" s="139"/>
      <c r="AL384" s="139"/>
      <c r="AM384" s="139"/>
      <c r="AN384" s="139"/>
      <c r="AO384" s="139"/>
    </row>
    <row r="385">
      <c r="A385" s="85"/>
      <c r="B385" s="86"/>
      <c r="C385" s="85"/>
      <c r="D385" s="89"/>
      <c r="E385" s="89"/>
      <c r="F385" s="89"/>
      <c r="G385" s="89"/>
      <c r="H385" s="89"/>
      <c r="I385" s="89"/>
      <c r="J385" s="89"/>
      <c r="K385" s="89"/>
      <c r="L385" s="89"/>
      <c r="M385" s="89"/>
      <c r="N385" s="89"/>
      <c r="O385" s="85"/>
      <c r="P385" s="89"/>
      <c r="Q385" s="137"/>
      <c r="R385" s="138"/>
      <c r="S385" s="138"/>
      <c r="T385" s="85"/>
      <c r="U385" s="85"/>
      <c r="V385" s="85"/>
      <c r="W385" s="138"/>
      <c r="X385" s="139"/>
      <c r="Y385" s="139"/>
      <c r="Z385" s="139"/>
      <c r="AA385" s="139"/>
      <c r="AB385" s="139"/>
      <c r="AC385" s="139"/>
      <c r="AD385" s="139"/>
      <c r="AE385" s="139"/>
      <c r="AF385" s="139"/>
      <c r="AG385" s="139"/>
      <c r="AH385" s="139"/>
      <c r="AI385" s="139"/>
      <c r="AJ385" s="139"/>
      <c r="AK385" s="139"/>
      <c r="AL385" s="139"/>
      <c r="AM385" s="139"/>
      <c r="AN385" s="139"/>
      <c r="AO385" s="139"/>
    </row>
    <row r="386">
      <c r="A386" s="85"/>
      <c r="B386" s="86"/>
      <c r="C386" s="85"/>
      <c r="D386" s="89"/>
      <c r="E386" s="89"/>
      <c r="F386" s="89"/>
      <c r="G386" s="89"/>
      <c r="H386" s="89"/>
      <c r="I386" s="89"/>
      <c r="J386" s="89"/>
      <c r="K386" s="89"/>
      <c r="L386" s="89"/>
      <c r="M386" s="89"/>
      <c r="N386" s="89"/>
      <c r="O386" s="85"/>
      <c r="P386" s="89"/>
      <c r="Q386" s="137"/>
      <c r="R386" s="138"/>
      <c r="S386" s="138"/>
      <c r="T386" s="85"/>
      <c r="U386" s="85"/>
      <c r="V386" s="85"/>
      <c r="W386" s="138"/>
      <c r="X386" s="139"/>
      <c r="Y386" s="139"/>
      <c r="Z386" s="139"/>
      <c r="AA386" s="139"/>
      <c r="AB386" s="139"/>
      <c r="AC386" s="139"/>
      <c r="AD386" s="139"/>
      <c r="AE386" s="139"/>
      <c r="AF386" s="139"/>
      <c r="AG386" s="139"/>
      <c r="AH386" s="139"/>
      <c r="AI386" s="139"/>
      <c r="AJ386" s="139"/>
      <c r="AK386" s="139"/>
      <c r="AL386" s="139"/>
      <c r="AM386" s="139"/>
      <c r="AN386" s="139"/>
      <c r="AO386" s="139"/>
    </row>
    <row r="387">
      <c r="A387" s="85"/>
      <c r="B387" s="86"/>
      <c r="C387" s="85"/>
      <c r="D387" s="89"/>
      <c r="E387" s="89"/>
      <c r="F387" s="89"/>
      <c r="G387" s="89"/>
      <c r="H387" s="89"/>
      <c r="I387" s="89"/>
      <c r="J387" s="89"/>
      <c r="K387" s="89"/>
      <c r="L387" s="89"/>
      <c r="M387" s="89"/>
      <c r="N387" s="89"/>
      <c r="O387" s="85"/>
      <c r="P387" s="89"/>
      <c r="Q387" s="137"/>
      <c r="R387" s="138"/>
      <c r="S387" s="138"/>
      <c r="T387" s="85"/>
      <c r="U387" s="85"/>
      <c r="V387" s="85"/>
      <c r="W387" s="138"/>
      <c r="X387" s="139"/>
      <c r="Y387" s="139"/>
      <c r="Z387" s="139"/>
      <c r="AA387" s="139"/>
      <c r="AB387" s="139"/>
      <c r="AC387" s="139"/>
      <c r="AD387" s="139"/>
      <c r="AE387" s="139"/>
      <c r="AF387" s="139"/>
      <c r="AG387" s="139"/>
      <c r="AH387" s="139"/>
      <c r="AI387" s="139"/>
      <c r="AJ387" s="139"/>
      <c r="AK387" s="139"/>
      <c r="AL387" s="139"/>
      <c r="AM387" s="139"/>
      <c r="AN387" s="139"/>
      <c r="AO387" s="139"/>
    </row>
    <row r="388">
      <c r="A388" s="85"/>
      <c r="B388" s="86"/>
      <c r="C388" s="85"/>
      <c r="D388" s="89"/>
      <c r="E388" s="89"/>
      <c r="F388" s="89"/>
      <c r="G388" s="89"/>
      <c r="H388" s="89"/>
      <c r="I388" s="89"/>
      <c r="J388" s="89"/>
      <c r="K388" s="89"/>
      <c r="L388" s="89"/>
      <c r="M388" s="89"/>
      <c r="N388" s="89"/>
      <c r="O388" s="85"/>
      <c r="P388" s="89"/>
      <c r="Q388" s="137"/>
      <c r="R388" s="138"/>
      <c r="S388" s="138"/>
      <c r="T388" s="85"/>
      <c r="U388" s="85"/>
      <c r="V388" s="85"/>
      <c r="W388" s="138"/>
      <c r="X388" s="139"/>
      <c r="Y388" s="139"/>
      <c r="Z388" s="139"/>
      <c r="AA388" s="139"/>
      <c r="AB388" s="139"/>
      <c r="AC388" s="139"/>
      <c r="AD388" s="139"/>
      <c r="AE388" s="139"/>
      <c r="AF388" s="139"/>
      <c r="AG388" s="139"/>
      <c r="AH388" s="139"/>
      <c r="AI388" s="139"/>
      <c r="AJ388" s="139"/>
      <c r="AK388" s="139"/>
      <c r="AL388" s="139"/>
      <c r="AM388" s="139"/>
      <c r="AN388" s="139"/>
      <c r="AO388" s="139"/>
    </row>
    <row r="389">
      <c r="A389" s="85"/>
      <c r="B389" s="86"/>
      <c r="C389" s="85"/>
      <c r="D389" s="89"/>
      <c r="E389" s="89"/>
      <c r="F389" s="89"/>
      <c r="G389" s="89"/>
      <c r="H389" s="89"/>
      <c r="I389" s="89"/>
      <c r="J389" s="89"/>
      <c r="K389" s="89"/>
      <c r="L389" s="89"/>
      <c r="M389" s="89"/>
      <c r="N389" s="89"/>
      <c r="O389" s="85"/>
      <c r="P389" s="89"/>
      <c r="Q389" s="137"/>
      <c r="R389" s="138"/>
      <c r="S389" s="138"/>
      <c r="T389" s="85"/>
      <c r="U389" s="85"/>
      <c r="V389" s="85"/>
      <c r="W389" s="138"/>
      <c r="X389" s="139"/>
      <c r="Y389" s="139"/>
      <c r="Z389" s="139"/>
      <c r="AA389" s="139"/>
      <c r="AB389" s="139"/>
      <c r="AC389" s="139"/>
      <c r="AD389" s="139"/>
      <c r="AE389" s="139"/>
      <c r="AF389" s="139"/>
      <c r="AG389" s="139"/>
      <c r="AH389" s="139"/>
      <c r="AI389" s="139"/>
      <c r="AJ389" s="139"/>
      <c r="AK389" s="139"/>
      <c r="AL389" s="139"/>
      <c r="AM389" s="139"/>
      <c r="AN389" s="139"/>
      <c r="AO389" s="139"/>
    </row>
    <row r="390">
      <c r="A390" s="85"/>
      <c r="B390" s="86"/>
      <c r="C390" s="85"/>
      <c r="D390" s="89"/>
      <c r="E390" s="89"/>
      <c r="F390" s="89"/>
      <c r="G390" s="89"/>
      <c r="H390" s="89"/>
      <c r="I390" s="89"/>
      <c r="J390" s="89"/>
      <c r="K390" s="89"/>
      <c r="L390" s="89"/>
      <c r="M390" s="89"/>
      <c r="N390" s="89"/>
      <c r="O390" s="85"/>
      <c r="P390" s="89"/>
      <c r="Q390" s="137"/>
      <c r="R390" s="138"/>
      <c r="S390" s="138"/>
      <c r="T390" s="85"/>
      <c r="U390" s="85"/>
      <c r="V390" s="85"/>
      <c r="W390" s="138"/>
      <c r="X390" s="139"/>
      <c r="Y390" s="139"/>
      <c r="Z390" s="139"/>
      <c r="AA390" s="139"/>
      <c r="AB390" s="139"/>
      <c r="AC390" s="139"/>
      <c r="AD390" s="139"/>
      <c r="AE390" s="139"/>
      <c r="AF390" s="139"/>
      <c r="AG390" s="139"/>
      <c r="AH390" s="139"/>
      <c r="AI390" s="139"/>
      <c r="AJ390" s="139"/>
      <c r="AK390" s="139"/>
      <c r="AL390" s="139"/>
      <c r="AM390" s="139"/>
      <c r="AN390" s="139"/>
      <c r="AO390" s="139"/>
    </row>
    <row r="391">
      <c r="A391" s="85"/>
      <c r="B391" s="86"/>
      <c r="C391" s="85"/>
      <c r="D391" s="89"/>
      <c r="E391" s="89"/>
      <c r="F391" s="89"/>
      <c r="G391" s="89"/>
      <c r="H391" s="89"/>
      <c r="I391" s="89"/>
      <c r="J391" s="89"/>
      <c r="K391" s="89"/>
      <c r="L391" s="89"/>
      <c r="M391" s="89"/>
      <c r="N391" s="89"/>
      <c r="O391" s="85"/>
      <c r="P391" s="89"/>
      <c r="Q391" s="137"/>
      <c r="R391" s="138"/>
      <c r="S391" s="138"/>
      <c r="T391" s="85"/>
      <c r="U391" s="85"/>
      <c r="V391" s="85"/>
      <c r="W391" s="138"/>
      <c r="X391" s="139"/>
      <c r="Y391" s="139"/>
      <c r="Z391" s="139"/>
      <c r="AA391" s="139"/>
      <c r="AB391" s="139"/>
      <c r="AC391" s="139"/>
      <c r="AD391" s="139"/>
      <c r="AE391" s="139"/>
      <c r="AF391" s="139"/>
      <c r="AG391" s="139"/>
      <c r="AH391" s="139"/>
      <c r="AI391" s="139"/>
      <c r="AJ391" s="139"/>
      <c r="AK391" s="139"/>
      <c r="AL391" s="139"/>
      <c r="AM391" s="139"/>
      <c r="AN391" s="139"/>
      <c r="AO391" s="139"/>
    </row>
    <row r="392">
      <c r="A392" s="85"/>
      <c r="B392" s="86"/>
      <c r="C392" s="85"/>
      <c r="D392" s="89"/>
      <c r="E392" s="89"/>
      <c r="F392" s="89"/>
      <c r="G392" s="89"/>
      <c r="H392" s="89"/>
      <c r="I392" s="89"/>
      <c r="J392" s="89"/>
      <c r="K392" s="89"/>
      <c r="L392" s="89"/>
      <c r="M392" s="89"/>
      <c r="N392" s="89"/>
      <c r="O392" s="85"/>
      <c r="P392" s="89"/>
      <c r="Q392" s="137"/>
      <c r="R392" s="138"/>
      <c r="S392" s="138"/>
      <c r="T392" s="85"/>
      <c r="U392" s="85"/>
      <c r="V392" s="85"/>
      <c r="W392" s="138"/>
      <c r="X392" s="139"/>
      <c r="Y392" s="139"/>
      <c r="Z392" s="139"/>
      <c r="AA392" s="139"/>
      <c r="AB392" s="139"/>
      <c r="AC392" s="139"/>
      <c r="AD392" s="139"/>
      <c r="AE392" s="139"/>
      <c r="AF392" s="139"/>
      <c r="AG392" s="139"/>
      <c r="AH392" s="139"/>
      <c r="AI392" s="139"/>
      <c r="AJ392" s="139"/>
      <c r="AK392" s="139"/>
      <c r="AL392" s="139"/>
      <c r="AM392" s="139"/>
      <c r="AN392" s="139"/>
      <c r="AO392" s="139"/>
    </row>
    <row r="393">
      <c r="A393" s="85"/>
      <c r="B393" s="86"/>
      <c r="C393" s="85"/>
      <c r="D393" s="89"/>
      <c r="E393" s="89"/>
      <c r="F393" s="89"/>
      <c r="G393" s="89"/>
      <c r="H393" s="89"/>
      <c r="I393" s="89"/>
      <c r="J393" s="89"/>
      <c r="K393" s="89"/>
      <c r="L393" s="89"/>
      <c r="M393" s="89"/>
      <c r="N393" s="89"/>
      <c r="O393" s="85"/>
      <c r="P393" s="89"/>
      <c r="Q393" s="137"/>
      <c r="R393" s="138"/>
      <c r="S393" s="138"/>
      <c r="T393" s="85"/>
      <c r="U393" s="85"/>
      <c r="V393" s="85"/>
      <c r="W393" s="138"/>
      <c r="X393" s="139"/>
      <c r="Y393" s="139"/>
      <c r="Z393" s="139"/>
      <c r="AA393" s="139"/>
      <c r="AB393" s="139"/>
      <c r="AC393" s="139"/>
      <c r="AD393" s="139"/>
      <c r="AE393" s="139"/>
      <c r="AF393" s="139"/>
      <c r="AG393" s="139"/>
      <c r="AH393" s="139"/>
      <c r="AI393" s="139"/>
      <c r="AJ393" s="139"/>
      <c r="AK393" s="139"/>
      <c r="AL393" s="139"/>
      <c r="AM393" s="139"/>
      <c r="AN393" s="139"/>
      <c r="AO393" s="139"/>
    </row>
    <row r="394">
      <c r="A394" s="85"/>
      <c r="B394" s="86"/>
      <c r="C394" s="85"/>
      <c r="D394" s="89"/>
      <c r="E394" s="89"/>
      <c r="F394" s="89"/>
      <c r="G394" s="89"/>
      <c r="H394" s="89"/>
      <c r="I394" s="89"/>
      <c r="J394" s="89"/>
      <c r="K394" s="89"/>
      <c r="L394" s="89"/>
      <c r="M394" s="89"/>
      <c r="N394" s="89"/>
      <c r="O394" s="85"/>
      <c r="P394" s="89"/>
      <c r="Q394" s="137"/>
      <c r="R394" s="138"/>
      <c r="S394" s="138"/>
      <c r="T394" s="85"/>
      <c r="U394" s="85"/>
      <c r="V394" s="85"/>
      <c r="W394" s="138"/>
      <c r="X394" s="139"/>
      <c r="Y394" s="139"/>
      <c r="Z394" s="139"/>
      <c r="AA394" s="139"/>
      <c r="AB394" s="139"/>
      <c r="AC394" s="139"/>
      <c r="AD394" s="139"/>
      <c r="AE394" s="139"/>
      <c r="AF394" s="139"/>
      <c r="AG394" s="139"/>
      <c r="AH394" s="139"/>
      <c r="AI394" s="139"/>
      <c r="AJ394" s="139"/>
      <c r="AK394" s="139"/>
      <c r="AL394" s="139"/>
      <c r="AM394" s="139"/>
      <c r="AN394" s="139"/>
      <c r="AO394" s="139"/>
    </row>
    <row r="395">
      <c r="A395" s="85"/>
      <c r="B395" s="86"/>
      <c r="C395" s="85"/>
      <c r="D395" s="89"/>
      <c r="E395" s="89"/>
      <c r="F395" s="89"/>
      <c r="G395" s="89"/>
      <c r="H395" s="89"/>
      <c r="I395" s="89"/>
      <c r="J395" s="89"/>
      <c r="K395" s="89"/>
      <c r="L395" s="89"/>
      <c r="M395" s="89"/>
      <c r="N395" s="89"/>
      <c r="O395" s="85"/>
      <c r="P395" s="89"/>
      <c r="Q395" s="137"/>
      <c r="R395" s="138"/>
      <c r="S395" s="138"/>
      <c r="T395" s="85"/>
      <c r="U395" s="85"/>
      <c r="V395" s="85"/>
      <c r="W395" s="138"/>
      <c r="X395" s="139"/>
      <c r="Y395" s="139"/>
      <c r="Z395" s="139"/>
      <c r="AA395" s="139"/>
      <c r="AB395" s="139"/>
      <c r="AC395" s="139"/>
      <c r="AD395" s="139"/>
      <c r="AE395" s="139"/>
      <c r="AF395" s="139"/>
      <c r="AG395" s="139"/>
      <c r="AH395" s="139"/>
      <c r="AI395" s="139"/>
      <c r="AJ395" s="139"/>
      <c r="AK395" s="139"/>
      <c r="AL395" s="139"/>
      <c r="AM395" s="139"/>
      <c r="AN395" s="139"/>
      <c r="AO395" s="139"/>
    </row>
    <row r="396">
      <c r="A396" s="85"/>
      <c r="B396" s="86"/>
      <c r="C396" s="85"/>
      <c r="D396" s="89"/>
      <c r="E396" s="89"/>
      <c r="F396" s="89"/>
      <c r="G396" s="89"/>
      <c r="H396" s="89"/>
      <c r="I396" s="89"/>
      <c r="J396" s="89"/>
      <c r="K396" s="89"/>
      <c r="L396" s="89"/>
      <c r="M396" s="89"/>
      <c r="N396" s="89"/>
      <c r="O396" s="85"/>
      <c r="P396" s="89"/>
      <c r="Q396" s="137"/>
      <c r="R396" s="138"/>
      <c r="S396" s="138"/>
      <c r="T396" s="85"/>
      <c r="U396" s="85"/>
      <c r="V396" s="85"/>
      <c r="W396" s="138"/>
      <c r="X396" s="139"/>
      <c r="Y396" s="139"/>
      <c r="Z396" s="139"/>
      <c r="AA396" s="139"/>
      <c r="AB396" s="139"/>
      <c r="AC396" s="139"/>
      <c r="AD396" s="139"/>
      <c r="AE396" s="139"/>
      <c r="AF396" s="139"/>
      <c r="AG396" s="139"/>
      <c r="AH396" s="139"/>
      <c r="AI396" s="139"/>
      <c r="AJ396" s="139"/>
      <c r="AK396" s="139"/>
      <c r="AL396" s="139"/>
      <c r="AM396" s="139"/>
      <c r="AN396" s="139"/>
      <c r="AO396" s="139"/>
    </row>
    <row r="397">
      <c r="A397" s="85"/>
      <c r="B397" s="86"/>
      <c r="C397" s="85"/>
      <c r="D397" s="89"/>
      <c r="E397" s="89"/>
      <c r="F397" s="89"/>
      <c r="G397" s="89"/>
      <c r="H397" s="89"/>
      <c r="I397" s="89"/>
      <c r="J397" s="89"/>
      <c r="K397" s="89"/>
      <c r="L397" s="89"/>
      <c r="M397" s="89"/>
      <c r="N397" s="89"/>
      <c r="O397" s="85"/>
      <c r="P397" s="89"/>
      <c r="Q397" s="137"/>
      <c r="R397" s="138"/>
      <c r="S397" s="138"/>
      <c r="T397" s="85"/>
      <c r="U397" s="85"/>
      <c r="V397" s="85"/>
      <c r="W397" s="138"/>
      <c r="X397" s="139"/>
      <c r="Y397" s="139"/>
      <c r="Z397" s="139"/>
      <c r="AA397" s="139"/>
      <c r="AB397" s="139"/>
      <c r="AC397" s="139"/>
      <c r="AD397" s="139"/>
      <c r="AE397" s="139"/>
      <c r="AF397" s="139"/>
      <c r="AG397" s="139"/>
      <c r="AH397" s="139"/>
      <c r="AI397" s="139"/>
      <c r="AJ397" s="139"/>
      <c r="AK397" s="139"/>
      <c r="AL397" s="139"/>
      <c r="AM397" s="139"/>
      <c r="AN397" s="139"/>
      <c r="AO397" s="139"/>
    </row>
    <row r="398">
      <c r="A398" s="85"/>
      <c r="B398" s="86"/>
      <c r="C398" s="85"/>
      <c r="D398" s="89"/>
      <c r="E398" s="89"/>
      <c r="F398" s="89"/>
      <c r="G398" s="89"/>
      <c r="H398" s="89"/>
      <c r="I398" s="89"/>
      <c r="J398" s="89"/>
      <c r="K398" s="89"/>
      <c r="L398" s="89"/>
      <c r="M398" s="89"/>
      <c r="N398" s="89"/>
      <c r="O398" s="85"/>
      <c r="P398" s="89"/>
      <c r="Q398" s="137"/>
      <c r="R398" s="138"/>
      <c r="S398" s="138"/>
      <c r="T398" s="85"/>
      <c r="U398" s="85"/>
      <c r="V398" s="85"/>
      <c r="W398" s="138"/>
      <c r="X398" s="139"/>
      <c r="Y398" s="139"/>
      <c r="Z398" s="139"/>
      <c r="AA398" s="139"/>
      <c r="AB398" s="139"/>
      <c r="AC398" s="139"/>
      <c r="AD398" s="139"/>
      <c r="AE398" s="139"/>
      <c r="AF398" s="139"/>
      <c r="AG398" s="139"/>
      <c r="AH398" s="139"/>
      <c r="AI398" s="139"/>
      <c r="AJ398" s="139"/>
      <c r="AK398" s="139"/>
      <c r="AL398" s="139"/>
      <c r="AM398" s="139"/>
      <c r="AN398" s="139"/>
      <c r="AO398" s="139"/>
    </row>
    <row r="399">
      <c r="A399" s="85"/>
      <c r="B399" s="86"/>
      <c r="C399" s="85"/>
      <c r="D399" s="89"/>
      <c r="E399" s="89"/>
      <c r="F399" s="89"/>
      <c r="G399" s="89"/>
      <c r="H399" s="89"/>
      <c r="I399" s="89"/>
      <c r="J399" s="89"/>
      <c r="K399" s="89"/>
      <c r="L399" s="89"/>
      <c r="M399" s="89"/>
      <c r="N399" s="89"/>
      <c r="O399" s="85"/>
      <c r="P399" s="89"/>
      <c r="Q399" s="137"/>
      <c r="R399" s="138"/>
      <c r="S399" s="138"/>
      <c r="T399" s="85"/>
      <c r="U399" s="85"/>
      <c r="V399" s="85"/>
      <c r="W399" s="138"/>
      <c r="X399" s="139"/>
      <c r="Y399" s="139"/>
      <c r="Z399" s="139"/>
      <c r="AA399" s="139"/>
      <c r="AB399" s="139"/>
      <c r="AC399" s="139"/>
      <c r="AD399" s="139"/>
      <c r="AE399" s="139"/>
      <c r="AF399" s="139"/>
      <c r="AG399" s="139"/>
      <c r="AH399" s="139"/>
      <c r="AI399" s="139"/>
      <c r="AJ399" s="139"/>
      <c r="AK399" s="139"/>
      <c r="AL399" s="139"/>
      <c r="AM399" s="139"/>
      <c r="AN399" s="139"/>
      <c r="AO399" s="139"/>
    </row>
    <row r="400">
      <c r="A400" s="85"/>
      <c r="B400" s="86"/>
      <c r="C400" s="85"/>
      <c r="D400" s="89"/>
      <c r="E400" s="89"/>
      <c r="F400" s="89"/>
      <c r="G400" s="89"/>
      <c r="H400" s="89"/>
      <c r="I400" s="89"/>
      <c r="J400" s="89"/>
      <c r="K400" s="89"/>
      <c r="L400" s="89"/>
      <c r="M400" s="89"/>
      <c r="N400" s="89"/>
      <c r="O400" s="85"/>
      <c r="P400" s="89"/>
      <c r="Q400" s="137"/>
      <c r="R400" s="138"/>
      <c r="S400" s="138"/>
      <c r="T400" s="85"/>
      <c r="U400" s="85"/>
      <c r="V400" s="85"/>
      <c r="W400" s="138"/>
      <c r="X400" s="139"/>
      <c r="Y400" s="139"/>
      <c r="Z400" s="139"/>
      <c r="AA400" s="139"/>
      <c r="AB400" s="139"/>
      <c r="AC400" s="139"/>
      <c r="AD400" s="139"/>
      <c r="AE400" s="139"/>
      <c r="AF400" s="139"/>
      <c r="AG400" s="139"/>
      <c r="AH400" s="139"/>
      <c r="AI400" s="139"/>
      <c r="AJ400" s="139"/>
      <c r="AK400" s="139"/>
      <c r="AL400" s="139"/>
      <c r="AM400" s="139"/>
      <c r="AN400" s="139"/>
      <c r="AO400" s="139"/>
    </row>
    <row r="401">
      <c r="A401" s="85"/>
      <c r="B401" s="86"/>
      <c r="C401" s="85"/>
      <c r="D401" s="89"/>
      <c r="E401" s="89"/>
      <c r="F401" s="89"/>
      <c r="G401" s="89"/>
      <c r="H401" s="89"/>
      <c r="I401" s="89"/>
      <c r="J401" s="89"/>
      <c r="K401" s="89"/>
      <c r="L401" s="89"/>
      <c r="M401" s="89"/>
      <c r="N401" s="89"/>
      <c r="O401" s="85"/>
      <c r="P401" s="89"/>
      <c r="Q401" s="137"/>
      <c r="R401" s="138"/>
      <c r="S401" s="138"/>
      <c r="T401" s="85"/>
      <c r="U401" s="85"/>
      <c r="V401" s="85"/>
      <c r="W401" s="138"/>
      <c r="X401" s="139"/>
      <c r="Y401" s="139"/>
      <c r="Z401" s="139"/>
      <c r="AA401" s="139"/>
      <c r="AB401" s="139"/>
      <c r="AC401" s="139"/>
      <c r="AD401" s="139"/>
      <c r="AE401" s="139"/>
      <c r="AF401" s="139"/>
      <c r="AG401" s="139"/>
      <c r="AH401" s="139"/>
      <c r="AI401" s="139"/>
      <c r="AJ401" s="139"/>
      <c r="AK401" s="139"/>
      <c r="AL401" s="139"/>
      <c r="AM401" s="139"/>
      <c r="AN401" s="139"/>
      <c r="AO401" s="139"/>
    </row>
    <row r="402">
      <c r="A402" s="85"/>
      <c r="B402" s="86"/>
      <c r="C402" s="85"/>
      <c r="D402" s="89"/>
      <c r="E402" s="89"/>
      <c r="F402" s="89"/>
      <c r="G402" s="89"/>
      <c r="H402" s="89"/>
      <c r="I402" s="89"/>
      <c r="J402" s="89"/>
      <c r="K402" s="89"/>
      <c r="L402" s="89"/>
      <c r="M402" s="89"/>
      <c r="N402" s="89"/>
      <c r="O402" s="85"/>
      <c r="P402" s="89"/>
      <c r="Q402" s="137"/>
      <c r="R402" s="138"/>
      <c r="S402" s="138"/>
      <c r="T402" s="85"/>
      <c r="U402" s="85"/>
      <c r="V402" s="85"/>
      <c r="W402" s="138"/>
      <c r="X402" s="139"/>
      <c r="Y402" s="139"/>
      <c r="Z402" s="139"/>
      <c r="AA402" s="139"/>
      <c r="AB402" s="139"/>
      <c r="AC402" s="139"/>
      <c r="AD402" s="139"/>
      <c r="AE402" s="139"/>
      <c r="AF402" s="139"/>
      <c r="AG402" s="139"/>
      <c r="AH402" s="139"/>
      <c r="AI402" s="139"/>
      <c r="AJ402" s="139"/>
      <c r="AK402" s="139"/>
      <c r="AL402" s="139"/>
      <c r="AM402" s="139"/>
      <c r="AN402" s="139"/>
      <c r="AO402" s="139"/>
    </row>
    <row r="403">
      <c r="A403" s="85"/>
      <c r="B403" s="86"/>
      <c r="C403" s="85"/>
      <c r="D403" s="89"/>
      <c r="E403" s="89"/>
      <c r="F403" s="89"/>
      <c r="G403" s="89"/>
      <c r="H403" s="89"/>
      <c r="I403" s="89"/>
      <c r="J403" s="89"/>
      <c r="K403" s="89"/>
      <c r="L403" s="89"/>
      <c r="M403" s="89"/>
      <c r="N403" s="89"/>
      <c r="O403" s="85"/>
      <c r="P403" s="89"/>
      <c r="Q403" s="137"/>
      <c r="R403" s="138"/>
      <c r="S403" s="138"/>
      <c r="T403" s="85"/>
      <c r="U403" s="85"/>
      <c r="V403" s="85"/>
      <c r="W403" s="138"/>
      <c r="X403" s="139"/>
      <c r="Y403" s="139"/>
      <c r="Z403" s="139"/>
      <c r="AA403" s="139"/>
      <c r="AB403" s="139"/>
      <c r="AC403" s="139"/>
      <c r="AD403" s="139"/>
      <c r="AE403" s="139"/>
      <c r="AF403" s="139"/>
      <c r="AG403" s="139"/>
      <c r="AH403" s="139"/>
      <c r="AI403" s="139"/>
      <c r="AJ403" s="139"/>
      <c r="AK403" s="139"/>
      <c r="AL403" s="139"/>
      <c r="AM403" s="139"/>
      <c r="AN403" s="139"/>
      <c r="AO403" s="139"/>
    </row>
    <row r="404">
      <c r="A404" s="85"/>
      <c r="B404" s="86"/>
      <c r="C404" s="85"/>
      <c r="D404" s="89"/>
      <c r="E404" s="89"/>
      <c r="F404" s="89"/>
      <c r="G404" s="89"/>
      <c r="H404" s="89"/>
      <c r="I404" s="89"/>
      <c r="J404" s="89"/>
      <c r="K404" s="89"/>
      <c r="L404" s="89"/>
      <c r="M404" s="89"/>
      <c r="N404" s="89"/>
      <c r="O404" s="85"/>
      <c r="P404" s="89"/>
      <c r="Q404" s="137"/>
      <c r="R404" s="138"/>
      <c r="S404" s="138"/>
      <c r="T404" s="85"/>
      <c r="U404" s="85"/>
      <c r="V404" s="85"/>
      <c r="W404" s="138"/>
      <c r="X404" s="139"/>
      <c r="Y404" s="139"/>
      <c r="Z404" s="139"/>
      <c r="AA404" s="139"/>
      <c r="AB404" s="139"/>
      <c r="AC404" s="139"/>
      <c r="AD404" s="139"/>
      <c r="AE404" s="139"/>
      <c r="AF404" s="139"/>
      <c r="AG404" s="139"/>
      <c r="AH404" s="139"/>
      <c r="AI404" s="139"/>
      <c r="AJ404" s="139"/>
      <c r="AK404" s="139"/>
      <c r="AL404" s="139"/>
      <c r="AM404" s="139"/>
      <c r="AN404" s="139"/>
      <c r="AO404" s="139"/>
    </row>
    <row r="405">
      <c r="A405" s="85"/>
      <c r="B405" s="86"/>
      <c r="C405" s="85"/>
      <c r="D405" s="89"/>
      <c r="E405" s="89"/>
      <c r="F405" s="89"/>
      <c r="G405" s="89"/>
      <c r="H405" s="89"/>
      <c r="I405" s="89"/>
      <c r="J405" s="89"/>
      <c r="K405" s="89"/>
      <c r="L405" s="89"/>
      <c r="M405" s="89"/>
      <c r="N405" s="89"/>
      <c r="O405" s="85"/>
      <c r="P405" s="89"/>
      <c r="Q405" s="137"/>
      <c r="R405" s="138"/>
      <c r="S405" s="138"/>
      <c r="T405" s="85"/>
      <c r="U405" s="85"/>
      <c r="V405" s="85"/>
      <c r="W405" s="138"/>
      <c r="X405" s="139"/>
      <c r="Y405" s="139"/>
      <c r="Z405" s="139"/>
      <c r="AA405" s="139"/>
      <c r="AB405" s="139"/>
      <c r="AC405" s="139"/>
      <c r="AD405" s="139"/>
      <c r="AE405" s="139"/>
      <c r="AF405" s="139"/>
      <c r="AG405" s="139"/>
      <c r="AH405" s="139"/>
      <c r="AI405" s="139"/>
      <c r="AJ405" s="139"/>
      <c r="AK405" s="139"/>
      <c r="AL405" s="139"/>
      <c r="AM405" s="139"/>
      <c r="AN405" s="139"/>
      <c r="AO405" s="139"/>
    </row>
    <row r="406">
      <c r="A406" s="85"/>
      <c r="B406" s="86"/>
      <c r="C406" s="85"/>
      <c r="D406" s="89"/>
      <c r="E406" s="89"/>
      <c r="F406" s="89"/>
      <c r="G406" s="89"/>
      <c r="H406" s="89"/>
      <c r="I406" s="89"/>
      <c r="J406" s="89"/>
      <c r="K406" s="89"/>
      <c r="L406" s="89"/>
      <c r="M406" s="89"/>
      <c r="N406" s="89"/>
      <c r="O406" s="85"/>
      <c r="P406" s="89"/>
      <c r="Q406" s="137"/>
      <c r="R406" s="138"/>
      <c r="S406" s="138"/>
      <c r="T406" s="85"/>
      <c r="U406" s="85"/>
      <c r="V406" s="85"/>
      <c r="W406" s="138"/>
      <c r="X406" s="139"/>
      <c r="Y406" s="139"/>
      <c r="Z406" s="139"/>
      <c r="AA406" s="139"/>
      <c r="AB406" s="139"/>
      <c r="AC406" s="139"/>
      <c r="AD406" s="139"/>
      <c r="AE406" s="139"/>
      <c r="AF406" s="139"/>
      <c r="AG406" s="139"/>
      <c r="AH406" s="139"/>
      <c r="AI406" s="139"/>
      <c r="AJ406" s="139"/>
      <c r="AK406" s="139"/>
      <c r="AL406" s="139"/>
      <c r="AM406" s="139"/>
      <c r="AN406" s="139"/>
      <c r="AO406" s="139"/>
    </row>
    <row r="407">
      <c r="A407" s="85"/>
      <c r="B407" s="86"/>
      <c r="C407" s="85"/>
      <c r="D407" s="89"/>
      <c r="E407" s="89"/>
      <c r="F407" s="89"/>
      <c r="G407" s="89"/>
      <c r="H407" s="89"/>
      <c r="I407" s="89"/>
      <c r="J407" s="89"/>
      <c r="K407" s="89"/>
      <c r="L407" s="89"/>
      <c r="M407" s="89"/>
      <c r="N407" s="89"/>
      <c r="O407" s="85"/>
      <c r="P407" s="89"/>
      <c r="Q407" s="137"/>
      <c r="R407" s="138"/>
      <c r="S407" s="138"/>
      <c r="T407" s="85"/>
      <c r="U407" s="85"/>
      <c r="V407" s="85"/>
      <c r="W407" s="138"/>
      <c r="X407" s="139"/>
      <c r="Y407" s="139"/>
      <c r="Z407" s="139"/>
      <c r="AA407" s="139"/>
      <c r="AB407" s="139"/>
      <c r="AC407" s="139"/>
      <c r="AD407" s="139"/>
      <c r="AE407" s="139"/>
      <c r="AF407" s="139"/>
      <c r="AG407" s="139"/>
      <c r="AH407" s="139"/>
      <c r="AI407" s="139"/>
      <c r="AJ407" s="139"/>
      <c r="AK407" s="139"/>
      <c r="AL407" s="139"/>
      <c r="AM407" s="139"/>
      <c r="AN407" s="139"/>
      <c r="AO407" s="139"/>
    </row>
    <row r="408">
      <c r="A408" s="85"/>
      <c r="B408" s="86"/>
      <c r="C408" s="85"/>
      <c r="D408" s="89"/>
      <c r="E408" s="89"/>
      <c r="F408" s="89"/>
      <c r="G408" s="89"/>
      <c r="H408" s="89"/>
      <c r="I408" s="89"/>
      <c r="J408" s="89"/>
      <c r="K408" s="89"/>
      <c r="L408" s="89"/>
      <c r="M408" s="89"/>
      <c r="N408" s="89"/>
      <c r="O408" s="85"/>
      <c r="P408" s="89"/>
      <c r="Q408" s="137"/>
      <c r="R408" s="138"/>
      <c r="S408" s="138"/>
      <c r="T408" s="85"/>
      <c r="U408" s="85"/>
      <c r="V408" s="85"/>
      <c r="W408" s="138"/>
      <c r="X408" s="139"/>
      <c r="Y408" s="139"/>
      <c r="Z408" s="139"/>
      <c r="AA408" s="139"/>
      <c r="AB408" s="139"/>
      <c r="AC408" s="139"/>
      <c r="AD408" s="139"/>
      <c r="AE408" s="139"/>
      <c r="AF408" s="139"/>
      <c r="AG408" s="139"/>
      <c r="AH408" s="139"/>
      <c r="AI408" s="139"/>
      <c r="AJ408" s="139"/>
      <c r="AK408" s="139"/>
      <c r="AL408" s="139"/>
      <c r="AM408" s="139"/>
      <c r="AN408" s="139"/>
      <c r="AO408" s="139"/>
    </row>
    <row r="409">
      <c r="A409" s="85"/>
      <c r="B409" s="86"/>
      <c r="C409" s="85"/>
      <c r="D409" s="89"/>
      <c r="E409" s="89"/>
      <c r="F409" s="89"/>
      <c r="G409" s="89"/>
      <c r="H409" s="89"/>
      <c r="I409" s="89"/>
      <c r="J409" s="89"/>
      <c r="K409" s="89"/>
      <c r="L409" s="89"/>
      <c r="M409" s="89"/>
      <c r="N409" s="89"/>
      <c r="O409" s="85"/>
      <c r="P409" s="89"/>
      <c r="Q409" s="137"/>
      <c r="R409" s="138"/>
      <c r="S409" s="138"/>
      <c r="T409" s="85"/>
      <c r="U409" s="85"/>
      <c r="V409" s="85"/>
      <c r="W409" s="138"/>
      <c r="X409" s="139"/>
      <c r="Y409" s="139"/>
      <c r="Z409" s="139"/>
      <c r="AA409" s="139"/>
      <c r="AB409" s="139"/>
      <c r="AC409" s="139"/>
      <c r="AD409" s="139"/>
      <c r="AE409" s="139"/>
      <c r="AF409" s="139"/>
      <c r="AG409" s="139"/>
      <c r="AH409" s="139"/>
      <c r="AI409" s="139"/>
      <c r="AJ409" s="139"/>
      <c r="AK409" s="139"/>
      <c r="AL409" s="139"/>
      <c r="AM409" s="139"/>
      <c r="AN409" s="139"/>
      <c r="AO409" s="139"/>
    </row>
    <row r="410">
      <c r="A410" s="85"/>
      <c r="B410" s="86"/>
      <c r="C410" s="85"/>
      <c r="D410" s="89"/>
      <c r="E410" s="89"/>
      <c r="F410" s="89"/>
      <c r="G410" s="89"/>
      <c r="H410" s="89"/>
      <c r="I410" s="89"/>
      <c r="J410" s="89"/>
      <c r="K410" s="89"/>
      <c r="L410" s="89"/>
      <c r="M410" s="89"/>
      <c r="N410" s="89"/>
      <c r="O410" s="85"/>
      <c r="P410" s="89"/>
      <c r="Q410" s="137"/>
      <c r="R410" s="138"/>
      <c r="S410" s="138"/>
      <c r="T410" s="85"/>
      <c r="U410" s="85"/>
      <c r="V410" s="85"/>
      <c r="W410" s="138"/>
      <c r="X410" s="139"/>
      <c r="Y410" s="139"/>
      <c r="Z410" s="139"/>
      <c r="AA410" s="139"/>
      <c r="AB410" s="139"/>
      <c r="AC410" s="139"/>
      <c r="AD410" s="139"/>
      <c r="AE410" s="139"/>
      <c r="AF410" s="139"/>
      <c r="AG410" s="139"/>
      <c r="AH410" s="139"/>
      <c r="AI410" s="139"/>
      <c r="AJ410" s="139"/>
      <c r="AK410" s="139"/>
      <c r="AL410" s="139"/>
      <c r="AM410" s="139"/>
      <c r="AN410" s="139"/>
      <c r="AO410" s="139"/>
    </row>
    <row r="411">
      <c r="A411" s="85"/>
      <c r="B411" s="86"/>
      <c r="C411" s="85"/>
      <c r="D411" s="89"/>
      <c r="E411" s="89"/>
      <c r="F411" s="89"/>
      <c r="G411" s="89"/>
      <c r="H411" s="89"/>
      <c r="I411" s="89"/>
      <c r="J411" s="89"/>
      <c r="K411" s="89"/>
      <c r="L411" s="89"/>
      <c r="M411" s="89"/>
      <c r="N411" s="89"/>
      <c r="O411" s="85"/>
      <c r="P411" s="89"/>
      <c r="Q411" s="137"/>
      <c r="R411" s="138"/>
      <c r="S411" s="138"/>
      <c r="T411" s="85"/>
      <c r="U411" s="85"/>
      <c r="V411" s="85"/>
      <c r="W411" s="138"/>
      <c r="X411" s="139"/>
      <c r="Y411" s="139"/>
      <c r="Z411" s="139"/>
      <c r="AA411" s="139"/>
      <c r="AB411" s="139"/>
      <c r="AC411" s="139"/>
      <c r="AD411" s="139"/>
      <c r="AE411" s="139"/>
      <c r="AF411" s="139"/>
      <c r="AG411" s="139"/>
      <c r="AH411" s="139"/>
      <c r="AI411" s="139"/>
      <c r="AJ411" s="139"/>
      <c r="AK411" s="139"/>
      <c r="AL411" s="139"/>
      <c r="AM411" s="139"/>
      <c r="AN411" s="139"/>
      <c r="AO411" s="139"/>
    </row>
    <row r="412">
      <c r="A412" s="85"/>
      <c r="B412" s="86"/>
      <c r="C412" s="85"/>
      <c r="D412" s="89"/>
      <c r="E412" s="89"/>
      <c r="F412" s="89"/>
      <c r="G412" s="89"/>
      <c r="H412" s="89"/>
      <c r="I412" s="89"/>
      <c r="J412" s="89"/>
      <c r="K412" s="89"/>
      <c r="L412" s="89"/>
      <c r="M412" s="89"/>
      <c r="N412" s="89"/>
      <c r="O412" s="85"/>
      <c r="P412" s="89"/>
      <c r="Q412" s="137"/>
      <c r="R412" s="138"/>
      <c r="S412" s="138"/>
      <c r="T412" s="85"/>
      <c r="U412" s="85"/>
      <c r="V412" s="85"/>
      <c r="W412" s="138"/>
      <c r="X412" s="139"/>
      <c r="Y412" s="139"/>
      <c r="Z412" s="139"/>
      <c r="AA412" s="139"/>
      <c r="AB412" s="139"/>
      <c r="AC412" s="139"/>
      <c r="AD412" s="139"/>
      <c r="AE412" s="139"/>
      <c r="AF412" s="139"/>
      <c r="AG412" s="139"/>
      <c r="AH412" s="139"/>
      <c r="AI412" s="139"/>
      <c r="AJ412" s="139"/>
      <c r="AK412" s="139"/>
      <c r="AL412" s="139"/>
      <c r="AM412" s="139"/>
      <c r="AN412" s="139"/>
      <c r="AO412" s="139"/>
    </row>
    <row r="413">
      <c r="A413" s="85"/>
      <c r="B413" s="86"/>
      <c r="C413" s="85"/>
      <c r="D413" s="89"/>
      <c r="E413" s="89"/>
      <c r="F413" s="89"/>
      <c r="G413" s="89"/>
      <c r="H413" s="89"/>
      <c r="I413" s="89"/>
      <c r="J413" s="89"/>
      <c r="K413" s="89"/>
      <c r="L413" s="89"/>
      <c r="M413" s="89"/>
      <c r="N413" s="89"/>
      <c r="O413" s="85"/>
      <c r="P413" s="89"/>
      <c r="Q413" s="137"/>
      <c r="R413" s="138"/>
      <c r="S413" s="138"/>
      <c r="T413" s="85"/>
      <c r="U413" s="85"/>
      <c r="V413" s="85"/>
      <c r="W413" s="138"/>
      <c r="X413" s="139"/>
      <c r="Y413" s="139"/>
      <c r="Z413" s="139"/>
      <c r="AA413" s="139"/>
      <c r="AB413" s="139"/>
      <c r="AC413" s="139"/>
      <c r="AD413" s="139"/>
      <c r="AE413" s="139"/>
      <c r="AF413" s="139"/>
      <c r="AG413" s="139"/>
      <c r="AH413" s="139"/>
      <c r="AI413" s="139"/>
      <c r="AJ413" s="139"/>
      <c r="AK413" s="139"/>
      <c r="AL413" s="139"/>
      <c r="AM413" s="139"/>
      <c r="AN413" s="139"/>
      <c r="AO413" s="139"/>
    </row>
    <row r="414">
      <c r="A414" s="85"/>
      <c r="B414" s="86"/>
      <c r="C414" s="85"/>
      <c r="D414" s="89"/>
      <c r="E414" s="89"/>
      <c r="F414" s="89"/>
      <c r="G414" s="89"/>
      <c r="H414" s="89"/>
      <c r="I414" s="89"/>
      <c r="J414" s="89"/>
      <c r="K414" s="89"/>
      <c r="L414" s="89"/>
      <c r="M414" s="89"/>
      <c r="N414" s="89"/>
      <c r="O414" s="85"/>
      <c r="P414" s="89"/>
      <c r="Q414" s="137"/>
      <c r="R414" s="138"/>
      <c r="S414" s="138"/>
      <c r="T414" s="85"/>
      <c r="U414" s="85"/>
      <c r="V414" s="85"/>
      <c r="W414" s="138"/>
      <c r="X414" s="139"/>
      <c r="Y414" s="139"/>
      <c r="Z414" s="139"/>
      <c r="AA414" s="139"/>
      <c r="AB414" s="139"/>
      <c r="AC414" s="139"/>
      <c r="AD414" s="139"/>
      <c r="AE414" s="139"/>
      <c r="AF414" s="139"/>
      <c r="AG414" s="139"/>
      <c r="AH414" s="139"/>
      <c r="AI414" s="139"/>
      <c r="AJ414" s="139"/>
      <c r="AK414" s="139"/>
      <c r="AL414" s="139"/>
      <c r="AM414" s="139"/>
      <c r="AN414" s="139"/>
      <c r="AO414" s="139"/>
    </row>
    <row r="415">
      <c r="A415" s="85"/>
      <c r="B415" s="86"/>
      <c r="C415" s="85"/>
      <c r="D415" s="89"/>
      <c r="E415" s="89"/>
      <c r="F415" s="89"/>
      <c r="G415" s="89"/>
      <c r="H415" s="89"/>
      <c r="I415" s="89"/>
      <c r="J415" s="89"/>
      <c r="K415" s="89"/>
      <c r="L415" s="89"/>
      <c r="M415" s="89"/>
      <c r="N415" s="89"/>
      <c r="O415" s="85"/>
      <c r="P415" s="89"/>
      <c r="Q415" s="137"/>
      <c r="R415" s="138"/>
      <c r="S415" s="138"/>
      <c r="T415" s="85"/>
      <c r="U415" s="85"/>
      <c r="V415" s="85"/>
      <c r="W415" s="138"/>
      <c r="X415" s="139"/>
      <c r="Y415" s="139"/>
      <c r="Z415" s="139"/>
      <c r="AA415" s="139"/>
      <c r="AB415" s="139"/>
      <c r="AC415" s="139"/>
      <c r="AD415" s="139"/>
      <c r="AE415" s="139"/>
      <c r="AF415" s="139"/>
      <c r="AG415" s="139"/>
      <c r="AH415" s="139"/>
      <c r="AI415" s="139"/>
      <c r="AJ415" s="139"/>
      <c r="AK415" s="139"/>
      <c r="AL415" s="139"/>
      <c r="AM415" s="139"/>
      <c r="AN415" s="139"/>
      <c r="AO415" s="139"/>
    </row>
    <row r="416">
      <c r="A416" s="85"/>
      <c r="B416" s="86"/>
      <c r="C416" s="85"/>
      <c r="D416" s="89"/>
      <c r="E416" s="89"/>
      <c r="F416" s="89"/>
      <c r="G416" s="89"/>
      <c r="H416" s="89"/>
      <c r="I416" s="89"/>
      <c r="J416" s="89"/>
      <c r="K416" s="89"/>
      <c r="L416" s="89"/>
      <c r="M416" s="89"/>
      <c r="N416" s="89"/>
      <c r="O416" s="85"/>
      <c r="P416" s="89"/>
      <c r="Q416" s="137"/>
      <c r="R416" s="138"/>
      <c r="S416" s="138"/>
      <c r="T416" s="85"/>
      <c r="U416" s="85"/>
      <c r="V416" s="85"/>
      <c r="W416" s="138"/>
      <c r="X416" s="139"/>
      <c r="Y416" s="139"/>
      <c r="Z416" s="139"/>
      <c r="AA416" s="139"/>
      <c r="AB416" s="139"/>
      <c r="AC416" s="139"/>
      <c r="AD416" s="139"/>
      <c r="AE416" s="139"/>
      <c r="AF416" s="139"/>
      <c r="AG416" s="139"/>
      <c r="AH416" s="139"/>
      <c r="AI416" s="139"/>
      <c r="AJ416" s="139"/>
      <c r="AK416" s="139"/>
      <c r="AL416" s="139"/>
      <c r="AM416" s="139"/>
      <c r="AN416" s="139"/>
      <c r="AO416" s="139"/>
    </row>
    <row r="417">
      <c r="A417" s="85"/>
      <c r="B417" s="86"/>
      <c r="C417" s="85"/>
      <c r="D417" s="89"/>
      <c r="E417" s="89"/>
      <c r="F417" s="89"/>
      <c r="G417" s="89"/>
      <c r="H417" s="89"/>
      <c r="I417" s="89"/>
      <c r="J417" s="89"/>
      <c r="K417" s="89"/>
      <c r="L417" s="89"/>
      <c r="M417" s="89"/>
      <c r="N417" s="89"/>
      <c r="O417" s="85"/>
      <c r="P417" s="89"/>
      <c r="Q417" s="137"/>
      <c r="R417" s="138"/>
      <c r="S417" s="138"/>
      <c r="T417" s="85"/>
      <c r="U417" s="85"/>
      <c r="V417" s="85"/>
      <c r="W417" s="138"/>
      <c r="X417" s="139"/>
      <c r="Y417" s="139"/>
      <c r="Z417" s="139"/>
      <c r="AA417" s="139"/>
      <c r="AB417" s="139"/>
      <c r="AC417" s="139"/>
      <c r="AD417" s="139"/>
      <c r="AE417" s="139"/>
      <c r="AF417" s="139"/>
      <c r="AG417" s="139"/>
      <c r="AH417" s="139"/>
      <c r="AI417" s="139"/>
      <c r="AJ417" s="139"/>
      <c r="AK417" s="139"/>
      <c r="AL417" s="139"/>
      <c r="AM417" s="139"/>
      <c r="AN417" s="139"/>
      <c r="AO417" s="139"/>
    </row>
    <row r="418">
      <c r="A418" s="85"/>
      <c r="B418" s="86"/>
      <c r="C418" s="85"/>
      <c r="D418" s="89"/>
      <c r="E418" s="89"/>
      <c r="F418" s="89"/>
      <c r="G418" s="89"/>
      <c r="H418" s="89"/>
      <c r="I418" s="89"/>
      <c r="J418" s="89"/>
      <c r="K418" s="89"/>
      <c r="L418" s="89"/>
      <c r="M418" s="89"/>
      <c r="N418" s="89"/>
      <c r="O418" s="85"/>
      <c r="P418" s="89"/>
      <c r="Q418" s="137"/>
      <c r="R418" s="138"/>
      <c r="S418" s="138"/>
      <c r="T418" s="85"/>
      <c r="U418" s="85"/>
      <c r="V418" s="85"/>
      <c r="W418" s="138"/>
      <c r="X418" s="139"/>
      <c r="Y418" s="139"/>
      <c r="Z418" s="139"/>
      <c r="AA418" s="139"/>
      <c r="AB418" s="139"/>
      <c r="AC418" s="139"/>
      <c r="AD418" s="139"/>
      <c r="AE418" s="139"/>
      <c r="AF418" s="139"/>
      <c r="AG418" s="139"/>
      <c r="AH418" s="139"/>
      <c r="AI418" s="139"/>
      <c r="AJ418" s="139"/>
      <c r="AK418" s="139"/>
      <c r="AL418" s="139"/>
      <c r="AM418" s="139"/>
      <c r="AN418" s="139"/>
      <c r="AO418" s="139"/>
    </row>
    <row r="419">
      <c r="A419" s="85"/>
      <c r="B419" s="86"/>
      <c r="C419" s="85"/>
      <c r="D419" s="89"/>
      <c r="E419" s="89"/>
      <c r="F419" s="89"/>
      <c r="G419" s="89"/>
      <c r="H419" s="89"/>
      <c r="I419" s="89"/>
      <c r="J419" s="89"/>
      <c r="K419" s="89"/>
      <c r="L419" s="89"/>
      <c r="M419" s="89"/>
      <c r="N419" s="89"/>
      <c r="O419" s="85"/>
      <c r="P419" s="89"/>
      <c r="Q419" s="137"/>
      <c r="R419" s="138"/>
      <c r="S419" s="138"/>
      <c r="T419" s="85"/>
      <c r="U419" s="85"/>
      <c r="V419" s="85"/>
      <c r="W419" s="138"/>
      <c r="X419" s="139"/>
      <c r="Y419" s="139"/>
      <c r="Z419" s="139"/>
      <c r="AA419" s="139"/>
      <c r="AB419" s="139"/>
      <c r="AC419" s="139"/>
      <c r="AD419" s="139"/>
      <c r="AE419" s="139"/>
      <c r="AF419" s="139"/>
      <c r="AG419" s="139"/>
      <c r="AH419" s="139"/>
      <c r="AI419" s="139"/>
      <c r="AJ419" s="139"/>
      <c r="AK419" s="139"/>
      <c r="AL419" s="139"/>
      <c r="AM419" s="139"/>
      <c r="AN419" s="139"/>
      <c r="AO419" s="139"/>
    </row>
    <row r="420">
      <c r="A420" s="85"/>
      <c r="B420" s="86"/>
      <c r="C420" s="85"/>
      <c r="D420" s="89"/>
      <c r="E420" s="89"/>
      <c r="F420" s="89"/>
      <c r="G420" s="89"/>
      <c r="H420" s="89"/>
      <c r="I420" s="89"/>
      <c r="J420" s="89"/>
      <c r="K420" s="89"/>
      <c r="L420" s="89"/>
      <c r="M420" s="89"/>
      <c r="N420" s="89"/>
      <c r="O420" s="85"/>
      <c r="P420" s="89"/>
      <c r="Q420" s="137"/>
      <c r="R420" s="138"/>
      <c r="S420" s="138"/>
      <c r="T420" s="85"/>
      <c r="U420" s="85"/>
      <c r="V420" s="85"/>
      <c r="W420" s="138"/>
      <c r="X420" s="139"/>
      <c r="Y420" s="139"/>
      <c r="Z420" s="139"/>
      <c r="AA420" s="139"/>
      <c r="AB420" s="139"/>
      <c r="AC420" s="139"/>
      <c r="AD420" s="139"/>
      <c r="AE420" s="139"/>
      <c r="AF420" s="139"/>
      <c r="AG420" s="139"/>
      <c r="AH420" s="139"/>
      <c r="AI420" s="139"/>
      <c r="AJ420" s="139"/>
      <c r="AK420" s="139"/>
      <c r="AL420" s="139"/>
      <c r="AM420" s="139"/>
      <c r="AN420" s="139"/>
      <c r="AO420" s="139"/>
    </row>
    <row r="421">
      <c r="A421" s="85"/>
      <c r="B421" s="86"/>
      <c r="C421" s="85"/>
      <c r="D421" s="89"/>
      <c r="E421" s="89"/>
      <c r="F421" s="89"/>
      <c r="G421" s="89"/>
      <c r="H421" s="89"/>
      <c r="I421" s="89"/>
      <c r="J421" s="89"/>
      <c r="K421" s="89"/>
      <c r="L421" s="89"/>
      <c r="M421" s="89"/>
      <c r="N421" s="89"/>
      <c r="O421" s="85"/>
      <c r="P421" s="89"/>
      <c r="Q421" s="137"/>
      <c r="R421" s="138"/>
      <c r="S421" s="138"/>
      <c r="T421" s="85"/>
      <c r="U421" s="85"/>
      <c r="V421" s="85"/>
      <c r="W421" s="138"/>
      <c r="X421" s="139"/>
      <c r="Y421" s="139"/>
      <c r="Z421" s="139"/>
      <c r="AA421" s="139"/>
      <c r="AB421" s="139"/>
      <c r="AC421" s="139"/>
      <c r="AD421" s="139"/>
      <c r="AE421" s="139"/>
      <c r="AF421" s="139"/>
      <c r="AG421" s="139"/>
      <c r="AH421" s="139"/>
      <c r="AI421" s="139"/>
      <c r="AJ421" s="139"/>
      <c r="AK421" s="139"/>
      <c r="AL421" s="139"/>
      <c r="AM421" s="139"/>
      <c r="AN421" s="139"/>
      <c r="AO421" s="139"/>
    </row>
    <row r="422">
      <c r="A422" s="85"/>
      <c r="B422" s="86"/>
      <c r="C422" s="85"/>
      <c r="D422" s="89"/>
      <c r="E422" s="89"/>
      <c r="F422" s="89"/>
      <c r="G422" s="89"/>
      <c r="H422" s="89"/>
      <c r="I422" s="89"/>
      <c r="J422" s="89"/>
      <c r="K422" s="89"/>
      <c r="L422" s="89"/>
      <c r="M422" s="89"/>
      <c r="N422" s="89"/>
      <c r="O422" s="85"/>
      <c r="P422" s="89"/>
      <c r="Q422" s="137"/>
      <c r="R422" s="138"/>
      <c r="S422" s="138"/>
      <c r="T422" s="85"/>
      <c r="U422" s="85"/>
      <c r="V422" s="85"/>
      <c r="W422" s="138"/>
      <c r="X422" s="139"/>
      <c r="Y422" s="139"/>
      <c r="Z422" s="139"/>
      <c r="AA422" s="139"/>
      <c r="AB422" s="139"/>
      <c r="AC422" s="139"/>
      <c r="AD422" s="139"/>
      <c r="AE422" s="139"/>
      <c r="AF422" s="139"/>
      <c r="AG422" s="139"/>
      <c r="AH422" s="139"/>
      <c r="AI422" s="139"/>
      <c r="AJ422" s="139"/>
      <c r="AK422" s="139"/>
      <c r="AL422" s="139"/>
      <c r="AM422" s="139"/>
      <c r="AN422" s="139"/>
      <c r="AO422" s="139"/>
    </row>
    <row r="423">
      <c r="A423" s="85"/>
      <c r="B423" s="86"/>
      <c r="C423" s="85"/>
      <c r="D423" s="89"/>
      <c r="E423" s="89"/>
      <c r="F423" s="89"/>
      <c r="G423" s="89"/>
      <c r="H423" s="89"/>
      <c r="I423" s="89"/>
      <c r="J423" s="89"/>
      <c r="K423" s="89"/>
      <c r="L423" s="89"/>
      <c r="M423" s="89"/>
      <c r="N423" s="89"/>
      <c r="O423" s="85"/>
      <c r="P423" s="89"/>
      <c r="Q423" s="137"/>
      <c r="R423" s="138"/>
      <c r="S423" s="138"/>
      <c r="T423" s="85"/>
      <c r="U423" s="85"/>
      <c r="V423" s="85"/>
      <c r="W423" s="138"/>
      <c r="X423" s="139"/>
      <c r="Y423" s="139"/>
      <c r="Z423" s="139"/>
      <c r="AA423" s="139"/>
      <c r="AB423" s="139"/>
      <c r="AC423" s="139"/>
      <c r="AD423" s="139"/>
      <c r="AE423" s="139"/>
      <c r="AF423" s="139"/>
      <c r="AG423" s="139"/>
      <c r="AH423" s="139"/>
      <c r="AI423" s="139"/>
      <c r="AJ423" s="139"/>
      <c r="AK423" s="139"/>
      <c r="AL423" s="139"/>
      <c r="AM423" s="139"/>
      <c r="AN423" s="139"/>
      <c r="AO423" s="139"/>
    </row>
    <row r="424">
      <c r="A424" s="85"/>
      <c r="B424" s="86"/>
      <c r="C424" s="85"/>
      <c r="D424" s="89"/>
      <c r="E424" s="89"/>
      <c r="F424" s="89"/>
      <c r="G424" s="89"/>
      <c r="H424" s="89"/>
      <c r="I424" s="89"/>
      <c r="J424" s="89"/>
      <c r="K424" s="89"/>
      <c r="L424" s="89"/>
      <c r="M424" s="89"/>
      <c r="N424" s="89"/>
      <c r="O424" s="85"/>
      <c r="P424" s="89"/>
      <c r="Q424" s="137"/>
      <c r="R424" s="138"/>
      <c r="S424" s="138"/>
      <c r="T424" s="85"/>
      <c r="U424" s="85"/>
      <c r="V424" s="85"/>
      <c r="W424" s="138"/>
      <c r="X424" s="139"/>
      <c r="Y424" s="139"/>
      <c r="Z424" s="139"/>
      <c r="AA424" s="139"/>
      <c r="AB424" s="139"/>
      <c r="AC424" s="139"/>
      <c r="AD424" s="139"/>
      <c r="AE424" s="139"/>
      <c r="AF424" s="139"/>
      <c r="AG424" s="139"/>
      <c r="AH424" s="139"/>
      <c r="AI424" s="139"/>
      <c r="AJ424" s="139"/>
      <c r="AK424" s="139"/>
      <c r="AL424" s="139"/>
      <c r="AM424" s="139"/>
      <c r="AN424" s="139"/>
      <c r="AO424" s="139"/>
    </row>
    <row r="425">
      <c r="A425" s="85"/>
      <c r="B425" s="86"/>
      <c r="C425" s="85"/>
      <c r="D425" s="89"/>
      <c r="E425" s="89"/>
      <c r="F425" s="89"/>
      <c r="G425" s="89"/>
      <c r="H425" s="89"/>
      <c r="I425" s="89"/>
      <c r="J425" s="89"/>
      <c r="K425" s="89"/>
      <c r="L425" s="89"/>
      <c r="M425" s="89"/>
      <c r="N425" s="89"/>
      <c r="O425" s="85"/>
      <c r="P425" s="89"/>
      <c r="Q425" s="137"/>
      <c r="R425" s="138"/>
      <c r="S425" s="138"/>
      <c r="T425" s="85"/>
      <c r="U425" s="85"/>
      <c r="V425" s="85"/>
      <c r="W425" s="138"/>
      <c r="X425" s="139"/>
      <c r="Y425" s="139"/>
      <c r="Z425" s="139"/>
      <c r="AA425" s="139"/>
      <c r="AB425" s="139"/>
      <c r="AC425" s="139"/>
      <c r="AD425" s="139"/>
      <c r="AE425" s="139"/>
      <c r="AF425" s="139"/>
      <c r="AG425" s="139"/>
      <c r="AH425" s="139"/>
      <c r="AI425" s="139"/>
      <c r="AJ425" s="139"/>
      <c r="AK425" s="139"/>
      <c r="AL425" s="139"/>
      <c r="AM425" s="139"/>
      <c r="AN425" s="139"/>
      <c r="AO425" s="139"/>
    </row>
    <row r="426">
      <c r="A426" s="85"/>
      <c r="B426" s="86"/>
      <c r="C426" s="85"/>
      <c r="D426" s="89"/>
      <c r="E426" s="89"/>
      <c r="F426" s="89"/>
      <c r="G426" s="89"/>
      <c r="H426" s="89"/>
      <c r="I426" s="89"/>
      <c r="J426" s="89"/>
      <c r="K426" s="89"/>
      <c r="L426" s="89"/>
      <c r="M426" s="89"/>
      <c r="N426" s="89"/>
      <c r="O426" s="85"/>
      <c r="P426" s="89"/>
      <c r="Q426" s="137"/>
      <c r="R426" s="138"/>
      <c r="S426" s="138"/>
      <c r="T426" s="85"/>
      <c r="U426" s="85"/>
      <c r="V426" s="85"/>
      <c r="W426" s="138"/>
      <c r="X426" s="139"/>
      <c r="Y426" s="139"/>
      <c r="Z426" s="139"/>
      <c r="AA426" s="139"/>
      <c r="AB426" s="139"/>
      <c r="AC426" s="139"/>
      <c r="AD426" s="139"/>
      <c r="AE426" s="139"/>
      <c r="AF426" s="139"/>
      <c r="AG426" s="139"/>
      <c r="AH426" s="139"/>
      <c r="AI426" s="139"/>
      <c r="AJ426" s="139"/>
      <c r="AK426" s="139"/>
      <c r="AL426" s="139"/>
      <c r="AM426" s="139"/>
      <c r="AN426" s="139"/>
      <c r="AO426" s="139"/>
    </row>
    <row r="427">
      <c r="A427" s="85"/>
      <c r="B427" s="86"/>
      <c r="C427" s="85"/>
      <c r="D427" s="89"/>
      <c r="E427" s="89"/>
      <c r="F427" s="89"/>
      <c r="G427" s="89"/>
      <c r="H427" s="89"/>
      <c r="I427" s="89"/>
      <c r="J427" s="89"/>
      <c r="K427" s="89"/>
      <c r="L427" s="89"/>
      <c r="M427" s="89"/>
      <c r="N427" s="89"/>
      <c r="O427" s="85"/>
      <c r="P427" s="89"/>
      <c r="Q427" s="137"/>
      <c r="R427" s="138"/>
      <c r="S427" s="138"/>
      <c r="T427" s="85"/>
      <c r="U427" s="85"/>
      <c r="V427" s="85"/>
      <c r="W427" s="138"/>
      <c r="X427" s="139"/>
      <c r="Y427" s="139"/>
      <c r="Z427" s="139"/>
      <c r="AA427" s="139"/>
      <c r="AB427" s="139"/>
      <c r="AC427" s="139"/>
      <c r="AD427" s="139"/>
      <c r="AE427" s="139"/>
      <c r="AF427" s="139"/>
      <c r="AG427" s="139"/>
      <c r="AH427" s="139"/>
      <c r="AI427" s="139"/>
      <c r="AJ427" s="139"/>
      <c r="AK427" s="139"/>
      <c r="AL427" s="139"/>
      <c r="AM427" s="139"/>
      <c r="AN427" s="139"/>
      <c r="AO427" s="139"/>
    </row>
    <row r="428">
      <c r="A428" s="85"/>
      <c r="B428" s="86"/>
      <c r="C428" s="85"/>
      <c r="D428" s="89"/>
      <c r="E428" s="89"/>
      <c r="F428" s="89"/>
      <c r="G428" s="89"/>
      <c r="H428" s="89"/>
      <c r="I428" s="89"/>
      <c r="J428" s="89"/>
      <c r="K428" s="89"/>
      <c r="L428" s="89"/>
      <c r="M428" s="89"/>
      <c r="N428" s="89"/>
      <c r="O428" s="85"/>
      <c r="P428" s="89"/>
      <c r="Q428" s="137"/>
      <c r="R428" s="138"/>
      <c r="S428" s="138"/>
      <c r="T428" s="85"/>
      <c r="U428" s="85"/>
      <c r="V428" s="85"/>
      <c r="W428" s="138"/>
      <c r="X428" s="139"/>
      <c r="Y428" s="139"/>
      <c r="Z428" s="139"/>
      <c r="AA428" s="139"/>
      <c r="AB428" s="139"/>
      <c r="AC428" s="139"/>
      <c r="AD428" s="139"/>
      <c r="AE428" s="139"/>
      <c r="AF428" s="139"/>
      <c r="AG428" s="139"/>
      <c r="AH428" s="139"/>
      <c r="AI428" s="139"/>
      <c r="AJ428" s="139"/>
      <c r="AK428" s="139"/>
      <c r="AL428" s="139"/>
      <c r="AM428" s="139"/>
      <c r="AN428" s="139"/>
      <c r="AO428" s="139"/>
    </row>
    <row r="429">
      <c r="A429" s="85"/>
      <c r="B429" s="86"/>
      <c r="C429" s="85"/>
      <c r="D429" s="89"/>
      <c r="E429" s="89"/>
      <c r="F429" s="89"/>
      <c r="G429" s="89"/>
      <c r="H429" s="89"/>
      <c r="I429" s="89"/>
      <c r="J429" s="89"/>
      <c r="K429" s="89"/>
      <c r="L429" s="89"/>
      <c r="M429" s="89"/>
      <c r="N429" s="89"/>
      <c r="O429" s="85"/>
      <c r="P429" s="89"/>
      <c r="Q429" s="137"/>
      <c r="R429" s="138"/>
      <c r="S429" s="138"/>
      <c r="T429" s="85"/>
      <c r="U429" s="85"/>
      <c r="V429" s="85"/>
      <c r="W429" s="138"/>
      <c r="X429" s="139"/>
      <c r="Y429" s="139"/>
      <c r="Z429" s="139"/>
      <c r="AA429" s="139"/>
      <c r="AB429" s="139"/>
      <c r="AC429" s="139"/>
      <c r="AD429" s="139"/>
      <c r="AE429" s="139"/>
      <c r="AF429" s="139"/>
      <c r="AG429" s="139"/>
      <c r="AH429" s="139"/>
      <c r="AI429" s="139"/>
      <c r="AJ429" s="139"/>
      <c r="AK429" s="139"/>
      <c r="AL429" s="139"/>
      <c r="AM429" s="139"/>
      <c r="AN429" s="139"/>
      <c r="AO429" s="139"/>
    </row>
    <row r="430">
      <c r="A430" s="85"/>
      <c r="B430" s="86"/>
      <c r="C430" s="85"/>
      <c r="D430" s="89"/>
      <c r="E430" s="89"/>
      <c r="F430" s="89"/>
      <c r="G430" s="89"/>
      <c r="H430" s="89"/>
      <c r="I430" s="89"/>
      <c r="J430" s="89"/>
      <c r="K430" s="89"/>
      <c r="L430" s="89"/>
      <c r="M430" s="89"/>
      <c r="N430" s="89"/>
      <c r="O430" s="85"/>
      <c r="P430" s="89"/>
      <c r="Q430" s="137"/>
      <c r="R430" s="138"/>
      <c r="S430" s="138"/>
      <c r="T430" s="85"/>
      <c r="U430" s="85"/>
      <c r="V430" s="85"/>
      <c r="W430" s="138"/>
      <c r="X430" s="139"/>
      <c r="Y430" s="139"/>
      <c r="Z430" s="139"/>
      <c r="AA430" s="139"/>
      <c r="AB430" s="139"/>
      <c r="AC430" s="139"/>
      <c r="AD430" s="139"/>
      <c r="AE430" s="139"/>
      <c r="AF430" s="139"/>
      <c r="AG430" s="139"/>
      <c r="AH430" s="139"/>
      <c r="AI430" s="139"/>
      <c r="AJ430" s="139"/>
      <c r="AK430" s="139"/>
      <c r="AL430" s="139"/>
      <c r="AM430" s="139"/>
      <c r="AN430" s="139"/>
      <c r="AO430" s="139"/>
    </row>
    <row r="431">
      <c r="A431" s="85"/>
      <c r="B431" s="86"/>
      <c r="C431" s="85"/>
      <c r="D431" s="89"/>
      <c r="E431" s="89"/>
      <c r="F431" s="89"/>
      <c r="G431" s="89"/>
      <c r="H431" s="89"/>
      <c r="I431" s="89"/>
      <c r="J431" s="89"/>
      <c r="K431" s="89"/>
      <c r="L431" s="89"/>
      <c r="M431" s="89"/>
      <c r="N431" s="89"/>
      <c r="O431" s="85"/>
      <c r="P431" s="89"/>
      <c r="Q431" s="137"/>
      <c r="R431" s="138"/>
      <c r="S431" s="138"/>
      <c r="T431" s="85"/>
      <c r="U431" s="85"/>
      <c r="V431" s="85"/>
      <c r="W431" s="138"/>
      <c r="X431" s="139"/>
      <c r="Y431" s="139"/>
      <c r="Z431" s="139"/>
      <c r="AA431" s="139"/>
      <c r="AB431" s="139"/>
      <c r="AC431" s="139"/>
      <c r="AD431" s="139"/>
      <c r="AE431" s="139"/>
      <c r="AF431" s="139"/>
      <c r="AG431" s="139"/>
      <c r="AH431" s="139"/>
      <c r="AI431" s="139"/>
      <c r="AJ431" s="139"/>
      <c r="AK431" s="139"/>
      <c r="AL431" s="139"/>
      <c r="AM431" s="139"/>
      <c r="AN431" s="139"/>
      <c r="AO431" s="139"/>
    </row>
    <row r="432">
      <c r="A432" s="85"/>
      <c r="B432" s="86"/>
      <c r="C432" s="85"/>
      <c r="D432" s="89"/>
      <c r="E432" s="89"/>
      <c r="F432" s="89"/>
      <c r="G432" s="89"/>
      <c r="H432" s="89"/>
      <c r="I432" s="89"/>
      <c r="J432" s="89"/>
      <c r="K432" s="89"/>
      <c r="L432" s="89"/>
      <c r="M432" s="89"/>
      <c r="N432" s="89"/>
      <c r="O432" s="85"/>
      <c r="P432" s="89"/>
      <c r="Q432" s="137"/>
      <c r="R432" s="138"/>
      <c r="S432" s="138"/>
      <c r="T432" s="85"/>
      <c r="U432" s="85"/>
      <c r="V432" s="85"/>
      <c r="W432" s="138"/>
      <c r="X432" s="139"/>
      <c r="Y432" s="139"/>
      <c r="Z432" s="139"/>
      <c r="AA432" s="139"/>
      <c r="AB432" s="139"/>
      <c r="AC432" s="139"/>
      <c r="AD432" s="139"/>
      <c r="AE432" s="139"/>
      <c r="AF432" s="139"/>
      <c r="AG432" s="139"/>
      <c r="AH432" s="139"/>
      <c r="AI432" s="139"/>
      <c r="AJ432" s="139"/>
      <c r="AK432" s="139"/>
      <c r="AL432" s="139"/>
      <c r="AM432" s="139"/>
      <c r="AN432" s="139"/>
      <c r="AO432" s="139"/>
    </row>
    <row r="433">
      <c r="A433" s="85"/>
      <c r="B433" s="86"/>
      <c r="C433" s="85"/>
      <c r="D433" s="89"/>
      <c r="E433" s="89"/>
      <c r="F433" s="89"/>
      <c r="G433" s="89"/>
      <c r="H433" s="89"/>
      <c r="I433" s="89"/>
      <c r="J433" s="89"/>
      <c r="K433" s="89"/>
      <c r="L433" s="89"/>
      <c r="M433" s="89"/>
      <c r="N433" s="89"/>
      <c r="O433" s="85"/>
      <c r="P433" s="89"/>
      <c r="Q433" s="137"/>
      <c r="R433" s="138"/>
      <c r="S433" s="138"/>
      <c r="T433" s="85"/>
      <c r="U433" s="85"/>
      <c r="V433" s="85"/>
      <c r="W433" s="138"/>
      <c r="X433" s="139"/>
      <c r="Y433" s="139"/>
      <c r="Z433" s="139"/>
      <c r="AA433" s="139"/>
      <c r="AB433" s="139"/>
      <c r="AC433" s="139"/>
      <c r="AD433" s="139"/>
      <c r="AE433" s="139"/>
      <c r="AF433" s="139"/>
      <c r="AG433" s="139"/>
      <c r="AH433" s="139"/>
      <c r="AI433" s="139"/>
      <c r="AJ433" s="139"/>
      <c r="AK433" s="139"/>
      <c r="AL433" s="139"/>
      <c r="AM433" s="139"/>
      <c r="AN433" s="139"/>
      <c r="AO433" s="139"/>
    </row>
    <row r="434">
      <c r="A434" s="85"/>
      <c r="B434" s="86"/>
      <c r="C434" s="85"/>
      <c r="D434" s="89"/>
      <c r="E434" s="89"/>
      <c r="F434" s="89"/>
      <c r="G434" s="89"/>
      <c r="H434" s="89"/>
      <c r="I434" s="89"/>
      <c r="J434" s="89"/>
      <c r="K434" s="89"/>
      <c r="L434" s="89"/>
      <c r="M434" s="89"/>
      <c r="N434" s="89"/>
      <c r="O434" s="85"/>
      <c r="P434" s="89"/>
      <c r="Q434" s="137"/>
      <c r="R434" s="138"/>
      <c r="S434" s="138"/>
      <c r="T434" s="85"/>
      <c r="U434" s="85"/>
      <c r="V434" s="85"/>
      <c r="W434" s="138"/>
      <c r="X434" s="139"/>
      <c r="Y434" s="139"/>
      <c r="Z434" s="139"/>
      <c r="AA434" s="139"/>
      <c r="AB434" s="139"/>
      <c r="AC434" s="139"/>
      <c r="AD434" s="139"/>
      <c r="AE434" s="139"/>
      <c r="AF434" s="139"/>
      <c r="AG434" s="139"/>
      <c r="AH434" s="139"/>
      <c r="AI434" s="139"/>
      <c r="AJ434" s="139"/>
      <c r="AK434" s="139"/>
      <c r="AL434" s="139"/>
      <c r="AM434" s="139"/>
      <c r="AN434" s="139"/>
      <c r="AO434" s="139"/>
    </row>
    <row r="435">
      <c r="A435" s="85"/>
      <c r="B435" s="86"/>
      <c r="C435" s="85"/>
      <c r="D435" s="89"/>
      <c r="E435" s="89"/>
      <c r="F435" s="89"/>
      <c r="G435" s="89"/>
      <c r="H435" s="89"/>
      <c r="I435" s="89"/>
      <c r="J435" s="89"/>
      <c r="K435" s="89"/>
      <c r="L435" s="89"/>
      <c r="M435" s="89"/>
      <c r="N435" s="89"/>
      <c r="O435" s="85"/>
      <c r="P435" s="89"/>
      <c r="Q435" s="137"/>
      <c r="R435" s="138"/>
      <c r="S435" s="138"/>
      <c r="T435" s="85"/>
      <c r="U435" s="85"/>
      <c r="V435" s="85"/>
      <c r="W435" s="138"/>
      <c r="X435" s="139"/>
      <c r="Y435" s="139"/>
      <c r="Z435" s="139"/>
      <c r="AA435" s="139"/>
      <c r="AB435" s="139"/>
      <c r="AC435" s="139"/>
      <c r="AD435" s="139"/>
      <c r="AE435" s="139"/>
      <c r="AF435" s="139"/>
      <c r="AG435" s="139"/>
      <c r="AH435" s="139"/>
      <c r="AI435" s="139"/>
      <c r="AJ435" s="139"/>
      <c r="AK435" s="139"/>
      <c r="AL435" s="139"/>
      <c r="AM435" s="139"/>
      <c r="AN435" s="139"/>
      <c r="AO435" s="139"/>
    </row>
    <row r="436">
      <c r="A436" s="85"/>
      <c r="B436" s="86"/>
      <c r="C436" s="85"/>
      <c r="D436" s="89"/>
      <c r="E436" s="89"/>
      <c r="F436" s="89"/>
      <c r="G436" s="89"/>
      <c r="H436" s="89"/>
      <c r="I436" s="89"/>
      <c r="J436" s="89"/>
      <c r="K436" s="89"/>
      <c r="L436" s="89"/>
      <c r="M436" s="89"/>
      <c r="N436" s="89"/>
      <c r="O436" s="85"/>
      <c r="P436" s="89"/>
      <c r="Q436" s="137"/>
      <c r="R436" s="138"/>
      <c r="S436" s="138"/>
      <c r="T436" s="85"/>
      <c r="U436" s="85"/>
      <c r="V436" s="85"/>
      <c r="W436" s="138"/>
      <c r="X436" s="139"/>
      <c r="Y436" s="139"/>
      <c r="Z436" s="139"/>
      <c r="AA436" s="139"/>
      <c r="AB436" s="139"/>
      <c r="AC436" s="139"/>
      <c r="AD436" s="139"/>
      <c r="AE436" s="139"/>
      <c r="AF436" s="139"/>
      <c r="AG436" s="139"/>
      <c r="AH436" s="139"/>
      <c r="AI436" s="139"/>
      <c r="AJ436" s="139"/>
      <c r="AK436" s="139"/>
      <c r="AL436" s="139"/>
      <c r="AM436" s="139"/>
      <c r="AN436" s="139"/>
      <c r="AO436" s="139"/>
    </row>
    <row r="437">
      <c r="A437" s="85"/>
      <c r="B437" s="86"/>
      <c r="C437" s="85"/>
      <c r="D437" s="89"/>
      <c r="E437" s="89"/>
      <c r="F437" s="89"/>
      <c r="G437" s="89"/>
      <c r="H437" s="89"/>
      <c r="I437" s="89"/>
      <c r="J437" s="89"/>
      <c r="K437" s="89"/>
      <c r="L437" s="89"/>
      <c r="M437" s="89"/>
      <c r="N437" s="89"/>
      <c r="O437" s="85"/>
      <c r="P437" s="89"/>
      <c r="Q437" s="137"/>
      <c r="R437" s="138"/>
      <c r="S437" s="138"/>
      <c r="T437" s="85"/>
      <c r="U437" s="85"/>
      <c r="V437" s="85"/>
      <c r="W437" s="138"/>
      <c r="X437" s="139"/>
      <c r="Y437" s="139"/>
      <c r="Z437" s="139"/>
      <c r="AA437" s="139"/>
      <c r="AB437" s="139"/>
      <c r="AC437" s="139"/>
      <c r="AD437" s="139"/>
      <c r="AE437" s="139"/>
      <c r="AF437" s="139"/>
      <c r="AG437" s="139"/>
      <c r="AH437" s="139"/>
      <c r="AI437" s="139"/>
      <c r="AJ437" s="139"/>
      <c r="AK437" s="139"/>
      <c r="AL437" s="139"/>
      <c r="AM437" s="139"/>
      <c r="AN437" s="139"/>
      <c r="AO437" s="139"/>
    </row>
    <row r="438">
      <c r="A438" s="85"/>
      <c r="B438" s="86"/>
      <c r="C438" s="85"/>
      <c r="D438" s="89"/>
      <c r="E438" s="89"/>
      <c r="F438" s="89"/>
      <c r="G438" s="89"/>
      <c r="H438" s="89"/>
      <c r="I438" s="89"/>
      <c r="J438" s="89"/>
      <c r="K438" s="89"/>
      <c r="L438" s="89"/>
      <c r="M438" s="89"/>
      <c r="N438" s="89"/>
      <c r="O438" s="85"/>
      <c r="P438" s="89"/>
      <c r="Q438" s="137"/>
      <c r="R438" s="138"/>
      <c r="S438" s="138"/>
      <c r="T438" s="85"/>
      <c r="U438" s="85"/>
      <c r="V438" s="85"/>
      <c r="W438" s="138"/>
      <c r="X438" s="139"/>
      <c r="Y438" s="139"/>
      <c r="Z438" s="139"/>
      <c r="AA438" s="139"/>
      <c r="AB438" s="139"/>
      <c r="AC438" s="139"/>
      <c r="AD438" s="139"/>
      <c r="AE438" s="139"/>
      <c r="AF438" s="139"/>
      <c r="AG438" s="139"/>
      <c r="AH438" s="139"/>
      <c r="AI438" s="139"/>
      <c r="AJ438" s="139"/>
      <c r="AK438" s="139"/>
      <c r="AL438" s="139"/>
      <c r="AM438" s="139"/>
      <c r="AN438" s="139"/>
      <c r="AO438" s="139"/>
    </row>
    <row r="439">
      <c r="A439" s="85"/>
      <c r="B439" s="86"/>
      <c r="C439" s="85"/>
      <c r="D439" s="89"/>
      <c r="E439" s="89"/>
      <c r="F439" s="89"/>
      <c r="G439" s="89"/>
      <c r="H439" s="89"/>
      <c r="I439" s="89"/>
      <c r="J439" s="89"/>
      <c r="K439" s="89"/>
      <c r="L439" s="89"/>
      <c r="M439" s="89"/>
      <c r="N439" s="89"/>
      <c r="O439" s="85"/>
      <c r="P439" s="89"/>
      <c r="Q439" s="137"/>
      <c r="R439" s="138"/>
      <c r="S439" s="138"/>
      <c r="T439" s="85"/>
      <c r="U439" s="85"/>
      <c r="V439" s="85"/>
      <c r="W439" s="138"/>
      <c r="X439" s="139"/>
      <c r="Y439" s="139"/>
      <c r="Z439" s="139"/>
      <c r="AA439" s="139"/>
      <c r="AB439" s="139"/>
      <c r="AC439" s="139"/>
      <c r="AD439" s="139"/>
      <c r="AE439" s="139"/>
      <c r="AF439" s="139"/>
      <c r="AG439" s="139"/>
      <c r="AH439" s="139"/>
      <c r="AI439" s="139"/>
      <c r="AJ439" s="139"/>
      <c r="AK439" s="139"/>
      <c r="AL439" s="139"/>
      <c r="AM439" s="139"/>
      <c r="AN439" s="139"/>
      <c r="AO439" s="139"/>
    </row>
    <row r="440">
      <c r="A440" s="85"/>
      <c r="B440" s="86"/>
      <c r="C440" s="85"/>
      <c r="D440" s="89"/>
      <c r="E440" s="89"/>
      <c r="F440" s="89"/>
      <c r="G440" s="89"/>
      <c r="H440" s="89"/>
      <c r="I440" s="89"/>
      <c r="J440" s="89"/>
      <c r="K440" s="89"/>
      <c r="L440" s="89"/>
      <c r="M440" s="89"/>
      <c r="N440" s="89"/>
      <c r="O440" s="85"/>
      <c r="P440" s="89"/>
      <c r="Q440" s="137"/>
      <c r="R440" s="138"/>
      <c r="S440" s="138"/>
      <c r="T440" s="85"/>
      <c r="U440" s="85"/>
      <c r="V440" s="85"/>
      <c r="W440" s="138"/>
      <c r="X440" s="139"/>
      <c r="Y440" s="139"/>
      <c r="Z440" s="139"/>
      <c r="AA440" s="139"/>
      <c r="AB440" s="139"/>
      <c r="AC440" s="139"/>
      <c r="AD440" s="139"/>
      <c r="AE440" s="139"/>
      <c r="AF440" s="139"/>
      <c r="AG440" s="139"/>
      <c r="AH440" s="139"/>
      <c r="AI440" s="139"/>
      <c r="AJ440" s="139"/>
      <c r="AK440" s="139"/>
      <c r="AL440" s="139"/>
      <c r="AM440" s="139"/>
      <c r="AN440" s="139"/>
      <c r="AO440" s="139"/>
    </row>
    <row r="441">
      <c r="A441" s="85"/>
      <c r="B441" s="86"/>
      <c r="C441" s="85"/>
      <c r="D441" s="89"/>
      <c r="E441" s="89"/>
      <c r="F441" s="89"/>
      <c r="G441" s="89"/>
      <c r="H441" s="89"/>
      <c r="I441" s="89"/>
      <c r="J441" s="89"/>
      <c r="K441" s="89"/>
      <c r="L441" s="89"/>
      <c r="M441" s="89"/>
      <c r="N441" s="89"/>
      <c r="O441" s="85"/>
      <c r="P441" s="89"/>
      <c r="Q441" s="137"/>
      <c r="R441" s="138"/>
      <c r="S441" s="138"/>
      <c r="T441" s="85"/>
      <c r="U441" s="85"/>
      <c r="V441" s="85"/>
      <c r="W441" s="138"/>
      <c r="X441" s="139"/>
      <c r="Y441" s="139"/>
      <c r="Z441" s="139"/>
      <c r="AA441" s="139"/>
      <c r="AB441" s="139"/>
      <c r="AC441" s="139"/>
      <c r="AD441" s="139"/>
      <c r="AE441" s="139"/>
      <c r="AF441" s="139"/>
      <c r="AG441" s="139"/>
      <c r="AH441" s="139"/>
      <c r="AI441" s="139"/>
      <c r="AJ441" s="139"/>
      <c r="AK441" s="139"/>
      <c r="AL441" s="139"/>
      <c r="AM441" s="139"/>
      <c r="AN441" s="139"/>
      <c r="AO441" s="139"/>
    </row>
    <row r="442">
      <c r="A442" s="85"/>
      <c r="B442" s="86"/>
      <c r="C442" s="85"/>
      <c r="D442" s="89"/>
      <c r="E442" s="89"/>
      <c r="F442" s="89"/>
      <c r="G442" s="89"/>
      <c r="H442" s="89"/>
      <c r="I442" s="89"/>
      <c r="J442" s="89"/>
      <c r="K442" s="89"/>
      <c r="L442" s="89"/>
      <c r="M442" s="89"/>
      <c r="N442" s="89"/>
      <c r="O442" s="85"/>
      <c r="P442" s="89"/>
      <c r="Q442" s="137"/>
      <c r="R442" s="138"/>
      <c r="S442" s="138"/>
      <c r="T442" s="85"/>
      <c r="U442" s="85"/>
      <c r="V442" s="85"/>
      <c r="W442" s="138"/>
      <c r="X442" s="139"/>
      <c r="Y442" s="139"/>
      <c r="Z442" s="139"/>
      <c r="AA442" s="139"/>
      <c r="AB442" s="139"/>
      <c r="AC442" s="139"/>
      <c r="AD442" s="139"/>
      <c r="AE442" s="139"/>
      <c r="AF442" s="139"/>
      <c r="AG442" s="139"/>
      <c r="AH442" s="139"/>
      <c r="AI442" s="139"/>
      <c r="AJ442" s="139"/>
      <c r="AK442" s="139"/>
      <c r="AL442" s="139"/>
      <c r="AM442" s="139"/>
      <c r="AN442" s="139"/>
      <c r="AO442" s="139"/>
    </row>
    <row r="443">
      <c r="A443" s="85"/>
      <c r="B443" s="86"/>
      <c r="C443" s="85"/>
      <c r="D443" s="89"/>
      <c r="E443" s="89"/>
      <c r="F443" s="89"/>
      <c r="G443" s="89"/>
      <c r="H443" s="89"/>
      <c r="I443" s="89"/>
      <c r="J443" s="89"/>
      <c r="K443" s="89"/>
      <c r="L443" s="89"/>
      <c r="M443" s="89"/>
      <c r="N443" s="89"/>
      <c r="O443" s="85"/>
      <c r="P443" s="89"/>
      <c r="Q443" s="137"/>
      <c r="R443" s="138"/>
      <c r="S443" s="138"/>
      <c r="T443" s="85"/>
      <c r="U443" s="85"/>
      <c r="V443" s="85"/>
      <c r="W443" s="138"/>
      <c r="X443" s="139"/>
      <c r="Y443" s="139"/>
      <c r="Z443" s="139"/>
      <c r="AA443" s="139"/>
      <c r="AB443" s="139"/>
      <c r="AC443" s="139"/>
      <c r="AD443" s="139"/>
      <c r="AE443" s="139"/>
      <c r="AF443" s="139"/>
      <c r="AG443" s="139"/>
      <c r="AH443" s="139"/>
      <c r="AI443" s="139"/>
      <c r="AJ443" s="139"/>
      <c r="AK443" s="139"/>
      <c r="AL443" s="139"/>
      <c r="AM443" s="139"/>
      <c r="AN443" s="139"/>
      <c r="AO443" s="139"/>
    </row>
    <row r="444">
      <c r="A444" s="85"/>
      <c r="B444" s="86"/>
      <c r="C444" s="85"/>
      <c r="D444" s="89"/>
      <c r="E444" s="89"/>
      <c r="F444" s="89"/>
      <c r="G444" s="89"/>
      <c r="H444" s="89"/>
      <c r="I444" s="89"/>
      <c r="J444" s="89"/>
      <c r="K444" s="89"/>
      <c r="L444" s="89"/>
      <c r="M444" s="89"/>
      <c r="N444" s="89"/>
      <c r="O444" s="85"/>
      <c r="P444" s="89"/>
      <c r="Q444" s="137"/>
      <c r="R444" s="138"/>
      <c r="S444" s="138"/>
      <c r="T444" s="85"/>
      <c r="U444" s="85"/>
      <c r="V444" s="85"/>
      <c r="W444" s="138"/>
      <c r="X444" s="139"/>
      <c r="Y444" s="139"/>
      <c r="Z444" s="139"/>
      <c r="AA444" s="139"/>
      <c r="AB444" s="139"/>
      <c r="AC444" s="139"/>
      <c r="AD444" s="139"/>
      <c r="AE444" s="139"/>
      <c r="AF444" s="139"/>
      <c r="AG444" s="139"/>
      <c r="AH444" s="139"/>
      <c r="AI444" s="139"/>
      <c r="AJ444" s="139"/>
      <c r="AK444" s="139"/>
      <c r="AL444" s="139"/>
      <c r="AM444" s="139"/>
      <c r="AN444" s="139"/>
      <c r="AO444" s="139"/>
    </row>
    <row r="445">
      <c r="A445" s="85"/>
      <c r="B445" s="86"/>
      <c r="C445" s="85"/>
      <c r="D445" s="89"/>
      <c r="E445" s="89"/>
      <c r="F445" s="89"/>
      <c r="G445" s="89"/>
      <c r="H445" s="89"/>
      <c r="I445" s="89"/>
      <c r="J445" s="89"/>
      <c r="K445" s="89"/>
      <c r="L445" s="89"/>
      <c r="M445" s="89"/>
      <c r="N445" s="89"/>
      <c r="O445" s="85"/>
      <c r="P445" s="89"/>
      <c r="Q445" s="137"/>
      <c r="R445" s="138"/>
      <c r="S445" s="138"/>
      <c r="T445" s="85"/>
      <c r="U445" s="85"/>
      <c r="V445" s="85"/>
      <c r="W445" s="138"/>
      <c r="X445" s="139"/>
      <c r="Y445" s="139"/>
      <c r="Z445" s="139"/>
      <c r="AA445" s="139"/>
      <c r="AB445" s="139"/>
      <c r="AC445" s="139"/>
      <c r="AD445" s="139"/>
      <c r="AE445" s="139"/>
      <c r="AF445" s="139"/>
      <c r="AG445" s="139"/>
      <c r="AH445" s="139"/>
      <c r="AI445" s="139"/>
      <c r="AJ445" s="139"/>
      <c r="AK445" s="139"/>
      <c r="AL445" s="139"/>
      <c r="AM445" s="139"/>
      <c r="AN445" s="139"/>
      <c r="AO445" s="139"/>
    </row>
    <row r="446">
      <c r="A446" s="85"/>
      <c r="B446" s="86"/>
      <c r="C446" s="85"/>
      <c r="D446" s="89"/>
      <c r="E446" s="89"/>
      <c r="F446" s="89"/>
      <c r="G446" s="89"/>
      <c r="H446" s="89"/>
      <c r="I446" s="89"/>
      <c r="J446" s="89"/>
      <c r="K446" s="89"/>
      <c r="L446" s="89"/>
      <c r="M446" s="89"/>
      <c r="N446" s="89"/>
      <c r="O446" s="85"/>
      <c r="P446" s="89"/>
      <c r="Q446" s="137"/>
      <c r="R446" s="138"/>
      <c r="S446" s="138"/>
      <c r="T446" s="85"/>
      <c r="U446" s="85"/>
      <c r="V446" s="85"/>
      <c r="W446" s="138"/>
      <c r="X446" s="139"/>
      <c r="Y446" s="139"/>
      <c r="Z446" s="139"/>
      <c r="AA446" s="139"/>
      <c r="AB446" s="139"/>
      <c r="AC446" s="139"/>
      <c r="AD446" s="139"/>
      <c r="AE446" s="139"/>
      <c r="AF446" s="139"/>
      <c r="AG446" s="139"/>
      <c r="AH446" s="139"/>
      <c r="AI446" s="139"/>
      <c r="AJ446" s="139"/>
      <c r="AK446" s="139"/>
      <c r="AL446" s="139"/>
      <c r="AM446" s="139"/>
      <c r="AN446" s="139"/>
      <c r="AO446" s="139"/>
    </row>
    <row r="447">
      <c r="A447" s="85"/>
      <c r="B447" s="86"/>
      <c r="C447" s="85"/>
      <c r="D447" s="89"/>
      <c r="E447" s="89"/>
      <c r="F447" s="89"/>
      <c r="G447" s="89"/>
      <c r="H447" s="89"/>
      <c r="I447" s="89"/>
      <c r="J447" s="89"/>
      <c r="K447" s="89"/>
      <c r="L447" s="89"/>
      <c r="M447" s="89"/>
      <c r="N447" s="89"/>
      <c r="O447" s="85"/>
      <c r="P447" s="89"/>
      <c r="Q447" s="137"/>
      <c r="R447" s="138"/>
      <c r="S447" s="138"/>
      <c r="T447" s="85"/>
      <c r="U447" s="85"/>
      <c r="V447" s="85"/>
      <c r="W447" s="138"/>
      <c r="X447" s="139"/>
      <c r="Y447" s="139"/>
      <c r="Z447" s="139"/>
      <c r="AA447" s="139"/>
      <c r="AB447" s="139"/>
      <c r="AC447" s="139"/>
      <c r="AD447" s="139"/>
      <c r="AE447" s="139"/>
      <c r="AF447" s="139"/>
      <c r="AG447" s="139"/>
      <c r="AH447" s="139"/>
      <c r="AI447" s="139"/>
      <c r="AJ447" s="139"/>
      <c r="AK447" s="139"/>
      <c r="AL447" s="139"/>
      <c r="AM447" s="139"/>
      <c r="AN447" s="139"/>
      <c r="AO447" s="139"/>
    </row>
    <row r="448">
      <c r="A448" s="85"/>
      <c r="B448" s="86"/>
      <c r="C448" s="85"/>
      <c r="D448" s="89"/>
      <c r="E448" s="89"/>
      <c r="F448" s="89"/>
      <c r="G448" s="89"/>
      <c r="H448" s="89"/>
      <c r="I448" s="89"/>
      <c r="J448" s="89"/>
      <c r="K448" s="89"/>
      <c r="L448" s="89"/>
      <c r="M448" s="89"/>
      <c r="N448" s="89"/>
      <c r="O448" s="85"/>
      <c r="P448" s="89"/>
      <c r="Q448" s="137"/>
      <c r="R448" s="138"/>
      <c r="S448" s="138"/>
      <c r="T448" s="85"/>
      <c r="U448" s="85"/>
      <c r="V448" s="85"/>
      <c r="W448" s="138"/>
      <c r="X448" s="139"/>
      <c r="Y448" s="139"/>
      <c r="Z448" s="139"/>
      <c r="AA448" s="139"/>
      <c r="AB448" s="139"/>
      <c r="AC448" s="139"/>
      <c r="AD448" s="139"/>
      <c r="AE448" s="139"/>
      <c r="AF448" s="139"/>
      <c r="AG448" s="139"/>
      <c r="AH448" s="139"/>
      <c r="AI448" s="139"/>
      <c r="AJ448" s="139"/>
      <c r="AK448" s="139"/>
      <c r="AL448" s="139"/>
      <c r="AM448" s="139"/>
      <c r="AN448" s="139"/>
      <c r="AO448" s="139"/>
    </row>
    <row r="449">
      <c r="A449" s="85"/>
      <c r="B449" s="86"/>
      <c r="C449" s="85"/>
      <c r="D449" s="89"/>
      <c r="E449" s="89"/>
      <c r="F449" s="89"/>
      <c r="G449" s="89"/>
      <c r="H449" s="89"/>
      <c r="I449" s="89"/>
      <c r="J449" s="89"/>
      <c r="K449" s="89"/>
      <c r="L449" s="89"/>
      <c r="M449" s="89"/>
      <c r="N449" s="89"/>
      <c r="O449" s="85"/>
      <c r="P449" s="89"/>
      <c r="Q449" s="137"/>
      <c r="R449" s="138"/>
      <c r="S449" s="138"/>
      <c r="T449" s="85"/>
      <c r="U449" s="85"/>
      <c r="V449" s="85"/>
      <c r="W449" s="138"/>
      <c r="X449" s="139"/>
      <c r="Y449" s="139"/>
      <c r="Z449" s="139"/>
      <c r="AA449" s="139"/>
      <c r="AB449" s="139"/>
      <c r="AC449" s="139"/>
      <c r="AD449" s="139"/>
      <c r="AE449" s="139"/>
      <c r="AF449" s="139"/>
      <c r="AG449" s="139"/>
      <c r="AH449" s="139"/>
      <c r="AI449" s="139"/>
      <c r="AJ449" s="139"/>
      <c r="AK449" s="139"/>
      <c r="AL449" s="139"/>
      <c r="AM449" s="139"/>
      <c r="AN449" s="139"/>
      <c r="AO449" s="139"/>
    </row>
    <row r="450">
      <c r="A450" s="85"/>
      <c r="B450" s="86"/>
      <c r="C450" s="85"/>
      <c r="D450" s="89"/>
      <c r="E450" s="89"/>
      <c r="F450" s="89"/>
      <c r="G450" s="89"/>
      <c r="H450" s="89"/>
      <c r="I450" s="89"/>
      <c r="J450" s="89"/>
      <c r="K450" s="89"/>
      <c r="L450" s="89"/>
      <c r="M450" s="89"/>
      <c r="N450" s="89"/>
      <c r="O450" s="85"/>
      <c r="P450" s="89"/>
      <c r="Q450" s="137"/>
      <c r="R450" s="138"/>
      <c r="S450" s="138"/>
      <c r="T450" s="85"/>
      <c r="U450" s="85"/>
      <c r="V450" s="85"/>
      <c r="W450" s="138"/>
      <c r="X450" s="139"/>
      <c r="Y450" s="139"/>
      <c r="Z450" s="139"/>
      <c r="AA450" s="139"/>
      <c r="AB450" s="139"/>
      <c r="AC450" s="139"/>
      <c r="AD450" s="139"/>
      <c r="AE450" s="139"/>
      <c r="AF450" s="139"/>
      <c r="AG450" s="139"/>
      <c r="AH450" s="139"/>
      <c r="AI450" s="139"/>
      <c r="AJ450" s="139"/>
      <c r="AK450" s="139"/>
      <c r="AL450" s="139"/>
      <c r="AM450" s="139"/>
      <c r="AN450" s="139"/>
      <c r="AO450" s="139"/>
    </row>
    <row r="451">
      <c r="A451" s="85"/>
      <c r="B451" s="86"/>
      <c r="C451" s="85"/>
      <c r="D451" s="89"/>
      <c r="E451" s="89"/>
      <c r="F451" s="89"/>
      <c r="G451" s="89"/>
      <c r="H451" s="89"/>
      <c r="I451" s="89"/>
      <c r="J451" s="89"/>
      <c r="K451" s="89"/>
      <c r="L451" s="89"/>
      <c r="M451" s="89"/>
      <c r="N451" s="89"/>
      <c r="O451" s="85"/>
      <c r="P451" s="89"/>
      <c r="Q451" s="137"/>
      <c r="R451" s="138"/>
      <c r="S451" s="138"/>
      <c r="T451" s="85"/>
      <c r="U451" s="85"/>
      <c r="V451" s="85"/>
      <c r="W451" s="138"/>
      <c r="X451" s="139"/>
      <c r="Y451" s="139"/>
      <c r="Z451" s="139"/>
      <c r="AA451" s="139"/>
      <c r="AB451" s="139"/>
      <c r="AC451" s="139"/>
      <c r="AD451" s="139"/>
      <c r="AE451" s="139"/>
      <c r="AF451" s="139"/>
      <c r="AG451" s="139"/>
      <c r="AH451" s="139"/>
      <c r="AI451" s="139"/>
      <c r="AJ451" s="139"/>
      <c r="AK451" s="139"/>
      <c r="AL451" s="139"/>
      <c r="AM451" s="139"/>
      <c r="AN451" s="139"/>
      <c r="AO451" s="139"/>
    </row>
    <row r="452">
      <c r="A452" s="85"/>
      <c r="B452" s="86"/>
      <c r="C452" s="85"/>
      <c r="D452" s="89"/>
      <c r="E452" s="89"/>
      <c r="F452" s="89"/>
      <c r="G452" s="89"/>
      <c r="H452" s="89"/>
      <c r="I452" s="89"/>
      <c r="J452" s="89"/>
      <c r="K452" s="89"/>
      <c r="L452" s="89"/>
      <c r="M452" s="89"/>
      <c r="N452" s="89"/>
      <c r="O452" s="85"/>
      <c r="P452" s="89"/>
      <c r="Q452" s="137"/>
      <c r="R452" s="138"/>
      <c r="S452" s="138"/>
      <c r="T452" s="85"/>
      <c r="U452" s="85"/>
      <c r="V452" s="85"/>
      <c r="W452" s="138"/>
      <c r="X452" s="139"/>
      <c r="Y452" s="139"/>
      <c r="Z452" s="139"/>
      <c r="AA452" s="139"/>
      <c r="AB452" s="139"/>
      <c r="AC452" s="139"/>
      <c r="AD452" s="139"/>
      <c r="AE452" s="139"/>
      <c r="AF452" s="139"/>
      <c r="AG452" s="139"/>
      <c r="AH452" s="139"/>
      <c r="AI452" s="139"/>
      <c r="AJ452" s="139"/>
      <c r="AK452" s="139"/>
      <c r="AL452" s="139"/>
      <c r="AM452" s="139"/>
      <c r="AN452" s="139"/>
      <c r="AO452" s="139"/>
    </row>
    <row r="453">
      <c r="A453" s="85"/>
      <c r="B453" s="86"/>
      <c r="C453" s="85"/>
      <c r="D453" s="89"/>
      <c r="E453" s="89"/>
      <c r="F453" s="89"/>
      <c r="G453" s="89"/>
      <c r="H453" s="89"/>
      <c r="I453" s="89"/>
      <c r="J453" s="89"/>
      <c r="K453" s="89"/>
      <c r="L453" s="89"/>
      <c r="M453" s="89"/>
      <c r="N453" s="89"/>
      <c r="O453" s="85"/>
      <c r="P453" s="89"/>
      <c r="Q453" s="137"/>
      <c r="R453" s="138"/>
      <c r="S453" s="138"/>
      <c r="T453" s="85"/>
      <c r="U453" s="85"/>
      <c r="V453" s="85"/>
      <c r="W453" s="138"/>
      <c r="X453" s="139"/>
      <c r="Y453" s="139"/>
      <c r="Z453" s="139"/>
      <c r="AA453" s="139"/>
      <c r="AB453" s="139"/>
      <c r="AC453" s="139"/>
      <c r="AD453" s="139"/>
      <c r="AE453" s="139"/>
      <c r="AF453" s="139"/>
      <c r="AG453" s="139"/>
      <c r="AH453" s="139"/>
      <c r="AI453" s="139"/>
      <c r="AJ453" s="139"/>
      <c r="AK453" s="139"/>
      <c r="AL453" s="139"/>
      <c r="AM453" s="139"/>
      <c r="AN453" s="139"/>
      <c r="AO453" s="139"/>
    </row>
    <row r="454">
      <c r="A454" s="85"/>
      <c r="B454" s="86"/>
      <c r="C454" s="85"/>
      <c r="D454" s="89"/>
      <c r="E454" s="89"/>
      <c r="F454" s="89"/>
      <c r="G454" s="89"/>
      <c r="H454" s="89"/>
      <c r="I454" s="89"/>
      <c r="J454" s="89"/>
      <c r="K454" s="89"/>
      <c r="L454" s="89"/>
      <c r="M454" s="89"/>
      <c r="N454" s="89"/>
      <c r="O454" s="85"/>
      <c r="P454" s="89"/>
      <c r="Q454" s="137"/>
      <c r="R454" s="138"/>
      <c r="S454" s="138"/>
      <c r="T454" s="85"/>
      <c r="U454" s="85"/>
      <c r="V454" s="85"/>
      <c r="W454" s="138"/>
      <c r="X454" s="139"/>
      <c r="Y454" s="139"/>
      <c r="Z454" s="139"/>
      <c r="AA454" s="139"/>
      <c r="AB454" s="139"/>
      <c r="AC454" s="139"/>
      <c r="AD454" s="139"/>
      <c r="AE454" s="139"/>
      <c r="AF454" s="139"/>
      <c r="AG454" s="139"/>
      <c r="AH454" s="139"/>
      <c r="AI454" s="139"/>
      <c r="AJ454" s="139"/>
      <c r="AK454" s="139"/>
      <c r="AL454" s="139"/>
      <c r="AM454" s="139"/>
      <c r="AN454" s="139"/>
      <c r="AO454" s="139"/>
    </row>
    <row r="455">
      <c r="A455" s="85"/>
      <c r="B455" s="86"/>
      <c r="C455" s="85"/>
      <c r="D455" s="89"/>
      <c r="E455" s="89"/>
      <c r="F455" s="89"/>
      <c r="G455" s="89"/>
      <c r="H455" s="89"/>
      <c r="I455" s="89"/>
      <c r="J455" s="89"/>
      <c r="K455" s="89"/>
      <c r="L455" s="89"/>
      <c r="M455" s="89"/>
      <c r="N455" s="89"/>
      <c r="O455" s="85"/>
      <c r="P455" s="89"/>
      <c r="Q455" s="137"/>
      <c r="R455" s="138"/>
      <c r="S455" s="138"/>
      <c r="T455" s="85"/>
      <c r="U455" s="85"/>
      <c r="V455" s="85"/>
      <c r="W455" s="138"/>
      <c r="X455" s="139"/>
      <c r="Y455" s="139"/>
      <c r="Z455" s="139"/>
      <c r="AA455" s="139"/>
      <c r="AB455" s="139"/>
      <c r="AC455" s="139"/>
      <c r="AD455" s="139"/>
      <c r="AE455" s="139"/>
      <c r="AF455" s="139"/>
      <c r="AG455" s="139"/>
      <c r="AH455" s="139"/>
      <c r="AI455" s="139"/>
      <c r="AJ455" s="139"/>
      <c r="AK455" s="139"/>
      <c r="AL455" s="139"/>
      <c r="AM455" s="139"/>
      <c r="AN455" s="139"/>
      <c r="AO455" s="139"/>
    </row>
    <row r="456">
      <c r="A456" s="85"/>
      <c r="B456" s="86"/>
      <c r="C456" s="85"/>
      <c r="D456" s="89"/>
      <c r="E456" s="89"/>
      <c r="F456" s="89"/>
      <c r="G456" s="89"/>
      <c r="H456" s="89"/>
      <c r="I456" s="89"/>
      <c r="J456" s="89"/>
      <c r="K456" s="89"/>
      <c r="L456" s="89"/>
      <c r="M456" s="89"/>
      <c r="N456" s="89"/>
      <c r="O456" s="85"/>
      <c r="P456" s="89"/>
      <c r="Q456" s="137"/>
      <c r="R456" s="138"/>
      <c r="S456" s="138"/>
      <c r="T456" s="85"/>
      <c r="U456" s="85"/>
      <c r="V456" s="85"/>
      <c r="W456" s="138"/>
      <c r="X456" s="139"/>
      <c r="Y456" s="139"/>
      <c r="Z456" s="139"/>
      <c r="AA456" s="139"/>
      <c r="AB456" s="139"/>
      <c r="AC456" s="139"/>
      <c r="AD456" s="139"/>
      <c r="AE456" s="139"/>
      <c r="AF456" s="139"/>
      <c r="AG456" s="139"/>
      <c r="AH456" s="139"/>
      <c r="AI456" s="139"/>
      <c r="AJ456" s="139"/>
      <c r="AK456" s="139"/>
      <c r="AL456" s="139"/>
      <c r="AM456" s="139"/>
      <c r="AN456" s="139"/>
      <c r="AO456" s="139"/>
    </row>
    <row r="457">
      <c r="A457" s="85"/>
      <c r="B457" s="86"/>
      <c r="C457" s="85"/>
      <c r="D457" s="89"/>
      <c r="E457" s="89"/>
      <c r="F457" s="89"/>
      <c r="G457" s="89"/>
      <c r="H457" s="89"/>
      <c r="I457" s="89"/>
      <c r="J457" s="89"/>
      <c r="K457" s="89"/>
      <c r="L457" s="89"/>
      <c r="M457" s="89"/>
      <c r="N457" s="89"/>
      <c r="O457" s="85"/>
      <c r="P457" s="89"/>
      <c r="Q457" s="137"/>
      <c r="R457" s="138"/>
      <c r="S457" s="138"/>
      <c r="T457" s="85"/>
      <c r="U457" s="85"/>
      <c r="V457" s="85"/>
      <c r="W457" s="138"/>
      <c r="X457" s="139"/>
      <c r="Y457" s="139"/>
      <c r="Z457" s="139"/>
      <c r="AA457" s="139"/>
      <c r="AB457" s="139"/>
      <c r="AC457" s="139"/>
      <c r="AD457" s="139"/>
      <c r="AE457" s="139"/>
      <c r="AF457" s="139"/>
      <c r="AG457" s="139"/>
      <c r="AH457" s="139"/>
      <c r="AI457" s="139"/>
      <c r="AJ457" s="139"/>
      <c r="AK457" s="139"/>
      <c r="AL457" s="139"/>
      <c r="AM457" s="139"/>
      <c r="AN457" s="139"/>
      <c r="AO457" s="139"/>
    </row>
    <row r="458">
      <c r="A458" s="85"/>
      <c r="B458" s="86"/>
      <c r="C458" s="85"/>
      <c r="D458" s="89"/>
      <c r="E458" s="89"/>
      <c r="F458" s="89"/>
      <c r="G458" s="89"/>
      <c r="H458" s="89"/>
      <c r="I458" s="89"/>
      <c r="J458" s="89"/>
      <c r="K458" s="89"/>
      <c r="L458" s="89"/>
      <c r="M458" s="89"/>
      <c r="N458" s="89"/>
      <c r="O458" s="85"/>
      <c r="P458" s="89"/>
      <c r="Q458" s="137"/>
      <c r="R458" s="138"/>
      <c r="S458" s="138"/>
      <c r="T458" s="85"/>
      <c r="U458" s="85"/>
      <c r="V458" s="85"/>
      <c r="W458" s="138"/>
      <c r="X458" s="139"/>
      <c r="Y458" s="139"/>
      <c r="Z458" s="139"/>
      <c r="AA458" s="139"/>
      <c r="AB458" s="139"/>
      <c r="AC458" s="139"/>
      <c r="AD458" s="139"/>
      <c r="AE458" s="139"/>
      <c r="AF458" s="139"/>
      <c r="AG458" s="139"/>
      <c r="AH458" s="139"/>
      <c r="AI458" s="139"/>
      <c r="AJ458" s="139"/>
      <c r="AK458" s="139"/>
      <c r="AL458" s="139"/>
      <c r="AM458" s="139"/>
      <c r="AN458" s="139"/>
      <c r="AO458" s="139"/>
    </row>
    <row r="459">
      <c r="A459" s="85"/>
      <c r="B459" s="86"/>
      <c r="C459" s="85"/>
      <c r="D459" s="89"/>
      <c r="E459" s="89"/>
      <c r="F459" s="89"/>
      <c r="G459" s="89"/>
      <c r="H459" s="89"/>
      <c r="I459" s="89"/>
      <c r="J459" s="89"/>
      <c r="K459" s="89"/>
      <c r="L459" s="89"/>
      <c r="M459" s="89"/>
      <c r="N459" s="89"/>
      <c r="O459" s="85"/>
      <c r="P459" s="89"/>
      <c r="Q459" s="137"/>
      <c r="R459" s="138"/>
      <c r="S459" s="138"/>
      <c r="T459" s="85"/>
      <c r="U459" s="85"/>
      <c r="V459" s="85"/>
      <c r="W459" s="138"/>
      <c r="X459" s="139"/>
      <c r="Y459" s="139"/>
      <c r="Z459" s="139"/>
      <c r="AA459" s="139"/>
      <c r="AB459" s="139"/>
      <c r="AC459" s="139"/>
      <c r="AD459" s="139"/>
      <c r="AE459" s="139"/>
      <c r="AF459" s="139"/>
      <c r="AG459" s="139"/>
      <c r="AH459" s="139"/>
      <c r="AI459" s="139"/>
      <c r="AJ459" s="139"/>
      <c r="AK459" s="139"/>
      <c r="AL459" s="139"/>
      <c r="AM459" s="139"/>
      <c r="AN459" s="139"/>
      <c r="AO459" s="139"/>
    </row>
    <row r="460">
      <c r="A460" s="85"/>
      <c r="B460" s="86"/>
      <c r="C460" s="85"/>
      <c r="D460" s="89"/>
      <c r="E460" s="89"/>
      <c r="F460" s="89"/>
      <c r="G460" s="89"/>
      <c r="H460" s="89"/>
      <c r="I460" s="89"/>
      <c r="J460" s="89"/>
      <c r="K460" s="89"/>
      <c r="L460" s="89"/>
      <c r="M460" s="89"/>
      <c r="N460" s="89"/>
      <c r="O460" s="85"/>
      <c r="P460" s="89"/>
      <c r="Q460" s="137"/>
      <c r="R460" s="138"/>
      <c r="S460" s="138"/>
      <c r="T460" s="85"/>
      <c r="U460" s="85"/>
      <c r="V460" s="85"/>
      <c r="W460" s="138"/>
      <c r="X460" s="139"/>
      <c r="Y460" s="139"/>
      <c r="Z460" s="139"/>
      <c r="AA460" s="139"/>
      <c r="AB460" s="139"/>
      <c r="AC460" s="139"/>
      <c r="AD460" s="139"/>
      <c r="AE460" s="139"/>
      <c r="AF460" s="139"/>
      <c r="AG460" s="139"/>
      <c r="AH460" s="139"/>
      <c r="AI460" s="139"/>
      <c r="AJ460" s="139"/>
      <c r="AK460" s="139"/>
      <c r="AL460" s="139"/>
      <c r="AM460" s="139"/>
      <c r="AN460" s="139"/>
      <c r="AO460" s="139"/>
    </row>
    <row r="461">
      <c r="A461" s="85"/>
      <c r="B461" s="86"/>
      <c r="C461" s="85"/>
      <c r="D461" s="89"/>
      <c r="E461" s="89"/>
      <c r="F461" s="89"/>
      <c r="G461" s="89"/>
      <c r="H461" s="89"/>
      <c r="I461" s="89"/>
      <c r="J461" s="89"/>
      <c r="K461" s="89"/>
      <c r="L461" s="89"/>
      <c r="M461" s="89"/>
      <c r="N461" s="89"/>
      <c r="O461" s="85"/>
      <c r="P461" s="89"/>
      <c r="Q461" s="137"/>
      <c r="R461" s="138"/>
      <c r="S461" s="138"/>
      <c r="T461" s="85"/>
      <c r="U461" s="85"/>
      <c r="V461" s="85"/>
      <c r="W461" s="138"/>
      <c r="X461" s="139"/>
      <c r="Y461" s="139"/>
      <c r="Z461" s="139"/>
      <c r="AA461" s="139"/>
      <c r="AB461" s="139"/>
      <c r="AC461" s="139"/>
      <c r="AD461" s="139"/>
      <c r="AE461" s="139"/>
      <c r="AF461" s="139"/>
      <c r="AG461" s="139"/>
      <c r="AH461" s="139"/>
      <c r="AI461" s="139"/>
      <c r="AJ461" s="139"/>
      <c r="AK461" s="139"/>
      <c r="AL461" s="139"/>
      <c r="AM461" s="139"/>
      <c r="AN461" s="139"/>
      <c r="AO461" s="139"/>
    </row>
    <row r="462">
      <c r="A462" s="85"/>
      <c r="B462" s="86"/>
      <c r="C462" s="85"/>
      <c r="D462" s="89"/>
      <c r="E462" s="89"/>
      <c r="F462" s="89"/>
      <c r="G462" s="89"/>
      <c r="H462" s="89"/>
      <c r="I462" s="89"/>
      <c r="J462" s="89"/>
      <c r="K462" s="89"/>
      <c r="L462" s="89"/>
      <c r="M462" s="89"/>
      <c r="N462" s="89"/>
      <c r="O462" s="85"/>
      <c r="P462" s="89"/>
      <c r="Q462" s="137"/>
      <c r="R462" s="138"/>
      <c r="S462" s="138"/>
      <c r="T462" s="85"/>
      <c r="U462" s="85"/>
      <c r="V462" s="85"/>
      <c r="W462" s="138"/>
      <c r="X462" s="139"/>
      <c r="Y462" s="139"/>
      <c r="Z462" s="139"/>
      <c r="AA462" s="139"/>
      <c r="AB462" s="139"/>
      <c r="AC462" s="139"/>
      <c r="AD462" s="139"/>
      <c r="AE462" s="139"/>
      <c r="AF462" s="139"/>
      <c r="AG462" s="139"/>
      <c r="AH462" s="139"/>
      <c r="AI462" s="139"/>
      <c r="AJ462" s="139"/>
      <c r="AK462" s="139"/>
      <c r="AL462" s="139"/>
      <c r="AM462" s="139"/>
      <c r="AN462" s="139"/>
      <c r="AO462" s="139"/>
    </row>
    <row r="463">
      <c r="A463" s="85"/>
      <c r="B463" s="86"/>
      <c r="C463" s="85"/>
      <c r="D463" s="89"/>
      <c r="E463" s="89"/>
      <c r="F463" s="89"/>
      <c r="G463" s="89"/>
      <c r="H463" s="89"/>
      <c r="I463" s="89"/>
      <c r="J463" s="89"/>
      <c r="K463" s="89"/>
      <c r="L463" s="89"/>
      <c r="M463" s="89"/>
      <c r="N463" s="89"/>
      <c r="O463" s="85"/>
      <c r="P463" s="89"/>
      <c r="Q463" s="137"/>
      <c r="R463" s="138"/>
      <c r="S463" s="138"/>
      <c r="T463" s="85"/>
      <c r="U463" s="85"/>
      <c r="V463" s="85"/>
      <c r="W463" s="138"/>
      <c r="X463" s="139"/>
      <c r="Y463" s="139"/>
      <c r="Z463" s="139"/>
      <c r="AA463" s="139"/>
      <c r="AB463" s="139"/>
      <c r="AC463" s="139"/>
      <c r="AD463" s="139"/>
      <c r="AE463" s="139"/>
      <c r="AF463" s="139"/>
      <c r="AG463" s="139"/>
      <c r="AH463" s="139"/>
      <c r="AI463" s="139"/>
      <c r="AJ463" s="139"/>
      <c r="AK463" s="139"/>
      <c r="AL463" s="139"/>
      <c r="AM463" s="139"/>
      <c r="AN463" s="139"/>
      <c r="AO463" s="139"/>
    </row>
    <row r="464">
      <c r="A464" s="85"/>
      <c r="B464" s="86"/>
      <c r="C464" s="85"/>
      <c r="D464" s="89"/>
      <c r="E464" s="89"/>
      <c r="F464" s="89"/>
      <c r="G464" s="89"/>
      <c r="H464" s="89"/>
      <c r="I464" s="89"/>
      <c r="J464" s="89"/>
      <c r="K464" s="89"/>
      <c r="L464" s="89"/>
      <c r="M464" s="89"/>
      <c r="N464" s="89"/>
      <c r="O464" s="85"/>
      <c r="P464" s="89"/>
      <c r="Q464" s="137"/>
      <c r="R464" s="138"/>
      <c r="S464" s="138"/>
      <c r="T464" s="85"/>
      <c r="U464" s="85"/>
      <c r="V464" s="85"/>
      <c r="W464" s="138"/>
      <c r="X464" s="139"/>
      <c r="Y464" s="139"/>
      <c r="Z464" s="139"/>
      <c r="AA464" s="139"/>
      <c r="AB464" s="139"/>
      <c r="AC464" s="139"/>
      <c r="AD464" s="139"/>
      <c r="AE464" s="139"/>
      <c r="AF464" s="139"/>
      <c r="AG464" s="139"/>
      <c r="AH464" s="139"/>
      <c r="AI464" s="139"/>
      <c r="AJ464" s="139"/>
      <c r="AK464" s="139"/>
      <c r="AL464" s="139"/>
      <c r="AM464" s="139"/>
      <c r="AN464" s="139"/>
      <c r="AO464" s="139"/>
    </row>
    <row r="465">
      <c r="A465" s="85"/>
      <c r="B465" s="86"/>
      <c r="C465" s="85"/>
      <c r="D465" s="89"/>
      <c r="E465" s="89"/>
      <c r="F465" s="89"/>
      <c r="G465" s="89"/>
      <c r="H465" s="89"/>
      <c r="I465" s="89"/>
      <c r="J465" s="89"/>
      <c r="K465" s="89"/>
      <c r="L465" s="89"/>
      <c r="M465" s="89"/>
      <c r="N465" s="89"/>
      <c r="O465" s="85"/>
      <c r="P465" s="89"/>
      <c r="Q465" s="137"/>
      <c r="R465" s="138"/>
      <c r="S465" s="138"/>
      <c r="T465" s="85"/>
      <c r="U465" s="85"/>
      <c r="V465" s="85"/>
      <c r="W465" s="138"/>
      <c r="X465" s="139"/>
      <c r="Y465" s="139"/>
      <c r="Z465" s="139"/>
      <c r="AA465" s="139"/>
      <c r="AB465" s="139"/>
      <c r="AC465" s="139"/>
      <c r="AD465" s="139"/>
      <c r="AE465" s="139"/>
      <c r="AF465" s="139"/>
      <c r="AG465" s="139"/>
      <c r="AH465" s="139"/>
      <c r="AI465" s="139"/>
      <c r="AJ465" s="139"/>
      <c r="AK465" s="139"/>
      <c r="AL465" s="139"/>
      <c r="AM465" s="139"/>
      <c r="AN465" s="139"/>
      <c r="AO465" s="139"/>
    </row>
    <row r="466">
      <c r="A466" s="85"/>
      <c r="B466" s="86"/>
      <c r="C466" s="85"/>
      <c r="D466" s="89"/>
      <c r="E466" s="89"/>
      <c r="F466" s="89"/>
      <c r="G466" s="89"/>
      <c r="H466" s="89"/>
      <c r="I466" s="89"/>
      <c r="J466" s="89"/>
      <c r="K466" s="89"/>
      <c r="L466" s="89"/>
      <c r="M466" s="89"/>
      <c r="N466" s="89"/>
      <c r="O466" s="85"/>
      <c r="P466" s="89"/>
      <c r="Q466" s="137"/>
      <c r="R466" s="138"/>
      <c r="S466" s="138"/>
      <c r="T466" s="85"/>
      <c r="U466" s="85"/>
      <c r="V466" s="85"/>
      <c r="W466" s="138"/>
      <c r="X466" s="139"/>
      <c r="Y466" s="139"/>
      <c r="Z466" s="139"/>
      <c r="AA466" s="139"/>
      <c r="AB466" s="139"/>
      <c r="AC466" s="139"/>
      <c r="AD466" s="139"/>
      <c r="AE466" s="139"/>
      <c r="AF466" s="139"/>
      <c r="AG466" s="139"/>
      <c r="AH466" s="139"/>
      <c r="AI466" s="139"/>
      <c r="AJ466" s="139"/>
      <c r="AK466" s="139"/>
      <c r="AL466" s="139"/>
      <c r="AM466" s="139"/>
      <c r="AN466" s="139"/>
      <c r="AO466" s="139"/>
    </row>
    <row r="467">
      <c r="A467" s="85"/>
      <c r="B467" s="86"/>
      <c r="C467" s="85"/>
      <c r="D467" s="89"/>
      <c r="E467" s="89"/>
      <c r="F467" s="89"/>
      <c r="G467" s="89"/>
      <c r="H467" s="89"/>
      <c r="I467" s="89"/>
      <c r="J467" s="89"/>
      <c r="K467" s="89"/>
      <c r="L467" s="89"/>
      <c r="M467" s="89"/>
      <c r="N467" s="89"/>
      <c r="O467" s="85"/>
      <c r="P467" s="89"/>
      <c r="Q467" s="137"/>
      <c r="R467" s="138"/>
      <c r="S467" s="138"/>
      <c r="T467" s="85"/>
      <c r="U467" s="85"/>
      <c r="V467" s="85"/>
      <c r="W467" s="138"/>
      <c r="X467" s="139"/>
      <c r="Y467" s="139"/>
      <c r="Z467" s="139"/>
      <c r="AA467" s="139"/>
      <c r="AB467" s="139"/>
      <c r="AC467" s="139"/>
      <c r="AD467" s="139"/>
      <c r="AE467" s="139"/>
      <c r="AF467" s="139"/>
      <c r="AG467" s="139"/>
      <c r="AH467" s="139"/>
      <c r="AI467" s="139"/>
      <c r="AJ467" s="139"/>
      <c r="AK467" s="139"/>
      <c r="AL467" s="139"/>
      <c r="AM467" s="139"/>
      <c r="AN467" s="139"/>
      <c r="AO467" s="139"/>
    </row>
    <row r="468">
      <c r="A468" s="85"/>
      <c r="B468" s="86"/>
      <c r="C468" s="85"/>
      <c r="D468" s="89"/>
      <c r="E468" s="89"/>
      <c r="F468" s="89"/>
      <c r="G468" s="89"/>
      <c r="H468" s="89"/>
      <c r="I468" s="89"/>
      <c r="J468" s="89"/>
      <c r="K468" s="89"/>
      <c r="L468" s="89"/>
      <c r="M468" s="89"/>
      <c r="N468" s="89"/>
      <c r="O468" s="85"/>
      <c r="P468" s="89"/>
      <c r="Q468" s="137"/>
      <c r="R468" s="138"/>
      <c r="S468" s="138"/>
      <c r="T468" s="85"/>
      <c r="U468" s="85"/>
      <c r="V468" s="85"/>
      <c r="W468" s="138"/>
      <c r="X468" s="139"/>
      <c r="Y468" s="139"/>
      <c r="Z468" s="139"/>
      <c r="AA468" s="139"/>
      <c r="AB468" s="139"/>
      <c r="AC468" s="139"/>
      <c r="AD468" s="139"/>
      <c r="AE468" s="139"/>
      <c r="AF468" s="139"/>
      <c r="AG468" s="139"/>
      <c r="AH468" s="139"/>
      <c r="AI468" s="139"/>
      <c r="AJ468" s="139"/>
      <c r="AK468" s="139"/>
      <c r="AL468" s="139"/>
      <c r="AM468" s="139"/>
      <c r="AN468" s="139"/>
      <c r="AO468" s="139"/>
    </row>
    <row r="469">
      <c r="A469" s="85"/>
      <c r="B469" s="86"/>
      <c r="C469" s="85"/>
      <c r="D469" s="89"/>
      <c r="E469" s="89"/>
      <c r="F469" s="89"/>
      <c r="G469" s="89"/>
      <c r="H469" s="89"/>
      <c r="I469" s="89"/>
      <c r="J469" s="89"/>
      <c r="K469" s="89"/>
      <c r="L469" s="89"/>
      <c r="M469" s="89"/>
      <c r="N469" s="89"/>
      <c r="O469" s="85"/>
      <c r="P469" s="89"/>
      <c r="Q469" s="137"/>
      <c r="R469" s="138"/>
      <c r="S469" s="138"/>
      <c r="T469" s="85"/>
      <c r="U469" s="85"/>
      <c r="V469" s="85"/>
      <c r="W469" s="138"/>
      <c r="X469" s="139"/>
      <c r="Y469" s="139"/>
      <c r="Z469" s="139"/>
      <c r="AA469" s="139"/>
      <c r="AB469" s="139"/>
      <c r="AC469" s="139"/>
      <c r="AD469" s="139"/>
      <c r="AE469" s="139"/>
      <c r="AF469" s="139"/>
      <c r="AG469" s="139"/>
      <c r="AH469" s="139"/>
      <c r="AI469" s="139"/>
      <c r="AJ469" s="139"/>
      <c r="AK469" s="139"/>
      <c r="AL469" s="139"/>
      <c r="AM469" s="139"/>
      <c r="AN469" s="139"/>
      <c r="AO469" s="139"/>
    </row>
    <row r="470">
      <c r="A470" s="85"/>
      <c r="B470" s="86"/>
      <c r="C470" s="85"/>
      <c r="D470" s="89"/>
      <c r="E470" s="89"/>
      <c r="F470" s="89"/>
      <c r="G470" s="89"/>
      <c r="H470" s="89"/>
      <c r="I470" s="89"/>
      <c r="J470" s="89"/>
      <c r="K470" s="89"/>
      <c r="L470" s="89"/>
      <c r="M470" s="89"/>
      <c r="N470" s="89"/>
      <c r="O470" s="85"/>
      <c r="P470" s="89"/>
      <c r="Q470" s="137"/>
      <c r="R470" s="138"/>
      <c r="S470" s="138"/>
      <c r="T470" s="85"/>
      <c r="U470" s="85"/>
      <c r="V470" s="85"/>
      <c r="W470" s="138"/>
      <c r="X470" s="139"/>
      <c r="Y470" s="139"/>
      <c r="Z470" s="139"/>
      <c r="AA470" s="139"/>
      <c r="AB470" s="139"/>
      <c r="AC470" s="139"/>
      <c r="AD470" s="139"/>
      <c r="AE470" s="139"/>
      <c r="AF470" s="139"/>
      <c r="AG470" s="139"/>
      <c r="AH470" s="139"/>
      <c r="AI470" s="139"/>
      <c r="AJ470" s="139"/>
      <c r="AK470" s="139"/>
      <c r="AL470" s="139"/>
      <c r="AM470" s="139"/>
      <c r="AN470" s="139"/>
      <c r="AO470" s="139"/>
    </row>
    <row r="471">
      <c r="A471" s="85"/>
      <c r="B471" s="86"/>
      <c r="C471" s="85"/>
      <c r="D471" s="89"/>
      <c r="E471" s="89"/>
      <c r="F471" s="89"/>
      <c r="G471" s="89"/>
      <c r="H471" s="89"/>
      <c r="I471" s="89"/>
      <c r="J471" s="89"/>
      <c r="K471" s="89"/>
      <c r="L471" s="89"/>
      <c r="M471" s="89"/>
      <c r="N471" s="89"/>
      <c r="O471" s="85"/>
      <c r="P471" s="89"/>
      <c r="Q471" s="137"/>
      <c r="R471" s="138"/>
      <c r="S471" s="138"/>
      <c r="T471" s="85"/>
      <c r="U471" s="85"/>
      <c r="V471" s="85"/>
      <c r="W471" s="138"/>
      <c r="X471" s="139"/>
      <c r="Y471" s="139"/>
      <c r="Z471" s="139"/>
      <c r="AA471" s="139"/>
      <c r="AB471" s="139"/>
      <c r="AC471" s="139"/>
      <c r="AD471" s="139"/>
      <c r="AE471" s="139"/>
      <c r="AF471" s="139"/>
      <c r="AG471" s="139"/>
      <c r="AH471" s="139"/>
      <c r="AI471" s="139"/>
      <c r="AJ471" s="139"/>
      <c r="AK471" s="139"/>
      <c r="AL471" s="139"/>
      <c r="AM471" s="139"/>
      <c r="AN471" s="139"/>
      <c r="AO471" s="139"/>
    </row>
    <row r="472">
      <c r="A472" s="85"/>
      <c r="B472" s="86"/>
      <c r="C472" s="85"/>
      <c r="D472" s="89"/>
      <c r="E472" s="89"/>
      <c r="F472" s="89"/>
      <c r="G472" s="89"/>
      <c r="H472" s="89"/>
      <c r="I472" s="89"/>
      <c r="J472" s="89"/>
      <c r="K472" s="89"/>
      <c r="L472" s="89"/>
      <c r="M472" s="89"/>
      <c r="N472" s="89"/>
      <c r="O472" s="85"/>
      <c r="P472" s="89"/>
      <c r="Q472" s="137"/>
      <c r="R472" s="138"/>
      <c r="S472" s="138"/>
      <c r="T472" s="85"/>
      <c r="U472" s="85"/>
      <c r="V472" s="85"/>
      <c r="W472" s="138"/>
      <c r="X472" s="139"/>
      <c r="Y472" s="139"/>
      <c r="Z472" s="139"/>
      <c r="AA472" s="139"/>
      <c r="AB472" s="139"/>
      <c r="AC472" s="139"/>
      <c r="AD472" s="139"/>
      <c r="AE472" s="139"/>
      <c r="AF472" s="139"/>
      <c r="AG472" s="139"/>
      <c r="AH472" s="139"/>
      <c r="AI472" s="139"/>
      <c r="AJ472" s="139"/>
      <c r="AK472" s="139"/>
      <c r="AL472" s="139"/>
      <c r="AM472" s="139"/>
      <c r="AN472" s="139"/>
      <c r="AO472" s="139"/>
    </row>
    <row r="473">
      <c r="A473" s="85"/>
      <c r="B473" s="86"/>
      <c r="C473" s="85"/>
      <c r="D473" s="89"/>
      <c r="E473" s="89"/>
      <c r="F473" s="89"/>
      <c r="G473" s="89"/>
      <c r="H473" s="89"/>
      <c r="I473" s="89"/>
      <c r="J473" s="89"/>
      <c r="K473" s="89"/>
      <c r="L473" s="89"/>
      <c r="M473" s="89"/>
      <c r="N473" s="89"/>
      <c r="O473" s="85"/>
      <c r="P473" s="89"/>
      <c r="Q473" s="137"/>
      <c r="R473" s="138"/>
      <c r="S473" s="138"/>
      <c r="T473" s="85"/>
      <c r="U473" s="85"/>
      <c r="V473" s="85"/>
      <c r="W473" s="138"/>
      <c r="X473" s="139"/>
      <c r="Y473" s="139"/>
      <c r="Z473" s="139"/>
      <c r="AA473" s="139"/>
      <c r="AB473" s="139"/>
      <c r="AC473" s="139"/>
      <c r="AD473" s="139"/>
      <c r="AE473" s="139"/>
      <c r="AF473" s="139"/>
      <c r="AG473" s="139"/>
      <c r="AH473" s="139"/>
      <c r="AI473" s="139"/>
      <c r="AJ473" s="139"/>
      <c r="AK473" s="139"/>
      <c r="AL473" s="139"/>
      <c r="AM473" s="139"/>
      <c r="AN473" s="139"/>
      <c r="AO473" s="139"/>
    </row>
    <row r="474">
      <c r="A474" s="85"/>
      <c r="B474" s="86"/>
      <c r="C474" s="85"/>
      <c r="D474" s="89"/>
      <c r="E474" s="89"/>
      <c r="F474" s="89"/>
      <c r="G474" s="89"/>
      <c r="H474" s="89"/>
      <c r="I474" s="89"/>
      <c r="J474" s="89"/>
      <c r="K474" s="89"/>
      <c r="L474" s="89"/>
      <c r="M474" s="89"/>
      <c r="N474" s="89"/>
      <c r="O474" s="85"/>
      <c r="P474" s="89"/>
      <c r="Q474" s="137"/>
      <c r="R474" s="138"/>
      <c r="S474" s="138"/>
      <c r="T474" s="85"/>
      <c r="U474" s="85"/>
      <c r="V474" s="85"/>
      <c r="W474" s="138"/>
      <c r="X474" s="139"/>
      <c r="Y474" s="139"/>
      <c r="Z474" s="139"/>
      <c r="AA474" s="139"/>
      <c r="AB474" s="139"/>
      <c r="AC474" s="139"/>
      <c r="AD474" s="139"/>
      <c r="AE474" s="139"/>
      <c r="AF474" s="139"/>
      <c r="AG474" s="139"/>
      <c r="AH474" s="139"/>
      <c r="AI474" s="139"/>
      <c r="AJ474" s="139"/>
      <c r="AK474" s="139"/>
      <c r="AL474" s="139"/>
      <c r="AM474" s="139"/>
      <c r="AN474" s="139"/>
      <c r="AO474" s="139"/>
    </row>
    <row r="475">
      <c r="A475" s="85"/>
      <c r="B475" s="86"/>
      <c r="C475" s="85"/>
      <c r="D475" s="89"/>
      <c r="E475" s="89"/>
      <c r="F475" s="89"/>
      <c r="G475" s="89"/>
      <c r="H475" s="89"/>
      <c r="I475" s="89"/>
      <c r="J475" s="89"/>
      <c r="K475" s="89"/>
      <c r="L475" s="89"/>
      <c r="M475" s="89"/>
      <c r="N475" s="89"/>
      <c r="O475" s="85"/>
      <c r="P475" s="89"/>
      <c r="Q475" s="137"/>
      <c r="R475" s="138"/>
      <c r="S475" s="138"/>
      <c r="T475" s="85"/>
      <c r="U475" s="85"/>
      <c r="V475" s="85"/>
      <c r="W475" s="138"/>
      <c r="X475" s="139"/>
      <c r="Y475" s="139"/>
      <c r="Z475" s="139"/>
      <c r="AA475" s="139"/>
      <c r="AB475" s="139"/>
      <c r="AC475" s="139"/>
      <c r="AD475" s="139"/>
      <c r="AE475" s="139"/>
      <c r="AF475" s="139"/>
      <c r="AG475" s="139"/>
      <c r="AH475" s="139"/>
      <c r="AI475" s="139"/>
      <c r="AJ475" s="139"/>
      <c r="AK475" s="139"/>
      <c r="AL475" s="139"/>
      <c r="AM475" s="139"/>
      <c r="AN475" s="139"/>
      <c r="AO475" s="139"/>
    </row>
    <row r="476">
      <c r="A476" s="85"/>
      <c r="B476" s="86"/>
      <c r="C476" s="85"/>
      <c r="D476" s="89"/>
      <c r="E476" s="89"/>
      <c r="F476" s="89"/>
      <c r="G476" s="89"/>
      <c r="H476" s="89"/>
      <c r="I476" s="89"/>
      <c r="J476" s="89"/>
      <c r="K476" s="89"/>
      <c r="L476" s="89"/>
      <c r="M476" s="89"/>
      <c r="N476" s="89"/>
      <c r="O476" s="85"/>
      <c r="P476" s="89"/>
      <c r="Q476" s="137"/>
      <c r="R476" s="138"/>
      <c r="S476" s="138"/>
      <c r="T476" s="85"/>
      <c r="U476" s="85"/>
      <c r="V476" s="85"/>
      <c r="W476" s="138"/>
      <c r="X476" s="139"/>
      <c r="Y476" s="139"/>
      <c r="Z476" s="139"/>
      <c r="AA476" s="139"/>
      <c r="AB476" s="139"/>
      <c r="AC476" s="139"/>
      <c r="AD476" s="139"/>
      <c r="AE476" s="139"/>
      <c r="AF476" s="139"/>
      <c r="AG476" s="139"/>
      <c r="AH476" s="139"/>
      <c r="AI476" s="139"/>
      <c r="AJ476" s="139"/>
      <c r="AK476" s="139"/>
      <c r="AL476" s="139"/>
      <c r="AM476" s="139"/>
      <c r="AN476" s="139"/>
      <c r="AO476" s="139"/>
    </row>
    <row r="477">
      <c r="A477" s="85"/>
      <c r="B477" s="86"/>
      <c r="C477" s="85"/>
      <c r="D477" s="89"/>
      <c r="E477" s="89"/>
      <c r="F477" s="89"/>
      <c r="G477" s="89"/>
      <c r="H477" s="89"/>
      <c r="I477" s="89"/>
      <c r="J477" s="89"/>
      <c r="K477" s="89"/>
      <c r="L477" s="89"/>
      <c r="M477" s="89"/>
      <c r="N477" s="89"/>
      <c r="O477" s="85"/>
      <c r="P477" s="89"/>
      <c r="Q477" s="137"/>
      <c r="R477" s="138"/>
      <c r="S477" s="138"/>
      <c r="T477" s="85"/>
      <c r="U477" s="85"/>
      <c r="V477" s="85"/>
      <c r="W477" s="138"/>
      <c r="X477" s="139"/>
      <c r="Y477" s="139"/>
      <c r="Z477" s="139"/>
      <c r="AA477" s="139"/>
      <c r="AB477" s="139"/>
      <c r="AC477" s="139"/>
      <c r="AD477" s="139"/>
      <c r="AE477" s="139"/>
      <c r="AF477" s="139"/>
      <c r="AG477" s="139"/>
      <c r="AH477" s="139"/>
      <c r="AI477" s="139"/>
      <c r="AJ477" s="139"/>
      <c r="AK477" s="139"/>
      <c r="AL477" s="139"/>
      <c r="AM477" s="139"/>
      <c r="AN477" s="139"/>
      <c r="AO477" s="139"/>
    </row>
    <row r="478">
      <c r="A478" s="85"/>
      <c r="B478" s="86"/>
      <c r="C478" s="85"/>
      <c r="D478" s="89"/>
      <c r="E478" s="89"/>
      <c r="F478" s="89"/>
      <c r="G478" s="89"/>
      <c r="H478" s="89"/>
      <c r="I478" s="89"/>
      <c r="J478" s="89"/>
      <c r="K478" s="89"/>
      <c r="L478" s="89"/>
      <c r="M478" s="89"/>
      <c r="N478" s="89"/>
      <c r="O478" s="85"/>
      <c r="P478" s="89"/>
      <c r="Q478" s="137"/>
      <c r="R478" s="138"/>
      <c r="S478" s="138"/>
      <c r="T478" s="85"/>
      <c r="U478" s="85"/>
      <c r="V478" s="85"/>
      <c r="W478" s="138"/>
      <c r="X478" s="139"/>
      <c r="Y478" s="139"/>
      <c r="Z478" s="139"/>
      <c r="AA478" s="139"/>
      <c r="AB478" s="139"/>
      <c r="AC478" s="139"/>
      <c r="AD478" s="139"/>
      <c r="AE478" s="139"/>
      <c r="AF478" s="139"/>
      <c r="AG478" s="139"/>
      <c r="AH478" s="139"/>
      <c r="AI478" s="139"/>
      <c r="AJ478" s="139"/>
      <c r="AK478" s="139"/>
      <c r="AL478" s="139"/>
      <c r="AM478" s="139"/>
      <c r="AN478" s="139"/>
      <c r="AO478" s="139"/>
    </row>
    <row r="479">
      <c r="A479" s="85"/>
      <c r="B479" s="86"/>
      <c r="C479" s="85"/>
      <c r="D479" s="89"/>
      <c r="E479" s="89"/>
      <c r="F479" s="89"/>
      <c r="G479" s="89"/>
      <c r="H479" s="89"/>
      <c r="I479" s="89"/>
      <c r="J479" s="89"/>
      <c r="K479" s="89"/>
      <c r="L479" s="89"/>
      <c r="M479" s="89"/>
      <c r="N479" s="89"/>
      <c r="O479" s="85"/>
      <c r="P479" s="89"/>
      <c r="Q479" s="137"/>
      <c r="R479" s="138"/>
      <c r="S479" s="138"/>
      <c r="T479" s="85"/>
      <c r="U479" s="85"/>
      <c r="V479" s="85"/>
      <c r="W479" s="138"/>
      <c r="X479" s="139"/>
      <c r="Y479" s="139"/>
      <c r="Z479" s="139"/>
      <c r="AA479" s="139"/>
      <c r="AB479" s="139"/>
      <c r="AC479" s="139"/>
      <c r="AD479" s="139"/>
      <c r="AE479" s="139"/>
      <c r="AF479" s="139"/>
      <c r="AG479" s="139"/>
      <c r="AH479" s="139"/>
      <c r="AI479" s="139"/>
      <c r="AJ479" s="139"/>
      <c r="AK479" s="139"/>
      <c r="AL479" s="139"/>
      <c r="AM479" s="139"/>
      <c r="AN479" s="139"/>
      <c r="AO479" s="139"/>
    </row>
    <row r="480">
      <c r="A480" s="85"/>
      <c r="B480" s="86"/>
      <c r="C480" s="85"/>
      <c r="D480" s="89"/>
      <c r="E480" s="89"/>
      <c r="F480" s="89"/>
      <c r="G480" s="89"/>
      <c r="H480" s="89"/>
      <c r="I480" s="89"/>
      <c r="J480" s="89"/>
      <c r="K480" s="89"/>
      <c r="L480" s="89"/>
      <c r="M480" s="89"/>
      <c r="N480" s="89"/>
      <c r="O480" s="85"/>
      <c r="P480" s="89"/>
      <c r="Q480" s="137"/>
      <c r="R480" s="138"/>
      <c r="S480" s="138"/>
      <c r="T480" s="85"/>
      <c r="U480" s="85"/>
      <c r="V480" s="85"/>
      <c r="W480" s="138"/>
      <c r="X480" s="139"/>
      <c r="Y480" s="139"/>
      <c r="Z480" s="139"/>
      <c r="AA480" s="139"/>
      <c r="AB480" s="139"/>
      <c r="AC480" s="139"/>
      <c r="AD480" s="139"/>
      <c r="AE480" s="139"/>
      <c r="AF480" s="139"/>
      <c r="AG480" s="139"/>
      <c r="AH480" s="139"/>
      <c r="AI480" s="139"/>
      <c r="AJ480" s="139"/>
      <c r="AK480" s="139"/>
      <c r="AL480" s="139"/>
      <c r="AM480" s="139"/>
      <c r="AN480" s="139"/>
      <c r="AO480" s="139"/>
    </row>
    <row r="481">
      <c r="A481" s="85"/>
      <c r="B481" s="86"/>
      <c r="C481" s="85"/>
      <c r="D481" s="89"/>
      <c r="E481" s="89"/>
      <c r="F481" s="89"/>
      <c r="G481" s="89"/>
      <c r="H481" s="89"/>
      <c r="I481" s="89"/>
      <c r="J481" s="89"/>
      <c r="K481" s="89"/>
      <c r="L481" s="89"/>
      <c r="M481" s="89"/>
      <c r="N481" s="89"/>
      <c r="O481" s="85"/>
      <c r="P481" s="89"/>
      <c r="Q481" s="137"/>
      <c r="R481" s="138"/>
      <c r="S481" s="138"/>
      <c r="T481" s="85"/>
      <c r="U481" s="85"/>
      <c r="V481" s="85"/>
      <c r="W481" s="138"/>
      <c r="X481" s="139"/>
      <c r="Y481" s="139"/>
      <c r="Z481" s="139"/>
      <c r="AA481" s="139"/>
      <c r="AB481" s="139"/>
      <c r="AC481" s="139"/>
      <c r="AD481" s="139"/>
      <c r="AE481" s="139"/>
      <c r="AF481" s="139"/>
      <c r="AG481" s="139"/>
      <c r="AH481" s="139"/>
      <c r="AI481" s="139"/>
      <c r="AJ481" s="139"/>
      <c r="AK481" s="139"/>
      <c r="AL481" s="139"/>
      <c r="AM481" s="139"/>
      <c r="AN481" s="139"/>
      <c r="AO481" s="139"/>
    </row>
    <row r="482">
      <c r="A482" s="85"/>
      <c r="B482" s="86"/>
      <c r="C482" s="85"/>
      <c r="D482" s="89"/>
      <c r="E482" s="89"/>
      <c r="F482" s="89"/>
      <c r="G482" s="89"/>
      <c r="H482" s="89"/>
      <c r="I482" s="89"/>
      <c r="J482" s="89"/>
      <c r="K482" s="89"/>
      <c r="L482" s="89"/>
      <c r="M482" s="89"/>
      <c r="N482" s="89"/>
      <c r="O482" s="85"/>
      <c r="P482" s="89"/>
      <c r="Q482" s="137"/>
      <c r="R482" s="138"/>
      <c r="S482" s="138"/>
      <c r="T482" s="85"/>
      <c r="U482" s="85"/>
      <c r="V482" s="85"/>
      <c r="W482" s="138"/>
      <c r="X482" s="139"/>
      <c r="Y482" s="139"/>
      <c r="Z482" s="139"/>
      <c r="AA482" s="139"/>
      <c r="AB482" s="139"/>
      <c r="AC482" s="139"/>
      <c r="AD482" s="139"/>
      <c r="AE482" s="139"/>
      <c r="AF482" s="139"/>
      <c r="AG482" s="139"/>
      <c r="AH482" s="139"/>
      <c r="AI482" s="139"/>
      <c r="AJ482" s="139"/>
      <c r="AK482" s="139"/>
      <c r="AL482" s="139"/>
      <c r="AM482" s="139"/>
      <c r="AN482" s="139"/>
      <c r="AO482" s="139"/>
    </row>
    <row r="483">
      <c r="A483" s="85"/>
      <c r="B483" s="86"/>
      <c r="C483" s="85"/>
      <c r="D483" s="89"/>
      <c r="E483" s="89"/>
      <c r="F483" s="89"/>
      <c r="G483" s="89"/>
      <c r="H483" s="89"/>
      <c r="I483" s="89"/>
      <c r="J483" s="89"/>
      <c r="K483" s="89"/>
      <c r="L483" s="89"/>
      <c r="M483" s="89"/>
      <c r="N483" s="89"/>
      <c r="O483" s="85"/>
      <c r="P483" s="89"/>
      <c r="Q483" s="137"/>
      <c r="R483" s="138"/>
      <c r="S483" s="138"/>
      <c r="T483" s="85"/>
      <c r="U483" s="85"/>
      <c r="V483" s="85"/>
      <c r="W483" s="138"/>
      <c r="X483" s="139"/>
      <c r="Y483" s="139"/>
      <c r="Z483" s="139"/>
      <c r="AA483" s="139"/>
      <c r="AB483" s="139"/>
      <c r="AC483" s="139"/>
      <c r="AD483" s="139"/>
      <c r="AE483" s="139"/>
      <c r="AF483" s="139"/>
      <c r="AG483" s="139"/>
      <c r="AH483" s="139"/>
      <c r="AI483" s="139"/>
      <c r="AJ483" s="139"/>
      <c r="AK483" s="139"/>
      <c r="AL483" s="139"/>
      <c r="AM483" s="139"/>
      <c r="AN483" s="139"/>
      <c r="AO483" s="139"/>
    </row>
    <row r="484">
      <c r="A484" s="85"/>
      <c r="B484" s="86"/>
      <c r="C484" s="85"/>
      <c r="D484" s="89"/>
      <c r="E484" s="89"/>
      <c r="F484" s="89"/>
      <c r="G484" s="89"/>
      <c r="H484" s="89"/>
      <c r="I484" s="89"/>
      <c r="J484" s="89"/>
      <c r="K484" s="89"/>
      <c r="L484" s="89"/>
      <c r="M484" s="89"/>
      <c r="N484" s="89"/>
      <c r="O484" s="85"/>
      <c r="P484" s="89"/>
      <c r="Q484" s="137"/>
      <c r="R484" s="138"/>
      <c r="S484" s="138"/>
      <c r="T484" s="85"/>
      <c r="U484" s="85"/>
      <c r="V484" s="85"/>
      <c r="W484" s="138"/>
      <c r="X484" s="139"/>
      <c r="Y484" s="139"/>
      <c r="Z484" s="139"/>
      <c r="AA484" s="139"/>
      <c r="AB484" s="139"/>
      <c r="AC484" s="139"/>
      <c r="AD484" s="139"/>
      <c r="AE484" s="139"/>
      <c r="AF484" s="139"/>
      <c r="AG484" s="139"/>
      <c r="AH484" s="139"/>
      <c r="AI484" s="139"/>
      <c r="AJ484" s="139"/>
      <c r="AK484" s="139"/>
      <c r="AL484" s="139"/>
      <c r="AM484" s="139"/>
      <c r="AN484" s="139"/>
      <c r="AO484" s="139"/>
    </row>
    <row r="485">
      <c r="A485" s="85"/>
      <c r="B485" s="86"/>
      <c r="C485" s="85"/>
      <c r="D485" s="89"/>
      <c r="E485" s="89"/>
      <c r="F485" s="89"/>
      <c r="G485" s="89"/>
      <c r="H485" s="89"/>
      <c r="I485" s="89"/>
      <c r="J485" s="89"/>
      <c r="K485" s="89"/>
      <c r="L485" s="89"/>
      <c r="M485" s="89"/>
      <c r="N485" s="89"/>
      <c r="O485" s="85"/>
      <c r="P485" s="89"/>
      <c r="Q485" s="137"/>
      <c r="R485" s="138"/>
      <c r="S485" s="138"/>
      <c r="T485" s="85"/>
      <c r="U485" s="85"/>
      <c r="V485" s="85"/>
      <c r="W485" s="138"/>
      <c r="X485" s="139"/>
      <c r="Y485" s="139"/>
      <c r="Z485" s="139"/>
      <c r="AA485" s="139"/>
      <c r="AB485" s="139"/>
      <c r="AC485" s="139"/>
      <c r="AD485" s="139"/>
      <c r="AE485" s="139"/>
      <c r="AF485" s="139"/>
      <c r="AG485" s="139"/>
      <c r="AH485" s="139"/>
      <c r="AI485" s="139"/>
      <c r="AJ485" s="139"/>
      <c r="AK485" s="139"/>
      <c r="AL485" s="139"/>
      <c r="AM485" s="139"/>
      <c r="AN485" s="139"/>
      <c r="AO485" s="139"/>
    </row>
    <row r="486">
      <c r="A486" s="85"/>
      <c r="B486" s="86"/>
      <c r="C486" s="85"/>
      <c r="D486" s="89"/>
      <c r="E486" s="89"/>
      <c r="F486" s="89"/>
      <c r="G486" s="89"/>
      <c r="H486" s="89"/>
      <c r="I486" s="89"/>
      <c r="J486" s="89"/>
      <c r="K486" s="89"/>
      <c r="L486" s="89"/>
      <c r="M486" s="89"/>
      <c r="N486" s="89"/>
      <c r="O486" s="85"/>
      <c r="P486" s="89"/>
      <c r="Q486" s="137"/>
      <c r="R486" s="138"/>
      <c r="S486" s="138"/>
      <c r="T486" s="85"/>
      <c r="U486" s="85"/>
      <c r="V486" s="85"/>
      <c r="W486" s="138"/>
      <c r="X486" s="139"/>
      <c r="Y486" s="139"/>
      <c r="Z486" s="139"/>
      <c r="AA486" s="139"/>
      <c r="AB486" s="139"/>
      <c r="AC486" s="139"/>
      <c r="AD486" s="139"/>
      <c r="AE486" s="139"/>
      <c r="AF486" s="139"/>
      <c r="AG486" s="139"/>
      <c r="AH486" s="139"/>
      <c r="AI486" s="139"/>
      <c r="AJ486" s="139"/>
      <c r="AK486" s="139"/>
      <c r="AL486" s="139"/>
      <c r="AM486" s="139"/>
      <c r="AN486" s="139"/>
      <c r="AO486" s="139"/>
    </row>
    <row r="487">
      <c r="A487" s="85"/>
      <c r="B487" s="86"/>
      <c r="C487" s="85"/>
      <c r="D487" s="89"/>
      <c r="E487" s="89"/>
      <c r="F487" s="89"/>
      <c r="G487" s="89"/>
      <c r="H487" s="89"/>
      <c r="I487" s="89"/>
      <c r="J487" s="89"/>
      <c r="K487" s="89"/>
      <c r="L487" s="89"/>
      <c r="M487" s="89"/>
      <c r="N487" s="89"/>
      <c r="O487" s="85"/>
      <c r="P487" s="89"/>
      <c r="Q487" s="137"/>
      <c r="R487" s="138"/>
      <c r="S487" s="138"/>
      <c r="T487" s="85"/>
      <c r="U487" s="85"/>
      <c r="V487" s="85"/>
      <c r="W487" s="138"/>
      <c r="X487" s="139"/>
      <c r="Y487" s="139"/>
      <c r="Z487" s="139"/>
      <c r="AA487" s="139"/>
      <c r="AB487" s="139"/>
      <c r="AC487" s="139"/>
      <c r="AD487" s="139"/>
      <c r="AE487" s="139"/>
      <c r="AF487" s="139"/>
      <c r="AG487" s="139"/>
      <c r="AH487" s="139"/>
      <c r="AI487" s="139"/>
      <c r="AJ487" s="139"/>
      <c r="AK487" s="139"/>
      <c r="AL487" s="139"/>
      <c r="AM487" s="139"/>
      <c r="AN487" s="139"/>
      <c r="AO487" s="139"/>
    </row>
    <row r="488">
      <c r="A488" s="85"/>
      <c r="B488" s="86"/>
      <c r="C488" s="85"/>
      <c r="D488" s="89"/>
      <c r="E488" s="89"/>
      <c r="F488" s="89"/>
      <c r="G488" s="89"/>
      <c r="H488" s="89"/>
      <c r="I488" s="89"/>
      <c r="J488" s="89"/>
      <c r="K488" s="89"/>
      <c r="L488" s="89"/>
      <c r="M488" s="89"/>
      <c r="N488" s="89"/>
      <c r="O488" s="85"/>
      <c r="P488" s="89"/>
      <c r="Q488" s="137"/>
      <c r="R488" s="138"/>
      <c r="S488" s="138"/>
      <c r="T488" s="85"/>
      <c r="U488" s="85"/>
      <c r="V488" s="85"/>
      <c r="W488" s="138"/>
      <c r="X488" s="139"/>
      <c r="Y488" s="139"/>
      <c r="Z488" s="139"/>
      <c r="AA488" s="139"/>
      <c r="AB488" s="139"/>
      <c r="AC488" s="139"/>
      <c r="AD488" s="139"/>
      <c r="AE488" s="139"/>
      <c r="AF488" s="139"/>
      <c r="AG488" s="139"/>
      <c r="AH488" s="139"/>
      <c r="AI488" s="139"/>
      <c r="AJ488" s="139"/>
      <c r="AK488" s="139"/>
      <c r="AL488" s="139"/>
      <c r="AM488" s="139"/>
      <c r="AN488" s="139"/>
      <c r="AO488" s="139"/>
    </row>
    <row r="489">
      <c r="A489" s="85"/>
      <c r="B489" s="86"/>
      <c r="C489" s="85"/>
      <c r="D489" s="89"/>
      <c r="E489" s="89"/>
      <c r="F489" s="89"/>
      <c r="G489" s="89"/>
      <c r="H489" s="89"/>
      <c r="I489" s="89"/>
      <c r="J489" s="89"/>
      <c r="K489" s="89"/>
      <c r="L489" s="89"/>
      <c r="M489" s="89"/>
      <c r="N489" s="89"/>
      <c r="O489" s="85"/>
      <c r="P489" s="89"/>
      <c r="Q489" s="137"/>
      <c r="R489" s="138"/>
      <c r="S489" s="138"/>
      <c r="T489" s="85"/>
      <c r="U489" s="85"/>
      <c r="V489" s="85"/>
      <c r="W489" s="138"/>
      <c r="X489" s="139"/>
      <c r="Y489" s="139"/>
      <c r="Z489" s="139"/>
      <c r="AA489" s="139"/>
      <c r="AB489" s="139"/>
      <c r="AC489" s="139"/>
      <c r="AD489" s="139"/>
      <c r="AE489" s="139"/>
      <c r="AF489" s="139"/>
      <c r="AG489" s="139"/>
      <c r="AH489" s="139"/>
      <c r="AI489" s="139"/>
      <c r="AJ489" s="139"/>
      <c r="AK489" s="139"/>
      <c r="AL489" s="139"/>
      <c r="AM489" s="139"/>
      <c r="AN489" s="139"/>
      <c r="AO489" s="139"/>
    </row>
    <row r="490">
      <c r="A490" s="85"/>
      <c r="B490" s="86"/>
      <c r="C490" s="85"/>
      <c r="D490" s="89"/>
      <c r="E490" s="89"/>
      <c r="F490" s="89"/>
      <c r="G490" s="89"/>
      <c r="H490" s="89"/>
      <c r="I490" s="89"/>
      <c r="J490" s="89"/>
      <c r="K490" s="89"/>
      <c r="L490" s="89"/>
      <c r="M490" s="89"/>
      <c r="N490" s="89"/>
      <c r="O490" s="85"/>
      <c r="P490" s="89"/>
      <c r="Q490" s="137"/>
      <c r="R490" s="138"/>
      <c r="S490" s="138"/>
      <c r="T490" s="85"/>
      <c r="U490" s="85"/>
      <c r="V490" s="85"/>
      <c r="W490" s="138"/>
      <c r="X490" s="139"/>
      <c r="Y490" s="139"/>
      <c r="Z490" s="139"/>
      <c r="AA490" s="139"/>
      <c r="AB490" s="139"/>
      <c r="AC490" s="139"/>
      <c r="AD490" s="139"/>
      <c r="AE490" s="139"/>
      <c r="AF490" s="139"/>
      <c r="AG490" s="139"/>
      <c r="AH490" s="139"/>
      <c r="AI490" s="139"/>
      <c r="AJ490" s="139"/>
      <c r="AK490" s="139"/>
      <c r="AL490" s="139"/>
      <c r="AM490" s="139"/>
      <c r="AN490" s="139"/>
      <c r="AO490" s="139"/>
    </row>
    <row r="491">
      <c r="A491" s="85"/>
      <c r="B491" s="86"/>
      <c r="C491" s="85"/>
      <c r="D491" s="89"/>
      <c r="E491" s="89"/>
      <c r="F491" s="89"/>
      <c r="G491" s="89"/>
      <c r="H491" s="89"/>
      <c r="I491" s="89"/>
      <c r="J491" s="89"/>
      <c r="K491" s="89"/>
      <c r="L491" s="89"/>
      <c r="M491" s="89"/>
      <c r="N491" s="89"/>
      <c r="O491" s="85"/>
      <c r="P491" s="89"/>
      <c r="Q491" s="137"/>
      <c r="R491" s="138"/>
      <c r="S491" s="138"/>
      <c r="T491" s="85"/>
      <c r="U491" s="85"/>
      <c r="V491" s="85"/>
      <c r="W491" s="138"/>
      <c r="X491" s="139"/>
      <c r="Y491" s="139"/>
      <c r="Z491" s="139"/>
      <c r="AA491" s="139"/>
      <c r="AB491" s="139"/>
      <c r="AC491" s="139"/>
      <c r="AD491" s="139"/>
      <c r="AE491" s="139"/>
      <c r="AF491" s="139"/>
      <c r="AG491" s="139"/>
      <c r="AH491" s="139"/>
      <c r="AI491" s="139"/>
      <c r="AJ491" s="139"/>
      <c r="AK491" s="139"/>
      <c r="AL491" s="139"/>
      <c r="AM491" s="139"/>
      <c r="AN491" s="139"/>
      <c r="AO491" s="139"/>
    </row>
    <row r="492">
      <c r="A492" s="85"/>
      <c r="B492" s="86"/>
      <c r="C492" s="85"/>
      <c r="D492" s="89"/>
      <c r="E492" s="89"/>
      <c r="F492" s="89"/>
      <c r="G492" s="89"/>
      <c r="H492" s="89"/>
      <c r="I492" s="89"/>
      <c r="J492" s="89"/>
      <c r="K492" s="89"/>
      <c r="L492" s="89"/>
      <c r="M492" s="89"/>
      <c r="N492" s="89"/>
      <c r="O492" s="85"/>
      <c r="P492" s="89"/>
      <c r="Q492" s="137"/>
      <c r="R492" s="138"/>
      <c r="S492" s="138"/>
      <c r="T492" s="85"/>
      <c r="U492" s="85"/>
      <c r="V492" s="85"/>
      <c r="W492" s="138"/>
      <c r="X492" s="139"/>
      <c r="Y492" s="139"/>
      <c r="Z492" s="139"/>
      <c r="AA492" s="139"/>
      <c r="AB492" s="139"/>
      <c r="AC492" s="139"/>
      <c r="AD492" s="139"/>
      <c r="AE492" s="139"/>
      <c r="AF492" s="139"/>
      <c r="AG492" s="139"/>
      <c r="AH492" s="139"/>
      <c r="AI492" s="139"/>
      <c r="AJ492" s="139"/>
      <c r="AK492" s="139"/>
      <c r="AL492" s="139"/>
      <c r="AM492" s="139"/>
      <c r="AN492" s="139"/>
      <c r="AO492" s="139"/>
    </row>
    <row r="493">
      <c r="A493" s="85"/>
      <c r="B493" s="86"/>
      <c r="C493" s="85"/>
      <c r="D493" s="89"/>
      <c r="E493" s="89"/>
      <c r="F493" s="89"/>
      <c r="G493" s="89"/>
      <c r="H493" s="89"/>
      <c r="I493" s="89"/>
      <c r="J493" s="89"/>
      <c r="K493" s="89"/>
      <c r="L493" s="89"/>
      <c r="M493" s="89"/>
      <c r="N493" s="89"/>
      <c r="O493" s="85"/>
      <c r="P493" s="89"/>
      <c r="Q493" s="137"/>
      <c r="R493" s="138"/>
      <c r="S493" s="138"/>
      <c r="T493" s="85"/>
      <c r="U493" s="85"/>
      <c r="V493" s="85"/>
      <c r="W493" s="138"/>
      <c r="X493" s="139"/>
      <c r="Y493" s="139"/>
      <c r="Z493" s="139"/>
      <c r="AA493" s="139"/>
      <c r="AB493" s="139"/>
      <c r="AC493" s="139"/>
      <c r="AD493" s="139"/>
      <c r="AE493" s="139"/>
      <c r="AF493" s="139"/>
      <c r="AG493" s="139"/>
      <c r="AH493" s="139"/>
      <c r="AI493" s="139"/>
      <c r="AJ493" s="139"/>
      <c r="AK493" s="139"/>
      <c r="AL493" s="139"/>
      <c r="AM493" s="139"/>
      <c r="AN493" s="139"/>
      <c r="AO493" s="139"/>
    </row>
    <row r="494">
      <c r="A494" s="85"/>
      <c r="B494" s="86"/>
      <c r="C494" s="85"/>
      <c r="D494" s="89"/>
      <c r="E494" s="89"/>
      <c r="F494" s="89"/>
      <c r="G494" s="89"/>
      <c r="H494" s="89"/>
      <c r="I494" s="89"/>
      <c r="J494" s="89"/>
      <c r="K494" s="89"/>
      <c r="L494" s="89"/>
      <c r="M494" s="89"/>
      <c r="N494" s="89"/>
      <c r="O494" s="85"/>
      <c r="P494" s="89"/>
      <c r="Q494" s="137"/>
      <c r="R494" s="138"/>
      <c r="S494" s="138"/>
      <c r="T494" s="85"/>
      <c r="U494" s="85"/>
      <c r="V494" s="85"/>
      <c r="W494" s="138"/>
      <c r="X494" s="139"/>
      <c r="Y494" s="139"/>
      <c r="Z494" s="139"/>
      <c r="AA494" s="139"/>
      <c r="AB494" s="139"/>
      <c r="AC494" s="139"/>
      <c r="AD494" s="139"/>
      <c r="AE494" s="139"/>
      <c r="AF494" s="139"/>
      <c r="AG494" s="139"/>
      <c r="AH494" s="139"/>
      <c r="AI494" s="139"/>
      <c r="AJ494" s="139"/>
      <c r="AK494" s="139"/>
      <c r="AL494" s="139"/>
      <c r="AM494" s="139"/>
      <c r="AN494" s="139"/>
      <c r="AO494" s="139"/>
    </row>
    <row r="495">
      <c r="A495" s="85"/>
      <c r="B495" s="86"/>
      <c r="C495" s="85"/>
      <c r="D495" s="89"/>
      <c r="E495" s="89"/>
      <c r="F495" s="89"/>
      <c r="G495" s="89"/>
      <c r="H495" s="89"/>
      <c r="I495" s="89"/>
      <c r="J495" s="89"/>
      <c r="K495" s="89"/>
      <c r="L495" s="89"/>
      <c r="M495" s="89"/>
      <c r="N495" s="89"/>
      <c r="O495" s="85"/>
      <c r="P495" s="89"/>
      <c r="Q495" s="137"/>
      <c r="R495" s="138"/>
      <c r="S495" s="138"/>
      <c r="T495" s="85"/>
      <c r="U495" s="85"/>
      <c r="V495" s="85"/>
      <c r="W495" s="138"/>
      <c r="X495" s="139"/>
      <c r="Y495" s="139"/>
      <c r="Z495" s="139"/>
      <c r="AA495" s="139"/>
      <c r="AB495" s="139"/>
      <c r="AC495" s="139"/>
      <c r="AD495" s="139"/>
      <c r="AE495" s="139"/>
      <c r="AF495" s="139"/>
      <c r="AG495" s="139"/>
      <c r="AH495" s="139"/>
      <c r="AI495" s="139"/>
      <c r="AJ495" s="139"/>
      <c r="AK495" s="139"/>
      <c r="AL495" s="139"/>
      <c r="AM495" s="139"/>
      <c r="AN495" s="139"/>
      <c r="AO495" s="139"/>
    </row>
    <row r="496">
      <c r="A496" s="85"/>
      <c r="B496" s="86"/>
      <c r="C496" s="85"/>
      <c r="D496" s="89"/>
      <c r="E496" s="89"/>
      <c r="F496" s="89"/>
      <c r="G496" s="89"/>
      <c r="H496" s="89"/>
      <c r="I496" s="89"/>
      <c r="J496" s="89"/>
      <c r="K496" s="89"/>
      <c r="L496" s="89"/>
      <c r="M496" s="89"/>
      <c r="N496" s="89"/>
      <c r="O496" s="85"/>
      <c r="P496" s="89"/>
      <c r="Q496" s="137"/>
      <c r="R496" s="138"/>
      <c r="S496" s="138"/>
      <c r="T496" s="85"/>
      <c r="U496" s="85"/>
      <c r="V496" s="85"/>
      <c r="W496" s="138"/>
      <c r="X496" s="139"/>
      <c r="Y496" s="139"/>
      <c r="Z496" s="139"/>
      <c r="AA496" s="139"/>
      <c r="AB496" s="139"/>
      <c r="AC496" s="139"/>
      <c r="AD496" s="139"/>
      <c r="AE496" s="139"/>
      <c r="AF496" s="139"/>
      <c r="AG496" s="139"/>
      <c r="AH496" s="139"/>
      <c r="AI496" s="139"/>
      <c r="AJ496" s="139"/>
      <c r="AK496" s="139"/>
      <c r="AL496" s="139"/>
      <c r="AM496" s="139"/>
      <c r="AN496" s="139"/>
      <c r="AO496" s="139"/>
    </row>
    <row r="497">
      <c r="A497" s="85"/>
      <c r="B497" s="86"/>
      <c r="C497" s="85"/>
      <c r="D497" s="89"/>
      <c r="E497" s="89"/>
      <c r="F497" s="89"/>
      <c r="G497" s="89"/>
      <c r="H497" s="89"/>
      <c r="I497" s="89"/>
      <c r="J497" s="89"/>
      <c r="K497" s="89"/>
      <c r="L497" s="89"/>
      <c r="M497" s="89"/>
      <c r="N497" s="89"/>
      <c r="O497" s="85"/>
      <c r="P497" s="89"/>
      <c r="Q497" s="137"/>
      <c r="R497" s="138"/>
      <c r="S497" s="138"/>
      <c r="T497" s="85"/>
      <c r="U497" s="85"/>
      <c r="V497" s="85"/>
      <c r="W497" s="138"/>
      <c r="X497" s="139"/>
      <c r="Y497" s="139"/>
      <c r="Z497" s="139"/>
      <c r="AA497" s="139"/>
      <c r="AB497" s="139"/>
      <c r="AC497" s="139"/>
      <c r="AD497" s="139"/>
      <c r="AE497" s="139"/>
      <c r="AF497" s="139"/>
      <c r="AG497" s="139"/>
      <c r="AH497" s="139"/>
      <c r="AI497" s="139"/>
      <c r="AJ497" s="139"/>
      <c r="AK497" s="139"/>
      <c r="AL497" s="139"/>
      <c r="AM497" s="139"/>
      <c r="AN497" s="139"/>
      <c r="AO497" s="139"/>
    </row>
    <row r="498">
      <c r="A498" s="85"/>
      <c r="B498" s="86"/>
      <c r="C498" s="85"/>
      <c r="D498" s="89"/>
      <c r="E498" s="89"/>
      <c r="F498" s="89"/>
      <c r="G498" s="89"/>
      <c r="H498" s="89"/>
      <c r="I498" s="89"/>
      <c r="J498" s="89"/>
      <c r="K498" s="89"/>
      <c r="L498" s="89"/>
      <c r="M498" s="89"/>
      <c r="N498" s="89"/>
      <c r="O498" s="85"/>
      <c r="P498" s="89"/>
      <c r="Q498" s="137"/>
      <c r="R498" s="138"/>
      <c r="S498" s="138"/>
      <c r="T498" s="85"/>
      <c r="U498" s="85"/>
      <c r="V498" s="85"/>
      <c r="W498" s="138"/>
      <c r="X498" s="139"/>
      <c r="Y498" s="139"/>
      <c r="Z498" s="139"/>
      <c r="AA498" s="139"/>
      <c r="AB498" s="139"/>
      <c r="AC498" s="139"/>
      <c r="AD498" s="139"/>
      <c r="AE498" s="139"/>
      <c r="AF498" s="139"/>
      <c r="AG498" s="139"/>
      <c r="AH498" s="139"/>
      <c r="AI498" s="139"/>
      <c r="AJ498" s="139"/>
      <c r="AK498" s="139"/>
      <c r="AL498" s="139"/>
      <c r="AM498" s="139"/>
      <c r="AN498" s="139"/>
      <c r="AO498" s="139"/>
    </row>
    <row r="499">
      <c r="A499" s="85"/>
      <c r="B499" s="86"/>
      <c r="C499" s="85"/>
      <c r="D499" s="89"/>
      <c r="E499" s="89"/>
      <c r="F499" s="89"/>
      <c r="G499" s="89"/>
      <c r="H499" s="89"/>
      <c r="I499" s="89"/>
      <c r="J499" s="89"/>
      <c r="K499" s="89"/>
      <c r="L499" s="89"/>
      <c r="M499" s="89"/>
      <c r="N499" s="89"/>
      <c r="O499" s="85"/>
      <c r="P499" s="89"/>
      <c r="Q499" s="137"/>
      <c r="R499" s="138"/>
      <c r="S499" s="138"/>
      <c r="T499" s="85"/>
      <c r="U499" s="85"/>
      <c r="V499" s="85"/>
      <c r="W499" s="138"/>
      <c r="X499" s="139"/>
      <c r="Y499" s="139"/>
      <c r="Z499" s="139"/>
      <c r="AA499" s="139"/>
      <c r="AB499" s="139"/>
      <c r="AC499" s="139"/>
      <c r="AD499" s="139"/>
      <c r="AE499" s="139"/>
      <c r="AF499" s="139"/>
      <c r="AG499" s="139"/>
      <c r="AH499" s="139"/>
      <c r="AI499" s="139"/>
      <c r="AJ499" s="139"/>
      <c r="AK499" s="139"/>
      <c r="AL499" s="139"/>
      <c r="AM499" s="139"/>
      <c r="AN499" s="139"/>
      <c r="AO499" s="139"/>
    </row>
    <row r="500">
      <c r="A500" s="85"/>
      <c r="B500" s="86"/>
      <c r="C500" s="85"/>
      <c r="D500" s="89"/>
      <c r="E500" s="89"/>
      <c r="F500" s="89"/>
      <c r="G500" s="89"/>
      <c r="H500" s="89"/>
      <c r="I500" s="89"/>
      <c r="J500" s="89"/>
      <c r="K500" s="89"/>
      <c r="L500" s="89"/>
      <c r="M500" s="89"/>
      <c r="N500" s="89"/>
      <c r="O500" s="85"/>
      <c r="P500" s="89"/>
      <c r="Q500" s="137"/>
      <c r="R500" s="138"/>
      <c r="S500" s="138"/>
      <c r="T500" s="85"/>
      <c r="U500" s="85"/>
      <c r="V500" s="85"/>
      <c r="W500" s="138"/>
      <c r="X500" s="139"/>
      <c r="Y500" s="139"/>
      <c r="Z500" s="139"/>
      <c r="AA500" s="139"/>
      <c r="AB500" s="139"/>
      <c r="AC500" s="139"/>
      <c r="AD500" s="139"/>
      <c r="AE500" s="139"/>
      <c r="AF500" s="139"/>
      <c r="AG500" s="139"/>
      <c r="AH500" s="139"/>
      <c r="AI500" s="139"/>
      <c r="AJ500" s="139"/>
      <c r="AK500" s="139"/>
      <c r="AL500" s="139"/>
      <c r="AM500" s="139"/>
      <c r="AN500" s="139"/>
      <c r="AO500" s="139"/>
    </row>
    <row r="501">
      <c r="A501" s="85"/>
      <c r="B501" s="86"/>
      <c r="C501" s="85"/>
      <c r="D501" s="89"/>
      <c r="E501" s="89"/>
      <c r="F501" s="89"/>
      <c r="G501" s="89"/>
      <c r="H501" s="89"/>
      <c r="I501" s="89"/>
      <c r="J501" s="89"/>
      <c r="K501" s="89"/>
      <c r="L501" s="89"/>
      <c r="M501" s="89"/>
      <c r="N501" s="89"/>
      <c r="O501" s="85"/>
      <c r="P501" s="89"/>
      <c r="Q501" s="137"/>
      <c r="R501" s="138"/>
      <c r="S501" s="138"/>
      <c r="T501" s="85"/>
      <c r="U501" s="85"/>
      <c r="V501" s="85"/>
      <c r="W501" s="138"/>
      <c r="X501" s="139"/>
      <c r="Y501" s="139"/>
      <c r="Z501" s="139"/>
      <c r="AA501" s="139"/>
      <c r="AB501" s="139"/>
      <c r="AC501" s="139"/>
      <c r="AD501" s="139"/>
      <c r="AE501" s="139"/>
      <c r="AF501" s="139"/>
      <c r="AG501" s="139"/>
      <c r="AH501" s="139"/>
      <c r="AI501" s="139"/>
      <c r="AJ501" s="139"/>
      <c r="AK501" s="139"/>
      <c r="AL501" s="139"/>
      <c r="AM501" s="139"/>
      <c r="AN501" s="139"/>
      <c r="AO501" s="139"/>
    </row>
    <row r="502">
      <c r="A502" s="85"/>
      <c r="B502" s="86"/>
      <c r="C502" s="85"/>
      <c r="D502" s="89"/>
      <c r="E502" s="89"/>
      <c r="F502" s="89"/>
      <c r="G502" s="89"/>
      <c r="H502" s="89"/>
      <c r="I502" s="89"/>
      <c r="J502" s="89"/>
      <c r="K502" s="89"/>
      <c r="L502" s="89"/>
      <c r="M502" s="89"/>
      <c r="N502" s="89"/>
      <c r="O502" s="85"/>
      <c r="P502" s="89"/>
      <c r="Q502" s="137"/>
      <c r="R502" s="138"/>
      <c r="S502" s="138"/>
      <c r="T502" s="85"/>
      <c r="U502" s="85"/>
      <c r="V502" s="85"/>
      <c r="W502" s="138"/>
      <c r="X502" s="139"/>
      <c r="Y502" s="139"/>
      <c r="Z502" s="139"/>
      <c r="AA502" s="139"/>
      <c r="AB502" s="139"/>
      <c r="AC502" s="139"/>
      <c r="AD502" s="139"/>
      <c r="AE502" s="139"/>
      <c r="AF502" s="139"/>
      <c r="AG502" s="139"/>
      <c r="AH502" s="139"/>
      <c r="AI502" s="139"/>
      <c r="AJ502" s="139"/>
      <c r="AK502" s="139"/>
      <c r="AL502" s="139"/>
      <c r="AM502" s="139"/>
      <c r="AN502" s="139"/>
      <c r="AO502" s="139"/>
    </row>
    <row r="503">
      <c r="A503" s="85"/>
      <c r="B503" s="86"/>
      <c r="C503" s="85"/>
      <c r="D503" s="89"/>
      <c r="E503" s="89"/>
      <c r="F503" s="89"/>
      <c r="G503" s="89"/>
      <c r="H503" s="89"/>
      <c r="I503" s="89"/>
      <c r="J503" s="89"/>
      <c r="K503" s="89"/>
      <c r="L503" s="89"/>
      <c r="M503" s="89"/>
      <c r="N503" s="89"/>
      <c r="O503" s="85"/>
      <c r="P503" s="89"/>
      <c r="Q503" s="137"/>
      <c r="R503" s="138"/>
      <c r="S503" s="138"/>
      <c r="T503" s="85"/>
      <c r="U503" s="85"/>
      <c r="V503" s="85"/>
      <c r="W503" s="138"/>
      <c r="X503" s="139"/>
      <c r="Y503" s="139"/>
      <c r="Z503" s="139"/>
      <c r="AA503" s="139"/>
      <c r="AB503" s="139"/>
      <c r="AC503" s="139"/>
      <c r="AD503" s="139"/>
      <c r="AE503" s="139"/>
      <c r="AF503" s="139"/>
      <c r="AG503" s="139"/>
      <c r="AH503" s="139"/>
      <c r="AI503" s="139"/>
      <c r="AJ503" s="139"/>
      <c r="AK503" s="139"/>
      <c r="AL503" s="139"/>
      <c r="AM503" s="139"/>
      <c r="AN503" s="139"/>
      <c r="AO503" s="139"/>
    </row>
    <row r="504">
      <c r="A504" s="85"/>
      <c r="B504" s="86"/>
      <c r="C504" s="85"/>
      <c r="D504" s="89"/>
      <c r="E504" s="89"/>
      <c r="F504" s="89"/>
      <c r="G504" s="89"/>
      <c r="H504" s="89"/>
      <c r="I504" s="89"/>
      <c r="J504" s="89"/>
      <c r="K504" s="89"/>
      <c r="L504" s="89"/>
      <c r="M504" s="89"/>
      <c r="N504" s="89"/>
      <c r="O504" s="85"/>
      <c r="P504" s="89"/>
      <c r="Q504" s="137"/>
      <c r="R504" s="138"/>
      <c r="S504" s="138"/>
      <c r="T504" s="85"/>
      <c r="U504" s="85"/>
      <c r="V504" s="85"/>
      <c r="W504" s="138"/>
      <c r="X504" s="139"/>
      <c r="Y504" s="139"/>
      <c r="Z504" s="139"/>
      <c r="AA504" s="139"/>
      <c r="AB504" s="139"/>
      <c r="AC504" s="139"/>
      <c r="AD504" s="139"/>
      <c r="AE504" s="139"/>
      <c r="AF504" s="139"/>
      <c r="AG504" s="139"/>
      <c r="AH504" s="139"/>
      <c r="AI504" s="139"/>
      <c r="AJ504" s="139"/>
      <c r="AK504" s="139"/>
      <c r="AL504" s="139"/>
      <c r="AM504" s="139"/>
      <c r="AN504" s="139"/>
      <c r="AO504" s="139"/>
    </row>
    <row r="505">
      <c r="A505" s="85"/>
      <c r="B505" s="86"/>
      <c r="C505" s="85"/>
      <c r="D505" s="89"/>
      <c r="E505" s="89"/>
      <c r="F505" s="89"/>
      <c r="G505" s="89"/>
      <c r="H505" s="89"/>
      <c r="I505" s="89"/>
      <c r="J505" s="89"/>
      <c r="K505" s="89"/>
      <c r="L505" s="89"/>
      <c r="M505" s="89"/>
      <c r="N505" s="89"/>
      <c r="O505" s="85"/>
      <c r="P505" s="89"/>
      <c r="Q505" s="137"/>
      <c r="R505" s="138"/>
      <c r="S505" s="138"/>
      <c r="T505" s="85"/>
      <c r="U505" s="85"/>
      <c r="V505" s="85"/>
      <c r="W505" s="138"/>
      <c r="X505" s="139"/>
      <c r="Y505" s="139"/>
      <c r="Z505" s="139"/>
      <c r="AA505" s="139"/>
      <c r="AB505" s="139"/>
      <c r="AC505" s="139"/>
      <c r="AD505" s="139"/>
      <c r="AE505" s="139"/>
      <c r="AF505" s="139"/>
      <c r="AG505" s="139"/>
      <c r="AH505" s="139"/>
      <c r="AI505" s="139"/>
      <c r="AJ505" s="139"/>
      <c r="AK505" s="139"/>
      <c r="AL505" s="139"/>
      <c r="AM505" s="139"/>
      <c r="AN505" s="139"/>
      <c r="AO505" s="139"/>
    </row>
    <row r="506">
      <c r="A506" s="85"/>
      <c r="B506" s="86"/>
      <c r="C506" s="85"/>
      <c r="D506" s="89"/>
      <c r="E506" s="89"/>
      <c r="F506" s="89"/>
      <c r="G506" s="89"/>
      <c r="H506" s="89"/>
      <c r="I506" s="89"/>
      <c r="J506" s="89"/>
      <c r="K506" s="89"/>
      <c r="L506" s="89"/>
      <c r="M506" s="89"/>
      <c r="N506" s="89"/>
      <c r="O506" s="85"/>
      <c r="P506" s="89"/>
      <c r="Q506" s="137"/>
      <c r="R506" s="138"/>
      <c r="S506" s="138"/>
      <c r="T506" s="85"/>
      <c r="U506" s="85"/>
      <c r="V506" s="85"/>
      <c r="W506" s="138"/>
      <c r="X506" s="139"/>
      <c r="Y506" s="139"/>
      <c r="Z506" s="139"/>
      <c r="AA506" s="139"/>
      <c r="AB506" s="139"/>
      <c r="AC506" s="139"/>
      <c r="AD506" s="139"/>
      <c r="AE506" s="139"/>
      <c r="AF506" s="139"/>
      <c r="AG506" s="139"/>
      <c r="AH506" s="139"/>
      <c r="AI506" s="139"/>
      <c r="AJ506" s="139"/>
      <c r="AK506" s="139"/>
      <c r="AL506" s="139"/>
      <c r="AM506" s="139"/>
      <c r="AN506" s="139"/>
      <c r="AO506" s="139"/>
    </row>
    <row r="507">
      <c r="A507" s="85"/>
      <c r="B507" s="86"/>
      <c r="C507" s="85"/>
      <c r="D507" s="89"/>
      <c r="E507" s="89"/>
      <c r="F507" s="89"/>
      <c r="G507" s="89"/>
      <c r="H507" s="89"/>
      <c r="I507" s="89"/>
      <c r="J507" s="89"/>
      <c r="K507" s="89"/>
      <c r="L507" s="89"/>
      <c r="M507" s="89"/>
      <c r="N507" s="89"/>
      <c r="O507" s="85"/>
      <c r="P507" s="89"/>
      <c r="Q507" s="137"/>
      <c r="R507" s="138"/>
      <c r="S507" s="138"/>
      <c r="T507" s="85"/>
      <c r="U507" s="85"/>
      <c r="V507" s="85"/>
      <c r="W507" s="138"/>
      <c r="X507" s="139"/>
      <c r="Y507" s="139"/>
      <c r="Z507" s="139"/>
      <c r="AA507" s="139"/>
      <c r="AB507" s="139"/>
      <c r="AC507" s="139"/>
      <c r="AD507" s="139"/>
      <c r="AE507" s="139"/>
      <c r="AF507" s="139"/>
      <c r="AG507" s="139"/>
      <c r="AH507" s="139"/>
      <c r="AI507" s="139"/>
      <c r="AJ507" s="139"/>
      <c r="AK507" s="139"/>
      <c r="AL507" s="139"/>
      <c r="AM507" s="139"/>
      <c r="AN507" s="139"/>
      <c r="AO507" s="139"/>
    </row>
    <row r="508">
      <c r="A508" s="85"/>
      <c r="B508" s="86"/>
      <c r="C508" s="85"/>
      <c r="D508" s="89"/>
      <c r="E508" s="89"/>
      <c r="F508" s="89"/>
      <c r="G508" s="89"/>
      <c r="H508" s="89"/>
      <c r="I508" s="89"/>
      <c r="J508" s="89"/>
      <c r="K508" s="89"/>
      <c r="L508" s="89"/>
      <c r="M508" s="89"/>
      <c r="N508" s="89"/>
      <c r="O508" s="85"/>
      <c r="P508" s="89"/>
      <c r="Q508" s="137"/>
      <c r="R508" s="138"/>
      <c r="S508" s="138"/>
      <c r="T508" s="85"/>
      <c r="U508" s="85"/>
      <c r="V508" s="85"/>
      <c r="W508" s="138"/>
      <c r="X508" s="139"/>
      <c r="Y508" s="139"/>
      <c r="Z508" s="139"/>
      <c r="AA508" s="139"/>
      <c r="AB508" s="139"/>
      <c r="AC508" s="139"/>
      <c r="AD508" s="139"/>
      <c r="AE508" s="139"/>
      <c r="AF508" s="139"/>
      <c r="AG508" s="139"/>
      <c r="AH508" s="139"/>
      <c r="AI508" s="139"/>
      <c r="AJ508" s="139"/>
      <c r="AK508" s="139"/>
      <c r="AL508" s="139"/>
      <c r="AM508" s="139"/>
      <c r="AN508" s="139"/>
      <c r="AO508" s="139"/>
    </row>
    <row r="509">
      <c r="A509" s="85"/>
      <c r="B509" s="86"/>
      <c r="C509" s="85"/>
      <c r="D509" s="89"/>
      <c r="E509" s="89"/>
      <c r="F509" s="89"/>
      <c r="G509" s="89"/>
      <c r="H509" s="89"/>
      <c r="I509" s="89"/>
      <c r="J509" s="89"/>
      <c r="K509" s="89"/>
      <c r="L509" s="89"/>
      <c r="M509" s="89"/>
      <c r="N509" s="89"/>
      <c r="O509" s="85"/>
      <c r="P509" s="89"/>
      <c r="Q509" s="137"/>
      <c r="R509" s="138"/>
      <c r="S509" s="138"/>
      <c r="T509" s="85"/>
      <c r="U509" s="85"/>
      <c r="V509" s="85"/>
      <c r="W509" s="138"/>
      <c r="X509" s="139"/>
      <c r="Y509" s="139"/>
      <c r="Z509" s="139"/>
      <c r="AA509" s="139"/>
      <c r="AB509" s="139"/>
      <c r="AC509" s="139"/>
      <c r="AD509" s="139"/>
      <c r="AE509" s="139"/>
      <c r="AF509" s="139"/>
      <c r="AG509" s="139"/>
      <c r="AH509" s="139"/>
      <c r="AI509" s="139"/>
      <c r="AJ509" s="139"/>
      <c r="AK509" s="139"/>
      <c r="AL509" s="139"/>
      <c r="AM509" s="139"/>
      <c r="AN509" s="139"/>
      <c r="AO509" s="139"/>
    </row>
    <row r="510">
      <c r="A510" s="85"/>
      <c r="B510" s="86"/>
      <c r="C510" s="85"/>
      <c r="D510" s="89"/>
      <c r="E510" s="89"/>
      <c r="F510" s="89"/>
      <c r="G510" s="89"/>
      <c r="H510" s="89"/>
      <c r="I510" s="89"/>
      <c r="J510" s="89"/>
      <c r="K510" s="89"/>
      <c r="L510" s="89"/>
      <c r="M510" s="89"/>
      <c r="N510" s="89"/>
      <c r="O510" s="85"/>
      <c r="P510" s="89"/>
      <c r="Q510" s="137"/>
      <c r="R510" s="138"/>
      <c r="S510" s="138"/>
      <c r="T510" s="85"/>
      <c r="U510" s="85"/>
      <c r="V510" s="85"/>
      <c r="W510" s="138"/>
      <c r="X510" s="139"/>
      <c r="Y510" s="139"/>
      <c r="Z510" s="139"/>
      <c r="AA510" s="139"/>
      <c r="AB510" s="139"/>
      <c r="AC510" s="139"/>
      <c r="AD510" s="139"/>
      <c r="AE510" s="139"/>
      <c r="AF510" s="139"/>
      <c r="AG510" s="139"/>
      <c r="AH510" s="139"/>
      <c r="AI510" s="139"/>
      <c r="AJ510" s="139"/>
      <c r="AK510" s="139"/>
      <c r="AL510" s="139"/>
      <c r="AM510" s="139"/>
      <c r="AN510" s="139"/>
      <c r="AO510" s="139"/>
    </row>
    <row r="511">
      <c r="A511" s="85"/>
      <c r="B511" s="86"/>
      <c r="C511" s="85"/>
      <c r="D511" s="89"/>
      <c r="E511" s="89"/>
      <c r="F511" s="89"/>
      <c r="G511" s="89"/>
      <c r="H511" s="89"/>
      <c r="I511" s="89"/>
      <c r="J511" s="89"/>
      <c r="K511" s="89"/>
      <c r="L511" s="89"/>
      <c r="M511" s="89"/>
      <c r="N511" s="89"/>
      <c r="O511" s="85"/>
      <c r="P511" s="89"/>
      <c r="Q511" s="137"/>
      <c r="R511" s="138"/>
      <c r="S511" s="138"/>
      <c r="T511" s="85"/>
      <c r="U511" s="85"/>
      <c r="V511" s="85"/>
      <c r="W511" s="138"/>
      <c r="X511" s="139"/>
      <c r="Y511" s="139"/>
      <c r="Z511" s="139"/>
      <c r="AA511" s="139"/>
      <c r="AB511" s="139"/>
      <c r="AC511" s="139"/>
      <c r="AD511" s="139"/>
      <c r="AE511" s="139"/>
      <c r="AF511" s="139"/>
      <c r="AG511" s="139"/>
      <c r="AH511" s="139"/>
      <c r="AI511" s="139"/>
      <c r="AJ511" s="139"/>
      <c r="AK511" s="139"/>
      <c r="AL511" s="139"/>
      <c r="AM511" s="139"/>
      <c r="AN511" s="139"/>
      <c r="AO511" s="139"/>
    </row>
    <row r="512">
      <c r="A512" s="85"/>
      <c r="B512" s="86"/>
      <c r="C512" s="85"/>
      <c r="D512" s="89"/>
      <c r="E512" s="89"/>
      <c r="F512" s="89"/>
      <c r="G512" s="89"/>
      <c r="H512" s="89"/>
      <c r="I512" s="89"/>
      <c r="J512" s="89"/>
      <c r="K512" s="89"/>
      <c r="L512" s="89"/>
      <c r="M512" s="89"/>
      <c r="N512" s="89"/>
      <c r="O512" s="85"/>
      <c r="P512" s="89"/>
      <c r="Q512" s="137"/>
      <c r="R512" s="138"/>
      <c r="S512" s="138"/>
      <c r="T512" s="85"/>
      <c r="U512" s="85"/>
      <c r="V512" s="85"/>
      <c r="W512" s="138"/>
      <c r="X512" s="139"/>
      <c r="Y512" s="139"/>
      <c r="Z512" s="139"/>
      <c r="AA512" s="139"/>
      <c r="AB512" s="139"/>
      <c r="AC512" s="139"/>
      <c r="AD512" s="139"/>
      <c r="AE512" s="139"/>
      <c r="AF512" s="139"/>
      <c r="AG512" s="139"/>
      <c r="AH512" s="139"/>
      <c r="AI512" s="139"/>
      <c r="AJ512" s="139"/>
      <c r="AK512" s="139"/>
      <c r="AL512" s="139"/>
      <c r="AM512" s="139"/>
      <c r="AN512" s="139"/>
      <c r="AO512" s="139"/>
    </row>
    <row r="513">
      <c r="A513" s="85"/>
      <c r="B513" s="86"/>
      <c r="C513" s="85"/>
      <c r="D513" s="89"/>
      <c r="E513" s="89"/>
      <c r="F513" s="89"/>
      <c r="G513" s="89"/>
      <c r="H513" s="89"/>
      <c r="I513" s="89"/>
      <c r="J513" s="89"/>
      <c r="K513" s="89"/>
      <c r="L513" s="89"/>
      <c r="M513" s="89"/>
      <c r="N513" s="89"/>
      <c r="O513" s="85"/>
      <c r="P513" s="89"/>
      <c r="Q513" s="137"/>
      <c r="R513" s="138"/>
      <c r="S513" s="138"/>
      <c r="T513" s="85"/>
      <c r="U513" s="85"/>
      <c r="V513" s="85"/>
      <c r="W513" s="138"/>
      <c r="X513" s="139"/>
      <c r="Y513" s="139"/>
      <c r="Z513" s="139"/>
      <c r="AA513" s="139"/>
      <c r="AB513" s="139"/>
      <c r="AC513" s="139"/>
      <c r="AD513" s="139"/>
      <c r="AE513" s="139"/>
      <c r="AF513" s="139"/>
      <c r="AG513" s="139"/>
      <c r="AH513" s="139"/>
      <c r="AI513" s="139"/>
      <c r="AJ513" s="139"/>
      <c r="AK513" s="139"/>
      <c r="AL513" s="139"/>
      <c r="AM513" s="139"/>
      <c r="AN513" s="139"/>
      <c r="AO513" s="139"/>
    </row>
    <row r="514">
      <c r="A514" s="85"/>
      <c r="B514" s="86"/>
      <c r="C514" s="85"/>
      <c r="D514" s="89"/>
      <c r="E514" s="89"/>
      <c r="F514" s="89"/>
      <c r="G514" s="89"/>
      <c r="H514" s="89"/>
      <c r="I514" s="89"/>
      <c r="J514" s="89"/>
      <c r="K514" s="89"/>
      <c r="L514" s="89"/>
      <c r="M514" s="89"/>
      <c r="N514" s="89"/>
      <c r="O514" s="85"/>
      <c r="P514" s="89"/>
      <c r="Q514" s="137"/>
      <c r="R514" s="138"/>
      <c r="S514" s="138"/>
      <c r="T514" s="85"/>
      <c r="U514" s="85"/>
      <c r="V514" s="85"/>
      <c r="W514" s="138"/>
      <c r="X514" s="139"/>
      <c r="Y514" s="139"/>
      <c r="Z514" s="139"/>
      <c r="AA514" s="139"/>
      <c r="AB514" s="139"/>
      <c r="AC514" s="139"/>
      <c r="AD514" s="139"/>
      <c r="AE514" s="139"/>
      <c r="AF514" s="139"/>
      <c r="AG514" s="139"/>
      <c r="AH514" s="139"/>
      <c r="AI514" s="139"/>
      <c r="AJ514" s="139"/>
      <c r="AK514" s="139"/>
      <c r="AL514" s="139"/>
      <c r="AM514" s="139"/>
      <c r="AN514" s="139"/>
      <c r="AO514" s="139"/>
    </row>
    <row r="515">
      <c r="A515" s="85"/>
      <c r="B515" s="86"/>
      <c r="C515" s="85"/>
      <c r="D515" s="89"/>
      <c r="E515" s="89"/>
      <c r="F515" s="89"/>
      <c r="G515" s="89"/>
      <c r="H515" s="89"/>
      <c r="I515" s="89"/>
      <c r="J515" s="89"/>
      <c r="K515" s="89"/>
      <c r="L515" s="89"/>
      <c r="M515" s="89"/>
      <c r="N515" s="89"/>
      <c r="O515" s="85"/>
      <c r="P515" s="89"/>
      <c r="Q515" s="137"/>
      <c r="R515" s="138"/>
      <c r="S515" s="138"/>
      <c r="T515" s="85"/>
      <c r="U515" s="85"/>
      <c r="V515" s="85"/>
      <c r="W515" s="138"/>
      <c r="X515" s="139"/>
      <c r="Y515" s="139"/>
      <c r="Z515" s="139"/>
      <c r="AA515" s="139"/>
      <c r="AB515" s="139"/>
      <c r="AC515" s="139"/>
      <c r="AD515" s="139"/>
      <c r="AE515" s="139"/>
      <c r="AF515" s="139"/>
      <c r="AG515" s="139"/>
      <c r="AH515" s="139"/>
      <c r="AI515" s="139"/>
      <c r="AJ515" s="139"/>
      <c r="AK515" s="139"/>
      <c r="AL515" s="139"/>
      <c r="AM515" s="139"/>
      <c r="AN515" s="139"/>
      <c r="AO515" s="139"/>
    </row>
    <row r="516">
      <c r="A516" s="85"/>
      <c r="B516" s="86"/>
      <c r="C516" s="85"/>
      <c r="D516" s="89"/>
      <c r="E516" s="89"/>
      <c r="F516" s="89"/>
      <c r="G516" s="89"/>
      <c r="H516" s="89"/>
      <c r="I516" s="89"/>
      <c r="J516" s="89"/>
      <c r="K516" s="89"/>
      <c r="L516" s="89"/>
      <c r="M516" s="89"/>
      <c r="N516" s="89"/>
      <c r="O516" s="85"/>
      <c r="P516" s="89"/>
      <c r="Q516" s="137"/>
      <c r="R516" s="138"/>
      <c r="S516" s="138"/>
      <c r="T516" s="85"/>
      <c r="U516" s="85"/>
      <c r="V516" s="85"/>
      <c r="W516" s="138"/>
      <c r="X516" s="139"/>
      <c r="Y516" s="139"/>
      <c r="Z516" s="139"/>
      <c r="AA516" s="139"/>
      <c r="AB516" s="139"/>
      <c r="AC516" s="139"/>
      <c r="AD516" s="139"/>
      <c r="AE516" s="139"/>
      <c r="AF516" s="139"/>
      <c r="AG516" s="139"/>
      <c r="AH516" s="139"/>
      <c r="AI516" s="139"/>
      <c r="AJ516" s="139"/>
      <c r="AK516" s="139"/>
      <c r="AL516" s="139"/>
      <c r="AM516" s="139"/>
      <c r="AN516" s="139"/>
      <c r="AO516" s="139"/>
    </row>
    <row r="517">
      <c r="A517" s="85"/>
      <c r="B517" s="86"/>
      <c r="C517" s="85"/>
      <c r="D517" s="89"/>
      <c r="E517" s="89"/>
      <c r="F517" s="89"/>
      <c r="G517" s="89"/>
      <c r="H517" s="89"/>
      <c r="I517" s="89"/>
      <c r="J517" s="89"/>
      <c r="K517" s="89"/>
      <c r="L517" s="89"/>
      <c r="M517" s="89"/>
      <c r="N517" s="89"/>
      <c r="O517" s="85"/>
      <c r="P517" s="89"/>
      <c r="Q517" s="137"/>
      <c r="R517" s="138"/>
      <c r="S517" s="138"/>
      <c r="T517" s="85"/>
      <c r="U517" s="85"/>
      <c r="V517" s="85"/>
      <c r="W517" s="138"/>
      <c r="X517" s="139"/>
      <c r="Y517" s="139"/>
      <c r="Z517" s="139"/>
      <c r="AA517" s="139"/>
      <c r="AB517" s="139"/>
      <c r="AC517" s="139"/>
      <c r="AD517" s="139"/>
      <c r="AE517" s="139"/>
      <c r="AF517" s="139"/>
      <c r="AG517" s="139"/>
      <c r="AH517" s="139"/>
      <c r="AI517" s="139"/>
      <c r="AJ517" s="139"/>
      <c r="AK517" s="139"/>
      <c r="AL517" s="139"/>
      <c r="AM517" s="139"/>
      <c r="AN517" s="139"/>
      <c r="AO517" s="139"/>
    </row>
    <row r="518">
      <c r="A518" s="85"/>
      <c r="B518" s="86"/>
      <c r="C518" s="85"/>
      <c r="D518" s="89"/>
      <c r="E518" s="89"/>
      <c r="F518" s="89"/>
      <c r="G518" s="89"/>
      <c r="H518" s="89"/>
      <c r="I518" s="89"/>
      <c r="J518" s="89"/>
      <c r="K518" s="89"/>
      <c r="L518" s="89"/>
      <c r="M518" s="89"/>
      <c r="N518" s="89"/>
      <c r="O518" s="85"/>
      <c r="P518" s="89"/>
      <c r="Q518" s="137"/>
      <c r="R518" s="138"/>
      <c r="S518" s="138"/>
      <c r="T518" s="85"/>
      <c r="U518" s="85"/>
      <c r="V518" s="85"/>
      <c r="W518" s="138"/>
      <c r="X518" s="139"/>
      <c r="Y518" s="139"/>
      <c r="Z518" s="139"/>
      <c r="AA518" s="139"/>
      <c r="AB518" s="139"/>
      <c r="AC518" s="139"/>
      <c r="AD518" s="139"/>
      <c r="AE518" s="139"/>
      <c r="AF518" s="139"/>
      <c r="AG518" s="139"/>
      <c r="AH518" s="139"/>
      <c r="AI518" s="139"/>
      <c r="AJ518" s="139"/>
      <c r="AK518" s="139"/>
      <c r="AL518" s="139"/>
      <c r="AM518" s="139"/>
      <c r="AN518" s="139"/>
      <c r="AO518" s="139"/>
    </row>
    <row r="519">
      <c r="A519" s="85"/>
      <c r="B519" s="86"/>
      <c r="C519" s="85"/>
      <c r="D519" s="89"/>
      <c r="E519" s="89"/>
      <c r="F519" s="89"/>
      <c r="G519" s="89"/>
      <c r="H519" s="89"/>
      <c r="I519" s="89"/>
      <c r="J519" s="89"/>
      <c r="K519" s="89"/>
      <c r="L519" s="89"/>
      <c r="M519" s="89"/>
      <c r="N519" s="89"/>
      <c r="O519" s="85"/>
      <c r="P519" s="89"/>
      <c r="Q519" s="137"/>
      <c r="R519" s="138"/>
      <c r="S519" s="138"/>
      <c r="T519" s="85"/>
      <c r="U519" s="85"/>
      <c r="V519" s="85"/>
      <c r="W519" s="138"/>
      <c r="X519" s="139"/>
      <c r="Y519" s="139"/>
      <c r="Z519" s="139"/>
      <c r="AA519" s="139"/>
      <c r="AB519" s="139"/>
      <c r="AC519" s="139"/>
      <c r="AD519" s="139"/>
      <c r="AE519" s="139"/>
      <c r="AF519" s="139"/>
      <c r="AG519" s="139"/>
      <c r="AH519" s="139"/>
      <c r="AI519" s="139"/>
      <c r="AJ519" s="139"/>
      <c r="AK519" s="139"/>
      <c r="AL519" s="139"/>
      <c r="AM519" s="139"/>
      <c r="AN519" s="139"/>
      <c r="AO519" s="139"/>
    </row>
    <row r="520">
      <c r="A520" s="85"/>
      <c r="B520" s="86"/>
      <c r="C520" s="85"/>
      <c r="D520" s="89"/>
      <c r="E520" s="89"/>
      <c r="F520" s="89"/>
      <c r="G520" s="89"/>
      <c r="H520" s="89"/>
      <c r="I520" s="89"/>
      <c r="J520" s="89"/>
      <c r="K520" s="89"/>
      <c r="L520" s="89"/>
      <c r="M520" s="89"/>
      <c r="N520" s="89"/>
      <c r="O520" s="85"/>
      <c r="P520" s="89"/>
      <c r="Q520" s="137"/>
      <c r="R520" s="138"/>
      <c r="S520" s="138"/>
      <c r="T520" s="85"/>
      <c r="U520" s="85"/>
      <c r="V520" s="85"/>
      <c r="W520" s="138"/>
      <c r="X520" s="139"/>
      <c r="Y520" s="139"/>
      <c r="Z520" s="139"/>
      <c r="AA520" s="139"/>
      <c r="AB520" s="139"/>
      <c r="AC520" s="139"/>
      <c r="AD520" s="139"/>
      <c r="AE520" s="139"/>
      <c r="AF520" s="139"/>
      <c r="AG520" s="139"/>
      <c r="AH520" s="139"/>
      <c r="AI520" s="139"/>
      <c r="AJ520" s="139"/>
      <c r="AK520" s="139"/>
      <c r="AL520" s="139"/>
      <c r="AM520" s="139"/>
      <c r="AN520" s="139"/>
      <c r="AO520" s="139"/>
    </row>
    <row r="521">
      <c r="A521" s="85"/>
      <c r="B521" s="86"/>
      <c r="C521" s="85"/>
      <c r="D521" s="89"/>
      <c r="E521" s="89"/>
      <c r="F521" s="89"/>
      <c r="G521" s="89"/>
      <c r="H521" s="89"/>
      <c r="I521" s="89"/>
      <c r="J521" s="89"/>
      <c r="K521" s="89"/>
      <c r="L521" s="89"/>
      <c r="M521" s="89"/>
      <c r="N521" s="89"/>
      <c r="O521" s="85"/>
      <c r="P521" s="89"/>
      <c r="Q521" s="137"/>
      <c r="R521" s="138"/>
      <c r="S521" s="138"/>
      <c r="T521" s="85"/>
      <c r="U521" s="85"/>
      <c r="V521" s="85"/>
      <c r="W521" s="138"/>
      <c r="X521" s="139"/>
      <c r="Y521" s="139"/>
      <c r="Z521" s="139"/>
      <c r="AA521" s="139"/>
      <c r="AB521" s="139"/>
      <c r="AC521" s="139"/>
      <c r="AD521" s="139"/>
      <c r="AE521" s="139"/>
      <c r="AF521" s="139"/>
      <c r="AG521" s="139"/>
      <c r="AH521" s="139"/>
      <c r="AI521" s="139"/>
      <c r="AJ521" s="139"/>
      <c r="AK521" s="139"/>
      <c r="AL521" s="139"/>
      <c r="AM521" s="139"/>
      <c r="AN521" s="139"/>
      <c r="AO521" s="139"/>
    </row>
    <row r="522">
      <c r="A522" s="85"/>
      <c r="B522" s="86"/>
      <c r="C522" s="85"/>
      <c r="D522" s="89"/>
      <c r="E522" s="89"/>
      <c r="F522" s="89"/>
      <c r="G522" s="89"/>
      <c r="H522" s="89"/>
      <c r="I522" s="89"/>
      <c r="J522" s="89"/>
      <c r="K522" s="89"/>
      <c r="L522" s="89"/>
      <c r="M522" s="89"/>
      <c r="N522" s="89"/>
      <c r="O522" s="85"/>
      <c r="P522" s="89"/>
      <c r="Q522" s="137"/>
      <c r="R522" s="138"/>
      <c r="S522" s="138"/>
      <c r="T522" s="85"/>
      <c r="U522" s="85"/>
      <c r="V522" s="85"/>
      <c r="W522" s="138"/>
      <c r="X522" s="139"/>
      <c r="Y522" s="139"/>
      <c r="Z522" s="139"/>
      <c r="AA522" s="139"/>
      <c r="AB522" s="139"/>
      <c r="AC522" s="139"/>
      <c r="AD522" s="139"/>
      <c r="AE522" s="139"/>
      <c r="AF522" s="139"/>
      <c r="AG522" s="139"/>
      <c r="AH522" s="139"/>
      <c r="AI522" s="139"/>
      <c r="AJ522" s="139"/>
      <c r="AK522" s="139"/>
      <c r="AL522" s="139"/>
      <c r="AM522" s="139"/>
      <c r="AN522" s="139"/>
      <c r="AO522" s="139"/>
    </row>
    <row r="523">
      <c r="A523" s="85"/>
      <c r="B523" s="86"/>
      <c r="C523" s="85"/>
      <c r="D523" s="89"/>
      <c r="E523" s="89"/>
      <c r="F523" s="89"/>
      <c r="G523" s="89"/>
      <c r="H523" s="89"/>
      <c r="I523" s="89"/>
      <c r="J523" s="89"/>
      <c r="K523" s="89"/>
      <c r="L523" s="89"/>
      <c r="M523" s="89"/>
      <c r="N523" s="89"/>
      <c r="O523" s="85"/>
      <c r="P523" s="89"/>
      <c r="Q523" s="137"/>
      <c r="R523" s="138"/>
      <c r="S523" s="138"/>
      <c r="T523" s="85"/>
      <c r="U523" s="85"/>
      <c r="V523" s="85"/>
      <c r="W523" s="138"/>
      <c r="X523" s="139"/>
      <c r="Y523" s="139"/>
      <c r="Z523" s="139"/>
      <c r="AA523" s="139"/>
      <c r="AB523" s="139"/>
      <c r="AC523" s="139"/>
      <c r="AD523" s="139"/>
      <c r="AE523" s="139"/>
      <c r="AF523" s="139"/>
      <c r="AG523" s="139"/>
      <c r="AH523" s="139"/>
      <c r="AI523" s="139"/>
      <c r="AJ523" s="139"/>
      <c r="AK523" s="139"/>
      <c r="AL523" s="139"/>
      <c r="AM523" s="139"/>
      <c r="AN523" s="139"/>
      <c r="AO523" s="139"/>
    </row>
    <row r="524">
      <c r="A524" s="85"/>
      <c r="B524" s="86"/>
      <c r="C524" s="85"/>
      <c r="D524" s="89"/>
      <c r="E524" s="89"/>
      <c r="F524" s="89"/>
      <c r="G524" s="89"/>
      <c r="H524" s="89"/>
      <c r="I524" s="89"/>
      <c r="J524" s="89"/>
      <c r="K524" s="89"/>
      <c r="L524" s="89"/>
      <c r="M524" s="89"/>
      <c r="N524" s="89"/>
      <c r="O524" s="85"/>
      <c r="P524" s="89"/>
      <c r="Q524" s="137"/>
      <c r="R524" s="138"/>
      <c r="S524" s="138"/>
      <c r="T524" s="85"/>
      <c r="U524" s="85"/>
      <c r="V524" s="85"/>
      <c r="W524" s="138"/>
      <c r="X524" s="139"/>
      <c r="Y524" s="139"/>
      <c r="Z524" s="139"/>
      <c r="AA524" s="139"/>
      <c r="AB524" s="139"/>
      <c r="AC524" s="139"/>
      <c r="AD524" s="139"/>
      <c r="AE524" s="139"/>
      <c r="AF524" s="139"/>
      <c r="AG524" s="139"/>
      <c r="AH524" s="139"/>
      <c r="AI524" s="139"/>
      <c r="AJ524" s="139"/>
      <c r="AK524" s="139"/>
      <c r="AL524" s="139"/>
      <c r="AM524" s="139"/>
      <c r="AN524" s="139"/>
      <c r="AO524" s="139"/>
    </row>
    <row r="525">
      <c r="A525" s="85"/>
      <c r="B525" s="86"/>
      <c r="C525" s="85"/>
      <c r="D525" s="89"/>
      <c r="E525" s="89"/>
      <c r="F525" s="89"/>
      <c r="G525" s="89"/>
      <c r="H525" s="89"/>
      <c r="I525" s="89"/>
      <c r="J525" s="89"/>
      <c r="K525" s="89"/>
      <c r="L525" s="89"/>
      <c r="M525" s="89"/>
      <c r="N525" s="89"/>
      <c r="O525" s="85"/>
      <c r="P525" s="89"/>
      <c r="Q525" s="137"/>
      <c r="R525" s="138"/>
      <c r="S525" s="138"/>
      <c r="T525" s="85"/>
      <c r="U525" s="85"/>
      <c r="V525" s="85"/>
      <c r="W525" s="138"/>
      <c r="X525" s="139"/>
      <c r="Y525" s="139"/>
      <c r="Z525" s="139"/>
      <c r="AA525" s="139"/>
      <c r="AB525" s="139"/>
      <c r="AC525" s="139"/>
      <c r="AD525" s="139"/>
      <c r="AE525" s="139"/>
      <c r="AF525" s="139"/>
      <c r="AG525" s="139"/>
      <c r="AH525" s="139"/>
      <c r="AI525" s="139"/>
      <c r="AJ525" s="139"/>
      <c r="AK525" s="139"/>
      <c r="AL525" s="139"/>
      <c r="AM525" s="139"/>
      <c r="AN525" s="139"/>
      <c r="AO525" s="139"/>
    </row>
    <row r="526">
      <c r="A526" s="85"/>
      <c r="B526" s="86"/>
      <c r="C526" s="85"/>
      <c r="D526" s="89"/>
      <c r="E526" s="89"/>
      <c r="F526" s="89"/>
      <c r="G526" s="89"/>
      <c r="H526" s="89"/>
      <c r="I526" s="89"/>
      <c r="J526" s="89"/>
      <c r="K526" s="89"/>
      <c r="L526" s="89"/>
      <c r="M526" s="89"/>
      <c r="N526" s="89"/>
      <c r="O526" s="85"/>
      <c r="P526" s="89"/>
      <c r="Q526" s="137"/>
      <c r="R526" s="138"/>
      <c r="S526" s="138"/>
      <c r="T526" s="85"/>
      <c r="U526" s="85"/>
      <c r="V526" s="85"/>
      <c r="W526" s="138"/>
      <c r="X526" s="139"/>
      <c r="Y526" s="139"/>
      <c r="Z526" s="139"/>
      <c r="AA526" s="139"/>
      <c r="AB526" s="139"/>
      <c r="AC526" s="139"/>
      <c r="AD526" s="139"/>
      <c r="AE526" s="139"/>
      <c r="AF526" s="139"/>
      <c r="AG526" s="139"/>
      <c r="AH526" s="139"/>
      <c r="AI526" s="139"/>
      <c r="AJ526" s="139"/>
      <c r="AK526" s="139"/>
      <c r="AL526" s="139"/>
      <c r="AM526" s="139"/>
      <c r="AN526" s="139"/>
      <c r="AO526" s="139"/>
    </row>
    <row r="527">
      <c r="A527" s="85"/>
      <c r="B527" s="86"/>
      <c r="C527" s="85"/>
      <c r="D527" s="89"/>
      <c r="E527" s="89"/>
      <c r="F527" s="89"/>
      <c r="G527" s="89"/>
      <c r="H527" s="89"/>
      <c r="I527" s="89"/>
      <c r="J527" s="89"/>
      <c r="K527" s="89"/>
      <c r="L527" s="89"/>
      <c r="M527" s="89"/>
      <c r="N527" s="89"/>
      <c r="O527" s="85"/>
      <c r="P527" s="89"/>
      <c r="Q527" s="137"/>
      <c r="R527" s="138"/>
      <c r="S527" s="138"/>
      <c r="T527" s="85"/>
      <c r="U527" s="85"/>
      <c r="V527" s="85"/>
      <c r="W527" s="138"/>
      <c r="X527" s="139"/>
      <c r="Y527" s="139"/>
      <c r="Z527" s="139"/>
      <c r="AA527" s="139"/>
      <c r="AB527" s="139"/>
      <c r="AC527" s="139"/>
      <c r="AD527" s="139"/>
      <c r="AE527" s="139"/>
      <c r="AF527" s="139"/>
      <c r="AG527" s="139"/>
      <c r="AH527" s="139"/>
      <c r="AI527" s="139"/>
      <c r="AJ527" s="139"/>
      <c r="AK527" s="139"/>
      <c r="AL527" s="139"/>
      <c r="AM527" s="139"/>
      <c r="AN527" s="139"/>
      <c r="AO527" s="139"/>
    </row>
    <row r="528">
      <c r="A528" s="85"/>
      <c r="B528" s="86"/>
      <c r="C528" s="85"/>
      <c r="D528" s="89"/>
      <c r="E528" s="89"/>
      <c r="F528" s="89"/>
      <c r="G528" s="89"/>
      <c r="H528" s="89"/>
      <c r="I528" s="89"/>
      <c r="J528" s="89"/>
      <c r="K528" s="89"/>
      <c r="L528" s="89"/>
      <c r="M528" s="89"/>
      <c r="N528" s="89"/>
      <c r="O528" s="85"/>
      <c r="P528" s="89"/>
      <c r="Q528" s="137"/>
      <c r="R528" s="138"/>
      <c r="S528" s="138"/>
      <c r="T528" s="85"/>
      <c r="U528" s="85"/>
      <c r="V528" s="85"/>
      <c r="W528" s="138"/>
      <c r="X528" s="139"/>
      <c r="Y528" s="139"/>
      <c r="Z528" s="139"/>
      <c r="AA528" s="139"/>
      <c r="AB528" s="139"/>
      <c r="AC528" s="139"/>
      <c r="AD528" s="139"/>
      <c r="AE528" s="139"/>
      <c r="AF528" s="139"/>
      <c r="AG528" s="139"/>
      <c r="AH528" s="139"/>
      <c r="AI528" s="139"/>
      <c r="AJ528" s="139"/>
      <c r="AK528" s="139"/>
      <c r="AL528" s="139"/>
      <c r="AM528" s="139"/>
      <c r="AN528" s="139"/>
      <c r="AO528" s="139"/>
    </row>
    <row r="529">
      <c r="A529" s="85"/>
      <c r="B529" s="86"/>
      <c r="C529" s="85"/>
      <c r="D529" s="89"/>
      <c r="E529" s="89"/>
      <c r="F529" s="89"/>
      <c r="G529" s="89"/>
      <c r="H529" s="89"/>
      <c r="I529" s="89"/>
      <c r="J529" s="89"/>
      <c r="K529" s="89"/>
      <c r="L529" s="89"/>
      <c r="M529" s="89"/>
      <c r="N529" s="89"/>
      <c r="O529" s="85"/>
      <c r="P529" s="89"/>
      <c r="Q529" s="137"/>
      <c r="R529" s="138"/>
      <c r="S529" s="138"/>
      <c r="T529" s="85"/>
      <c r="U529" s="85"/>
      <c r="V529" s="85"/>
      <c r="W529" s="138"/>
      <c r="X529" s="139"/>
      <c r="Y529" s="139"/>
      <c r="Z529" s="139"/>
      <c r="AA529" s="139"/>
      <c r="AB529" s="139"/>
      <c r="AC529" s="139"/>
      <c r="AD529" s="139"/>
      <c r="AE529" s="139"/>
      <c r="AF529" s="139"/>
      <c r="AG529" s="139"/>
      <c r="AH529" s="139"/>
      <c r="AI529" s="139"/>
      <c r="AJ529" s="139"/>
      <c r="AK529" s="139"/>
      <c r="AL529" s="139"/>
      <c r="AM529" s="139"/>
      <c r="AN529" s="139"/>
      <c r="AO529" s="139"/>
    </row>
    <row r="530">
      <c r="A530" s="85"/>
      <c r="B530" s="86"/>
      <c r="C530" s="85"/>
      <c r="D530" s="89"/>
      <c r="E530" s="89"/>
      <c r="F530" s="89"/>
      <c r="G530" s="89"/>
      <c r="H530" s="89"/>
      <c r="I530" s="89"/>
      <c r="J530" s="89"/>
      <c r="K530" s="89"/>
      <c r="L530" s="89"/>
      <c r="M530" s="89"/>
      <c r="N530" s="89"/>
      <c r="O530" s="85"/>
      <c r="P530" s="89"/>
      <c r="Q530" s="137"/>
      <c r="R530" s="138"/>
      <c r="S530" s="138"/>
      <c r="T530" s="85"/>
      <c r="U530" s="85"/>
      <c r="V530" s="85"/>
      <c r="W530" s="138"/>
      <c r="X530" s="139"/>
      <c r="Y530" s="139"/>
      <c r="Z530" s="139"/>
      <c r="AA530" s="139"/>
      <c r="AB530" s="139"/>
      <c r="AC530" s="139"/>
      <c r="AD530" s="139"/>
      <c r="AE530" s="139"/>
      <c r="AF530" s="139"/>
      <c r="AG530" s="139"/>
      <c r="AH530" s="139"/>
      <c r="AI530" s="139"/>
      <c r="AJ530" s="139"/>
      <c r="AK530" s="139"/>
      <c r="AL530" s="139"/>
      <c r="AM530" s="139"/>
      <c r="AN530" s="139"/>
      <c r="AO530" s="139"/>
    </row>
    <row r="531">
      <c r="A531" s="85"/>
      <c r="B531" s="86"/>
      <c r="C531" s="85"/>
      <c r="D531" s="89"/>
      <c r="E531" s="89"/>
      <c r="F531" s="89"/>
      <c r="G531" s="89"/>
      <c r="H531" s="89"/>
      <c r="I531" s="89"/>
      <c r="J531" s="89"/>
      <c r="K531" s="89"/>
      <c r="L531" s="89"/>
      <c r="M531" s="89"/>
      <c r="N531" s="89"/>
      <c r="O531" s="85"/>
      <c r="P531" s="89"/>
      <c r="Q531" s="137"/>
      <c r="R531" s="138"/>
      <c r="S531" s="138"/>
      <c r="T531" s="85"/>
      <c r="U531" s="85"/>
      <c r="V531" s="85"/>
      <c r="W531" s="138"/>
      <c r="X531" s="139"/>
      <c r="Y531" s="139"/>
      <c r="Z531" s="139"/>
      <c r="AA531" s="139"/>
      <c r="AB531" s="139"/>
      <c r="AC531" s="139"/>
      <c r="AD531" s="139"/>
      <c r="AE531" s="139"/>
      <c r="AF531" s="139"/>
      <c r="AG531" s="139"/>
      <c r="AH531" s="139"/>
      <c r="AI531" s="139"/>
      <c r="AJ531" s="139"/>
      <c r="AK531" s="139"/>
      <c r="AL531" s="139"/>
      <c r="AM531" s="139"/>
      <c r="AN531" s="139"/>
      <c r="AO531" s="139"/>
    </row>
    <row r="532">
      <c r="A532" s="85"/>
      <c r="B532" s="86"/>
      <c r="C532" s="85"/>
      <c r="D532" s="89"/>
      <c r="E532" s="89"/>
      <c r="F532" s="89"/>
      <c r="G532" s="89"/>
      <c r="H532" s="89"/>
      <c r="I532" s="89"/>
      <c r="J532" s="89"/>
      <c r="K532" s="89"/>
      <c r="L532" s="89"/>
      <c r="M532" s="89"/>
      <c r="N532" s="89"/>
      <c r="O532" s="85"/>
      <c r="P532" s="89"/>
      <c r="Q532" s="137"/>
      <c r="R532" s="138"/>
      <c r="S532" s="138"/>
      <c r="T532" s="85"/>
      <c r="U532" s="85"/>
      <c r="V532" s="85"/>
      <c r="W532" s="138"/>
      <c r="X532" s="139"/>
      <c r="Y532" s="139"/>
      <c r="Z532" s="139"/>
      <c r="AA532" s="139"/>
      <c r="AB532" s="139"/>
      <c r="AC532" s="139"/>
      <c r="AD532" s="139"/>
      <c r="AE532" s="139"/>
      <c r="AF532" s="139"/>
      <c r="AG532" s="139"/>
      <c r="AH532" s="139"/>
      <c r="AI532" s="139"/>
      <c r="AJ532" s="139"/>
      <c r="AK532" s="139"/>
      <c r="AL532" s="139"/>
      <c r="AM532" s="139"/>
      <c r="AN532" s="139"/>
      <c r="AO532" s="139"/>
    </row>
    <row r="533">
      <c r="A533" s="85"/>
      <c r="B533" s="86"/>
      <c r="C533" s="85"/>
      <c r="D533" s="89"/>
      <c r="E533" s="89"/>
      <c r="F533" s="89"/>
      <c r="G533" s="89"/>
      <c r="H533" s="89"/>
      <c r="I533" s="89"/>
      <c r="J533" s="89"/>
      <c r="K533" s="89"/>
      <c r="L533" s="89"/>
      <c r="M533" s="89"/>
      <c r="N533" s="89"/>
      <c r="O533" s="85"/>
      <c r="P533" s="89"/>
      <c r="Q533" s="137"/>
      <c r="R533" s="138"/>
      <c r="S533" s="138"/>
      <c r="T533" s="85"/>
      <c r="U533" s="85"/>
      <c r="V533" s="85"/>
      <c r="W533" s="138"/>
      <c r="X533" s="139"/>
      <c r="Y533" s="139"/>
      <c r="Z533" s="139"/>
      <c r="AA533" s="139"/>
      <c r="AB533" s="139"/>
      <c r="AC533" s="139"/>
      <c r="AD533" s="139"/>
      <c r="AE533" s="139"/>
      <c r="AF533" s="139"/>
      <c r="AG533" s="139"/>
      <c r="AH533" s="139"/>
      <c r="AI533" s="139"/>
      <c r="AJ533" s="139"/>
      <c r="AK533" s="139"/>
      <c r="AL533" s="139"/>
      <c r="AM533" s="139"/>
      <c r="AN533" s="139"/>
      <c r="AO533" s="139"/>
    </row>
    <row r="534">
      <c r="A534" s="85"/>
      <c r="B534" s="86"/>
      <c r="C534" s="85"/>
      <c r="D534" s="89"/>
      <c r="E534" s="89"/>
      <c r="F534" s="89"/>
      <c r="G534" s="89"/>
      <c r="H534" s="89"/>
      <c r="I534" s="89"/>
      <c r="J534" s="89"/>
      <c r="K534" s="89"/>
      <c r="L534" s="89"/>
      <c r="M534" s="89"/>
      <c r="N534" s="89"/>
      <c r="O534" s="85"/>
      <c r="P534" s="89"/>
      <c r="Q534" s="137"/>
      <c r="R534" s="138"/>
      <c r="S534" s="138"/>
      <c r="T534" s="85"/>
      <c r="U534" s="85"/>
      <c r="V534" s="85"/>
      <c r="W534" s="138"/>
      <c r="X534" s="139"/>
      <c r="Y534" s="139"/>
      <c r="Z534" s="139"/>
      <c r="AA534" s="139"/>
      <c r="AB534" s="139"/>
      <c r="AC534" s="139"/>
      <c r="AD534" s="139"/>
      <c r="AE534" s="139"/>
      <c r="AF534" s="139"/>
      <c r="AG534" s="139"/>
      <c r="AH534" s="139"/>
      <c r="AI534" s="139"/>
      <c r="AJ534" s="139"/>
      <c r="AK534" s="139"/>
      <c r="AL534" s="139"/>
      <c r="AM534" s="139"/>
      <c r="AN534" s="139"/>
      <c r="AO534" s="139"/>
    </row>
    <row r="535">
      <c r="A535" s="85"/>
      <c r="B535" s="86"/>
      <c r="C535" s="85"/>
      <c r="D535" s="89"/>
      <c r="E535" s="89"/>
      <c r="F535" s="89"/>
      <c r="G535" s="89"/>
      <c r="H535" s="89"/>
      <c r="I535" s="89"/>
      <c r="J535" s="89"/>
      <c r="K535" s="89"/>
      <c r="L535" s="89"/>
      <c r="M535" s="89"/>
      <c r="N535" s="89"/>
      <c r="O535" s="85"/>
      <c r="P535" s="89"/>
      <c r="Q535" s="137"/>
      <c r="R535" s="138"/>
      <c r="S535" s="138"/>
      <c r="T535" s="85"/>
      <c r="U535" s="85"/>
      <c r="V535" s="85"/>
      <c r="W535" s="138"/>
      <c r="X535" s="139"/>
      <c r="Y535" s="139"/>
      <c r="Z535" s="139"/>
      <c r="AA535" s="139"/>
      <c r="AB535" s="139"/>
      <c r="AC535" s="139"/>
      <c r="AD535" s="139"/>
      <c r="AE535" s="139"/>
      <c r="AF535" s="139"/>
      <c r="AG535" s="139"/>
      <c r="AH535" s="139"/>
      <c r="AI535" s="139"/>
      <c r="AJ535" s="139"/>
      <c r="AK535" s="139"/>
      <c r="AL535" s="139"/>
      <c r="AM535" s="139"/>
      <c r="AN535" s="139"/>
      <c r="AO535" s="139"/>
    </row>
    <row r="536">
      <c r="A536" s="85"/>
      <c r="B536" s="86"/>
      <c r="C536" s="85"/>
      <c r="D536" s="89"/>
      <c r="E536" s="89"/>
      <c r="F536" s="89"/>
      <c r="G536" s="89"/>
      <c r="H536" s="89"/>
      <c r="I536" s="89"/>
      <c r="J536" s="89"/>
      <c r="K536" s="89"/>
      <c r="L536" s="89"/>
      <c r="M536" s="89"/>
      <c r="N536" s="89"/>
      <c r="O536" s="85"/>
      <c r="P536" s="89"/>
      <c r="Q536" s="137"/>
      <c r="R536" s="138"/>
      <c r="S536" s="138"/>
      <c r="T536" s="85"/>
      <c r="U536" s="85"/>
      <c r="V536" s="85"/>
      <c r="W536" s="138"/>
      <c r="X536" s="139"/>
      <c r="Y536" s="139"/>
      <c r="Z536" s="139"/>
      <c r="AA536" s="139"/>
      <c r="AB536" s="139"/>
      <c r="AC536" s="139"/>
      <c r="AD536" s="139"/>
      <c r="AE536" s="139"/>
      <c r="AF536" s="139"/>
      <c r="AG536" s="139"/>
      <c r="AH536" s="139"/>
      <c r="AI536" s="139"/>
      <c r="AJ536" s="139"/>
      <c r="AK536" s="139"/>
      <c r="AL536" s="139"/>
      <c r="AM536" s="139"/>
      <c r="AN536" s="139"/>
      <c r="AO536" s="139"/>
    </row>
    <row r="537">
      <c r="A537" s="85"/>
      <c r="B537" s="86"/>
      <c r="C537" s="85"/>
      <c r="D537" s="89"/>
      <c r="E537" s="89"/>
      <c r="F537" s="89"/>
      <c r="G537" s="89"/>
      <c r="H537" s="89"/>
      <c r="I537" s="89"/>
      <c r="J537" s="89"/>
      <c r="K537" s="89"/>
      <c r="L537" s="89"/>
      <c r="M537" s="89"/>
      <c r="N537" s="89"/>
      <c r="O537" s="85"/>
      <c r="P537" s="89"/>
      <c r="Q537" s="137"/>
      <c r="R537" s="138"/>
      <c r="S537" s="138"/>
      <c r="T537" s="85"/>
      <c r="U537" s="85"/>
      <c r="V537" s="85"/>
      <c r="W537" s="138"/>
      <c r="X537" s="139"/>
      <c r="Y537" s="139"/>
      <c r="Z537" s="139"/>
      <c r="AA537" s="139"/>
      <c r="AB537" s="139"/>
      <c r="AC537" s="139"/>
      <c r="AD537" s="139"/>
      <c r="AE537" s="139"/>
      <c r="AF537" s="139"/>
      <c r="AG537" s="139"/>
      <c r="AH537" s="139"/>
      <c r="AI537" s="139"/>
      <c r="AJ537" s="139"/>
      <c r="AK537" s="139"/>
      <c r="AL537" s="139"/>
      <c r="AM537" s="139"/>
      <c r="AN537" s="139"/>
      <c r="AO537" s="139"/>
    </row>
    <row r="538">
      <c r="A538" s="85"/>
      <c r="B538" s="86"/>
      <c r="C538" s="85"/>
      <c r="D538" s="89"/>
      <c r="E538" s="89"/>
      <c r="F538" s="89"/>
      <c r="G538" s="89"/>
      <c r="H538" s="89"/>
      <c r="I538" s="89"/>
      <c r="J538" s="89"/>
      <c r="K538" s="89"/>
      <c r="L538" s="89"/>
      <c r="M538" s="89"/>
      <c r="N538" s="89"/>
      <c r="O538" s="85"/>
      <c r="P538" s="89"/>
      <c r="Q538" s="137"/>
      <c r="R538" s="138"/>
      <c r="S538" s="138"/>
      <c r="T538" s="85"/>
      <c r="U538" s="85"/>
      <c r="V538" s="85"/>
      <c r="W538" s="138"/>
      <c r="X538" s="139"/>
      <c r="Y538" s="139"/>
      <c r="Z538" s="139"/>
      <c r="AA538" s="139"/>
      <c r="AB538" s="139"/>
      <c r="AC538" s="139"/>
      <c r="AD538" s="139"/>
      <c r="AE538" s="139"/>
      <c r="AF538" s="139"/>
      <c r="AG538" s="139"/>
      <c r="AH538" s="139"/>
      <c r="AI538" s="139"/>
      <c r="AJ538" s="139"/>
      <c r="AK538" s="139"/>
      <c r="AL538" s="139"/>
      <c r="AM538" s="139"/>
      <c r="AN538" s="139"/>
      <c r="AO538" s="139"/>
    </row>
    <row r="539">
      <c r="A539" s="85"/>
      <c r="B539" s="86"/>
      <c r="C539" s="85"/>
      <c r="D539" s="89"/>
      <c r="E539" s="89"/>
      <c r="F539" s="89"/>
      <c r="G539" s="89"/>
      <c r="H539" s="89"/>
      <c r="I539" s="89"/>
      <c r="J539" s="89"/>
      <c r="K539" s="89"/>
      <c r="L539" s="89"/>
      <c r="M539" s="89"/>
      <c r="N539" s="89"/>
      <c r="O539" s="85"/>
      <c r="P539" s="89"/>
      <c r="Q539" s="137"/>
      <c r="R539" s="138"/>
      <c r="S539" s="138"/>
      <c r="T539" s="85"/>
      <c r="U539" s="85"/>
      <c r="V539" s="85"/>
      <c r="W539" s="138"/>
      <c r="X539" s="139"/>
      <c r="Y539" s="139"/>
      <c r="Z539" s="139"/>
      <c r="AA539" s="139"/>
      <c r="AB539" s="139"/>
      <c r="AC539" s="139"/>
      <c r="AD539" s="139"/>
      <c r="AE539" s="139"/>
      <c r="AF539" s="139"/>
      <c r="AG539" s="139"/>
      <c r="AH539" s="139"/>
      <c r="AI539" s="139"/>
      <c r="AJ539" s="139"/>
      <c r="AK539" s="139"/>
      <c r="AL539" s="139"/>
      <c r="AM539" s="139"/>
      <c r="AN539" s="139"/>
      <c r="AO539" s="139"/>
    </row>
    <row r="540">
      <c r="A540" s="85"/>
      <c r="B540" s="86"/>
      <c r="C540" s="85"/>
      <c r="D540" s="89"/>
      <c r="E540" s="89"/>
      <c r="F540" s="89"/>
      <c r="G540" s="89"/>
      <c r="H540" s="89"/>
      <c r="I540" s="89"/>
      <c r="J540" s="89"/>
      <c r="K540" s="89"/>
      <c r="L540" s="89"/>
      <c r="M540" s="89"/>
      <c r="N540" s="89"/>
      <c r="O540" s="85"/>
      <c r="P540" s="89"/>
      <c r="Q540" s="137"/>
      <c r="R540" s="138"/>
      <c r="S540" s="138"/>
      <c r="T540" s="85"/>
      <c r="U540" s="85"/>
      <c r="V540" s="85"/>
      <c r="W540" s="138"/>
      <c r="X540" s="139"/>
      <c r="Y540" s="139"/>
      <c r="Z540" s="139"/>
      <c r="AA540" s="139"/>
      <c r="AB540" s="139"/>
      <c r="AC540" s="139"/>
      <c r="AD540" s="139"/>
      <c r="AE540" s="139"/>
      <c r="AF540" s="139"/>
      <c r="AG540" s="139"/>
      <c r="AH540" s="139"/>
      <c r="AI540" s="139"/>
      <c r="AJ540" s="139"/>
      <c r="AK540" s="139"/>
      <c r="AL540" s="139"/>
      <c r="AM540" s="139"/>
      <c r="AN540" s="139"/>
      <c r="AO540" s="139"/>
    </row>
    <row r="541">
      <c r="A541" s="85"/>
      <c r="B541" s="86"/>
      <c r="C541" s="85"/>
      <c r="D541" s="89"/>
      <c r="E541" s="89"/>
      <c r="F541" s="89"/>
      <c r="G541" s="89"/>
      <c r="H541" s="89"/>
      <c r="I541" s="89"/>
      <c r="J541" s="89"/>
      <c r="K541" s="89"/>
      <c r="L541" s="89"/>
      <c r="M541" s="89"/>
      <c r="N541" s="89"/>
      <c r="O541" s="85"/>
      <c r="P541" s="89"/>
      <c r="Q541" s="137"/>
      <c r="R541" s="138"/>
      <c r="S541" s="138"/>
      <c r="T541" s="85"/>
      <c r="U541" s="85"/>
      <c r="V541" s="85"/>
      <c r="W541" s="138"/>
      <c r="X541" s="139"/>
      <c r="Y541" s="139"/>
      <c r="Z541" s="139"/>
      <c r="AA541" s="139"/>
      <c r="AB541" s="139"/>
      <c r="AC541" s="139"/>
      <c r="AD541" s="139"/>
      <c r="AE541" s="139"/>
      <c r="AF541" s="139"/>
      <c r="AG541" s="139"/>
      <c r="AH541" s="139"/>
      <c r="AI541" s="139"/>
      <c r="AJ541" s="139"/>
      <c r="AK541" s="139"/>
      <c r="AL541" s="139"/>
      <c r="AM541" s="139"/>
      <c r="AN541" s="139"/>
      <c r="AO541" s="139"/>
    </row>
    <row r="542">
      <c r="A542" s="85"/>
      <c r="B542" s="86"/>
      <c r="C542" s="85"/>
      <c r="D542" s="89"/>
      <c r="E542" s="89"/>
      <c r="F542" s="89"/>
      <c r="G542" s="89"/>
      <c r="H542" s="89"/>
      <c r="I542" s="89"/>
      <c r="J542" s="89"/>
      <c r="K542" s="89"/>
      <c r="L542" s="89"/>
      <c r="M542" s="89"/>
      <c r="N542" s="89"/>
      <c r="O542" s="85"/>
      <c r="P542" s="89"/>
      <c r="Q542" s="137"/>
      <c r="R542" s="138"/>
      <c r="S542" s="138"/>
      <c r="T542" s="85"/>
      <c r="U542" s="85"/>
      <c r="V542" s="85"/>
      <c r="W542" s="138"/>
      <c r="X542" s="139"/>
      <c r="Y542" s="139"/>
      <c r="Z542" s="139"/>
      <c r="AA542" s="139"/>
      <c r="AB542" s="139"/>
      <c r="AC542" s="139"/>
      <c r="AD542" s="139"/>
      <c r="AE542" s="139"/>
      <c r="AF542" s="139"/>
      <c r="AG542" s="139"/>
      <c r="AH542" s="139"/>
      <c r="AI542" s="139"/>
      <c r="AJ542" s="139"/>
      <c r="AK542" s="139"/>
      <c r="AL542" s="139"/>
      <c r="AM542" s="139"/>
      <c r="AN542" s="139"/>
      <c r="AO542" s="139"/>
    </row>
    <row r="543">
      <c r="A543" s="85"/>
      <c r="B543" s="86"/>
      <c r="C543" s="85"/>
      <c r="D543" s="89"/>
      <c r="E543" s="89"/>
      <c r="F543" s="89"/>
      <c r="G543" s="89"/>
      <c r="H543" s="89"/>
      <c r="I543" s="89"/>
      <c r="J543" s="89"/>
      <c r="K543" s="89"/>
      <c r="L543" s="89"/>
      <c r="M543" s="89"/>
      <c r="N543" s="89"/>
      <c r="O543" s="85"/>
      <c r="P543" s="89"/>
      <c r="Q543" s="137"/>
      <c r="R543" s="138"/>
      <c r="S543" s="138"/>
      <c r="T543" s="85"/>
      <c r="U543" s="85"/>
      <c r="V543" s="85"/>
      <c r="W543" s="138"/>
      <c r="X543" s="139"/>
      <c r="Y543" s="139"/>
      <c r="Z543" s="139"/>
      <c r="AA543" s="139"/>
      <c r="AB543" s="139"/>
      <c r="AC543" s="139"/>
      <c r="AD543" s="139"/>
      <c r="AE543" s="139"/>
      <c r="AF543" s="139"/>
      <c r="AG543" s="139"/>
      <c r="AH543" s="139"/>
      <c r="AI543" s="139"/>
      <c r="AJ543" s="139"/>
      <c r="AK543" s="139"/>
      <c r="AL543" s="139"/>
      <c r="AM543" s="139"/>
      <c r="AN543" s="139"/>
      <c r="AO543" s="139"/>
    </row>
    <row r="544">
      <c r="A544" s="85"/>
      <c r="B544" s="86"/>
      <c r="C544" s="85"/>
      <c r="D544" s="89"/>
      <c r="E544" s="89"/>
      <c r="F544" s="89"/>
      <c r="G544" s="89"/>
      <c r="H544" s="89"/>
      <c r="I544" s="89"/>
      <c r="J544" s="89"/>
      <c r="K544" s="89"/>
      <c r="L544" s="89"/>
      <c r="M544" s="89"/>
      <c r="N544" s="89"/>
      <c r="O544" s="85"/>
      <c r="P544" s="89"/>
      <c r="Q544" s="137"/>
      <c r="R544" s="138"/>
      <c r="S544" s="138"/>
      <c r="T544" s="85"/>
      <c r="U544" s="85"/>
      <c r="V544" s="85"/>
      <c r="W544" s="138"/>
      <c r="X544" s="139"/>
      <c r="Y544" s="139"/>
      <c r="Z544" s="139"/>
      <c r="AA544" s="139"/>
      <c r="AB544" s="139"/>
      <c r="AC544" s="139"/>
      <c r="AD544" s="139"/>
      <c r="AE544" s="139"/>
      <c r="AF544" s="139"/>
      <c r="AG544" s="139"/>
      <c r="AH544" s="139"/>
      <c r="AI544" s="139"/>
      <c r="AJ544" s="139"/>
      <c r="AK544" s="139"/>
      <c r="AL544" s="139"/>
      <c r="AM544" s="139"/>
      <c r="AN544" s="139"/>
      <c r="AO544" s="139"/>
    </row>
    <row r="545">
      <c r="A545" s="85"/>
      <c r="B545" s="86"/>
      <c r="C545" s="85"/>
      <c r="D545" s="89"/>
      <c r="E545" s="89"/>
      <c r="F545" s="89"/>
      <c r="G545" s="89"/>
      <c r="H545" s="89"/>
      <c r="I545" s="89"/>
      <c r="J545" s="89"/>
      <c r="K545" s="89"/>
      <c r="L545" s="89"/>
      <c r="M545" s="89"/>
      <c r="N545" s="89"/>
      <c r="O545" s="85"/>
      <c r="P545" s="89"/>
      <c r="Q545" s="137"/>
      <c r="R545" s="138"/>
      <c r="S545" s="138"/>
      <c r="T545" s="85"/>
      <c r="U545" s="85"/>
      <c r="V545" s="85"/>
      <c r="W545" s="138"/>
      <c r="X545" s="139"/>
      <c r="Y545" s="139"/>
      <c r="Z545" s="139"/>
      <c r="AA545" s="139"/>
      <c r="AB545" s="139"/>
      <c r="AC545" s="139"/>
      <c r="AD545" s="139"/>
      <c r="AE545" s="139"/>
      <c r="AF545" s="139"/>
      <c r="AG545" s="139"/>
      <c r="AH545" s="139"/>
      <c r="AI545" s="139"/>
      <c r="AJ545" s="139"/>
      <c r="AK545" s="139"/>
      <c r="AL545" s="139"/>
      <c r="AM545" s="139"/>
      <c r="AN545" s="139"/>
      <c r="AO545" s="139"/>
    </row>
    <row r="546">
      <c r="A546" s="85"/>
      <c r="B546" s="86"/>
      <c r="C546" s="85"/>
      <c r="D546" s="89"/>
      <c r="E546" s="89"/>
      <c r="F546" s="89"/>
      <c r="G546" s="89"/>
      <c r="H546" s="89"/>
      <c r="I546" s="89"/>
      <c r="J546" s="89"/>
      <c r="K546" s="89"/>
      <c r="L546" s="89"/>
      <c r="M546" s="89"/>
      <c r="N546" s="89"/>
      <c r="O546" s="85"/>
      <c r="P546" s="89"/>
      <c r="Q546" s="137"/>
      <c r="R546" s="138"/>
      <c r="S546" s="138"/>
      <c r="T546" s="85"/>
      <c r="U546" s="85"/>
      <c r="V546" s="85"/>
      <c r="W546" s="138"/>
      <c r="X546" s="139"/>
      <c r="Y546" s="139"/>
      <c r="Z546" s="139"/>
      <c r="AA546" s="139"/>
      <c r="AB546" s="139"/>
      <c r="AC546" s="139"/>
      <c r="AD546" s="139"/>
      <c r="AE546" s="139"/>
      <c r="AF546" s="139"/>
      <c r="AG546" s="139"/>
      <c r="AH546" s="139"/>
      <c r="AI546" s="139"/>
      <c r="AJ546" s="139"/>
      <c r="AK546" s="139"/>
      <c r="AL546" s="139"/>
      <c r="AM546" s="139"/>
      <c r="AN546" s="139"/>
      <c r="AO546" s="139"/>
    </row>
    <row r="547">
      <c r="A547" s="85"/>
      <c r="B547" s="86"/>
      <c r="C547" s="85"/>
      <c r="D547" s="89"/>
      <c r="E547" s="89"/>
      <c r="F547" s="89"/>
      <c r="G547" s="89"/>
      <c r="H547" s="89"/>
      <c r="I547" s="89"/>
      <c r="J547" s="89"/>
      <c r="K547" s="89"/>
      <c r="L547" s="89"/>
      <c r="M547" s="89"/>
      <c r="N547" s="89"/>
      <c r="O547" s="85"/>
      <c r="P547" s="89"/>
      <c r="Q547" s="137"/>
      <c r="R547" s="138"/>
      <c r="S547" s="138"/>
      <c r="T547" s="85"/>
      <c r="U547" s="85"/>
      <c r="V547" s="85"/>
      <c r="W547" s="138"/>
      <c r="X547" s="139"/>
      <c r="Y547" s="139"/>
      <c r="Z547" s="139"/>
      <c r="AA547" s="139"/>
      <c r="AB547" s="139"/>
      <c r="AC547" s="139"/>
      <c r="AD547" s="139"/>
      <c r="AE547" s="139"/>
      <c r="AF547" s="139"/>
      <c r="AG547" s="139"/>
      <c r="AH547" s="139"/>
      <c r="AI547" s="139"/>
      <c r="AJ547" s="139"/>
      <c r="AK547" s="139"/>
      <c r="AL547" s="139"/>
      <c r="AM547" s="139"/>
      <c r="AN547" s="139"/>
      <c r="AO547" s="139"/>
    </row>
    <row r="548">
      <c r="A548" s="85"/>
      <c r="B548" s="86"/>
      <c r="C548" s="85"/>
      <c r="D548" s="89"/>
      <c r="E548" s="89"/>
      <c r="F548" s="89"/>
      <c r="G548" s="89"/>
      <c r="H548" s="89"/>
      <c r="I548" s="89"/>
      <c r="J548" s="89"/>
      <c r="K548" s="89"/>
      <c r="L548" s="89"/>
      <c r="M548" s="89"/>
      <c r="N548" s="89"/>
      <c r="O548" s="85"/>
      <c r="P548" s="89"/>
      <c r="Q548" s="137"/>
      <c r="R548" s="138"/>
      <c r="S548" s="138"/>
      <c r="T548" s="85"/>
      <c r="U548" s="85"/>
      <c r="V548" s="85"/>
      <c r="W548" s="138"/>
      <c r="X548" s="139"/>
      <c r="Y548" s="139"/>
      <c r="Z548" s="139"/>
      <c r="AA548" s="139"/>
      <c r="AB548" s="139"/>
      <c r="AC548" s="139"/>
      <c r="AD548" s="139"/>
      <c r="AE548" s="139"/>
      <c r="AF548" s="139"/>
      <c r="AG548" s="139"/>
      <c r="AH548" s="139"/>
      <c r="AI548" s="139"/>
      <c r="AJ548" s="139"/>
      <c r="AK548" s="139"/>
      <c r="AL548" s="139"/>
      <c r="AM548" s="139"/>
      <c r="AN548" s="139"/>
      <c r="AO548" s="139"/>
    </row>
    <row r="549">
      <c r="A549" s="85"/>
      <c r="B549" s="86"/>
      <c r="C549" s="85"/>
      <c r="D549" s="89"/>
      <c r="E549" s="89"/>
      <c r="F549" s="89"/>
      <c r="G549" s="89"/>
      <c r="H549" s="89"/>
      <c r="I549" s="89"/>
      <c r="J549" s="89"/>
      <c r="K549" s="89"/>
      <c r="L549" s="89"/>
      <c r="M549" s="89"/>
      <c r="N549" s="89"/>
      <c r="O549" s="85"/>
      <c r="P549" s="89"/>
      <c r="Q549" s="137"/>
      <c r="R549" s="138"/>
      <c r="S549" s="138"/>
      <c r="T549" s="85"/>
      <c r="U549" s="85"/>
      <c r="V549" s="85"/>
      <c r="W549" s="138"/>
      <c r="X549" s="139"/>
      <c r="Y549" s="139"/>
      <c r="Z549" s="139"/>
      <c r="AA549" s="139"/>
      <c r="AB549" s="139"/>
      <c r="AC549" s="139"/>
      <c r="AD549" s="139"/>
      <c r="AE549" s="139"/>
      <c r="AF549" s="139"/>
      <c r="AG549" s="139"/>
      <c r="AH549" s="139"/>
      <c r="AI549" s="139"/>
      <c r="AJ549" s="139"/>
      <c r="AK549" s="139"/>
      <c r="AL549" s="139"/>
      <c r="AM549" s="139"/>
      <c r="AN549" s="139"/>
      <c r="AO549" s="139"/>
    </row>
    <row r="550">
      <c r="A550" s="85"/>
      <c r="B550" s="86"/>
      <c r="C550" s="85"/>
      <c r="D550" s="89"/>
      <c r="E550" s="89"/>
      <c r="F550" s="89"/>
      <c r="G550" s="89"/>
      <c r="H550" s="89"/>
      <c r="I550" s="89"/>
      <c r="J550" s="89"/>
      <c r="K550" s="89"/>
      <c r="L550" s="89"/>
      <c r="M550" s="89"/>
      <c r="N550" s="89"/>
      <c r="O550" s="85"/>
      <c r="P550" s="89"/>
      <c r="Q550" s="137"/>
      <c r="R550" s="138"/>
      <c r="S550" s="138"/>
      <c r="T550" s="85"/>
      <c r="U550" s="85"/>
      <c r="V550" s="85"/>
      <c r="W550" s="138"/>
      <c r="X550" s="139"/>
      <c r="Y550" s="139"/>
      <c r="Z550" s="139"/>
      <c r="AA550" s="139"/>
      <c r="AB550" s="139"/>
      <c r="AC550" s="139"/>
      <c r="AD550" s="139"/>
      <c r="AE550" s="139"/>
      <c r="AF550" s="139"/>
      <c r="AG550" s="139"/>
      <c r="AH550" s="139"/>
      <c r="AI550" s="139"/>
      <c r="AJ550" s="139"/>
      <c r="AK550" s="139"/>
      <c r="AL550" s="139"/>
      <c r="AM550" s="139"/>
      <c r="AN550" s="139"/>
      <c r="AO550" s="139"/>
    </row>
    <row r="551">
      <c r="A551" s="85"/>
      <c r="B551" s="86"/>
      <c r="C551" s="85"/>
      <c r="D551" s="89"/>
      <c r="E551" s="89"/>
      <c r="F551" s="89"/>
      <c r="G551" s="89"/>
      <c r="H551" s="89"/>
      <c r="I551" s="89"/>
      <c r="J551" s="89"/>
      <c r="K551" s="89"/>
      <c r="L551" s="89"/>
      <c r="M551" s="89"/>
      <c r="N551" s="89"/>
      <c r="O551" s="85"/>
      <c r="P551" s="89"/>
      <c r="Q551" s="137"/>
      <c r="R551" s="138"/>
      <c r="S551" s="138"/>
      <c r="T551" s="85"/>
      <c r="U551" s="85"/>
      <c r="V551" s="85"/>
      <c r="W551" s="138"/>
      <c r="X551" s="139"/>
      <c r="Y551" s="139"/>
      <c r="Z551" s="139"/>
      <c r="AA551" s="139"/>
      <c r="AB551" s="139"/>
      <c r="AC551" s="139"/>
      <c r="AD551" s="139"/>
      <c r="AE551" s="139"/>
      <c r="AF551" s="139"/>
      <c r="AG551" s="139"/>
      <c r="AH551" s="139"/>
      <c r="AI551" s="139"/>
      <c r="AJ551" s="139"/>
      <c r="AK551" s="139"/>
      <c r="AL551" s="139"/>
      <c r="AM551" s="139"/>
      <c r="AN551" s="139"/>
      <c r="AO551" s="139"/>
    </row>
    <row r="552">
      <c r="A552" s="85"/>
      <c r="B552" s="86"/>
      <c r="C552" s="85"/>
      <c r="D552" s="89"/>
      <c r="E552" s="89"/>
      <c r="F552" s="89"/>
      <c r="G552" s="89"/>
      <c r="H552" s="89"/>
      <c r="I552" s="89"/>
      <c r="J552" s="89"/>
      <c r="K552" s="89"/>
      <c r="L552" s="89"/>
      <c r="M552" s="89"/>
      <c r="N552" s="89"/>
      <c r="O552" s="85"/>
      <c r="P552" s="89"/>
      <c r="Q552" s="137"/>
      <c r="R552" s="138"/>
      <c r="S552" s="138"/>
      <c r="T552" s="85"/>
      <c r="U552" s="85"/>
      <c r="V552" s="85"/>
      <c r="W552" s="138"/>
      <c r="X552" s="139"/>
      <c r="Y552" s="139"/>
      <c r="Z552" s="139"/>
      <c r="AA552" s="139"/>
      <c r="AB552" s="139"/>
      <c r="AC552" s="139"/>
      <c r="AD552" s="139"/>
      <c r="AE552" s="139"/>
      <c r="AF552" s="139"/>
      <c r="AG552" s="139"/>
      <c r="AH552" s="139"/>
      <c r="AI552" s="139"/>
      <c r="AJ552" s="139"/>
      <c r="AK552" s="139"/>
      <c r="AL552" s="139"/>
      <c r="AM552" s="139"/>
      <c r="AN552" s="139"/>
      <c r="AO552" s="139"/>
    </row>
    <row r="553">
      <c r="A553" s="85"/>
      <c r="B553" s="86"/>
      <c r="C553" s="85"/>
      <c r="D553" s="89"/>
      <c r="E553" s="89"/>
      <c r="F553" s="89"/>
      <c r="G553" s="89"/>
      <c r="H553" s="89"/>
      <c r="I553" s="89"/>
      <c r="J553" s="89"/>
      <c r="K553" s="89"/>
      <c r="L553" s="89"/>
      <c r="M553" s="89"/>
      <c r="N553" s="89"/>
      <c r="O553" s="85"/>
      <c r="P553" s="89"/>
      <c r="Q553" s="137"/>
      <c r="R553" s="138"/>
      <c r="S553" s="138"/>
      <c r="T553" s="85"/>
      <c r="U553" s="85"/>
      <c r="V553" s="85"/>
      <c r="W553" s="138"/>
      <c r="X553" s="139"/>
      <c r="Y553" s="139"/>
      <c r="Z553" s="139"/>
      <c r="AA553" s="139"/>
      <c r="AB553" s="139"/>
      <c r="AC553" s="139"/>
      <c r="AD553" s="139"/>
      <c r="AE553" s="139"/>
      <c r="AF553" s="139"/>
      <c r="AG553" s="139"/>
      <c r="AH553" s="139"/>
      <c r="AI553" s="139"/>
      <c r="AJ553" s="139"/>
      <c r="AK553" s="139"/>
      <c r="AL553" s="139"/>
      <c r="AM553" s="139"/>
      <c r="AN553" s="139"/>
      <c r="AO553" s="139"/>
    </row>
    <row r="554">
      <c r="A554" s="85"/>
      <c r="B554" s="86"/>
      <c r="C554" s="85"/>
      <c r="D554" s="89"/>
      <c r="E554" s="89"/>
      <c r="F554" s="89"/>
      <c r="G554" s="89"/>
      <c r="H554" s="89"/>
      <c r="I554" s="89"/>
      <c r="J554" s="89"/>
      <c r="K554" s="89"/>
      <c r="L554" s="89"/>
      <c r="M554" s="89"/>
      <c r="N554" s="89"/>
      <c r="O554" s="85"/>
      <c r="P554" s="89"/>
      <c r="Q554" s="137"/>
      <c r="R554" s="138"/>
      <c r="S554" s="138"/>
      <c r="T554" s="85"/>
      <c r="U554" s="85"/>
      <c r="V554" s="85"/>
      <c r="W554" s="138"/>
      <c r="X554" s="139"/>
      <c r="Y554" s="139"/>
      <c r="Z554" s="139"/>
      <c r="AA554" s="139"/>
      <c r="AB554" s="139"/>
      <c r="AC554" s="139"/>
      <c r="AD554" s="139"/>
      <c r="AE554" s="139"/>
      <c r="AF554" s="139"/>
      <c r="AG554" s="139"/>
      <c r="AH554" s="139"/>
      <c r="AI554" s="139"/>
      <c r="AJ554" s="139"/>
      <c r="AK554" s="139"/>
      <c r="AL554" s="139"/>
      <c r="AM554" s="139"/>
      <c r="AN554" s="139"/>
      <c r="AO554" s="139"/>
    </row>
    <row r="555">
      <c r="A555" s="85"/>
      <c r="B555" s="86"/>
      <c r="C555" s="85"/>
      <c r="D555" s="89"/>
      <c r="E555" s="89"/>
      <c r="F555" s="89"/>
      <c r="G555" s="89"/>
      <c r="H555" s="89"/>
      <c r="I555" s="89"/>
      <c r="J555" s="89"/>
      <c r="K555" s="89"/>
      <c r="L555" s="89"/>
      <c r="M555" s="89"/>
      <c r="N555" s="89"/>
      <c r="O555" s="85"/>
      <c r="P555" s="89"/>
      <c r="Q555" s="137"/>
      <c r="R555" s="138"/>
      <c r="S555" s="138"/>
      <c r="T555" s="85"/>
      <c r="U555" s="85"/>
      <c r="V555" s="85"/>
      <c r="W555" s="138"/>
      <c r="X555" s="139"/>
      <c r="Y555" s="139"/>
      <c r="Z555" s="139"/>
      <c r="AA555" s="139"/>
      <c r="AB555" s="139"/>
      <c r="AC555" s="139"/>
      <c r="AD555" s="139"/>
      <c r="AE555" s="139"/>
      <c r="AF555" s="139"/>
      <c r="AG555" s="139"/>
      <c r="AH555" s="139"/>
      <c r="AI555" s="139"/>
      <c r="AJ555" s="139"/>
      <c r="AK555" s="139"/>
      <c r="AL555" s="139"/>
      <c r="AM555" s="139"/>
      <c r="AN555" s="139"/>
      <c r="AO555" s="139"/>
    </row>
    <row r="556">
      <c r="A556" s="85"/>
      <c r="B556" s="86"/>
      <c r="C556" s="85"/>
      <c r="D556" s="89"/>
      <c r="E556" s="89"/>
      <c r="F556" s="89"/>
      <c r="G556" s="89"/>
      <c r="H556" s="89"/>
      <c r="I556" s="89"/>
      <c r="J556" s="89"/>
      <c r="K556" s="89"/>
      <c r="L556" s="89"/>
      <c r="M556" s="89"/>
      <c r="N556" s="89"/>
      <c r="O556" s="85"/>
      <c r="P556" s="89"/>
      <c r="Q556" s="137"/>
      <c r="R556" s="138"/>
      <c r="S556" s="138"/>
      <c r="T556" s="85"/>
      <c r="U556" s="85"/>
      <c r="V556" s="85"/>
      <c r="W556" s="138"/>
      <c r="X556" s="139"/>
      <c r="Y556" s="139"/>
      <c r="Z556" s="139"/>
      <c r="AA556" s="139"/>
      <c r="AB556" s="139"/>
      <c r="AC556" s="139"/>
      <c r="AD556" s="139"/>
      <c r="AE556" s="139"/>
      <c r="AF556" s="139"/>
      <c r="AG556" s="139"/>
      <c r="AH556" s="139"/>
      <c r="AI556" s="139"/>
      <c r="AJ556" s="139"/>
      <c r="AK556" s="139"/>
      <c r="AL556" s="139"/>
      <c r="AM556" s="139"/>
      <c r="AN556" s="139"/>
      <c r="AO556" s="139"/>
    </row>
    <row r="557">
      <c r="A557" s="85"/>
      <c r="B557" s="86"/>
      <c r="C557" s="85"/>
      <c r="D557" s="89"/>
      <c r="E557" s="89"/>
      <c r="F557" s="89"/>
      <c r="G557" s="89"/>
      <c r="H557" s="89"/>
      <c r="I557" s="89"/>
      <c r="J557" s="89"/>
      <c r="K557" s="89"/>
      <c r="L557" s="89"/>
      <c r="M557" s="89"/>
      <c r="N557" s="89"/>
      <c r="O557" s="85"/>
      <c r="P557" s="89"/>
      <c r="Q557" s="137"/>
      <c r="R557" s="138"/>
      <c r="S557" s="138"/>
      <c r="T557" s="85"/>
      <c r="U557" s="85"/>
      <c r="V557" s="85"/>
      <c r="W557" s="138"/>
      <c r="X557" s="139"/>
      <c r="Y557" s="139"/>
      <c r="Z557" s="139"/>
      <c r="AA557" s="139"/>
      <c r="AB557" s="139"/>
      <c r="AC557" s="139"/>
      <c r="AD557" s="139"/>
      <c r="AE557" s="139"/>
      <c r="AF557" s="139"/>
      <c r="AG557" s="139"/>
      <c r="AH557" s="139"/>
      <c r="AI557" s="139"/>
      <c r="AJ557" s="139"/>
      <c r="AK557" s="139"/>
      <c r="AL557" s="139"/>
      <c r="AM557" s="139"/>
      <c r="AN557" s="139"/>
      <c r="AO557" s="139"/>
    </row>
    <row r="558">
      <c r="A558" s="85"/>
      <c r="B558" s="86"/>
      <c r="C558" s="85"/>
      <c r="D558" s="89"/>
      <c r="E558" s="89"/>
      <c r="F558" s="89"/>
      <c r="G558" s="89"/>
      <c r="H558" s="89"/>
      <c r="I558" s="89"/>
      <c r="J558" s="89"/>
      <c r="K558" s="89"/>
      <c r="L558" s="89"/>
      <c r="M558" s="89"/>
      <c r="N558" s="89"/>
      <c r="O558" s="85"/>
      <c r="P558" s="89"/>
      <c r="Q558" s="137"/>
      <c r="R558" s="138"/>
      <c r="S558" s="138"/>
      <c r="T558" s="85"/>
      <c r="U558" s="85"/>
      <c r="V558" s="85"/>
      <c r="W558" s="138"/>
      <c r="X558" s="139"/>
      <c r="Y558" s="139"/>
      <c r="Z558" s="139"/>
      <c r="AA558" s="139"/>
      <c r="AB558" s="139"/>
      <c r="AC558" s="139"/>
      <c r="AD558" s="139"/>
      <c r="AE558" s="139"/>
      <c r="AF558" s="139"/>
      <c r="AG558" s="139"/>
      <c r="AH558" s="139"/>
      <c r="AI558" s="139"/>
      <c r="AJ558" s="139"/>
      <c r="AK558" s="139"/>
      <c r="AL558" s="139"/>
      <c r="AM558" s="139"/>
      <c r="AN558" s="139"/>
      <c r="AO558" s="139"/>
    </row>
    <row r="559">
      <c r="A559" s="85"/>
      <c r="B559" s="86"/>
      <c r="C559" s="85"/>
      <c r="D559" s="89"/>
      <c r="E559" s="89"/>
      <c r="F559" s="89"/>
      <c r="G559" s="89"/>
      <c r="H559" s="89"/>
      <c r="I559" s="89"/>
      <c r="J559" s="89"/>
      <c r="K559" s="89"/>
      <c r="L559" s="89"/>
      <c r="M559" s="89"/>
      <c r="N559" s="89"/>
      <c r="O559" s="85"/>
      <c r="P559" s="89"/>
      <c r="Q559" s="137"/>
      <c r="R559" s="138"/>
      <c r="S559" s="138"/>
      <c r="T559" s="85"/>
      <c r="U559" s="85"/>
      <c r="V559" s="85"/>
      <c r="W559" s="138"/>
      <c r="X559" s="139"/>
      <c r="Y559" s="139"/>
      <c r="Z559" s="139"/>
      <c r="AA559" s="139"/>
      <c r="AB559" s="139"/>
      <c r="AC559" s="139"/>
      <c r="AD559" s="139"/>
      <c r="AE559" s="139"/>
      <c r="AF559" s="139"/>
      <c r="AG559" s="139"/>
      <c r="AH559" s="139"/>
      <c r="AI559" s="139"/>
      <c r="AJ559" s="139"/>
      <c r="AK559" s="139"/>
      <c r="AL559" s="139"/>
      <c r="AM559" s="139"/>
      <c r="AN559" s="139"/>
      <c r="AO559" s="139"/>
    </row>
    <row r="560">
      <c r="A560" s="85"/>
      <c r="B560" s="86"/>
      <c r="C560" s="85"/>
      <c r="D560" s="89"/>
      <c r="E560" s="89"/>
      <c r="F560" s="89"/>
      <c r="G560" s="89"/>
      <c r="H560" s="89"/>
      <c r="I560" s="89"/>
      <c r="J560" s="89"/>
      <c r="K560" s="89"/>
      <c r="L560" s="89"/>
      <c r="M560" s="89"/>
      <c r="N560" s="89"/>
      <c r="O560" s="85"/>
      <c r="P560" s="89"/>
      <c r="Q560" s="137"/>
      <c r="R560" s="138"/>
      <c r="S560" s="138"/>
      <c r="T560" s="85"/>
      <c r="U560" s="85"/>
      <c r="V560" s="85"/>
      <c r="W560" s="138"/>
      <c r="X560" s="139"/>
      <c r="Y560" s="139"/>
      <c r="Z560" s="139"/>
      <c r="AA560" s="139"/>
      <c r="AB560" s="139"/>
      <c r="AC560" s="139"/>
      <c r="AD560" s="139"/>
      <c r="AE560" s="139"/>
      <c r="AF560" s="139"/>
      <c r="AG560" s="139"/>
      <c r="AH560" s="139"/>
      <c r="AI560" s="139"/>
      <c r="AJ560" s="139"/>
      <c r="AK560" s="139"/>
      <c r="AL560" s="139"/>
      <c r="AM560" s="139"/>
      <c r="AN560" s="139"/>
      <c r="AO560" s="139"/>
    </row>
    <row r="561">
      <c r="A561" s="85"/>
      <c r="B561" s="86"/>
      <c r="C561" s="85"/>
      <c r="D561" s="89"/>
      <c r="E561" s="89"/>
      <c r="F561" s="89"/>
      <c r="G561" s="89"/>
      <c r="H561" s="89"/>
      <c r="I561" s="89"/>
      <c r="J561" s="89"/>
      <c r="K561" s="89"/>
      <c r="L561" s="89"/>
      <c r="M561" s="89"/>
      <c r="N561" s="89"/>
      <c r="O561" s="85"/>
      <c r="P561" s="89"/>
      <c r="Q561" s="137"/>
      <c r="R561" s="138"/>
      <c r="S561" s="138"/>
      <c r="T561" s="85"/>
      <c r="U561" s="85"/>
      <c r="V561" s="85"/>
      <c r="W561" s="138"/>
      <c r="X561" s="139"/>
      <c r="Y561" s="139"/>
      <c r="Z561" s="139"/>
      <c r="AA561" s="139"/>
      <c r="AB561" s="139"/>
      <c r="AC561" s="139"/>
      <c r="AD561" s="139"/>
      <c r="AE561" s="139"/>
      <c r="AF561" s="139"/>
      <c r="AG561" s="139"/>
      <c r="AH561" s="139"/>
      <c r="AI561" s="139"/>
      <c r="AJ561" s="139"/>
      <c r="AK561" s="139"/>
      <c r="AL561" s="139"/>
      <c r="AM561" s="139"/>
      <c r="AN561" s="139"/>
      <c r="AO561" s="139"/>
    </row>
    <row r="562">
      <c r="A562" s="85"/>
      <c r="B562" s="86"/>
      <c r="C562" s="85"/>
      <c r="D562" s="89"/>
      <c r="E562" s="89"/>
      <c r="F562" s="89"/>
      <c r="G562" s="89"/>
      <c r="H562" s="89"/>
      <c r="I562" s="89"/>
      <c r="J562" s="89"/>
      <c r="K562" s="89"/>
      <c r="L562" s="89"/>
      <c r="M562" s="89"/>
      <c r="N562" s="89"/>
      <c r="O562" s="85"/>
      <c r="P562" s="89"/>
      <c r="Q562" s="137"/>
      <c r="R562" s="138"/>
      <c r="S562" s="138"/>
      <c r="T562" s="85"/>
      <c r="U562" s="85"/>
      <c r="V562" s="85"/>
      <c r="W562" s="138"/>
      <c r="X562" s="139"/>
      <c r="Y562" s="139"/>
      <c r="Z562" s="139"/>
      <c r="AA562" s="139"/>
      <c r="AB562" s="139"/>
      <c r="AC562" s="139"/>
      <c r="AD562" s="139"/>
      <c r="AE562" s="139"/>
      <c r="AF562" s="139"/>
      <c r="AG562" s="139"/>
      <c r="AH562" s="139"/>
      <c r="AI562" s="139"/>
      <c r="AJ562" s="139"/>
      <c r="AK562" s="139"/>
      <c r="AL562" s="139"/>
      <c r="AM562" s="139"/>
      <c r="AN562" s="139"/>
      <c r="AO562" s="139"/>
    </row>
    <row r="563">
      <c r="A563" s="85"/>
      <c r="B563" s="86"/>
      <c r="C563" s="85"/>
      <c r="D563" s="89"/>
      <c r="E563" s="89"/>
      <c r="F563" s="89"/>
      <c r="G563" s="89"/>
      <c r="H563" s="89"/>
      <c r="I563" s="89"/>
      <c r="J563" s="89"/>
      <c r="K563" s="89"/>
      <c r="L563" s="89"/>
      <c r="M563" s="89"/>
      <c r="N563" s="89"/>
      <c r="O563" s="85"/>
      <c r="P563" s="89"/>
      <c r="Q563" s="137"/>
      <c r="R563" s="138"/>
      <c r="S563" s="138"/>
      <c r="T563" s="85"/>
      <c r="U563" s="85"/>
      <c r="V563" s="85"/>
      <c r="W563" s="138"/>
      <c r="X563" s="139"/>
      <c r="Y563" s="139"/>
      <c r="Z563" s="139"/>
      <c r="AA563" s="139"/>
      <c r="AB563" s="139"/>
      <c r="AC563" s="139"/>
      <c r="AD563" s="139"/>
      <c r="AE563" s="139"/>
      <c r="AF563" s="139"/>
      <c r="AG563" s="139"/>
      <c r="AH563" s="139"/>
      <c r="AI563" s="139"/>
      <c r="AJ563" s="139"/>
      <c r="AK563" s="139"/>
      <c r="AL563" s="139"/>
      <c r="AM563" s="139"/>
      <c r="AN563" s="139"/>
      <c r="AO563" s="139"/>
    </row>
    <row r="564">
      <c r="A564" s="85"/>
      <c r="B564" s="86"/>
      <c r="C564" s="85"/>
      <c r="D564" s="89"/>
      <c r="E564" s="89"/>
      <c r="F564" s="89"/>
      <c r="G564" s="89"/>
      <c r="H564" s="89"/>
      <c r="I564" s="89"/>
      <c r="J564" s="89"/>
      <c r="K564" s="89"/>
      <c r="L564" s="89"/>
      <c r="M564" s="89"/>
      <c r="N564" s="89"/>
      <c r="O564" s="85"/>
      <c r="P564" s="89"/>
      <c r="Q564" s="137"/>
      <c r="R564" s="138"/>
      <c r="S564" s="138"/>
      <c r="T564" s="85"/>
      <c r="U564" s="85"/>
      <c r="V564" s="85"/>
      <c r="W564" s="138"/>
      <c r="X564" s="139"/>
      <c r="Y564" s="139"/>
      <c r="Z564" s="139"/>
      <c r="AA564" s="139"/>
      <c r="AB564" s="139"/>
      <c r="AC564" s="139"/>
      <c r="AD564" s="139"/>
      <c r="AE564" s="139"/>
      <c r="AF564" s="139"/>
      <c r="AG564" s="139"/>
      <c r="AH564" s="139"/>
      <c r="AI564" s="139"/>
      <c r="AJ564" s="139"/>
      <c r="AK564" s="139"/>
      <c r="AL564" s="139"/>
      <c r="AM564" s="139"/>
      <c r="AN564" s="139"/>
      <c r="AO564" s="139"/>
    </row>
    <row r="565">
      <c r="A565" s="85"/>
      <c r="B565" s="86"/>
      <c r="C565" s="85"/>
      <c r="D565" s="89"/>
      <c r="E565" s="89"/>
      <c r="F565" s="89"/>
      <c r="G565" s="89"/>
      <c r="H565" s="89"/>
      <c r="I565" s="89"/>
      <c r="J565" s="89"/>
      <c r="K565" s="89"/>
      <c r="L565" s="89"/>
      <c r="M565" s="89"/>
      <c r="N565" s="89"/>
      <c r="O565" s="85"/>
      <c r="P565" s="89"/>
      <c r="Q565" s="137"/>
      <c r="R565" s="138"/>
      <c r="S565" s="138"/>
      <c r="T565" s="85"/>
      <c r="U565" s="85"/>
      <c r="V565" s="85"/>
      <c r="W565" s="138"/>
      <c r="X565" s="139"/>
      <c r="Y565" s="139"/>
      <c r="Z565" s="139"/>
      <c r="AA565" s="139"/>
      <c r="AB565" s="139"/>
      <c r="AC565" s="139"/>
      <c r="AD565" s="139"/>
      <c r="AE565" s="139"/>
      <c r="AF565" s="139"/>
      <c r="AG565" s="139"/>
      <c r="AH565" s="139"/>
      <c r="AI565" s="139"/>
      <c r="AJ565" s="139"/>
      <c r="AK565" s="139"/>
      <c r="AL565" s="139"/>
      <c r="AM565" s="139"/>
      <c r="AN565" s="139"/>
      <c r="AO565" s="139"/>
    </row>
    <row r="566">
      <c r="A566" s="85"/>
      <c r="B566" s="86"/>
      <c r="C566" s="85"/>
      <c r="D566" s="89"/>
      <c r="E566" s="89"/>
      <c r="F566" s="89"/>
      <c r="G566" s="89"/>
      <c r="H566" s="89"/>
      <c r="I566" s="89"/>
      <c r="J566" s="89"/>
      <c r="K566" s="89"/>
      <c r="L566" s="89"/>
      <c r="M566" s="89"/>
      <c r="N566" s="89"/>
      <c r="O566" s="85"/>
      <c r="P566" s="89"/>
      <c r="Q566" s="137"/>
      <c r="R566" s="138"/>
      <c r="S566" s="138"/>
      <c r="T566" s="85"/>
      <c r="U566" s="85"/>
      <c r="V566" s="85"/>
      <c r="W566" s="138"/>
      <c r="X566" s="139"/>
      <c r="Y566" s="139"/>
      <c r="Z566" s="139"/>
      <c r="AA566" s="139"/>
      <c r="AB566" s="139"/>
      <c r="AC566" s="139"/>
      <c r="AD566" s="139"/>
      <c r="AE566" s="139"/>
      <c r="AF566" s="139"/>
      <c r="AG566" s="139"/>
      <c r="AH566" s="139"/>
      <c r="AI566" s="139"/>
      <c r="AJ566" s="139"/>
      <c r="AK566" s="139"/>
      <c r="AL566" s="139"/>
      <c r="AM566" s="139"/>
      <c r="AN566" s="139"/>
      <c r="AO566" s="139"/>
    </row>
    <row r="567">
      <c r="A567" s="85"/>
      <c r="B567" s="86"/>
      <c r="C567" s="85"/>
      <c r="D567" s="89"/>
      <c r="E567" s="89"/>
      <c r="F567" s="89"/>
      <c r="G567" s="89"/>
      <c r="H567" s="89"/>
      <c r="I567" s="89"/>
      <c r="J567" s="89"/>
      <c r="K567" s="89"/>
      <c r="L567" s="89"/>
      <c r="M567" s="89"/>
      <c r="N567" s="89"/>
      <c r="O567" s="85"/>
      <c r="P567" s="89"/>
      <c r="Q567" s="137"/>
      <c r="R567" s="138"/>
      <c r="S567" s="138"/>
      <c r="T567" s="85"/>
      <c r="U567" s="85"/>
      <c r="V567" s="85"/>
      <c r="W567" s="138"/>
      <c r="X567" s="139"/>
      <c r="Y567" s="139"/>
      <c r="Z567" s="139"/>
      <c r="AA567" s="139"/>
      <c r="AB567" s="139"/>
      <c r="AC567" s="139"/>
      <c r="AD567" s="139"/>
      <c r="AE567" s="139"/>
      <c r="AF567" s="139"/>
      <c r="AG567" s="139"/>
      <c r="AH567" s="139"/>
      <c r="AI567" s="139"/>
      <c r="AJ567" s="139"/>
      <c r="AK567" s="139"/>
      <c r="AL567" s="139"/>
      <c r="AM567" s="139"/>
      <c r="AN567" s="139"/>
      <c r="AO567" s="139"/>
    </row>
    <row r="568">
      <c r="A568" s="85"/>
      <c r="B568" s="86"/>
      <c r="C568" s="85"/>
      <c r="D568" s="89"/>
      <c r="E568" s="89"/>
      <c r="F568" s="89"/>
      <c r="G568" s="89"/>
      <c r="H568" s="89"/>
      <c r="I568" s="89"/>
      <c r="J568" s="89"/>
      <c r="K568" s="89"/>
      <c r="L568" s="89"/>
      <c r="M568" s="89"/>
      <c r="N568" s="89"/>
      <c r="O568" s="85"/>
      <c r="P568" s="89"/>
      <c r="Q568" s="137"/>
      <c r="R568" s="138"/>
      <c r="S568" s="138"/>
      <c r="T568" s="85"/>
      <c r="U568" s="85"/>
      <c r="V568" s="85"/>
      <c r="W568" s="138"/>
      <c r="X568" s="139"/>
      <c r="Y568" s="139"/>
      <c r="Z568" s="139"/>
      <c r="AA568" s="139"/>
      <c r="AB568" s="139"/>
      <c r="AC568" s="139"/>
      <c r="AD568" s="139"/>
      <c r="AE568" s="139"/>
      <c r="AF568" s="139"/>
      <c r="AG568" s="139"/>
      <c r="AH568" s="139"/>
      <c r="AI568" s="139"/>
      <c r="AJ568" s="139"/>
      <c r="AK568" s="139"/>
      <c r="AL568" s="139"/>
      <c r="AM568" s="139"/>
      <c r="AN568" s="139"/>
      <c r="AO568" s="139"/>
    </row>
    <row r="569">
      <c r="A569" s="85"/>
      <c r="B569" s="86"/>
      <c r="C569" s="85"/>
      <c r="D569" s="89"/>
      <c r="E569" s="89"/>
      <c r="F569" s="89"/>
      <c r="G569" s="89"/>
      <c r="H569" s="89"/>
      <c r="I569" s="89"/>
      <c r="J569" s="89"/>
      <c r="K569" s="89"/>
      <c r="L569" s="89"/>
      <c r="M569" s="89"/>
      <c r="N569" s="89"/>
      <c r="O569" s="85"/>
      <c r="P569" s="89"/>
      <c r="Q569" s="137"/>
      <c r="R569" s="138"/>
      <c r="S569" s="138"/>
      <c r="T569" s="85"/>
      <c r="U569" s="85"/>
      <c r="V569" s="85"/>
      <c r="W569" s="138"/>
      <c r="X569" s="139"/>
      <c r="Y569" s="139"/>
      <c r="Z569" s="139"/>
      <c r="AA569" s="139"/>
      <c r="AB569" s="139"/>
      <c r="AC569" s="139"/>
      <c r="AD569" s="139"/>
      <c r="AE569" s="139"/>
      <c r="AF569" s="139"/>
      <c r="AG569" s="139"/>
      <c r="AH569" s="139"/>
      <c r="AI569" s="139"/>
      <c r="AJ569" s="139"/>
      <c r="AK569" s="139"/>
      <c r="AL569" s="139"/>
      <c r="AM569" s="139"/>
      <c r="AN569" s="139"/>
      <c r="AO569" s="139"/>
    </row>
    <row r="570">
      <c r="A570" s="85"/>
      <c r="B570" s="86"/>
      <c r="C570" s="85"/>
      <c r="D570" s="89"/>
      <c r="E570" s="89"/>
      <c r="F570" s="89"/>
      <c r="G570" s="89"/>
      <c r="H570" s="89"/>
      <c r="I570" s="89"/>
      <c r="J570" s="89"/>
      <c r="K570" s="89"/>
      <c r="L570" s="89"/>
      <c r="M570" s="89"/>
      <c r="N570" s="89"/>
      <c r="O570" s="85"/>
      <c r="P570" s="89"/>
      <c r="Q570" s="137"/>
      <c r="R570" s="138"/>
      <c r="S570" s="138"/>
      <c r="T570" s="85"/>
      <c r="U570" s="85"/>
      <c r="V570" s="85"/>
      <c r="W570" s="138"/>
      <c r="X570" s="139"/>
      <c r="Y570" s="139"/>
      <c r="Z570" s="139"/>
      <c r="AA570" s="139"/>
      <c r="AB570" s="139"/>
      <c r="AC570" s="139"/>
      <c r="AD570" s="139"/>
      <c r="AE570" s="139"/>
      <c r="AF570" s="139"/>
      <c r="AG570" s="139"/>
      <c r="AH570" s="139"/>
      <c r="AI570" s="139"/>
      <c r="AJ570" s="139"/>
      <c r="AK570" s="139"/>
      <c r="AL570" s="139"/>
      <c r="AM570" s="139"/>
      <c r="AN570" s="139"/>
      <c r="AO570" s="139"/>
    </row>
    <row r="571">
      <c r="A571" s="85"/>
      <c r="B571" s="86"/>
      <c r="C571" s="85"/>
      <c r="D571" s="89"/>
      <c r="E571" s="89"/>
      <c r="F571" s="89"/>
      <c r="G571" s="89"/>
      <c r="H571" s="89"/>
      <c r="I571" s="89"/>
      <c r="J571" s="89"/>
      <c r="K571" s="89"/>
      <c r="L571" s="89"/>
      <c r="M571" s="89"/>
      <c r="N571" s="89"/>
      <c r="O571" s="85"/>
      <c r="P571" s="89"/>
      <c r="Q571" s="137"/>
      <c r="R571" s="138"/>
      <c r="S571" s="138"/>
      <c r="T571" s="85"/>
      <c r="U571" s="85"/>
      <c r="V571" s="85"/>
      <c r="W571" s="138"/>
      <c r="X571" s="139"/>
      <c r="Y571" s="139"/>
      <c r="Z571" s="139"/>
      <c r="AA571" s="139"/>
      <c r="AB571" s="139"/>
      <c r="AC571" s="139"/>
      <c r="AD571" s="139"/>
      <c r="AE571" s="139"/>
      <c r="AF571" s="139"/>
      <c r="AG571" s="139"/>
      <c r="AH571" s="139"/>
      <c r="AI571" s="139"/>
      <c r="AJ571" s="139"/>
      <c r="AK571" s="139"/>
      <c r="AL571" s="139"/>
      <c r="AM571" s="139"/>
      <c r="AN571" s="139"/>
      <c r="AO571" s="139"/>
    </row>
    <row r="572">
      <c r="A572" s="85"/>
      <c r="B572" s="86"/>
      <c r="C572" s="85"/>
      <c r="D572" s="89"/>
      <c r="E572" s="89"/>
      <c r="F572" s="89"/>
      <c r="G572" s="89"/>
      <c r="H572" s="89"/>
      <c r="I572" s="89"/>
      <c r="J572" s="89"/>
      <c r="K572" s="89"/>
      <c r="L572" s="89"/>
      <c r="M572" s="89"/>
      <c r="N572" s="89"/>
      <c r="O572" s="85"/>
      <c r="P572" s="89"/>
      <c r="Q572" s="137"/>
      <c r="R572" s="138"/>
      <c r="S572" s="138"/>
      <c r="T572" s="85"/>
      <c r="U572" s="85"/>
      <c r="V572" s="85"/>
      <c r="W572" s="138"/>
      <c r="X572" s="139"/>
      <c r="Y572" s="139"/>
      <c r="Z572" s="139"/>
      <c r="AA572" s="139"/>
      <c r="AB572" s="139"/>
      <c r="AC572" s="139"/>
      <c r="AD572" s="139"/>
      <c r="AE572" s="139"/>
      <c r="AF572" s="139"/>
      <c r="AG572" s="139"/>
      <c r="AH572" s="139"/>
      <c r="AI572" s="139"/>
      <c r="AJ572" s="139"/>
      <c r="AK572" s="139"/>
      <c r="AL572" s="139"/>
      <c r="AM572" s="139"/>
      <c r="AN572" s="139"/>
      <c r="AO572" s="139"/>
    </row>
    <row r="573">
      <c r="A573" s="85"/>
      <c r="B573" s="86"/>
      <c r="C573" s="85"/>
      <c r="D573" s="89"/>
      <c r="E573" s="89"/>
      <c r="F573" s="89"/>
      <c r="G573" s="89"/>
      <c r="H573" s="89"/>
      <c r="I573" s="89"/>
      <c r="J573" s="89"/>
      <c r="K573" s="89"/>
      <c r="L573" s="89"/>
      <c r="M573" s="89"/>
      <c r="N573" s="89"/>
      <c r="O573" s="85"/>
      <c r="P573" s="89"/>
      <c r="Q573" s="137"/>
      <c r="R573" s="138"/>
      <c r="S573" s="138"/>
      <c r="T573" s="85"/>
      <c r="U573" s="85"/>
      <c r="V573" s="85"/>
      <c r="W573" s="138"/>
      <c r="X573" s="139"/>
      <c r="Y573" s="139"/>
      <c r="Z573" s="139"/>
      <c r="AA573" s="139"/>
      <c r="AB573" s="139"/>
      <c r="AC573" s="139"/>
      <c r="AD573" s="139"/>
      <c r="AE573" s="139"/>
      <c r="AF573" s="139"/>
      <c r="AG573" s="139"/>
      <c r="AH573" s="139"/>
      <c r="AI573" s="139"/>
      <c r="AJ573" s="139"/>
      <c r="AK573" s="139"/>
      <c r="AL573" s="139"/>
      <c r="AM573" s="139"/>
      <c r="AN573" s="139"/>
      <c r="AO573" s="139"/>
    </row>
    <row r="574">
      <c r="A574" s="85"/>
      <c r="B574" s="86"/>
      <c r="C574" s="85"/>
      <c r="D574" s="89"/>
      <c r="E574" s="89"/>
      <c r="F574" s="89"/>
      <c r="G574" s="89"/>
      <c r="H574" s="89"/>
      <c r="I574" s="89"/>
      <c r="J574" s="89"/>
      <c r="K574" s="89"/>
      <c r="L574" s="89"/>
      <c r="M574" s="89"/>
      <c r="N574" s="89"/>
      <c r="O574" s="85"/>
      <c r="P574" s="89"/>
      <c r="Q574" s="137"/>
      <c r="R574" s="138"/>
      <c r="S574" s="138"/>
      <c r="T574" s="85"/>
      <c r="U574" s="85"/>
      <c r="V574" s="85"/>
      <c r="W574" s="138"/>
      <c r="X574" s="139"/>
      <c r="Y574" s="139"/>
      <c r="Z574" s="139"/>
      <c r="AA574" s="139"/>
      <c r="AB574" s="139"/>
      <c r="AC574" s="139"/>
      <c r="AD574" s="139"/>
      <c r="AE574" s="139"/>
      <c r="AF574" s="139"/>
      <c r="AG574" s="139"/>
      <c r="AH574" s="139"/>
      <c r="AI574" s="139"/>
      <c r="AJ574" s="139"/>
      <c r="AK574" s="139"/>
      <c r="AL574" s="139"/>
      <c r="AM574" s="139"/>
      <c r="AN574" s="139"/>
      <c r="AO574" s="139"/>
    </row>
    <row r="575">
      <c r="A575" s="85"/>
      <c r="B575" s="86"/>
      <c r="C575" s="85"/>
      <c r="D575" s="89"/>
      <c r="E575" s="89"/>
      <c r="F575" s="89"/>
      <c r="G575" s="89"/>
      <c r="H575" s="89"/>
      <c r="I575" s="89"/>
      <c r="J575" s="89"/>
      <c r="K575" s="89"/>
      <c r="L575" s="89"/>
      <c r="M575" s="89"/>
      <c r="N575" s="89"/>
      <c r="O575" s="85"/>
      <c r="P575" s="89"/>
      <c r="Q575" s="137"/>
      <c r="R575" s="138"/>
      <c r="S575" s="138"/>
      <c r="T575" s="85"/>
      <c r="U575" s="85"/>
      <c r="V575" s="85"/>
      <c r="W575" s="138"/>
      <c r="X575" s="139"/>
      <c r="Y575" s="139"/>
      <c r="Z575" s="139"/>
      <c r="AA575" s="139"/>
      <c r="AB575" s="139"/>
      <c r="AC575" s="139"/>
      <c r="AD575" s="139"/>
      <c r="AE575" s="139"/>
      <c r="AF575" s="139"/>
      <c r="AG575" s="139"/>
      <c r="AH575" s="139"/>
      <c r="AI575" s="139"/>
      <c r="AJ575" s="139"/>
      <c r="AK575" s="139"/>
      <c r="AL575" s="139"/>
      <c r="AM575" s="139"/>
      <c r="AN575" s="139"/>
      <c r="AO575" s="139"/>
    </row>
    <row r="576">
      <c r="A576" s="85"/>
      <c r="B576" s="86"/>
      <c r="C576" s="85"/>
      <c r="D576" s="89"/>
      <c r="E576" s="89"/>
      <c r="F576" s="89"/>
      <c r="G576" s="89"/>
      <c r="H576" s="89"/>
      <c r="I576" s="89"/>
      <c r="J576" s="89"/>
      <c r="K576" s="89"/>
      <c r="L576" s="89"/>
      <c r="M576" s="89"/>
      <c r="N576" s="89"/>
      <c r="O576" s="85"/>
      <c r="P576" s="89"/>
      <c r="Q576" s="137"/>
      <c r="R576" s="138"/>
      <c r="S576" s="138"/>
      <c r="T576" s="85"/>
      <c r="U576" s="85"/>
      <c r="V576" s="85"/>
      <c r="W576" s="138"/>
      <c r="X576" s="139"/>
      <c r="Y576" s="139"/>
      <c r="Z576" s="139"/>
      <c r="AA576" s="139"/>
      <c r="AB576" s="139"/>
      <c r="AC576" s="139"/>
      <c r="AD576" s="139"/>
      <c r="AE576" s="139"/>
      <c r="AF576" s="139"/>
      <c r="AG576" s="139"/>
      <c r="AH576" s="139"/>
      <c r="AI576" s="139"/>
      <c r="AJ576" s="139"/>
      <c r="AK576" s="139"/>
      <c r="AL576" s="139"/>
      <c r="AM576" s="139"/>
      <c r="AN576" s="139"/>
      <c r="AO576" s="139"/>
    </row>
    <row r="577">
      <c r="A577" s="85"/>
      <c r="B577" s="86"/>
      <c r="C577" s="85"/>
      <c r="D577" s="89"/>
      <c r="E577" s="89"/>
      <c r="F577" s="89"/>
      <c r="G577" s="89"/>
      <c r="H577" s="89"/>
      <c r="I577" s="89"/>
      <c r="J577" s="89"/>
      <c r="K577" s="89"/>
      <c r="L577" s="89"/>
      <c r="M577" s="89"/>
      <c r="N577" s="89"/>
      <c r="O577" s="85"/>
      <c r="P577" s="89"/>
      <c r="Q577" s="137"/>
      <c r="R577" s="138"/>
      <c r="S577" s="138"/>
      <c r="T577" s="85"/>
      <c r="U577" s="85"/>
      <c r="V577" s="85"/>
      <c r="W577" s="138"/>
      <c r="X577" s="139"/>
      <c r="Y577" s="139"/>
      <c r="Z577" s="139"/>
      <c r="AA577" s="139"/>
      <c r="AB577" s="139"/>
      <c r="AC577" s="139"/>
      <c r="AD577" s="139"/>
      <c r="AE577" s="139"/>
      <c r="AF577" s="139"/>
      <c r="AG577" s="139"/>
      <c r="AH577" s="139"/>
      <c r="AI577" s="139"/>
      <c r="AJ577" s="139"/>
      <c r="AK577" s="139"/>
      <c r="AL577" s="139"/>
      <c r="AM577" s="139"/>
      <c r="AN577" s="139"/>
      <c r="AO577" s="139"/>
    </row>
    <row r="578">
      <c r="A578" s="85"/>
      <c r="B578" s="86"/>
      <c r="C578" s="85"/>
      <c r="D578" s="89"/>
      <c r="E578" s="89"/>
      <c r="F578" s="89"/>
      <c r="G578" s="89"/>
      <c r="H578" s="89"/>
      <c r="I578" s="89"/>
      <c r="J578" s="89"/>
      <c r="K578" s="89"/>
      <c r="L578" s="89"/>
      <c r="M578" s="89"/>
      <c r="N578" s="89"/>
      <c r="O578" s="85"/>
      <c r="P578" s="89"/>
      <c r="Q578" s="137"/>
      <c r="R578" s="138"/>
      <c r="S578" s="138"/>
      <c r="T578" s="85"/>
      <c r="U578" s="85"/>
      <c r="V578" s="85"/>
      <c r="W578" s="138"/>
      <c r="X578" s="139"/>
      <c r="Y578" s="139"/>
      <c r="Z578" s="139"/>
      <c r="AA578" s="139"/>
      <c r="AB578" s="139"/>
      <c r="AC578" s="139"/>
      <c r="AD578" s="139"/>
      <c r="AE578" s="139"/>
      <c r="AF578" s="139"/>
      <c r="AG578" s="139"/>
      <c r="AH578" s="139"/>
      <c r="AI578" s="139"/>
      <c r="AJ578" s="139"/>
      <c r="AK578" s="139"/>
      <c r="AL578" s="139"/>
      <c r="AM578" s="139"/>
      <c r="AN578" s="139"/>
      <c r="AO578" s="139"/>
    </row>
    <row r="579">
      <c r="A579" s="85"/>
      <c r="B579" s="86"/>
      <c r="C579" s="85"/>
      <c r="D579" s="89"/>
      <c r="E579" s="89"/>
      <c r="F579" s="89"/>
      <c r="G579" s="89"/>
      <c r="H579" s="89"/>
      <c r="I579" s="89"/>
      <c r="J579" s="89"/>
      <c r="K579" s="89"/>
      <c r="L579" s="89"/>
      <c r="M579" s="89"/>
      <c r="N579" s="89"/>
      <c r="O579" s="85"/>
      <c r="P579" s="89"/>
      <c r="Q579" s="137"/>
      <c r="R579" s="138"/>
      <c r="S579" s="138"/>
      <c r="T579" s="85"/>
      <c r="U579" s="85"/>
      <c r="V579" s="85"/>
      <c r="W579" s="138"/>
      <c r="X579" s="139"/>
      <c r="Y579" s="139"/>
      <c r="Z579" s="139"/>
      <c r="AA579" s="139"/>
      <c r="AB579" s="139"/>
      <c r="AC579" s="139"/>
      <c r="AD579" s="139"/>
      <c r="AE579" s="139"/>
      <c r="AF579" s="139"/>
      <c r="AG579" s="139"/>
      <c r="AH579" s="139"/>
      <c r="AI579" s="139"/>
      <c r="AJ579" s="139"/>
      <c r="AK579" s="139"/>
      <c r="AL579" s="139"/>
      <c r="AM579" s="139"/>
      <c r="AN579" s="139"/>
      <c r="AO579" s="139"/>
    </row>
    <row r="580">
      <c r="A580" s="85"/>
      <c r="B580" s="86"/>
      <c r="C580" s="85"/>
      <c r="D580" s="89"/>
      <c r="E580" s="89"/>
      <c r="F580" s="89"/>
      <c r="G580" s="89"/>
      <c r="H580" s="89"/>
      <c r="I580" s="89"/>
      <c r="J580" s="89"/>
      <c r="K580" s="89"/>
      <c r="L580" s="89"/>
      <c r="M580" s="89"/>
      <c r="N580" s="89"/>
      <c r="O580" s="85"/>
      <c r="P580" s="89"/>
      <c r="Q580" s="137"/>
      <c r="R580" s="138"/>
      <c r="S580" s="138"/>
      <c r="T580" s="85"/>
      <c r="U580" s="85"/>
      <c r="V580" s="85"/>
      <c r="W580" s="138"/>
      <c r="X580" s="139"/>
      <c r="Y580" s="139"/>
      <c r="Z580" s="139"/>
      <c r="AA580" s="139"/>
      <c r="AB580" s="139"/>
      <c r="AC580" s="139"/>
      <c r="AD580" s="139"/>
      <c r="AE580" s="139"/>
      <c r="AF580" s="139"/>
      <c r="AG580" s="139"/>
      <c r="AH580" s="139"/>
      <c r="AI580" s="139"/>
      <c r="AJ580" s="139"/>
      <c r="AK580" s="139"/>
      <c r="AL580" s="139"/>
      <c r="AM580" s="139"/>
      <c r="AN580" s="139"/>
      <c r="AO580" s="139"/>
    </row>
    <row r="581">
      <c r="A581" s="85"/>
      <c r="B581" s="86"/>
      <c r="C581" s="85"/>
      <c r="D581" s="89"/>
      <c r="E581" s="89"/>
      <c r="F581" s="89"/>
      <c r="G581" s="89"/>
      <c r="H581" s="89"/>
      <c r="I581" s="89"/>
      <c r="J581" s="89"/>
      <c r="K581" s="89"/>
      <c r="L581" s="89"/>
      <c r="M581" s="89"/>
      <c r="N581" s="89"/>
      <c r="O581" s="85"/>
      <c r="P581" s="89"/>
      <c r="Q581" s="137"/>
      <c r="R581" s="138"/>
      <c r="S581" s="138"/>
      <c r="T581" s="85"/>
      <c r="U581" s="85"/>
      <c r="V581" s="85"/>
      <c r="W581" s="138"/>
      <c r="X581" s="139"/>
      <c r="Y581" s="139"/>
      <c r="Z581" s="139"/>
      <c r="AA581" s="139"/>
      <c r="AB581" s="139"/>
      <c r="AC581" s="139"/>
      <c r="AD581" s="139"/>
      <c r="AE581" s="139"/>
      <c r="AF581" s="139"/>
      <c r="AG581" s="139"/>
      <c r="AH581" s="139"/>
      <c r="AI581" s="139"/>
      <c r="AJ581" s="139"/>
      <c r="AK581" s="139"/>
      <c r="AL581" s="139"/>
      <c r="AM581" s="139"/>
      <c r="AN581" s="139"/>
      <c r="AO581" s="139"/>
    </row>
    <row r="582">
      <c r="A582" s="85"/>
      <c r="B582" s="86"/>
      <c r="C582" s="85"/>
      <c r="D582" s="89"/>
      <c r="E582" s="89"/>
      <c r="F582" s="89"/>
      <c r="G582" s="89"/>
      <c r="H582" s="89"/>
      <c r="I582" s="89"/>
      <c r="J582" s="89"/>
      <c r="K582" s="89"/>
      <c r="L582" s="89"/>
      <c r="M582" s="89"/>
      <c r="N582" s="89"/>
      <c r="O582" s="85"/>
      <c r="P582" s="89"/>
      <c r="Q582" s="137"/>
      <c r="R582" s="138"/>
      <c r="S582" s="138"/>
      <c r="T582" s="85"/>
      <c r="U582" s="85"/>
      <c r="V582" s="85"/>
      <c r="W582" s="138"/>
      <c r="X582" s="139"/>
      <c r="Y582" s="139"/>
      <c r="Z582" s="139"/>
      <c r="AA582" s="139"/>
      <c r="AB582" s="139"/>
      <c r="AC582" s="139"/>
      <c r="AD582" s="139"/>
      <c r="AE582" s="139"/>
      <c r="AF582" s="139"/>
      <c r="AG582" s="139"/>
      <c r="AH582" s="139"/>
      <c r="AI582" s="139"/>
      <c r="AJ582" s="139"/>
      <c r="AK582" s="139"/>
      <c r="AL582" s="139"/>
      <c r="AM582" s="139"/>
      <c r="AN582" s="139"/>
      <c r="AO582" s="139"/>
    </row>
    <row r="583">
      <c r="A583" s="85"/>
      <c r="B583" s="86"/>
      <c r="C583" s="85"/>
      <c r="D583" s="89"/>
      <c r="E583" s="89"/>
      <c r="F583" s="89"/>
      <c r="G583" s="89"/>
      <c r="H583" s="89"/>
      <c r="I583" s="89"/>
      <c r="J583" s="89"/>
      <c r="K583" s="89"/>
      <c r="L583" s="89"/>
      <c r="M583" s="89"/>
      <c r="N583" s="89"/>
      <c r="O583" s="85"/>
      <c r="P583" s="89"/>
      <c r="Q583" s="137"/>
      <c r="R583" s="138"/>
      <c r="S583" s="138"/>
      <c r="T583" s="85"/>
      <c r="U583" s="85"/>
      <c r="V583" s="85"/>
      <c r="W583" s="138"/>
      <c r="X583" s="139"/>
      <c r="Y583" s="139"/>
      <c r="Z583" s="139"/>
      <c r="AA583" s="139"/>
      <c r="AB583" s="139"/>
      <c r="AC583" s="139"/>
      <c r="AD583" s="139"/>
      <c r="AE583" s="139"/>
      <c r="AF583" s="139"/>
      <c r="AG583" s="139"/>
      <c r="AH583" s="139"/>
      <c r="AI583" s="139"/>
      <c r="AJ583" s="139"/>
      <c r="AK583" s="139"/>
      <c r="AL583" s="139"/>
      <c r="AM583" s="139"/>
      <c r="AN583" s="139"/>
      <c r="AO583" s="139"/>
    </row>
    <row r="584">
      <c r="A584" s="85"/>
      <c r="B584" s="86"/>
      <c r="C584" s="85"/>
      <c r="D584" s="89"/>
      <c r="E584" s="89"/>
      <c r="F584" s="89"/>
      <c r="G584" s="89"/>
      <c r="H584" s="89"/>
      <c r="I584" s="89"/>
      <c r="J584" s="89"/>
      <c r="K584" s="89"/>
      <c r="L584" s="89"/>
      <c r="M584" s="89"/>
      <c r="N584" s="89"/>
      <c r="O584" s="85"/>
      <c r="P584" s="89"/>
      <c r="Q584" s="137"/>
      <c r="R584" s="138"/>
      <c r="S584" s="138"/>
      <c r="T584" s="85"/>
      <c r="U584" s="85"/>
      <c r="V584" s="85"/>
      <c r="W584" s="138"/>
      <c r="X584" s="139"/>
      <c r="Y584" s="139"/>
      <c r="Z584" s="139"/>
      <c r="AA584" s="139"/>
      <c r="AB584" s="139"/>
      <c r="AC584" s="139"/>
      <c r="AD584" s="139"/>
      <c r="AE584" s="139"/>
      <c r="AF584" s="139"/>
      <c r="AG584" s="139"/>
      <c r="AH584" s="139"/>
      <c r="AI584" s="139"/>
      <c r="AJ584" s="139"/>
      <c r="AK584" s="139"/>
      <c r="AL584" s="139"/>
      <c r="AM584" s="139"/>
      <c r="AN584" s="139"/>
      <c r="AO584" s="139"/>
    </row>
    <row r="585">
      <c r="A585" s="85"/>
      <c r="B585" s="86"/>
      <c r="C585" s="85"/>
      <c r="D585" s="89"/>
      <c r="E585" s="89"/>
      <c r="F585" s="89"/>
      <c r="G585" s="89"/>
      <c r="H585" s="89"/>
      <c r="I585" s="89"/>
      <c r="J585" s="89"/>
      <c r="K585" s="89"/>
      <c r="L585" s="89"/>
      <c r="M585" s="89"/>
      <c r="N585" s="89"/>
      <c r="O585" s="85"/>
      <c r="P585" s="89"/>
      <c r="Q585" s="137"/>
      <c r="R585" s="138"/>
      <c r="S585" s="138"/>
      <c r="T585" s="85"/>
      <c r="U585" s="85"/>
      <c r="V585" s="85"/>
      <c r="W585" s="138"/>
      <c r="X585" s="139"/>
      <c r="Y585" s="139"/>
      <c r="Z585" s="139"/>
      <c r="AA585" s="139"/>
      <c r="AB585" s="139"/>
      <c r="AC585" s="139"/>
      <c r="AD585" s="139"/>
      <c r="AE585" s="139"/>
      <c r="AF585" s="139"/>
      <c r="AG585" s="139"/>
      <c r="AH585" s="139"/>
      <c r="AI585" s="139"/>
      <c r="AJ585" s="139"/>
      <c r="AK585" s="139"/>
      <c r="AL585" s="139"/>
      <c r="AM585" s="139"/>
      <c r="AN585" s="139"/>
      <c r="AO585" s="139"/>
    </row>
    <row r="586">
      <c r="A586" s="85"/>
      <c r="B586" s="86"/>
      <c r="C586" s="85"/>
      <c r="D586" s="89"/>
      <c r="E586" s="89"/>
      <c r="F586" s="89"/>
      <c r="G586" s="89"/>
      <c r="H586" s="89"/>
      <c r="I586" s="89"/>
      <c r="J586" s="89"/>
      <c r="K586" s="89"/>
      <c r="L586" s="89"/>
      <c r="M586" s="89"/>
      <c r="N586" s="89"/>
      <c r="O586" s="85"/>
      <c r="P586" s="89"/>
      <c r="Q586" s="137"/>
      <c r="R586" s="138"/>
      <c r="S586" s="138"/>
      <c r="T586" s="85"/>
      <c r="U586" s="85"/>
      <c r="V586" s="85"/>
      <c r="W586" s="138"/>
      <c r="X586" s="139"/>
      <c r="Y586" s="139"/>
      <c r="Z586" s="139"/>
      <c r="AA586" s="139"/>
      <c r="AB586" s="139"/>
      <c r="AC586" s="139"/>
      <c r="AD586" s="139"/>
      <c r="AE586" s="139"/>
      <c r="AF586" s="139"/>
      <c r="AG586" s="139"/>
      <c r="AH586" s="139"/>
      <c r="AI586" s="139"/>
      <c r="AJ586" s="139"/>
      <c r="AK586" s="139"/>
      <c r="AL586" s="139"/>
      <c r="AM586" s="139"/>
      <c r="AN586" s="139"/>
      <c r="AO586" s="139"/>
    </row>
    <row r="587">
      <c r="A587" s="85"/>
      <c r="B587" s="86"/>
      <c r="C587" s="85"/>
      <c r="D587" s="89"/>
      <c r="E587" s="89"/>
      <c r="F587" s="89"/>
      <c r="G587" s="89"/>
      <c r="H587" s="89"/>
      <c r="I587" s="89"/>
      <c r="J587" s="89"/>
      <c r="K587" s="89"/>
      <c r="L587" s="89"/>
      <c r="M587" s="89"/>
      <c r="N587" s="89"/>
      <c r="O587" s="85"/>
      <c r="P587" s="89"/>
      <c r="Q587" s="137"/>
      <c r="R587" s="138"/>
      <c r="S587" s="138"/>
      <c r="T587" s="85"/>
      <c r="U587" s="85"/>
      <c r="V587" s="85"/>
      <c r="W587" s="138"/>
      <c r="X587" s="139"/>
      <c r="Y587" s="139"/>
      <c r="Z587" s="139"/>
      <c r="AA587" s="139"/>
      <c r="AB587" s="139"/>
      <c r="AC587" s="139"/>
      <c r="AD587" s="139"/>
      <c r="AE587" s="139"/>
      <c r="AF587" s="139"/>
      <c r="AG587" s="139"/>
      <c r="AH587" s="139"/>
      <c r="AI587" s="139"/>
      <c r="AJ587" s="139"/>
      <c r="AK587" s="139"/>
      <c r="AL587" s="139"/>
      <c r="AM587" s="139"/>
      <c r="AN587" s="139"/>
      <c r="AO587" s="139"/>
    </row>
    <row r="588">
      <c r="A588" s="85"/>
      <c r="B588" s="86"/>
      <c r="C588" s="85"/>
      <c r="D588" s="89"/>
      <c r="E588" s="89"/>
      <c r="F588" s="89"/>
      <c r="G588" s="89"/>
      <c r="H588" s="89"/>
      <c r="I588" s="89"/>
      <c r="J588" s="89"/>
      <c r="K588" s="89"/>
      <c r="L588" s="89"/>
      <c r="M588" s="89"/>
      <c r="N588" s="89"/>
      <c r="O588" s="85"/>
      <c r="P588" s="89"/>
      <c r="Q588" s="137"/>
      <c r="R588" s="138"/>
      <c r="S588" s="138"/>
      <c r="T588" s="85"/>
      <c r="U588" s="85"/>
      <c r="V588" s="85"/>
      <c r="W588" s="138"/>
      <c r="X588" s="139"/>
      <c r="Y588" s="139"/>
      <c r="Z588" s="139"/>
      <c r="AA588" s="139"/>
      <c r="AB588" s="139"/>
      <c r="AC588" s="139"/>
      <c r="AD588" s="139"/>
      <c r="AE588" s="139"/>
      <c r="AF588" s="139"/>
      <c r="AG588" s="139"/>
      <c r="AH588" s="139"/>
      <c r="AI588" s="139"/>
      <c r="AJ588" s="139"/>
      <c r="AK588" s="139"/>
      <c r="AL588" s="139"/>
      <c r="AM588" s="139"/>
      <c r="AN588" s="139"/>
      <c r="AO588" s="139"/>
    </row>
    <row r="589">
      <c r="A589" s="85"/>
      <c r="B589" s="86"/>
      <c r="C589" s="85"/>
      <c r="D589" s="89"/>
      <c r="E589" s="89"/>
      <c r="F589" s="89"/>
      <c r="G589" s="89"/>
      <c r="H589" s="89"/>
      <c r="I589" s="89"/>
      <c r="J589" s="89"/>
      <c r="K589" s="89"/>
      <c r="L589" s="89"/>
      <c r="M589" s="89"/>
      <c r="N589" s="89"/>
      <c r="O589" s="85"/>
      <c r="P589" s="89"/>
      <c r="Q589" s="137"/>
      <c r="R589" s="138"/>
      <c r="S589" s="138"/>
      <c r="T589" s="85"/>
      <c r="U589" s="85"/>
      <c r="V589" s="85"/>
      <c r="W589" s="138"/>
      <c r="X589" s="139"/>
      <c r="Y589" s="139"/>
      <c r="Z589" s="139"/>
      <c r="AA589" s="139"/>
      <c r="AB589" s="139"/>
      <c r="AC589" s="139"/>
      <c r="AD589" s="139"/>
      <c r="AE589" s="139"/>
      <c r="AF589" s="139"/>
      <c r="AG589" s="139"/>
      <c r="AH589" s="139"/>
      <c r="AI589" s="139"/>
      <c r="AJ589" s="139"/>
      <c r="AK589" s="139"/>
      <c r="AL589" s="139"/>
      <c r="AM589" s="139"/>
      <c r="AN589" s="139"/>
      <c r="AO589" s="139"/>
    </row>
    <row r="590">
      <c r="A590" s="85"/>
      <c r="B590" s="86"/>
      <c r="C590" s="85"/>
      <c r="D590" s="89"/>
      <c r="E590" s="89"/>
      <c r="F590" s="89"/>
      <c r="G590" s="89"/>
      <c r="H590" s="89"/>
      <c r="I590" s="89"/>
      <c r="J590" s="89"/>
      <c r="K590" s="89"/>
      <c r="L590" s="89"/>
      <c r="M590" s="89"/>
      <c r="N590" s="89"/>
      <c r="O590" s="85"/>
      <c r="P590" s="89"/>
      <c r="Q590" s="137"/>
      <c r="R590" s="138"/>
      <c r="S590" s="138"/>
      <c r="T590" s="85"/>
      <c r="U590" s="85"/>
      <c r="V590" s="85"/>
      <c r="W590" s="138"/>
      <c r="X590" s="139"/>
      <c r="Y590" s="139"/>
      <c r="Z590" s="139"/>
      <c r="AA590" s="139"/>
      <c r="AB590" s="139"/>
      <c r="AC590" s="139"/>
      <c r="AD590" s="139"/>
      <c r="AE590" s="139"/>
      <c r="AF590" s="139"/>
      <c r="AG590" s="139"/>
      <c r="AH590" s="139"/>
      <c r="AI590" s="139"/>
      <c r="AJ590" s="139"/>
      <c r="AK590" s="139"/>
      <c r="AL590" s="139"/>
      <c r="AM590" s="139"/>
      <c r="AN590" s="139"/>
      <c r="AO590" s="139"/>
    </row>
    <row r="591">
      <c r="A591" s="85"/>
      <c r="B591" s="86"/>
      <c r="C591" s="85"/>
      <c r="D591" s="89"/>
      <c r="E591" s="89"/>
      <c r="F591" s="89"/>
      <c r="G591" s="89"/>
      <c r="H591" s="89"/>
      <c r="I591" s="89"/>
      <c r="J591" s="89"/>
      <c r="K591" s="89"/>
      <c r="L591" s="89"/>
      <c r="M591" s="89"/>
      <c r="N591" s="89"/>
      <c r="O591" s="85"/>
      <c r="P591" s="89"/>
      <c r="Q591" s="137"/>
      <c r="R591" s="138"/>
      <c r="S591" s="138"/>
      <c r="T591" s="85"/>
      <c r="U591" s="85"/>
      <c r="V591" s="85"/>
      <c r="W591" s="138"/>
      <c r="X591" s="139"/>
      <c r="Y591" s="139"/>
      <c r="Z591" s="139"/>
      <c r="AA591" s="139"/>
      <c r="AB591" s="139"/>
      <c r="AC591" s="139"/>
      <c r="AD591" s="139"/>
      <c r="AE591" s="139"/>
      <c r="AF591" s="139"/>
      <c r="AG591" s="139"/>
      <c r="AH591" s="139"/>
      <c r="AI591" s="139"/>
      <c r="AJ591" s="139"/>
      <c r="AK591" s="139"/>
      <c r="AL591" s="139"/>
      <c r="AM591" s="139"/>
      <c r="AN591" s="139"/>
      <c r="AO591" s="139"/>
    </row>
    <row r="592">
      <c r="A592" s="85"/>
      <c r="B592" s="86"/>
      <c r="C592" s="85"/>
      <c r="D592" s="89"/>
      <c r="E592" s="89"/>
      <c r="F592" s="89"/>
      <c r="G592" s="89"/>
      <c r="H592" s="89"/>
      <c r="I592" s="89"/>
      <c r="J592" s="89"/>
      <c r="K592" s="89"/>
      <c r="L592" s="89"/>
      <c r="M592" s="89"/>
      <c r="N592" s="89"/>
      <c r="O592" s="85"/>
      <c r="P592" s="89"/>
      <c r="Q592" s="137"/>
      <c r="R592" s="138"/>
      <c r="S592" s="138"/>
      <c r="T592" s="85"/>
      <c r="U592" s="85"/>
      <c r="V592" s="85"/>
      <c r="W592" s="138"/>
      <c r="X592" s="139"/>
      <c r="Y592" s="139"/>
      <c r="Z592" s="139"/>
      <c r="AA592" s="139"/>
      <c r="AB592" s="139"/>
      <c r="AC592" s="139"/>
      <c r="AD592" s="139"/>
      <c r="AE592" s="139"/>
      <c r="AF592" s="139"/>
      <c r="AG592" s="139"/>
      <c r="AH592" s="139"/>
      <c r="AI592" s="139"/>
      <c r="AJ592" s="139"/>
      <c r="AK592" s="139"/>
      <c r="AL592" s="139"/>
      <c r="AM592" s="139"/>
      <c r="AN592" s="139"/>
      <c r="AO592" s="139"/>
    </row>
    <row r="593">
      <c r="A593" s="85"/>
      <c r="B593" s="86"/>
      <c r="C593" s="85"/>
      <c r="D593" s="89"/>
      <c r="E593" s="89"/>
      <c r="F593" s="89"/>
      <c r="G593" s="89"/>
      <c r="H593" s="89"/>
      <c r="I593" s="89"/>
      <c r="J593" s="89"/>
      <c r="K593" s="89"/>
      <c r="L593" s="89"/>
      <c r="M593" s="89"/>
      <c r="N593" s="89"/>
      <c r="O593" s="85"/>
      <c r="P593" s="89"/>
      <c r="Q593" s="137"/>
      <c r="R593" s="138"/>
      <c r="S593" s="138"/>
      <c r="T593" s="85"/>
      <c r="U593" s="85"/>
      <c r="V593" s="85"/>
      <c r="W593" s="138"/>
      <c r="X593" s="139"/>
      <c r="Y593" s="139"/>
      <c r="Z593" s="139"/>
      <c r="AA593" s="139"/>
      <c r="AB593" s="139"/>
      <c r="AC593" s="139"/>
      <c r="AD593" s="139"/>
      <c r="AE593" s="139"/>
      <c r="AF593" s="139"/>
      <c r="AG593" s="139"/>
      <c r="AH593" s="139"/>
      <c r="AI593" s="139"/>
      <c r="AJ593" s="139"/>
      <c r="AK593" s="139"/>
      <c r="AL593" s="139"/>
      <c r="AM593" s="139"/>
      <c r="AN593" s="139"/>
      <c r="AO593" s="139"/>
    </row>
    <row r="594">
      <c r="A594" s="85"/>
      <c r="B594" s="86"/>
      <c r="C594" s="85"/>
      <c r="D594" s="89"/>
      <c r="E594" s="89"/>
      <c r="F594" s="89"/>
      <c r="G594" s="89"/>
      <c r="H594" s="89"/>
      <c r="I594" s="89"/>
      <c r="J594" s="89"/>
      <c r="K594" s="89"/>
      <c r="L594" s="89"/>
      <c r="M594" s="89"/>
      <c r="N594" s="89"/>
      <c r="O594" s="85"/>
      <c r="P594" s="89"/>
      <c r="Q594" s="137"/>
      <c r="R594" s="138"/>
      <c r="S594" s="138"/>
      <c r="T594" s="85"/>
      <c r="U594" s="85"/>
      <c r="V594" s="85"/>
      <c r="W594" s="138"/>
      <c r="X594" s="139"/>
      <c r="Y594" s="139"/>
      <c r="Z594" s="139"/>
      <c r="AA594" s="139"/>
      <c r="AB594" s="139"/>
      <c r="AC594" s="139"/>
      <c r="AD594" s="139"/>
      <c r="AE594" s="139"/>
      <c r="AF594" s="139"/>
      <c r="AG594" s="139"/>
      <c r="AH594" s="139"/>
      <c r="AI594" s="139"/>
      <c r="AJ594" s="139"/>
      <c r="AK594" s="139"/>
      <c r="AL594" s="139"/>
      <c r="AM594" s="139"/>
      <c r="AN594" s="139"/>
      <c r="AO594" s="139"/>
    </row>
    <row r="595">
      <c r="A595" s="85"/>
      <c r="B595" s="86"/>
      <c r="C595" s="85"/>
      <c r="D595" s="89"/>
      <c r="E595" s="89"/>
      <c r="F595" s="89"/>
      <c r="G595" s="89"/>
      <c r="H595" s="89"/>
      <c r="I595" s="89"/>
      <c r="J595" s="89"/>
      <c r="K595" s="89"/>
      <c r="L595" s="89"/>
      <c r="M595" s="89"/>
      <c r="N595" s="89"/>
      <c r="O595" s="85"/>
      <c r="P595" s="89"/>
      <c r="Q595" s="137"/>
      <c r="R595" s="138"/>
      <c r="S595" s="138"/>
      <c r="T595" s="85"/>
      <c r="U595" s="85"/>
      <c r="V595" s="85"/>
      <c r="W595" s="138"/>
      <c r="X595" s="139"/>
      <c r="Y595" s="139"/>
      <c r="Z595" s="139"/>
      <c r="AA595" s="139"/>
      <c r="AB595" s="139"/>
      <c r="AC595" s="139"/>
      <c r="AD595" s="139"/>
      <c r="AE595" s="139"/>
      <c r="AF595" s="139"/>
      <c r="AG595" s="139"/>
      <c r="AH595" s="139"/>
      <c r="AI595" s="139"/>
      <c r="AJ595" s="139"/>
      <c r="AK595" s="139"/>
      <c r="AL595" s="139"/>
      <c r="AM595" s="139"/>
      <c r="AN595" s="139"/>
      <c r="AO595" s="139"/>
    </row>
    <row r="596">
      <c r="A596" s="85"/>
      <c r="B596" s="86"/>
      <c r="C596" s="85"/>
      <c r="D596" s="89"/>
      <c r="E596" s="89"/>
      <c r="F596" s="89"/>
      <c r="G596" s="89"/>
      <c r="H596" s="89"/>
      <c r="I596" s="89"/>
      <c r="J596" s="89"/>
      <c r="K596" s="89"/>
      <c r="L596" s="89"/>
      <c r="M596" s="89"/>
      <c r="N596" s="89"/>
      <c r="O596" s="85"/>
      <c r="P596" s="89"/>
      <c r="Q596" s="137"/>
      <c r="R596" s="138"/>
      <c r="S596" s="138"/>
      <c r="T596" s="85"/>
      <c r="U596" s="85"/>
      <c r="V596" s="85"/>
      <c r="W596" s="138"/>
      <c r="X596" s="139"/>
      <c r="Y596" s="139"/>
      <c r="Z596" s="139"/>
      <c r="AA596" s="139"/>
      <c r="AB596" s="139"/>
      <c r="AC596" s="139"/>
      <c r="AD596" s="139"/>
      <c r="AE596" s="139"/>
      <c r="AF596" s="139"/>
      <c r="AG596" s="139"/>
      <c r="AH596" s="139"/>
      <c r="AI596" s="139"/>
      <c r="AJ596" s="139"/>
      <c r="AK596" s="139"/>
      <c r="AL596" s="139"/>
      <c r="AM596" s="139"/>
      <c r="AN596" s="139"/>
      <c r="AO596" s="139"/>
    </row>
    <row r="597">
      <c r="A597" s="85"/>
      <c r="B597" s="86"/>
      <c r="C597" s="85"/>
      <c r="D597" s="89"/>
      <c r="E597" s="89"/>
      <c r="F597" s="89"/>
      <c r="G597" s="89"/>
      <c r="H597" s="89"/>
      <c r="I597" s="89"/>
      <c r="J597" s="89"/>
      <c r="K597" s="89"/>
      <c r="L597" s="89"/>
      <c r="M597" s="89"/>
      <c r="N597" s="89"/>
      <c r="O597" s="85"/>
      <c r="P597" s="89"/>
      <c r="Q597" s="137"/>
      <c r="R597" s="138"/>
      <c r="S597" s="138"/>
      <c r="T597" s="85"/>
      <c r="U597" s="85"/>
      <c r="V597" s="85"/>
      <c r="W597" s="138"/>
      <c r="X597" s="139"/>
      <c r="Y597" s="139"/>
      <c r="Z597" s="139"/>
      <c r="AA597" s="139"/>
      <c r="AB597" s="139"/>
      <c r="AC597" s="139"/>
      <c r="AD597" s="139"/>
      <c r="AE597" s="139"/>
      <c r="AF597" s="139"/>
      <c r="AG597" s="139"/>
      <c r="AH597" s="139"/>
      <c r="AI597" s="139"/>
      <c r="AJ597" s="139"/>
      <c r="AK597" s="139"/>
      <c r="AL597" s="139"/>
      <c r="AM597" s="139"/>
      <c r="AN597" s="139"/>
      <c r="AO597" s="139"/>
    </row>
    <row r="598">
      <c r="A598" s="85"/>
      <c r="B598" s="86"/>
      <c r="C598" s="85"/>
      <c r="D598" s="89"/>
      <c r="E598" s="89"/>
      <c r="F598" s="89"/>
      <c r="G598" s="89"/>
      <c r="H598" s="89"/>
      <c r="I598" s="89"/>
      <c r="J598" s="89"/>
      <c r="K598" s="89"/>
      <c r="L598" s="89"/>
      <c r="M598" s="89"/>
      <c r="N598" s="89"/>
      <c r="O598" s="85"/>
      <c r="P598" s="89"/>
      <c r="Q598" s="137"/>
      <c r="R598" s="138"/>
      <c r="S598" s="138"/>
      <c r="T598" s="85"/>
      <c r="U598" s="85"/>
      <c r="V598" s="85"/>
      <c r="W598" s="138"/>
      <c r="X598" s="139"/>
      <c r="Y598" s="139"/>
      <c r="Z598" s="139"/>
      <c r="AA598" s="139"/>
      <c r="AB598" s="139"/>
      <c r="AC598" s="139"/>
      <c r="AD598" s="139"/>
      <c r="AE598" s="139"/>
      <c r="AF598" s="139"/>
      <c r="AG598" s="139"/>
      <c r="AH598" s="139"/>
      <c r="AI598" s="139"/>
      <c r="AJ598" s="139"/>
      <c r="AK598" s="139"/>
      <c r="AL598" s="139"/>
      <c r="AM598" s="139"/>
      <c r="AN598" s="139"/>
      <c r="AO598" s="139"/>
    </row>
    <row r="599">
      <c r="A599" s="85"/>
      <c r="B599" s="86"/>
      <c r="C599" s="85"/>
      <c r="D599" s="89"/>
      <c r="E599" s="89"/>
      <c r="F599" s="89"/>
      <c r="G599" s="89"/>
      <c r="H599" s="89"/>
      <c r="I599" s="89"/>
      <c r="J599" s="89"/>
      <c r="K599" s="89"/>
      <c r="L599" s="89"/>
      <c r="M599" s="89"/>
      <c r="N599" s="89"/>
      <c r="O599" s="85"/>
      <c r="P599" s="89"/>
      <c r="Q599" s="137"/>
      <c r="R599" s="138"/>
      <c r="S599" s="138"/>
      <c r="T599" s="85"/>
      <c r="U599" s="85"/>
      <c r="V599" s="85"/>
      <c r="W599" s="138"/>
      <c r="X599" s="139"/>
      <c r="Y599" s="139"/>
      <c r="Z599" s="139"/>
      <c r="AA599" s="139"/>
      <c r="AB599" s="139"/>
      <c r="AC599" s="139"/>
      <c r="AD599" s="139"/>
      <c r="AE599" s="139"/>
      <c r="AF599" s="139"/>
      <c r="AG599" s="139"/>
      <c r="AH599" s="139"/>
      <c r="AI599" s="139"/>
      <c r="AJ599" s="139"/>
      <c r="AK599" s="139"/>
      <c r="AL599" s="139"/>
      <c r="AM599" s="139"/>
      <c r="AN599" s="139"/>
      <c r="AO599" s="139"/>
    </row>
    <row r="600">
      <c r="A600" s="85"/>
      <c r="B600" s="686"/>
      <c r="C600" s="85"/>
      <c r="D600" s="89"/>
      <c r="E600" s="89"/>
      <c r="F600" s="89"/>
      <c r="G600" s="89"/>
      <c r="H600" s="89"/>
      <c r="I600" s="89"/>
      <c r="J600" s="89"/>
      <c r="K600" s="89"/>
      <c r="L600" s="89"/>
      <c r="M600" s="89"/>
      <c r="N600" s="89"/>
      <c r="O600" s="85"/>
      <c r="P600" s="89"/>
      <c r="Q600" s="137"/>
      <c r="R600" s="138"/>
      <c r="S600" s="138"/>
      <c r="T600" s="85"/>
      <c r="U600" s="85"/>
      <c r="V600" s="85"/>
      <c r="W600" s="138"/>
      <c r="X600" s="139"/>
      <c r="Y600" s="139"/>
      <c r="Z600" s="139"/>
      <c r="AA600" s="139"/>
      <c r="AB600" s="139"/>
      <c r="AC600" s="139"/>
      <c r="AD600" s="139"/>
      <c r="AE600" s="139"/>
      <c r="AF600" s="139"/>
      <c r="AG600" s="139"/>
      <c r="AH600" s="139"/>
      <c r="AI600" s="139"/>
      <c r="AJ600" s="139"/>
      <c r="AK600" s="139"/>
      <c r="AL600" s="139"/>
      <c r="AM600" s="139"/>
      <c r="AN600" s="139"/>
      <c r="AO600" s="139"/>
    </row>
    <row r="601">
      <c r="A601" s="85"/>
      <c r="B601" s="86"/>
      <c r="C601" s="85"/>
      <c r="D601" s="89"/>
      <c r="E601" s="89"/>
      <c r="F601" s="89"/>
      <c r="G601" s="89"/>
      <c r="H601" s="89"/>
      <c r="I601" s="89"/>
      <c r="J601" s="89"/>
      <c r="K601" s="89"/>
      <c r="L601" s="89"/>
      <c r="M601" s="89"/>
      <c r="N601" s="89"/>
      <c r="O601" s="85"/>
      <c r="P601" s="89"/>
      <c r="Q601" s="137"/>
      <c r="R601" s="138"/>
      <c r="S601" s="138"/>
      <c r="T601" s="85"/>
      <c r="U601" s="85"/>
      <c r="V601" s="85"/>
      <c r="W601" s="138"/>
      <c r="X601" s="139"/>
      <c r="Y601" s="139"/>
      <c r="Z601" s="139"/>
      <c r="AA601" s="139"/>
      <c r="AB601" s="139"/>
      <c r="AC601" s="139"/>
      <c r="AD601" s="139"/>
      <c r="AE601" s="139"/>
      <c r="AF601" s="139"/>
      <c r="AG601" s="139"/>
      <c r="AH601" s="139"/>
      <c r="AI601" s="139"/>
      <c r="AJ601" s="139"/>
      <c r="AK601" s="139"/>
      <c r="AL601" s="139"/>
      <c r="AM601" s="139"/>
      <c r="AN601" s="139"/>
      <c r="AO601" s="139"/>
    </row>
    <row r="602">
      <c r="A602" s="85"/>
      <c r="B602" s="686"/>
      <c r="C602" s="85"/>
      <c r="D602" s="89"/>
      <c r="E602" s="89"/>
      <c r="F602" s="89"/>
      <c r="G602" s="89"/>
      <c r="H602" s="89"/>
      <c r="I602" s="89"/>
      <c r="J602" s="89"/>
      <c r="K602" s="89"/>
      <c r="L602" s="89"/>
      <c r="M602" s="89"/>
      <c r="N602" s="89"/>
      <c r="O602" s="85"/>
      <c r="P602" s="89"/>
      <c r="Q602" s="137"/>
      <c r="R602" s="138"/>
      <c r="S602" s="138"/>
      <c r="T602" s="85"/>
      <c r="U602" s="85"/>
      <c r="V602" s="85"/>
      <c r="W602" s="138"/>
      <c r="X602" s="139"/>
      <c r="Y602" s="139"/>
      <c r="Z602" s="139"/>
      <c r="AA602" s="139"/>
      <c r="AB602" s="139"/>
      <c r="AC602" s="139"/>
      <c r="AD602" s="139"/>
      <c r="AE602" s="139"/>
      <c r="AF602" s="139"/>
      <c r="AG602" s="139"/>
      <c r="AH602" s="139"/>
      <c r="AI602" s="139"/>
      <c r="AJ602" s="139"/>
      <c r="AK602" s="139"/>
      <c r="AL602" s="139"/>
      <c r="AM602" s="139"/>
      <c r="AN602" s="139"/>
      <c r="AO602" s="139"/>
    </row>
    <row r="603">
      <c r="A603" s="85"/>
      <c r="B603" s="86"/>
      <c r="C603" s="85"/>
      <c r="D603" s="89"/>
      <c r="E603" s="89"/>
      <c r="F603" s="89"/>
      <c r="G603" s="89"/>
      <c r="H603" s="89"/>
      <c r="I603" s="89"/>
      <c r="J603" s="89"/>
      <c r="K603" s="89"/>
      <c r="L603" s="89"/>
      <c r="M603" s="89"/>
      <c r="N603" s="89"/>
      <c r="O603" s="85"/>
      <c r="P603" s="89"/>
      <c r="Q603" s="137"/>
      <c r="R603" s="138"/>
      <c r="S603" s="138"/>
      <c r="T603" s="85"/>
      <c r="U603" s="85"/>
      <c r="V603" s="85"/>
      <c r="W603" s="138"/>
      <c r="X603" s="139"/>
      <c r="Y603" s="139"/>
      <c r="Z603" s="139"/>
      <c r="AA603" s="139"/>
      <c r="AB603" s="139"/>
      <c r="AC603" s="139"/>
      <c r="AD603" s="139"/>
      <c r="AE603" s="139"/>
      <c r="AF603" s="139"/>
      <c r="AG603" s="139"/>
      <c r="AH603" s="139"/>
      <c r="AI603" s="139"/>
      <c r="AJ603" s="139"/>
      <c r="AK603" s="139"/>
      <c r="AL603" s="139"/>
      <c r="AM603" s="139"/>
      <c r="AN603" s="139"/>
      <c r="AO603" s="139"/>
    </row>
    <row r="604">
      <c r="A604" s="85"/>
      <c r="B604" s="86"/>
      <c r="C604" s="85"/>
      <c r="D604" s="89"/>
      <c r="E604" s="89"/>
      <c r="F604" s="89"/>
      <c r="G604" s="89"/>
      <c r="H604" s="89"/>
      <c r="I604" s="89"/>
      <c r="J604" s="89"/>
      <c r="K604" s="89"/>
      <c r="L604" s="89"/>
      <c r="M604" s="89"/>
      <c r="N604" s="89"/>
      <c r="O604" s="85"/>
      <c r="P604" s="89"/>
      <c r="Q604" s="137"/>
      <c r="R604" s="138"/>
      <c r="S604" s="138"/>
      <c r="T604" s="85"/>
      <c r="U604" s="85"/>
      <c r="V604" s="85"/>
      <c r="W604" s="138"/>
      <c r="X604" s="139"/>
      <c r="Y604" s="139"/>
      <c r="Z604" s="139"/>
      <c r="AA604" s="139"/>
      <c r="AB604" s="139"/>
      <c r="AC604" s="139"/>
      <c r="AD604" s="139"/>
      <c r="AE604" s="139"/>
      <c r="AF604" s="139"/>
      <c r="AG604" s="139"/>
      <c r="AH604" s="139"/>
      <c r="AI604" s="139"/>
      <c r="AJ604" s="139"/>
      <c r="AK604" s="139"/>
      <c r="AL604" s="139"/>
      <c r="AM604" s="139"/>
      <c r="AN604" s="139"/>
      <c r="AO604" s="139"/>
    </row>
    <row r="605">
      <c r="A605" s="85"/>
      <c r="B605" s="686"/>
      <c r="C605" s="85"/>
      <c r="D605" s="89"/>
      <c r="E605" s="89"/>
      <c r="F605" s="89"/>
      <c r="G605" s="89"/>
      <c r="H605" s="89"/>
      <c r="I605" s="89"/>
      <c r="J605" s="89"/>
      <c r="K605" s="89"/>
      <c r="L605" s="89"/>
      <c r="M605" s="89"/>
      <c r="N605" s="89"/>
      <c r="O605" s="85"/>
      <c r="P605" s="89"/>
      <c r="Q605" s="137"/>
      <c r="R605" s="138"/>
      <c r="S605" s="138"/>
      <c r="T605" s="85"/>
      <c r="U605" s="85"/>
      <c r="V605" s="85"/>
      <c r="W605" s="138"/>
      <c r="X605" s="139"/>
      <c r="Y605" s="139"/>
      <c r="Z605" s="139"/>
      <c r="AA605" s="139"/>
      <c r="AB605" s="139"/>
      <c r="AC605" s="139"/>
      <c r="AD605" s="139"/>
      <c r="AE605" s="139"/>
      <c r="AF605" s="139"/>
      <c r="AG605" s="139"/>
      <c r="AH605" s="139"/>
      <c r="AI605" s="139"/>
      <c r="AJ605" s="139"/>
      <c r="AK605" s="139"/>
      <c r="AL605" s="139"/>
      <c r="AM605" s="139"/>
      <c r="AN605" s="139"/>
      <c r="AO605" s="139"/>
    </row>
    <row r="606">
      <c r="A606" s="85"/>
      <c r="B606" s="86"/>
      <c r="C606" s="85"/>
      <c r="D606" s="89"/>
      <c r="E606" s="89"/>
      <c r="F606" s="89"/>
      <c r="G606" s="89"/>
      <c r="H606" s="89"/>
      <c r="I606" s="89"/>
      <c r="J606" s="89"/>
      <c r="K606" s="89"/>
      <c r="L606" s="89"/>
      <c r="M606" s="89"/>
      <c r="N606" s="89"/>
      <c r="O606" s="85"/>
      <c r="P606" s="89"/>
      <c r="Q606" s="137"/>
      <c r="R606" s="138"/>
      <c r="S606" s="138"/>
      <c r="T606" s="85"/>
      <c r="U606" s="85"/>
      <c r="V606" s="85"/>
      <c r="W606" s="138"/>
      <c r="X606" s="139"/>
      <c r="Y606" s="139"/>
      <c r="Z606" s="139"/>
      <c r="AA606" s="139"/>
      <c r="AB606" s="139"/>
      <c r="AC606" s="139"/>
      <c r="AD606" s="139"/>
      <c r="AE606" s="139"/>
      <c r="AF606" s="139"/>
      <c r="AG606" s="139"/>
      <c r="AH606" s="139"/>
      <c r="AI606" s="139"/>
      <c r="AJ606" s="139"/>
      <c r="AK606" s="139"/>
      <c r="AL606" s="139"/>
      <c r="AM606" s="139"/>
      <c r="AN606" s="139"/>
      <c r="AO606" s="139"/>
    </row>
    <row r="607">
      <c r="A607" s="85"/>
      <c r="B607" s="86"/>
      <c r="C607" s="85"/>
      <c r="D607" s="89"/>
      <c r="E607" s="89"/>
      <c r="F607" s="89"/>
      <c r="G607" s="89"/>
      <c r="H607" s="89"/>
      <c r="I607" s="89"/>
      <c r="J607" s="89"/>
      <c r="K607" s="89"/>
      <c r="L607" s="89"/>
      <c r="M607" s="89"/>
      <c r="N607" s="89"/>
      <c r="O607" s="85"/>
      <c r="P607" s="89"/>
      <c r="Q607" s="137"/>
      <c r="R607" s="138"/>
      <c r="S607" s="138"/>
      <c r="T607" s="85"/>
      <c r="U607" s="85"/>
      <c r="V607" s="85"/>
      <c r="W607" s="138"/>
      <c r="X607" s="139"/>
      <c r="Y607" s="139"/>
      <c r="Z607" s="139"/>
      <c r="AA607" s="139"/>
      <c r="AB607" s="139"/>
      <c r="AC607" s="139"/>
      <c r="AD607" s="139"/>
      <c r="AE607" s="139"/>
      <c r="AF607" s="139"/>
      <c r="AG607" s="139"/>
      <c r="AH607" s="139"/>
      <c r="AI607" s="139"/>
      <c r="AJ607" s="139"/>
      <c r="AK607" s="139"/>
      <c r="AL607" s="139"/>
      <c r="AM607" s="139"/>
      <c r="AN607" s="139"/>
      <c r="AO607" s="139"/>
    </row>
    <row r="608">
      <c r="A608" s="85"/>
      <c r="B608" s="86"/>
      <c r="C608" s="85"/>
      <c r="D608" s="89"/>
      <c r="E608" s="89"/>
      <c r="F608" s="89"/>
      <c r="G608" s="89"/>
      <c r="H608" s="89"/>
      <c r="I608" s="89"/>
      <c r="J608" s="89"/>
      <c r="K608" s="89"/>
      <c r="L608" s="89"/>
      <c r="M608" s="89"/>
      <c r="N608" s="89"/>
      <c r="O608" s="85"/>
      <c r="P608" s="89"/>
      <c r="Q608" s="137"/>
      <c r="R608" s="138"/>
      <c r="S608" s="138"/>
      <c r="T608" s="85"/>
      <c r="U608" s="85"/>
      <c r="V608" s="85"/>
      <c r="W608" s="138"/>
      <c r="X608" s="139"/>
      <c r="Y608" s="139"/>
      <c r="Z608" s="139"/>
      <c r="AA608" s="139"/>
      <c r="AB608" s="139"/>
      <c r="AC608" s="139"/>
      <c r="AD608" s="139"/>
      <c r="AE608" s="139"/>
      <c r="AF608" s="139"/>
      <c r="AG608" s="139"/>
      <c r="AH608" s="139"/>
      <c r="AI608" s="139"/>
      <c r="AJ608" s="139"/>
      <c r="AK608" s="139"/>
      <c r="AL608" s="139"/>
      <c r="AM608" s="139"/>
      <c r="AN608" s="139"/>
      <c r="AO608" s="139"/>
    </row>
    <row r="609">
      <c r="A609" s="85"/>
      <c r="B609" s="86"/>
      <c r="C609" s="85"/>
      <c r="D609" s="89"/>
      <c r="E609" s="89"/>
      <c r="F609" s="89"/>
      <c r="G609" s="89"/>
      <c r="H609" s="89"/>
      <c r="I609" s="89"/>
      <c r="J609" s="89"/>
      <c r="K609" s="89"/>
      <c r="L609" s="89"/>
      <c r="M609" s="89"/>
      <c r="N609" s="89"/>
      <c r="O609" s="85"/>
      <c r="P609" s="89"/>
      <c r="Q609" s="137"/>
      <c r="R609" s="138"/>
      <c r="S609" s="138"/>
      <c r="T609" s="85"/>
      <c r="U609" s="85"/>
      <c r="V609" s="85"/>
      <c r="W609" s="138"/>
      <c r="X609" s="139"/>
      <c r="Y609" s="139"/>
      <c r="Z609" s="139"/>
      <c r="AA609" s="139"/>
      <c r="AB609" s="139"/>
      <c r="AC609" s="139"/>
      <c r="AD609" s="139"/>
      <c r="AE609" s="139"/>
      <c r="AF609" s="139"/>
      <c r="AG609" s="139"/>
      <c r="AH609" s="139"/>
      <c r="AI609" s="139"/>
      <c r="AJ609" s="139"/>
      <c r="AK609" s="139"/>
      <c r="AL609" s="139"/>
      <c r="AM609" s="139"/>
      <c r="AN609" s="139"/>
      <c r="AO609" s="139"/>
    </row>
    <row r="610">
      <c r="A610" s="85"/>
      <c r="B610" s="86"/>
      <c r="C610" s="85"/>
      <c r="D610" s="89"/>
      <c r="E610" s="89"/>
      <c r="F610" s="89"/>
      <c r="G610" s="89"/>
      <c r="H610" s="89"/>
      <c r="I610" s="89"/>
      <c r="J610" s="89"/>
      <c r="K610" s="89"/>
      <c r="L610" s="89"/>
      <c r="M610" s="89"/>
      <c r="N610" s="89"/>
      <c r="O610" s="85"/>
      <c r="P610" s="89"/>
      <c r="Q610" s="137"/>
      <c r="R610" s="138"/>
      <c r="S610" s="138"/>
      <c r="T610" s="85"/>
      <c r="U610" s="85"/>
      <c r="V610" s="85"/>
      <c r="W610" s="138"/>
      <c r="X610" s="139"/>
      <c r="Y610" s="139"/>
      <c r="Z610" s="139"/>
      <c r="AA610" s="139"/>
      <c r="AB610" s="139"/>
      <c r="AC610" s="139"/>
      <c r="AD610" s="139"/>
      <c r="AE610" s="139"/>
      <c r="AF610" s="139"/>
      <c r="AG610" s="139"/>
      <c r="AH610" s="139"/>
      <c r="AI610" s="139"/>
      <c r="AJ610" s="139"/>
      <c r="AK610" s="139"/>
      <c r="AL610" s="139"/>
      <c r="AM610" s="139"/>
      <c r="AN610" s="139"/>
      <c r="AO610" s="139"/>
    </row>
    <row r="611">
      <c r="A611" s="85"/>
      <c r="B611" s="86"/>
      <c r="C611" s="85"/>
      <c r="D611" s="89"/>
      <c r="E611" s="89"/>
      <c r="F611" s="89"/>
      <c r="G611" s="89"/>
      <c r="H611" s="89"/>
      <c r="I611" s="89"/>
      <c r="J611" s="89"/>
      <c r="K611" s="89"/>
      <c r="L611" s="89"/>
      <c r="M611" s="89"/>
      <c r="N611" s="89"/>
      <c r="O611" s="85"/>
      <c r="P611" s="89"/>
      <c r="Q611" s="137"/>
      <c r="R611" s="138"/>
      <c r="S611" s="138"/>
      <c r="T611" s="85"/>
      <c r="U611" s="85"/>
      <c r="V611" s="85"/>
      <c r="W611" s="138"/>
      <c r="X611" s="139"/>
      <c r="Y611" s="139"/>
      <c r="Z611" s="139"/>
      <c r="AA611" s="139"/>
      <c r="AB611" s="139"/>
      <c r="AC611" s="139"/>
      <c r="AD611" s="139"/>
      <c r="AE611" s="139"/>
      <c r="AF611" s="139"/>
      <c r="AG611" s="139"/>
      <c r="AH611" s="139"/>
      <c r="AI611" s="139"/>
      <c r="AJ611" s="139"/>
      <c r="AK611" s="139"/>
      <c r="AL611" s="139"/>
      <c r="AM611" s="139"/>
      <c r="AN611" s="139"/>
      <c r="AO611" s="139"/>
    </row>
    <row r="612">
      <c r="A612" s="85"/>
      <c r="B612" s="86"/>
      <c r="C612" s="85"/>
      <c r="D612" s="89"/>
      <c r="E612" s="89"/>
      <c r="F612" s="89"/>
      <c r="G612" s="89"/>
      <c r="H612" s="89"/>
      <c r="I612" s="89"/>
      <c r="J612" s="89"/>
      <c r="K612" s="89"/>
      <c r="L612" s="89"/>
      <c r="M612" s="89"/>
      <c r="N612" s="89"/>
      <c r="O612" s="85"/>
      <c r="P612" s="89"/>
      <c r="Q612" s="137"/>
      <c r="R612" s="138"/>
      <c r="S612" s="138"/>
      <c r="T612" s="85"/>
      <c r="U612" s="85"/>
      <c r="V612" s="85"/>
      <c r="W612" s="138"/>
      <c r="X612" s="139"/>
      <c r="Y612" s="139"/>
      <c r="Z612" s="139"/>
      <c r="AA612" s="139"/>
      <c r="AB612" s="139"/>
      <c r="AC612" s="139"/>
      <c r="AD612" s="139"/>
      <c r="AE612" s="139"/>
      <c r="AF612" s="139"/>
      <c r="AG612" s="139"/>
      <c r="AH612" s="139"/>
      <c r="AI612" s="139"/>
      <c r="AJ612" s="139"/>
      <c r="AK612" s="139"/>
      <c r="AL612" s="139"/>
      <c r="AM612" s="139"/>
      <c r="AN612" s="139"/>
      <c r="AO612" s="139"/>
    </row>
    <row r="613">
      <c r="A613" s="85"/>
      <c r="B613" s="86"/>
      <c r="C613" s="85"/>
      <c r="D613" s="89"/>
      <c r="E613" s="89"/>
      <c r="F613" s="89"/>
      <c r="G613" s="89"/>
      <c r="H613" s="89"/>
      <c r="I613" s="89"/>
      <c r="J613" s="89"/>
      <c r="K613" s="89"/>
      <c r="L613" s="89"/>
      <c r="M613" s="89"/>
      <c r="N613" s="89"/>
      <c r="O613" s="85"/>
      <c r="P613" s="89"/>
      <c r="Q613" s="137"/>
      <c r="R613" s="138"/>
      <c r="S613" s="138"/>
      <c r="T613" s="85"/>
      <c r="U613" s="85"/>
      <c r="V613" s="85"/>
      <c r="W613" s="138"/>
      <c r="X613" s="139"/>
      <c r="Y613" s="139"/>
      <c r="Z613" s="139"/>
      <c r="AA613" s="139"/>
      <c r="AB613" s="139"/>
      <c r="AC613" s="139"/>
      <c r="AD613" s="139"/>
      <c r="AE613" s="139"/>
      <c r="AF613" s="139"/>
      <c r="AG613" s="139"/>
      <c r="AH613" s="139"/>
      <c r="AI613" s="139"/>
      <c r="AJ613" s="139"/>
      <c r="AK613" s="139"/>
      <c r="AL613" s="139"/>
      <c r="AM613" s="139"/>
      <c r="AN613" s="139"/>
      <c r="AO613" s="139"/>
    </row>
    <row r="614">
      <c r="A614" s="85"/>
      <c r="B614" s="86"/>
      <c r="C614" s="85"/>
      <c r="D614" s="89"/>
      <c r="E614" s="89"/>
      <c r="F614" s="89"/>
      <c r="G614" s="89"/>
      <c r="H614" s="89"/>
      <c r="I614" s="89"/>
      <c r="J614" s="89"/>
      <c r="K614" s="89"/>
      <c r="L614" s="85"/>
      <c r="M614" s="89"/>
      <c r="N614" s="89"/>
      <c r="O614" s="85"/>
      <c r="P614" s="89"/>
      <c r="Q614" s="137"/>
      <c r="R614" s="138"/>
      <c r="S614" s="138"/>
      <c r="T614" s="85"/>
      <c r="U614" s="85"/>
      <c r="V614" s="85"/>
      <c r="W614" s="138"/>
      <c r="X614" s="139"/>
      <c r="Y614" s="139"/>
      <c r="Z614" s="139"/>
      <c r="AA614" s="139"/>
      <c r="AB614" s="139"/>
      <c r="AC614" s="139"/>
      <c r="AD614" s="139"/>
      <c r="AE614" s="139"/>
      <c r="AF614" s="139"/>
      <c r="AG614" s="139"/>
      <c r="AH614" s="139"/>
      <c r="AI614" s="139"/>
      <c r="AJ614" s="139"/>
      <c r="AK614" s="139"/>
      <c r="AL614" s="139"/>
      <c r="AM614" s="139"/>
      <c r="AN614" s="139"/>
      <c r="AO614" s="139"/>
    </row>
    <row r="615">
      <c r="A615" s="85"/>
      <c r="B615" s="86"/>
      <c r="C615" s="85"/>
      <c r="D615" s="89"/>
      <c r="E615" s="89"/>
      <c r="F615" s="89"/>
      <c r="G615" s="89"/>
      <c r="H615" s="89"/>
      <c r="I615" s="89"/>
      <c r="J615" s="89"/>
      <c r="K615" s="89"/>
      <c r="L615" s="89"/>
      <c r="M615" s="85"/>
      <c r="N615" s="89"/>
      <c r="O615" s="85"/>
      <c r="P615" s="89"/>
      <c r="Q615" s="138"/>
      <c r="R615" s="138"/>
      <c r="S615" s="138"/>
      <c r="T615" s="85"/>
      <c r="U615" s="85"/>
      <c r="V615" s="85"/>
      <c r="W615" s="138"/>
      <c r="X615" s="139"/>
      <c r="Y615" s="139"/>
      <c r="Z615" s="139"/>
      <c r="AA615" s="139"/>
      <c r="AB615" s="139"/>
      <c r="AC615" s="139"/>
      <c r="AD615" s="139"/>
      <c r="AE615" s="139"/>
      <c r="AF615" s="139"/>
      <c r="AG615" s="139"/>
      <c r="AH615" s="139"/>
      <c r="AI615" s="139"/>
      <c r="AJ615" s="139"/>
      <c r="AK615" s="139"/>
      <c r="AL615" s="139"/>
      <c r="AM615" s="139"/>
      <c r="AN615" s="139"/>
      <c r="AO615" s="139"/>
    </row>
    <row r="616">
      <c r="A616" s="85"/>
      <c r="B616" s="86"/>
      <c r="C616" s="85"/>
      <c r="D616" s="89"/>
      <c r="E616" s="89"/>
      <c r="F616" s="89"/>
      <c r="G616" s="89"/>
      <c r="H616" s="89"/>
      <c r="I616" s="89"/>
      <c r="J616" s="89"/>
      <c r="K616" s="89"/>
      <c r="L616" s="89"/>
      <c r="M616" s="85"/>
      <c r="N616" s="85"/>
      <c r="O616" s="85"/>
      <c r="P616" s="89"/>
      <c r="Q616" s="138"/>
      <c r="R616" s="138"/>
      <c r="S616" s="138"/>
      <c r="T616" s="85"/>
      <c r="U616" s="85"/>
      <c r="V616" s="85"/>
      <c r="W616" s="138"/>
      <c r="X616" s="139"/>
      <c r="Y616" s="139"/>
      <c r="Z616" s="139"/>
      <c r="AA616" s="139"/>
      <c r="AB616" s="139"/>
      <c r="AC616" s="139"/>
      <c r="AD616" s="139"/>
      <c r="AE616" s="139"/>
      <c r="AF616" s="139"/>
      <c r="AG616" s="139"/>
      <c r="AH616" s="139"/>
      <c r="AI616" s="139"/>
      <c r="AJ616" s="139"/>
      <c r="AK616" s="139"/>
      <c r="AL616" s="139"/>
      <c r="AM616" s="139"/>
      <c r="AN616" s="139"/>
      <c r="AO616" s="139"/>
    </row>
    <row r="617">
      <c r="A617" s="85"/>
      <c r="B617" s="86"/>
      <c r="C617" s="85"/>
      <c r="D617" s="89"/>
      <c r="E617" s="89"/>
      <c r="F617" s="89"/>
      <c r="G617" s="89"/>
      <c r="H617" s="89"/>
      <c r="I617" s="89"/>
      <c r="J617" s="89"/>
      <c r="K617" s="85"/>
      <c r="L617" s="89"/>
      <c r="M617" s="89"/>
      <c r="N617" s="85"/>
      <c r="O617" s="85"/>
      <c r="P617" s="89"/>
      <c r="Q617" s="137"/>
      <c r="R617" s="138"/>
      <c r="S617" s="138"/>
      <c r="T617" s="85"/>
      <c r="U617" s="85"/>
      <c r="V617" s="85"/>
      <c r="W617" s="138"/>
      <c r="X617" s="139"/>
      <c r="Y617" s="139"/>
      <c r="Z617" s="139"/>
      <c r="AA617" s="139"/>
      <c r="AB617" s="139"/>
      <c r="AC617" s="139"/>
      <c r="AD617" s="139"/>
      <c r="AE617" s="139"/>
      <c r="AF617" s="139"/>
      <c r="AG617" s="139"/>
      <c r="AH617" s="139"/>
      <c r="AI617" s="139"/>
      <c r="AJ617" s="139"/>
      <c r="AK617" s="139"/>
      <c r="AL617" s="139"/>
      <c r="AM617" s="139"/>
      <c r="AN617" s="139"/>
      <c r="AO617" s="139"/>
    </row>
    <row r="618">
      <c r="A618" s="85"/>
      <c r="B618" s="86"/>
      <c r="C618" s="85"/>
      <c r="D618" s="89"/>
      <c r="E618" s="89"/>
      <c r="F618" s="89"/>
      <c r="G618" s="89"/>
      <c r="H618" s="89"/>
      <c r="I618" s="89"/>
      <c r="J618" s="89"/>
      <c r="K618" s="85"/>
      <c r="L618" s="89"/>
      <c r="M618" s="89"/>
      <c r="N618" s="85"/>
      <c r="O618" s="85"/>
      <c r="P618" s="89"/>
      <c r="Q618" s="138"/>
      <c r="R618" s="138"/>
      <c r="S618" s="138"/>
      <c r="T618" s="85"/>
      <c r="U618" s="85"/>
      <c r="V618" s="85"/>
      <c r="W618" s="138"/>
      <c r="X618" s="139"/>
      <c r="Y618" s="139"/>
      <c r="Z618" s="139"/>
      <c r="AA618" s="139"/>
      <c r="AB618" s="139"/>
      <c r="AC618" s="139"/>
      <c r="AD618" s="139"/>
      <c r="AE618" s="139"/>
      <c r="AF618" s="139"/>
      <c r="AG618" s="139"/>
      <c r="AH618" s="139"/>
      <c r="AI618" s="139"/>
      <c r="AJ618" s="139"/>
      <c r="AK618" s="139"/>
      <c r="AL618" s="139"/>
      <c r="AM618" s="139"/>
      <c r="AN618" s="139"/>
      <c r="AO618" s="139"/>
    </row>
    <row r="619">
      <c r="A619" s="85"/>
      <c r="B619" s="86"/>
      <c r="C619" s="85"/>
      <c r="D619" s="89"/>
      <c r="E619" s="89"/>
      <c r="F619" s="89"/>
      <c r="G619" s="89"/>
      <c r="H619" s="89"/>
      <c r="I619" s="89"/>
      <c r="J619" s="89"/>
      <c r="K619" s="85"/>
      <c r="L619" s="89"/>
      <c r="M619" s="85"/>
      <c r="N619" s="89"/>
      <c r="O619" s="85"/>
      <c r="P619" s="89"/>
      <c r="Q619" s="138"/>
      <c r="R619" s="138"/>
      <c r="S619" s="138"/>
      <c r="T619" s="85"/>
      <c r="U619" s="85"/>
      <c r="V619" s="85"/>
      <c r="W619" s="138"/>
      <c r="X619" s="139"/>
      <c r="Y619" s="139"/>
      <c r="Z619" s="139"/>
      <c r="AA619" s="139"/>
      <c r="AB619" s="139"/>
      <c r="AC619" s="139"/>
      <c r="AD619" s="139"/>
      <c r="AE619" s="139"/>
      <c r="AF619" s="139"/>
      <c r="AG619" s="139"/>
      <c r="AH619" s="139"/>
      <c r="AI619" s="139"/>
      <c r="AJ619" s="139"/>
      <c r="AK619" s="139"/>
      <c r="AL619" s="139"/>
      <c r="AM619" s="139"/>
      <c r="AN619" s="139"/>
      <c r="AO619" s="139"/>
    </row>
    <row r="620">
      <c r="A620" s="85"/>
      <c r="B620" s="86"/>
      <c r="C620" s="85"/>
      <c r="D620" s="89"/>
      <c r="E620" s="89"/>
      <c r="F620" s="89"/>
      <c r="G620" s="89"/>
      <c r="H620" s="89"/>
      <c r="I620" s="89"/>
      <c r="J620" s="89"/>
      <c r="K620" s="85"/>
      <c r="L620" s="89"/>
      <c r="M620" s="85"/>
      <c r="N620" s="85"/>
      <c r="O620" s="85"/>
      <c r="P620" s="89"/>
      <c r="Q620" s="137"/>
      <c r="R620" s="138"/>
      <c r="S620" s="138"/>
      <c r="T620" s="85"/>
      <c r="U620" s="85"/>
      <c r="V620" s="85"/>
      <c r="W620" s="138"/>
      <c r="X620" s="139"/>
      <c r="Y620" s="139"/>
      <c r="Z620" s="139"/>
      <c r="AA620" s="139"/>
      <c r="AB620" s="139"/>
      <c r="AC620" s="139"/>
      <c r="AD620" s="139"/>
      <c r="AE620" s="139"/>
      <c r="AF620" s="139"/>
      <c r="AG620" s="139"/>
      <c r="AH620" s="139"/>
      <c r="AI620" s="139"/>
      <c r="AJ620" s="139"/>
      <c r="AK620" s="139"/>
      <c r="AL620" s="139"/>
      <c r="AM620" s="139"/>
      <c r="AN620" s="139"/>
      <c r="AO620" s="139"/>
    </row>
    <row r="621">
      <c r="A621" s="85"/>
      <c r="B621" s="86"/>
      <c r="C621" s="85"/>
      <c r="D621" s="89"/>
      <c r="E621" s="89"/>
      <c r="F621" s="89"/>
      <c r="G621" s="89"/>
      <c r="H621" s="89"/>
      <c r="I621" s="89"/>
      <c r="J621" s="89"/>
      <c r="K621" s="89"/>
      <c r="L621" s="85"/>
      <c r="M621" s="89"/>
      <c r="N621" s="89"/>
      <c r="O621" s="85"/>
      <c r="P621" s="89"/>
      <c r="Q621" s="138"/>
      <c r="R621" s="138"/>
      <c r="S621" s="138"/>
      <c r="T621" s="85"/>
      <c r="U621" s="85"/>
      <c r="V621" s="85"/>
      <c r="W621" s="138"/>
      <c r="X621" s="139"/>
      <c r="Y621" s="139"/>
      <c r="Z621" s="139"/>
      <c r="AA621" s="139"/>
      <c r="AB621" s="139"/>
      <c r="AC621" s="139"/>
      <c r="AD621" s="139"/>
      <c r="AE621" s="139"/>
      <c r="AF621" s="139"/>
      <c r="AG621" s="139"/>
      <c r="AH621" s="139"/>
      <c r="AI621" s="139"/>
      <c r="AJ621" s="139"/>
      <c r="AK621" s="139"/>
      <c r="AL621" s="139"/>
      <c r="AM621" s="139"/>
      <c r="AN621" s="139"/>
      <c r="AO621" s="139"/>
    </row>
    <row r="622">
      <c r="A622" s="85"/>
      <c r="B622" s="86"/>
      <c r="C622" s="85"/>
      <c r="D622" s="89"/>
      <c r="E622" s="89"/>
      <c r="F622" s="89"/>
      <c r="G622" s="89"/>
      <c r="H622" s="89"/>
      <c r="I622" s="89"/>
      <c r="J622" s="89"/>
      <c r="K622" s="89"/>
      <c r="L622" s="89"/>
      <c r="M622" s="85"/>
      <c r="N622" s="89"/>
      <c r="O622" s="89"/>
      <c r="P622" s="89"/>
      <c r="Q622" s="138"/>
      <c r="R622" s="138"/>
      <c r="S622" s="138"/>
      <c r="T622" s="85"/>
      <c r="U622" s="85"/>
      <c r="V622" s="85"/>
      <c r="W622" s="138"/>
      <c r="X622" s="139"/>
      <c r="Y622" s="139"/>
      <c r="Z622" s="139"/>
      <c r="AA622" s="139"/>
      <c r="AB622" s="139"/>
      <c r="AC622" s="139"/>
      <c r="AD622" s="139"/>
      <c r="AE622" s="139"/>
      <c r="AF622" s="139"/>
      <c r="AG622" s="139"/>
      <c r="AH622" s="139"/>
      <c r="AI622" s="139"/>
      <c r="AJ622" s="139"/>
      <c r="AK622" s="139"/>
      <c r="AL622" s="139"/>
      <c r="AM622" s="139"/>
      <c r="AN622" s="139"/>
      <c r="AO622" s="139"/>
    </row>
    <row r="623">
      <c r="A623" s="85"/>
      <c r="B623" s="339"/>
      <c r="C623" s="85"/>
      <c r="D623" s="89"/>
      <c r="E623" s="89"/>
      <c r="F623" s="89"/>
      <c r="G623" s="89"/>
      <c r="H623" s="89"/>
      <c r="I623" s="89"/>
      <c r="J623" s="89"/>
      <c r="K623" s="89"/>
      <c r="L623" s="85"/>
      <c r="M623" s="85"/>
      <c r="N623" s="89"/>
      <c r="O623" s="85"/>
      <c r="P623" s="89"/>
      <c r="Q623" s="138"/>
      <c r="R623" s="138"/>
      <c r="S623" s="138"/>
      <c r="T623" s="85"/>
      <c r="U623" s="85"/>
      <c r="V623" s="85"/>
      <c r="W623" s="138"/>
      <c r="X623" s="139"/>
      <c r="Y623" s="139"/>
      <c r="Z623" s="139"/>
      <c r="AA623" s="139"/>
      <c r="AB623" s="139"/>
      <c r="AC623" s="139"/>
      <c r="AD623" s="139"/>
      <c r="AE623" s="139"/>
      <c r="AF623" s="139"/>
      <c r="AG623" s="139"/>
      <c r="AH623" s="139"/>
      <c r="AI623" s="139"/>
      <c r="AJ623" s="139"/>
      <c r="AK623" s="139"/>
      <c r="AL623" s="139"/>
      <c r="AM623" s="139"/>
      <c r="AN623" s="139"/>
      <c r="AO623" s="139"/>
    </row>
    <row r="624">
      <c r="A624" s="85"/>
      <c r="B624" s="86"/>
      <c r="C624" s="85"/>
      <c r="D624" s="89"/>
      <c r="E624" s="89"/>
      <c r="F624" s="89"/>
      <c r="G624" s="89"/>
      <c r="H624" s="89"/>
      <c r="I624" s="89"/>
      <c r="J624" s="89"/>
      <c r="K624" s="89"/>
      <c r="L624" s="85"/>
      <c r="M624" s="89"/>
      <c r="N624" s="89"/>
      <c r="O624" s="85"/>
      <c r="P624" s="89"/>
      <c r="Q624" s="137"/>
      <c r="R624" s="138"/>
      <c r="S624" s="138"/>
      <c r="T624" s="85"/>
      <c r="U624" s="85"/>
      <c r="V624" s="85"/>
      <c r="W624" s="138"/>
      <c r="X624" s="139"/>
      <c r="Y624" s="139"/>
      <c r="Z624" s="139"/>
      <c r="AA624" s="139"/>
      <c r="AB624" s="139"/>
      <c r="AC624" s="139"/>
      <c r="AD624" s="139"/>
      <c r="AE624" s="139"/>
      <c r="AF624" s="139"/>
      <c r="AG624" s="139"/>
      <c r="AH624" s="139"/>
      <c r="AI624" s="139"/>
      <c r="AJ624" s="139"/>
      <c r="AK624" s="139"/>
      <c r="AL624" s="139"/>
      <c r="AM624" s="139"/>
      <c r="AN624" s="139"/>
      <c r="AO624" s="139"/>
    </row>
    <row r="625">
      <c r="A625" s="85"/>
      <c r="B625" s="86"/>
      <c r="C625" s="85"/>
      <c r="D625" s="89"/>
      <c r="E625" s="89"/>
      <c r="F625" s="89"/>
      <c r="G625" s="89"/>
      <c r="H625" s="89"/>
      <c r="I625" s="89"/>
      <c r="J625" s="89"/>
      <c r="K625" s="85"/>
      <c r="L625" s="89"/>
      <c r="M625" s="85"/>
      <c r="N625" s="85"/>
      <c r="O625" s="85"/>
      <c r="P625" s="89"/>
      <c r="Q625" s="138"/>
      <c r="R625" s="138"/>
      <c r="S625" s="138"/>
      <c r="T625" s="85"/>
      <c r="U625" s="85"/>
      <c r="V625" s="85"/>
      <c r="W625" s="138"/>
      <c r="X625" s="139"/>
      <c r="Y625" s="139"/>
      <c r="Z625" s="139"/>
      <c r="AA625" s="139"/>
      <c r="AB625" s="139"/>
      <c r="AC625" s="139"/>
      <c r="AD625" s="139"/>
      <c r="AE625" s="139"/>
      <c r="AF625" s="139"/>
      <c r="AG625" s="139"/>
      <c r="AH625" s="139"/>
      <c r="AI625" s="139"/>
      <c r="AJ625" s="139"/>
      <c r="AK625" s="139"/>
      <c r="AL625" s="139"/>
      <c r="AM625" s="139"/>
      <c r="AN625" s="139"/>
      <c r="AO625" s="139"/>
    </row>
    <row r="626">
      <c r="A626" s="85"/>
      <c r="B626" s="689"/>
      <c r="C626" s="85"/>
      <c r="D626" s="89"/>
      <c r="E626" s="89"/>
      <c r="F626" s="89"/>
      <c r="G626" s="89"/>
      <c r="H626" s="89"/>
      <c r="I626" s="89"/>
      <c r="J626" s="89"/>
      <c r="K626" s="89"/>
      <c r="L626" s="85"/>
      <c r="M626" s="85"/>
      <c r="N626" s="89"/>
      <c r="O626" s="85"/>
      <c r="P626" s="85"/>
      <c r="Q626" s="138"/>
      <c r="R626" s="138"/>
      <c r="S626" s="138"/>
      <c r="T626" s="85"/>
      <c r="U626" s="85"/>
      <c r="V626" s="85"/>
      <c r="W626" s="138"/>
      <c r="X626" s="139"/>
      <c r="Y626" s="139"/>
      <c r="Z626" s="139"/>
      <c r="AA626" s="139"/>
      <c r="AB626" s="139"/>
      <c r="AC626" s="139"/>
      <c r="AD626" s="139"/>
      <c r="AE626" s="139"/>
      <c r="AF626" s="139"/>
      <c r="AG626" s="139"/>
      <c r="AH626" s="139"/>
      <c r="AI626" s="139"/>
      <c r="AJ626" s="139"/>
      <c r="AK626" s="139"/>
      <c r="AL626" s="139"/>
      <c r="AM626" s="139"/>
      <c r="AN626" s="139"/>
      <c r="AO626" s="139"/>
    </row>
    <row r="627">
      <c r="A627" s="85"/>
      <c r="B627" s="86"/>
      <c r="C627" s="85"/>
      <c r="D627" s="89"/>
      <c r="E627" s="89"/>
      <c r="F627" s="89"/>
      <c r="G627" s="89"/>
      <c r="H627" s="89"/>
      <c r="I627" s="89"/>
      <c r="J627" s="89"/>
      <c r="K627" s="85"/>
      <c r="L627" s="89"/>
      <c r="M627" s="85"/>
      <c r="N627" s="89"/>
      <c r="O627" s="85"/>
      <c r="P627" s="89"/>
      <c r="Q627" s="138"/>
      <c r="R627" s="138"/>
      <c r="S627" s="138"/>
      <c r="T627" s="85"/>
      <c r="U627" s="85"/>
      <c r="V627" s="85"/>
      <c r="W627" s="138"/>
      <c r="X627" s="139"/>
      <c r="Y627" s="139"/>
      <c r="Z627" s="139"/>
      <c r="AA627" s="139"/>
      <c r="AB627" s="139"/>
      <c r="AC627" s="139"/>
      <c r="AD627" s="139"/>
      <c r="AE627" s="139"/>
      <c r="AF627" s="139"/>
      <c r="AG627" s="139"/>
      <c r="AH627" s="139"/>
      <c r="AI627" s="139"/>
      <c r="AJ627" s="139"/>
      <c r="AK627" s="139"/>
      <c r="AL627" s="139"/>
      <c r="AM627" s="139"/>
      <c r="AN627" s="139"/>
      <c r="AO627" s="139"/>
    </row>
    <row r="628">
      <c r="A628" s="85"/>
      <c r="B628" s="86"/>
      <c r="C628" s="85"/>
      <c r="D628" s="89"/>
      <c r="E628" s="89"/>
      <c r="F628" s="89"/>
      <c r="G628" s="89"/>
      <c r="H628" s="89"/>
      <c r="I628" s="89"/>
      <c r="J628" s="89"/>
      <c r="K628" s="85"/>
      <c r="L628" s="89"/>
      <c r="M628" s="85"/>
      <c r="N628" s="89"/>
      <c r="O628" s="85"/>
      <c r="P628" s="89"/>
      <c r="Q628" s="138"/>
      <c r="R628" s="138"/>
      <c r="S628" s="138"/>
      <c r="T628" s="85"/>
      <c r="U628" s="85"/>
      <c r="V628" s="85"/>
      <c r="W628" s="138"/>
      <c r="X628" s="139"/>
      <c r="Y628" s="139"/>
      <c r="Z628" s="139"/>
      <c r="AA628" s="139"/>
      <c r="AB628" s="139"/>
      <c r="AC628" s="139"/>
      <c r="AD628" s="139"/>
      <c r="AE628" s="139"/>
      <c r="AF628" s="139"/>
      <c r="AG628" s="139"/>
      <c r="AH628" s="139"/>
      <c r="AI628" s="139"/>
      <c r="AJ628" s="139"/>
      <c r="AK628" s="139"/>
      <c r="AL628" s="139"/>
      <c r="AM628" s="139"/>
      <c r="AN628" s="139"/>
      <c r="AO628" s="139"/>
    </row>
    <row r="629">
      <c r="A629" s="85"/>
      <c r="B629" s="85"/>
      <c r="C629" s="85"/>
      <c r="D629" s="89"/>
      <c r="E629" s="89"/>
      <c r="F629" s="89"/>
      <c r="G629" s="89"/>
      <c r="H629" s="89"/>
      <c r="I629" s="89"/>
      <c r="J629" s="89"/>
      <c r="K629" s="85"/>
      <c r="L629" s="89"/>
      <c r="M629" s="85"/>
      <c r="N629" s="89"/>
      <c r="O629" s="85"/>
      <c r="P629" s="89"/>
      <c r="Q629" s="138"/>
      <c r="R629" s="138"/>
      <c r="S629" s="138"/>
      <c r="T629" s="85"/>
      <c r="U629" s="85"/>
      <c r="V629" s="85"/>
      <c r="W629" s="138"/>
      <c r="X629" s="139"/>
      <c r="Y629" s="139"/>
      <c r="Z629" s="139"/>
      <c r="AA629" s="139"/>
      <c r="AB629" s="139"/>
      <c r="AC629" s="139"/>
      <c r="AD629" s="139"/>
      <c r="AE629" s="139"/>
      <c r="AF629" s="139"/>
      <c r="AG629" s="139"/>
      <c r="AH629" s="139"/>
      <c r="AI629" s="139"/>
      <c r="AJ629" s="139"/>
      <c r="AK629" s="139"/>
      <c r="AL629" s="139"/>
      <c r="AM629" s="139"/>
      <c r="AN629" s="139"/>
      <c r="AO629" s="139"/>
    </row>
    <row r="630">
      <c r="A630" s="85"/>
      <c r="B630" s="85"/>
      <c r="C630" s="85"/>
      <c r="D630" s="89"/>
      <c r="E630" s="89"/>
      <c r="F630" s="89"/>
      <c r="G630" s="89"/>
      <c r="H630" s="89"/>
      <c r="I630" s="89"/>
      <c r="J630" s="89"/>
      <c r="K630" s="85"/>
      <c r="L630" s="89"/>
      <c r="M630" s="85"/>
      <c r="N630" s="85"/>
      <c r="O630" s="85"/>
      <c r="P630" s="89"/>
      <c r="Q630" s="138"/>
      <c r="R630" s="138"/>
      <c r="S630" s="138"/>
      <c r="T630" s="85"/>
      <c r="U630" s="85"/>
      <c r="V630" s="85"/>
      <c r="W630" s="138"/>
      <c r="X630" s="139"/>
      <c r="Y630" s="139"/>
      <c r="Z630" s="139"/>
      <c r="AA630" s="139"/>
      <c r="AB630" s="139"/>
      <c r="AC630" s="139"/>
      <c r="AD630" s="139"/>
      <c r="AE630" s="139"/>
      <c r="AF630" s="139"/>
      <c r="AG630" s="139"/>
      <c r="AH630" s="139"/>
      <c r="AI630" s="139"/>
      <c r="AJ630" s="139"/>
      <c r="AK630" s="139"/>
      <c r="AL630" s="139"/>
      <c r="AM630" s="139"/>
      <c r="AN630" s="139"/>
      <c r="AO630" s="139"/>
    </row>
    <row r="631">
      <c r="A631" s="85"/>
      <c r="B631" s="85"/>
      <c r="C631" s="85"/>
      <c r="D631" s="89"/>
      <c r="E631" s="89"/>
      <c r="F631" s="89"/>
      <c r="G631" s="89"/>
      <c r="H631" s="89"/>
      <c r="I631" s="89"/>
      <c r="J631" s="89"/>
      <c r="K631" s="85"/>
      <c r="L631" s="89"/>
      <c r="M631" s="85"/>
      <c r="N631" s="89"/>
      <c r="O631" s="85"/>
      <c r="P631" s="85"/>
      <c r="Q631" s="137"/>
      <c r="R631" s="138"/>
      <c r="S631" s="138"/>
      <c r="T631" s="85"/>
      <c r="U631" s="85"/>
      <c r="V631" s="85"/>
      <c r="W631" s="138"/>
      <c r="X631" s="139"/>
      <c r="Y631" s="139"/>
      <c r="Z631" s="139"/>
      <c r="AA631" s="139"/>
      <c r="AB631" s="139"/>
      <c r="AC631" s="139"/>
      <c r="AD631" s="139"/>
      <c r="AE631" s="139"/>
      <c r="AF631" s="139"/>
      <c r="AG631" s="139"/>
      <c r="AH631" s="139"/>
      <c r="AI631" s="139"/>
      <c r="AJ631" s="139"/>
      <c r="AK631" s="139"/>
      <c r="AL631" s="139"/>
      <c r="AM631" s="139"/>
      <c r="AN631" s="139"/>
      <c r="AO631" s="139"/>
    </row>
    <row r="632">
      <c r="A632" s="85"/>
      <c r="B632" s="85"/>
      <c r="C632" s="85"/>
      <c r="D632" s="89"/>
      <c r="E632" s="89"/>
      <c r="F632" s="89"/>
      <c r="G632" s="89"/>
      <c r="H632" s="89"/>
      <c r="I632" s="89"/>
      <c r="J632" s="89"/>
      <c r="K632" s="85"/>
      <c r="L632" s="89"/>
      <c r="M632" s="85"/>
      <c r="N632" s="85"/>
      <c r="O632" s="85"/>
      <c r="P632" s="89"/>
      <c r="Q632" s="138"/>
      <c r="R632" s="138"/>
      <c r="S632" s="138"/>
      <c r="T632" s="85"/>
      <c r="U632" s="85"/>
      <c r="V632" s="85"/>
      <c r="W632" s="138"/>
      <c r="X632" s="139"/>
      <c r="Y632" s="139"/>
      <c r="Z632" s="139"/>
      <c r="AA632" s="139"/>
      <c r="AB632" s="139"/>
      <c r="AC632" s="139"/>
      <c r="AD632" s="139"/>
      <c r="AE632" s="139"/>
      <c r="AF632" s="139"/>
      <c r="AG632" s="139"/>
      <c r="AH632" s="139"/>
      <c r="AI632" s="139"/>
      <c r="AJ632" s="139"/>
      <c r="AK632" s="139"/>
      <c r="AL632" s="139"/>
      <c r="AM632" s="139"/>
      <c r="AN632" s="139"/>
      <c r="AO632" s="139"/>
    </row>
    <row r="633">
      <c r="A633" s="85"/>
      <c r="B633" s="85"/>
      <c r="C633" s="85"/>
      <c r="D633" s="89"/>
      <c r="E633" s="89"/>
      <c r="F633" s="89"/>
      <c r="G633" s="89"/>
      <c r="H633" s="89"/>
      <c r="I633" s="89"/>
      <c r="J633" s="89"/>
      <c r="K633" s="85"/>
      <c r="L633" s="89"/>
      <c r="M633" s="85"/>
      <c r="N633" s="85"/>
      <c r="O633" s="85"/>
      <c r="P633" s="89"/>
      <c r="Q633" s="138"/>
      <c r="R633" s="138"/>
      <c r="S633" s="138"/>
      <c r="T633" s="85"/>
      <c r="U633" s="85"/>
      <c r="V633" s="85"/>
      <c r="W633" s="138"/>
      <c r="X633" s="139"/>
      <c r="Y633" s="139"/>
      <c r="Z633" s="139"/>
      <c r="AA633" s="139"/>
      <c r="AB633" s="139"/>
      <c r="AC633" s="139"/>
      <c r="AD633" s="139"/>
      <c r="AE633" s="139"/>
      <c r="AF633" s="139"/>
      <c r="AG633" s="139"/>
      <c r="AH633" s="139"/>
      <c r="AI633" s="139"/>
      <c r="AJ633" s="139"/>
      <c r="AK633" s="139"/>
      <c r="AL633" s="139"/>
      <c r="AM633" s="139"/>
      <c r="AN633" s="139"/>
      <c r="AO633" s="139"/>
    </row>
    <row r="634">
      <c r="A634" s="85"/>
      <c r="B634" s="85"/>
      <c r="C634" s="85"/>
      <c r="D634" s="89"/>
      <c r="E634" s="89"/>
      <c r="F634" s="89"/>
      <c r="G634" s="89"/>
      <c r="H634" s="89"/>
      <c r="I634" s="89"/>
      <c r="J634" s="89"/>
      <c r="K634" s="89"/>
      <c r="L634" s="85"/>
      <c r="M634" s="85"/>
      <c r="N634" s="89"/>
      <c r="O634" s="85"/>
      <c r="P634" s="89"/>
      <c r="Q634" s="138"/>
      <c r="R634" s="138"/>
      <c r="S634" s="138"/>
      <c r="T634" s="85"/>
      <c r="U634" s="85"/>
      <c r="V634" s="85"/>
      <c r="W634" s="138"/>
      <c r="X634" s="139"/>
      <c r="Y634" s="139"/>
      <c r="Z634" s="139"/>
      <c r="AA634" s="139"/>
      <c r="AB634" s="139"/>
      <c r="AC634" s="139"/>
      <c r="AD634" s="139"/>
      <c r="AE634" s="139"/>
      <c r="AF634" s="139"/>
      <c r="AG634" s="139"/>
      <c r="AH634" s="139"/>
      <c r="AI634" s="139"/>
      <c r="AJ634" s="139"/>
      <c r="AK634" s="139"/>
      <c r="AL634" s="139"/>
      <c r="AM634" s="139"/>
      <c r="AN634" s="139"/>
      <c r="AO634" s="139"/>
    </row>
    <row r="635">
      <c r="A635" s="85"/>
      <c r="B635" s="85"/>
      <c r="C635" s="85"/>
      <c r="D635" s="89"/>
      <c r="E635" s="89"/>
      <c r="F635" s="89"/>
      <c r="G635" s="89"/>
      <c r="H635" s="89"/>
      <c r="I635" s="89"/>
      <c r="J635" s="89"/>
      <c r="K635" s="85"/>
      <c r="L635" s="89"/>
      <c r="M635" s="85"/>
      <c r="N635" s="85"/>
      <c r="O635" s="85"/>
      <c r="P635" s="85"/>
      <c r="Q635" s="138"/>
      <c r="R635" s="138"/>
      <c r="S635" s="138"/>
      <c r="T635" s="85"/>
      <c r="U635" s="85"/>
      <c r="V635" s="85"/>
      <c r="W635" s="138"/>
      <c r="X635" s="139"/>
      <c r="Y635" s="139"/>
      <c r="Z635" s="139"/>
      <c r="AA635" s="139"/>
      <c r="AB635" s="139"/>
      <c r="AC635" s="139"/>
      <c r="AD635" s="139"/>
      <c r="AE635" s="139"/>
      <c r="AF635" s="139"/>
      <c r="AG635" s="139"/>
      <c r="AH635" s="139"/>
      <c r="AI635" s="139"/>
      <c r="AJ635" s="139"/>
      <c r="AK635" s="139"/>
      <c r="AL635" s="139"/>
      <c r="AM635" s="139"/>
      <c r="AN635" s="139"/>
      <c r="AO635" s="139"/>
    </row>
    <row r="636">
      <c r="A636" s="85"/>
      <c r="B636" s="85"/>
      <c r="C636" s="85"/>
      <c r="D636" s="89"/>
      <c r="E636" s="89"/>
      <c r="F636" s="89"/>
      <c r="G636" s="89"/>
      <c r="H636" s="89"/>
      <c r="I636" s="89"/>
      <c r="J636" s="89"/>
      <c r="K636" s="85"/>
      <c r="L636" s="89"/>
      <c r="M636" s="85"/>
      <c r="N636" s="85"/>
      <c r="O636" s="85"/>
      <c r="P636" s="89"/>
      <c r="Q636" s="138"/>
      <c r="R636" s="138"/>
      <c r="S636" s="138"/>
      <c r="T636" s="85"/>
      <c r="U636" s="85"/>
      <c r="V636" s="85"/>
      <c r="W636" s="138"/>
      <c r="X636" s="139"/>
      <c r="Y636" s="139"/>
      <c r="Z636" s="139"/>
      <c r="AA636" s="139"/>
      <c r="AB636" s="139"/>
      <c r="AC636" s="139"/>
      <c r="AD636" s="139"/>
      <c r="AE636" s="139"/>
      <c r="AF636" s="139"/>
      <c r="AG636" s="139"/>
      <c r="AH636" s="139"/>
      <c r="AI636" s="139"/>
      <c r="AJ636" s="139"/>
      <c r="AK636" s="139"/>
      <c r="AL636" s="139"/>
      <c r="AM636" s="139"/>
      <c r="AN636" s="139"/>
      <c r="AO636" s="139"/>
    </row>
    <row r="637">
      <c r="A637" s="85"/>
      <c r="B637" s="85"/>
      <c r="C637" s="85"/>
      <c r="D637" s="89"/>
      <c r="E637" s="89"/>
      <c r="F637" s="89"/>
      <c r="G637" s="89"/>
      <c r="H637" s="89"/>
      <c r="I637" s="89"/>
      <c r="J637" s="89"/>
      <c r="K637" s="85"/>
      <c r="L637" s="89"/>
      <c r="M637" s="85"/>
      <c r="N637" s="85"/>
      <c r="O637" s="85"/>
      <c r="P637" s="85"/>
      <c r="Q637" s="138"/>
      <c r="R637" s="138"/>
      <c r="S637" s="138"/>
      <c r="T637" s="85"/>
      <c r="U637" s="85"/>
      <c r="V637" s="85"/>
      <c r="W637" s="138"/>
      <c r="X637" s="139"/>
      <c r="Y637" s="139"/>
      <c r="Z637" s="139"/>
      <c r="AA637" s="139"/>
      <c r="AB637" s="139"/>
      <c r="AC637" s="139"/>
      <c r="AD637" s="139"/>
      <c r="AE637" s="139"/>
      <c r="AF637" s="139"/>
      <c r="AG637" s="139"/>
      <c r="AH637" s="139"/>
      <c r="AI637" s="139"/>
      <c r="AJ637" s="139"/>
      <c r="AK637" s="139"/>
      <c r="AL637" s="139"/>
      <c r="AM637" s="139"/>
      <c r="AN637" s="139"/>
      <c r="AO637" s="139"/>
    </row>
    <row r="638">
      <c r="A638" s="85"/>
      <c r="B638" s="85"/>
      <c r="C638" s="85"/>
      <c r="D638" s="89"/>
      <c r="E638" s="89"/>
      <c r="F638" s="89"/>
      <c r="G638" s="89"/>
      <c r="H638" s="89"/>
      <c r="I638" s="89"/>
      <c r="J638" s="89"/>
      <c r="K638" s="85"/>
      <c r="L638" s="89"/>
      <c r="M638" s="85"/>
      <c r="N638" s="85"/>
      <c r="O638" s="85"/>
      <c r="P638" s="85"/>
      <c r="Q638" s="138"/>
      <c r="R638" s="138"/>
      <c r="S638" s="138"/>
      <c r="T638" s="85"/>
      <c r="U638" s="85"/>
      <c r="V638" s="85"/>
      <c r="W638" s="138"/>
      <c r="X638" s="139"/>
      <c r="Y638" s="139"/>
      <c r="Z638" s="139"/>
      <c r="AA638" s="139"/>
      <c r="AB638" s="139"/>
      <c r="AC638" s="139"/>
      <c r="AD638" s="139"/>
      <c r="AE638" s="139"/>
      <c r="AF638" s="139"/>
      <c r="AG638" s="139"/>
      <c r="AH638" s="139"/>
      <c r="AI638" s="139"/>
      <c r="AJ638" s="139"/>
      <c r="AK638" s="139"/>
      <c r="AL638" s="139"/>
      <c r="AM638" s="139"/>
      <c r="AN638" s="139"/>
      <c r="AO638" s="139"/>
    </row>
    <row r="639">
      <c r="A639" s="85"/>
      <c r="B639" s="85"/>
      <c r="C639" s="85"/>
      <c r="D639" s="89"/>
      <c r="E639" s="89"/>
      <c r="F639" s="89"/>
      <c r="G639" s="89"/>
      <c r="H639" s="89"/>
      <c r="I639" s="89"/>
      <c r="J639" s="89"/>
      <c r="K639" s="85"/>
      <c r="L639" s="85"/>
      <c r="M639" s="85"/>
      <c r="N639" s="85"/>
      <c r="O639" s="85"/>
      <c r="P639" s="85"/>
      <c r="Q639" s="138"/>
      <c r="R639" s="138"/>
      <c r="S639" s="138"/>
      <c r="T639" s="85"/>
      <c r="U639" s="85"/>
      <c r="V639" s="85"/>
      <c r="W639" s="138"/>
      <c r="X639" s="139"/>
      <c r="Y639" s="139"/>
      <c r="Z639" s="139"/>
      <c r="AA639" s="139"/>
      <c r="AB639" s="139"/>
      <c r="AC639" s="139"/>
      <c r="AD639" s="139"/>
      <c r="AE639" s="139"/>
      <c r="AF639" s="139"/>
      <c r="AG639" s="139"/>
      <c r="AH639" s="139"/>
      <c r="AI639" s="139"/>
      <c r="AJ639" s="139"/>
      <c r="AK639" s="139"/>
      <c r="AL639" s="139"/>
      <c r="AM639" s="139"/>
      <c r="AN639" s="139"/>
      <c r="AO639" s="139"/>
    </row>
    <row r="640">
      <c r="A640" s="85"/>
      <c r="B640" s="85"/>
      <c r="C640" s="85"/>
      <c r="D640" s="89"/>
      <c r="E640" s="89"/>
      <c r="F640" s="89"/>
      <c r="G640" s="89"/>
      <c r="H640" s="89"/>
      <c r="I640" s="89"/>
      <c r="J640" s="89"/>
      <c r="K640" s="89"/>
      <c r="L640" s="85"/>
      <c r="M640" s="89"/>
      <c r="N640" s="89"/>
      <c r="O640" s="85"/>
      <c r="P640" s="89"/>
      <c r="Q640" s="138"/>
      <c r="R640" s="138"/>
      <c r="S640" s="138"/>
      <c r="T640" s="85"/>
      <c r="U640" s="85"/>
      <c r="V640" s="85"/>
      <c r="W640" s="138"/>
      <c r="X640" s="139"/>
      <c r="Y640" s="139"/>
      <c r="Z640" s="139"/>
      <c r="AA640" s="139"/>
      <c r="AB640" s="139"/>
      <c r="AC640" s="139"/>
      <c r="AD640" s="139"/>
      <c r="AE640" s="139"/>
      <c r="AF640" s="139"/>
      <c r="AG640" s="139"/>
      <c r="AH640" s="139"/>
      <c r="AI640" s="139"/>
      <c r="AJ640" s="139"/>
      <c r="AK640" s="139"/>
      <c r="AL640" s="139"/>
      <c r="AM640" s="139"/>
      <c r="AN640" s="139"/>
      <c r="AO640" s="139"/>
    </row>
    <row r="641">
      <c r="A641" s="85"/>
      <c r="B641" s="85"/>
      <c r="C641" s="85"/>
      <c r="D641" s="89"/>
      <c r="E641" s="89"/>
      <c r="F641" s="89"/>
      <c r="G641" s="89"/>
      <c r="H641" s="89"/>
      <c r="I641" s="89"/>
      <c r="J641" s="89"/>
      <c r="K641" s="89"/>
      <c r="L641" s="85"/>
      <c r="M641" s="89"/>
      <c r="N641" s="89"/>
      <c r="O641" s="85"/>
      <c r="P641" s="89"/>
      <c r="Q641" s="137"/>
      <c r="R641" s="138"/>
      <c r="S641" s="138"/>
      <c r="T641" s="85"/>
      <c r="U641" s="85"/>
      <c r="V641" s="85"/>
      <c r="W641" s="138"/>
      <c r="X641" s="139"/>
      <c r="Y641" s="139"/>
      <c r="Z641" s="139"/>
      <c r="AA641" s="139"/>
      <c r="AB641" s="139"/>
      <c r="AC641" s="139"/>
      <c r="AD641" s="139"/>
      <c r="AE641" s="139"/>
      <c r="AF641" s="139"/>
      <c r="AG641" s="139"/>
      <c r="AH641" s="139"/>
      <c r="AI641" s="139"/>
      <c r="AJ641" s="139"/>
      <c r="AK641" s="139"/>
      <c r="AL641" s="139"/>
      <c r="AM641" s="139"/>
      <c r="AN641" s="139"/>
      <c r="AO641" s="139"/>
    </row>
    <row r="642">
      <c r="A642" s="85"/>
      <c r="B642" s="85"/>
      <c r="C642" s="85"/>
      <c r="D642" s="89"/>
      <c r="E642" s="89"/>
      <c r="F642" s="89"/>
      <c r="G642" s="89"/>
      <c r="H642" s="89"/>
      <c r="I642" s="89"/>
      <c r="J642" s="89"/>
      <c r="K642" s="85"/>
      <c r="L642" s="89"/>
      <c r="M642" s="85"/>
      <c r="N642" s="85"/>
      <c r="O642" s="85"/>
      <c r="P642" s="89"/>
      <c r="Q642" s="138"/>
      <c r="R642" s="138"/>
      <c r="S642" s="138"/>
      <c r="T642" s="85"/>
      <c r="U642" s="85"/>
      <c r="V642" s="85"/>
      <c r="W642" s="138"/>
      <c r="X642" s="139"/>
      <c r="Y642" s="139"/>
      <c r="Z642" s="139"/>
      <c r="AA642" s="139"/>
      <c r="AB642" s="139"/>
      <c r="AC642" s="139"/>
      <c r="AD642" s="139"/>
      <c r="AE642" s="139"/>
      <c r="AF642" s="139"/>
      <c r="AG642" s="139"/>
      <c r="AH642" s="139"/>
      <c r="AI642" s="139"/>
      <c r="AJ642" s="139"/>
      <c r="AK642" s="139"/>
      <c r="AL642" s="139"/>
      <c r="AM642" s="139"/>
      <c r="AN642" s="139"/>
      <c r="AO642" s="139"/>
    </row>
    <row r="643">
      <c r="A643" s="85"/>
      <c r="B643" s="85"/>
      <c r="C643" s="85"/>
      <c r="D643" s="89"/>
      <c r="E643" s="89"/>
      <c r="F643" s="89"/>
      <c r="G643" s="89"/>
      <c r="H643" s="89"/>
      <c r="I643" s="89"/>
      <c r="J643" s="89"/>
      <c r="K643" s="85"/>
      <c r="L643" s="89"/>
      <c r="M643" s="85"/>
      <c r="N643" s="85"/>
      <c r="O643" s="85"/>
      <c r="P643" s="85"/>
      <c r="Q643" s="138"/>
      <c r="R643" s="138"/>
      <c r="S643" s="138"/>
      <c r="T643" s="85"/>
      <c r="U643" s="85"/>
      <c r="V643" s="85"/>
      <c r="W643" s="138"/>
      <c r="X643" s="139"/>
      <c r="Y643" s="139"/>
      <c r="Z643" s="139"/>
      <c r="AA643" s="139"/>
      <c r="AB643" s="139"/>
      <c r="AC643" s="139"/>
      <c r="AD643" s="139"/>
      <c r="AE643" s="139"/>
      <c r="AF643" s="139"/>
      <c r="AG643" s="139"/>
      <c r="AH643" s="139"/>
      <c r="AI643" s="139"/>
      <c r="AJ643" s="139"/>
      <c r="AK643" s="139"/>
      <c r="AL643" s="139"/>
      <c r="AM643" s="139"/>
      <c r="AN643" s="139"/>
      <c r="AO643" s="139"/>
    </row>
    <row r="644">
      <c r="A644" s="85"/>
      <c r="B644" s="690"/>
      <c r="C644" s="85"/>
      <c r="D644" s="89"/>
      <c r="E644" s="89"/>
      <c r="F644" s="89"/>
      <c r="G644" s="89"/>
      <c r="H644" s="89"/>
      <c r="I644" s="89"/>
      <c r="J644" s="89"/>
      <c r="K644" s="89"/>
      <c r="L644" s="85"/>
      <c r="M644" s="85"/>
      <c r="N644" s="85"/>
      <c r="O644" s="85"/>
      <c r="P644" s="85"/>
      <c r="Q644" s="138"/>
      <c r="R644" s="138"/>
      <c r="S644" s="138"/>
      <c r="T644" s="85"/>
      <c r="U644" s="85"/>
      <c r="V644" s="85"/>
      <c r="W644" s="138"/>
      <c r="X644" s="139"/>
      <c r="Y644" s="139"/>
      <c r="Z644" s="139"/>
      <c r="AA644" s="139"/>
      <c r="AB644" s="139"/>
      <c r="AC644" s="139"/>
      <c r="AD644" s="139"/>
      <c r="AE644" s="139"/>
      <c r="AF644" s="139"/>
      <c r="AG644" s="139"/>
      <c r="AH644" s="139"/>
      <c r="AI644" s="139"/>
      <c r="AJ644" s="139"/>
      <c r="AK644" s="139"/>
      <c r="AL644" s="139"/>
      <c r="AM644" s="139"/>
      <c r="AN644" s="139"/>
      <c r="AO644" s="139"/>
    </row>
    <row r="645">
      <c r="A645" s="89"/>
      <c r="B645" s="690"/>
      <c r="C645" s="85"/>
      <c r="D645" s="89"/>
      <c r="E645" s="89"/>
      <c r="F645" s="89"/>
      <c r="G645" s="89"/>
      <c r="H645" s="89"/>
      <c r="I645" s="89"/>
      <c r="J645" s="89"/>
      <c r="K645" s="85"/>
      <c r="L645" s="89"/>
      <c r="M645" s="85"/>
      <c r="N645" s="85"/>
      <c r="O645" s="85"/>
      <c r="P645" s="89"/>
      <c r="Q645" s="138"/>
      <c r="R645" s="138"/>
      <c r="S645" s="138"/>
      <c r="T645" s="85"/>
      <c r="U645" s="85"/>
      <c r="V645" s="85"/>
      <c r="W645" s="138"/>
      <c r="X645" s="139"/>
      <c r="Y645" s="139"/>
      <c r="Z645" s="139"/>
      <c r="AA645" s="139"/>
      <c r="AB645" s="139"/>
      <c r="AC645" s="139"/>
      <c r="AD645" s="139"/>
      <c r="AE645" s="139"/>
      <c r="AF645" s="139"/>
      <c r="AG645" s="139"/>
      <c r="AH645" s="139"/>
      <c r="AI645" s="139"/>
      <c r="AJ645" s="139"/>
      <c r="AK645" s="139"/>
      <c r="AL645" s="139"/>
      <c r="AM645" s="139"/>
      <c r="AN645" s="139"/>
      <c r="AO645" s="139"/>
    </row>
    <row r="646">
      <c r="A646" s="85"/>
      <c r="B646" s="690"/>
      <c r="C646" s="85"/>
      <c r="D646" s="85"/>
      <c r="E646" s="85"/>
      <c r="F646" s="85"/>
      <c r="G646" s="85"/>
      <c r="H646" s="85"/>
      <c r="I646" s="85"/>
      <c r="J646" s="85"/>
      <c r="K646" s="85"/>
      <c r="L646" s="85"/>
      <c r="M646" s="85"/>
      <c r="N646" s="85"/>
      <c r="O646" s="85"/>
      <c r="P646" s="85"/>
      <c r="Q646" s="138"/>
      <c r="R646" s="138"/>
      <c r="S646" s="138"/>
      <c r="T646" s="85"/>
      <c r="U646" s="85"/>
      <c r="V646" s="85"/>
      <c r="W646" s="138"/>
      <c r="X646" s="139"/>
      <c r="Y646" s="139"/>
      <c r="Z646" s="139"/>
      <c r="AA646" s="139"/>
      <c r="AB646" s="139"/>
      <c r="AC646" s="139"/>
      <c r="AD646" s="139"/>
      <c r="AE646" s="139"/>
      <c r="AF646" s="139"/>
      <c r="AG646" s="139"/>
      <c r="AH646" s="139"/>
      <c r="AI646" s="139"/>
      <c r="AJ646" s="139"/>
      <c r="AK646" s="139"/>
      <c r="AL646" s="139"/>
      <c r="AM646" s="139"/>
      <c r="AN646" s="139"/>
      <c r="AO646" s="139"/>
    </row>
    <row r="647">
      <c r="A647" s="85"/>
      <c r="B647" s="690"/>
      <c r="C647" s="85"/>
      <c r="D647" s="85"/>
      <c r="E647" s="85"/>
      <c r="F647" s="85"/>
      <c r="G647" s="85"/>
      <c r="H647" s="85"/>
      <c r="I647" s="85"/>
      <c r="J647" s="85"/>
      <c r="K647" s="85"/>
      <c r="L647" s="85"/>
      <c r="M647" s="85"/>
      <c r="N647" s="85"/>
      <c r="O647" s="85"/>
      <c r="P647" s="85"/>
      <c r="Q647" s="138"/>
      <c r="R647" s="138"/>
      <c r="S647" s="138"/>
      <c r="T647" s="85"/>
      <c r="U647" s="85"/>
      <c r="V647" s="85"/>
      <c r="W647" s="138"/>
      <c r="X647" s="139"/>
      <c r="Y647" s="139"/>
      <c r="Z647" s="139"/>
      <c r="AA647" s="139"/>
      <c r="AB647" s="139"/>
      <c r="AC647" s="139"/>
      <c r="AD647" s="139"/>
      <c r="AE647" s="139"/>
      <c r="AF647" s="139"/>
      <c r="AG647" s="139"/>
      <c r="AH647" s="139"/>
      <c r="AI647" s="139"/>
      <c r="AJ647" s="139"/>
      <c r="AK647" s="139"/>
      <c r="AL647" s="139"/>
      <c r="AM647" s="139"/>
      <c r="AN647" s="139"/>
      <c r="AO647" s="139"/>
    </row>
    <row r="648">
      <c r="A648" s="85"/>
      <c r="B648" s="690"/>
      <c r="C648" s="85"/>
      <c r="D648" s="85"/>
      <c r="E648" s="85"/>
      <c r="F648" s="85"/>
      <c r="G648" s="85"/>
      <c r="H648" s="85"/>
      <c r="I648" s="85"/>
      <c r="J648" s="85"/>
      <c r="K648" s="85"/>
      <c r="L648" s="85"/>
      <c r="M648" s="85"/>
      <c r="N648" s="85"/>
      <c r="O648" s="85"/>
      <c r="P648" s="85"/>
      <c r="Q648" s="138"/>
      <c r="R648" s="138"/>
      <c r="S648" s="138"/>
      <c r="T648" s="85"/>
      <c r="U648" s="85"/>
      <c r="V648" s="85"/>
      <c r="W648" s="138"/>
      <c r="X648" s="139"/>
      <c r="Y648" s="139"/>
      <c r="Z648" s="139"/>
      <c r="AA648" s="139"/>
      <c r="AB648" s="139"/>
      <c r="AC648" s="139"/>
      <c r="AD648" s="139"/>
      <c r="AE648" s="139"/>
      <c r="AF648" s="139"/>
      <c r="AG648" s="139"/>
      <c r="AH648" s="139"/>
      <c r="AI648" s="139"/>
      <c r="AJ648" s="139"/>
      <c r="AK648" s="139"/>
      <c r="AL648" s="139"/>
      <c r="AM648" s="139"/>
      <c r="AN648" s="139"/>
      <c r="AO648" s="139"/>
    </row>
    <row r="649">
      <c r="A649" s="85"/>
      <c r="B649" s="690"/>
      <c r="C649" s="85"/>
      <c r="D649" s="85"/>
      <c r="E649" s="85"/>
      <c r="F649" s="85"/>
      <c r="G649" s="85"/>
      <c r="H649" s="85"/>
      <c r="I649" s="85"/>
      <c r="J649" s="85"/>
      <c r="K649" s="85"/>
      <c r="L649" s="85"/>
      <c r="M649" s="85"/>
      <c r="N649" s="85"/>
      <c r="O649" s="85"/>
      <c r="P649" s="85"/>
      <c r="Q649" s="138"/>
      <c r="R649" s="138"/>
      <c r="S649" s="138"/>
      <c r="T649" s="85"/>
      <c r="U649" s="85"/>
      <c r="V649" s="85"/>
      <c r="W649" s="138"/>
      <c r="X649" s="139"/>
      <c r="Y649" s="139"/>
      <c r="Z649" s="139"/>
      <c r="AA649" s="139"/>
      <c r="AB649" s="139"/>
      <c r="AC649" s="139"/>
      <c r="AD649" s="139"/>
      <c r="AE649" s="139"/>
      <c r="AF649" s="139"/>
      <c r="AG649" s="139"/>
      <c r="AH649" s="139"/>
      <c r="AI649" s="139"/>
      <c r="AJ649" s="139"/>
      <c r="AK649" s="139"/>
      <c r="AL649" s="139"/>
      <c r="AM649" s="139"/>
      <c r="AN649" s="139"/>
      <c r="AO649" s="139"/>
    </row>
    <row r="650">
      <c r="A650" s="85"/>
      <c r="B650" s="690"/>
      <c r="C650" s="85"/>
      <c r="D650" s="85"/>
      <c r="E650" s="85"/>
      <c r="F650" s="85"/>
      <c r="G650" s="85"/>
      <c r="H650" s="85"/>
      <c r="I650" s="85"/>
      <c r="J650" s="85"/>
      <c r="K650" s="85"/>
      <c r="L650" s="85"/>
      <c r="M650" s="85"/>
      <c r="N650" s="85"/>
      <c r="O650" s="85"/>
      <c r="P650" s="85"/>
      <c r="Q650" s="138"/>
      <c r="R650" s="138"/>
      <c r="S650" s="138"/>
      <c r="T650" s="85"/>
      <c r="U650" s="85"/>
      <c r="V650" s="85"/>
      <c r="W650" s="138"/>
      <c r="X650" s="139"/>
      <c r="Y650" s="139"/>
      <c r="Z650" s="139"/>
      <c r="AA650" s="139"/>
      <c r="AB650" s="139"/>
      <c r="AC650" s="139"/>
      <c r="AD650" s="139"/>
      <c r="AE650" s="139"/>
      <c r="AF650" s="139"/>
      <c r="AG650" s="139"/>
      <c r="AH650" s="139"/>
      <c r="AI650" s="139"/>
      <c r="AJ650" s="139"/>
      <c r="AK650" s="139"/>
      <c r="AL650" s="139"/>
      <c r="AM650" s="139"/>
      <c r="AN650" s="139"/>
      <c r="AO650" s="139"/>
    </row>
    <row r="651">
      <c r="A651" s="85"/>
      <c r="B651" s="690"/>
      <c r="C651" s="85"/>
      <c r="D651" s="85"/>
      <c r="E651" s="85"/>
      <c r="F651" s="85"/>
      <c r="G651" s="85"/>
      <c r="H651" s="85"/>
      <c r="I651" s="85"/>
      <c r="J651" s="85"/>
      <c r="K651" s="85"/>
      <c r="L651" s="85"/>
      <c r="M651" s="85"/>
      <c r="N651" s="85"/>
      <c r="O651" s="85"/>
      <c r="P651" s="85"/>
      <c r="Q651" s="138"/>
      <c r="R651" s="138"/>
      <c r="S651" s="138"/>
      <c r="T651" s="85"/>
      <c r="U651" s="85"/>
      <c r="V651" s="85"/>
      <c r="W651" s="138"/>
      <c r="X651" s="139"/>
      <c r="Y651" s="139"/>
      <c r="Z651" s="139"/>
      <c r="AA651" s="139"/>
      <c r="AB651" s="139"/>
      <c r="AC651" s="139"/>
      <c r="AD651" s="139"/>
      <c r="AE651" s="139"/>
      <c r="AF651" s="139"/>
      <c r="AG651" s="139"/>
      <c r="AH651" s="139"/>
      <c r="AI651" s="139"/>
      <c r="AJ651" s="139"/>
      <c r="AK651" s="139"/>
      <c r="AL651" s="139"/>
      <c r="AM651" s="139"/>
      <c r="AN651" s="139"/>
      <c r="AO651" s="139"/>
    </row>
    <row r="652">
      <c r="A652" s="85"/>
      <c r="B652" s="690"/>
      <c r="C652" s="85"/>
      <c r="D652" s="85"/>
      <c r="E652" s="85"/>
      <c r="F652" s="85"/>
      <c r="G652" s="85"/>
      <c r="H652" s="85"/>
      <c r="I652" s="85"/>
      <c r="J652" s="85"/>
      <c r="K652" s="85"/>
      <c r="L652" s="85"/>
      <c r="M652" s="85"/>
      <c r="N652" s="85"/>
      <c r="O652" s="85"/>
      <c r="P652" s="85"/>
      <c r="Q652" s="138"/>
      <c r="R652" s="138"/>
      <c r="S652" s="138"/>
      <c r="T652" s="85"/>
      <c r="U652" s="85"/>
      <c r="V652" s="85"/>
      <c r="W652" s="138"/>
      <c r="X652" s="139"/>
      <c r="Y652" s="139"/>
      <c r="Z652" s="139"/>
      <c r="AA652" s="139"/>
      <c r="AB652" s="139"/>
      <c r="AC652" s="139"/>
      <c r="AD652" s="139"/>
      <c r="AE652" s="139"/>
      <c r="AF652" s="139"/>
      <c r="AG652" s="139"/>
      <c r="AH652" s="139"/>
      <c r="AI652" s="139"/>
      <c r="AJ652" s="139"/>
      <c r="AK652" s="139"/>
      <c r="AL652" s="139"/>
      <c r="AM652" s="139"/>
      <c r="AN652" s="139"/>
      <c r="AO652" s="139"/>
    </row>
    <row r="653">
      <c r="A653" s="85"/>
      <c r="B653" s="690"/>
      <c r="C653" s="85"/>
      <c r="D653" s="85"/>
      <c r="E653" s="85"/>
      <c r="F653" s="85"/>
      <c r="G653" s="85"/>
      <c r="H653" s="85"/>
      <c r="I653" s="85"/>
      <c r="J653" s="85"/>
      <c r="K653" s="85"/>
      <c r="L653" s="85"/>
      <c r="M653" s="85"/>
      <c r="N653" s="85"/>
      <c r="O653" s="85"/>
      <c r="P653" s="85"/>
      <c r="Q653" s="138"/>
      <c r="R653" s="138"/>
      <c r="S653" s="138"/>
      <c r="T653" s="85"/>
      <c r="U653" s="85"/>
      <c r="V653" s="85"/>
      <c r="W653" s="138"/>
      <c r="X653" s="139"/>
      <c r="Y653" s="139"/>
      <c r="Z653" s="139"/>
      <c r="AA653" s="139"/>
      <c r="AB653" s="139"/>
      <c r="AC653" s="139"/>
      <c r="AD653" s="139"/>
      <c r="AE653" s="139"/>
      <c r="AF653" s="139"/>
      <c r="AG653" s="139"/>
      <c r="AH653" s="139"/>
      <c r="AI653" s="139"/>
      <c r="AJ653" s="139"/>
      <c r="AK653" s="139"/>
      <c r="AL653" s="139"/>
      <c r="AM653" s="139"/>
      <c r="AN653" s="139"/>
      <c r="AO653" s="139"/>
    </row>
    <row r="654">
      <c r="A654" s="85"/>
      <c r="B654" s="690"/>
      <c r="C654" s="85"/>
      <c r="D654" s="85"/>
      <c r="E654" s="85"/>
      <c r="F654" s="85"/>
      <c r="G654" s="85"/>
      <c r="H654" s="85"/>
      <c r="I654" s="85"/>
      <c r="J654" s="85"/>
      <c r="K654" s="85"/>
      <c r="L654" s="85"/>
      <c r="M654" s="85"/>
      <c r="N654" s="85"/>
      <c r="O654" s="85"/>
      <c r="P654" s="85"/>
      <c r="Q654" s="138"/>
      <c r="R654" s="138"/>
      <c r="S654" s="138"/>
      <c r="T654" s="85"/>
      <c r="U654" s="85"/>
      <c r="V654" s="85"/>
      <c r="W654" s="138"/>
      <c r="X654" s="139"/>
      <c r="Y654" s="139"/>
      <c r="Z654" s="139"/>
      <c r="AA654" s="139"/>
      <c r="AB654" s="139"/>
      <c r="AC654" s="139"/>
      <c r="AD654" s="139"/>
      <c r="AE654" s="139"/>
      <c r="AF654" s="139"/>
      <c r="AG654" s="139"/>
      <c r="AH654" s="139"/>
      <c r="AI654" s="139"/>
      <c r="AJ654" s="139"/>
      <c r="AK654" s="139"/>
      <c r="AL654" s="139"/>
      <c r="AM654" s="139"/>
      <c r="AN654" s="139"/>
      <c r="AO654" s="139"/>
    </row>
    <row r="655">
      <c r="A655" s="85"/>
      <c r="B655" s="690"/>
      <c r="C655" s="85"/>
      <c r="D655" s="85"/>
      <c r="E655" s="85"/>
      <c r="F655" s="85"/>
      <c r="G655" s="85"/>
      <c r="H655" s="85"/>
      <c r="I655" s="85"/>
      <c r="J655" s="85"/>
      <c r="K655" s="85"/>
      <c r="L655" s="85"/>
      <c r="M655" s="85"/>
      <c r="N655" s="85"/>
      <c r="O655" s="85"/>
      <c r="P655" s="85"/>
      <c r="Q655" s="138"/>
      <c r="R655" s="138"/>
      <c r="S655" s="138"/>
      <c r="T655" s="85"/>
      <c r="U655" s="85"/>
      <c r="V655" s="85"/>
      <c r="W655" s="138"/>
      <c r="X655" s="139"/>
      <c r="Y655" s="139"/>
      <c r="Z655" s="139"/>
      <c r="AA655" s="139"/>
      <c r="AB655" s="139"/>
      <c r="AC655" s="139"/>
      <c r="AD655" s="139"/>
      <c r="AE655" s="139"/>
      <c r="AF655" s="139"/>
      <c r="AG655" s="139"/>
      <c r="AH655" s="139"/>
      <c r="AI655" s="139"/>
      <c r="AJ655" s="139"/>
      <c r="AK655" s="139"/>
      <c r="AL655" s="139"/>
      <c r="AM655" s="139"/>
      <c r="AN655" s="139"/>
      <c r="AO655" s="139"/>
    </row>
    <row r="656">
      <c r="A656" s="85"/>
      <c r="B656" s="690"/>
      <c r="C656" s="85"/>
      <c r="D656" s="85"/>
      <c r="E656" s="85"/>
      <c r="F656" s="85"/>
      <c r="G656" s="85"/>
      <c r="H656" s="85"/>
      <c r="I656" s="85"/>
      <c r="J656" s="85"/>
      <c r="K656" s="85"/>
      <c r="L656" s="85"/>
      <c r="M656" s="85"/>
      <c r="N656" s="85"/>
      <c r="O656" s="85"/>
      <c r="P656" s="85"/>
      <c r="Q656" s="138"/>
      <c r="R656" s="138"/>
      <c r="S656" s="138"/>
      <c r="T656" s="85"/>
      <c r="U656" s="85"/>
      <c r="V656" s="85"/>
      <c r="W656" s="138"/>
      <c r="X656" s="139"/>
      <c r="Y656" s="139"/>
      <c r="Z656" s="139"/>
      <c r="AA656" s="139"/>
      <c r="AB656" s="139"/>
      <c r="AC656" s="139"/>
      <c r="AD656" s="139"/>
      <c r="AE656" s="139"/>
      <c r="AF656" s="139"/>
      <c r="AG656" s="139"/>
      <c r="AH656" s="139"/>
      <c r="AI656" s="139"/>
      <c r="AJ656" s="139"/>
      <c r="AK656" s="139"/>
      <c r="AL656" s="139"/>
      <c r="AM656" s="139"/>
      <c r="AN656" s="139"/>
      <c r="AO656" s="139"/>
    </row>
    <row r="657">
      <c r="A657" s="85"/>
      <c r="B657" s="690"/>
      <c r="C657" s="85"/>
      <c r="D657" s="85"/>
      <c r="E657" s="85"/>
      <c r="F657" s="85"/>
      <c r="G657" s="85"/>
      <c r="H657" s="85"/>
      <c r="I657" s="85"/>
      <c r="J657" s="85"/>
      <c r="K657" s="85"/>
      <c r="L657" s="85"/>
      <c r="M657" s="85"/>
      <c r="N657" s="85"/>
      <c r="O657" s="85"/>
      <c r="P657" s="85"/>
      <c r="Q657" s="138"/>
      <c r="R657" s="138"/>
      <c r="S657" s="138"/>
      <c r="T657" s="85"/>
      <c r="U657" s="85"/>
      <c r="V657" s="85"/>
      <c r="W657" s="138"/>
      <c r="X657" s="139"/>
      <c r="Y657" s="139"/>
      <c r="Z657" s="139"/>
      <c r="AA657" s="139"/>
      <c r="AB657" s="139"/>
      <c r="AC657" s="139"/>
      <c r="AD657" s="139"/>
      <c r="AE657" s="139"/>
      <c r="AF657" s="139"/>
      <c r="AG657" s="139"/>
      <c r="AH657" s="139"/>
      <c r="AI657" s="139"/>
      <c r="AJ657" s="139"/>
      <c r="AK657" s="139"/>
      <c r="AL657" s="139"/>
      <c r="AM657" s="139"/>
      <c r="AN657" s="139"/>
      <c r="AO657" s="139"/>
    </row>
    <row r="658">
      <c r="A658" s="85"/>
      <c r="B658" s="690"/>
      <c r="C658" s="85"/>
      <c r="D658" s="85"/>
      <c r="E658" s="85"/>
      <c r="F658" s="85"/>
      <c r="G658" s="85"/>
      <c r="H658" s="85"/>
      <c r="I658" s="85"/>
      <c r="J658" s="85"/>
      <c r="K658" s="85"/>
      <c r="L658" s="85"/>
      <c r="M658" s="85"/>
      <c r="N658" s="85"/>
      <c r="O658" s="85"/>
      <c r="P658" s="85"/>
      <c r="Q658" s="138"/>
      <c r="R658" s="138"/>
      <c r="S658" s="138"/>
      <c r="T658" s="85"/>
      <c r="U658" s="85"/>
      <c r="V658" s="85"/>
      <c r="W658" s="138"/>
      <c r="X658" s="139"/>
      <c r="Y658" s="139"/>
      <c r="Z658" s="139"/>
      <c r="AA658" s="139"/>
      <c r="AB658" s="139"/>
      <c r="AC658" s="139"/>
      <c r="AD658" s="139"/>
      <c r="AE658" s="139"/>
      <c r="AF658" s="139"/>
      <c r="AG658" s="139"/>
      <c r="AH658" s="139"/>
      <c r="AI658" s="139"/>
      <c r="AJ658" s="139"/>
      <c r="AK658" s="139"/>
      <c r="AL658" s="139"/>
      <c r="AM658" s="139"/>
      <c r="AN658" s="139"/>
      <c r="AO658" s="139"/>
    </row>
    <row r="659">
      <c r="A659" s="85"/>
      <c r="B659" s="690"/>
      <c r="C659" s="85"/>
      <c r="D659" s="85"/>
      <c r="E659" s="85"/>
      <c r="F659" s="85"/>
      <c r="G659" s="85"/>
      <c r="H659" s="85"/>
      <c r="I659" s="85"/>
      <c r="J659" s="85"/>
      <c r="K659" s="85"/>
      <c r="L659" s="85"/>
      <c r="M659" s="85"/>
      <c r="N659" s="85"/>
      <c r="O659" s="85"/>
      <c r="P659" s="85"/>
      <c r="Q659" s="138"/>
      <c r="R659" s="138"/>
      <c r="S659" s="138"/>
      <c r="T659" s="85"/>
      <c r="U659" s="85"/>
      <c r="V659" s="85"/>
      <c r="W659" s="138"/>
      <c r="X659" s="139"/>
      <c r="Y659" s="139"/>
      <c r="Z659" s="139"/>
      <c r="AA659" s="139"/>
      <c r="AB659" s="139"/>
      <c r="AC659" s="139"/>
      <c r="AD659" s="139"/>
      <c r="AE659" s="139"/>
      <c r="AF659" s="139"/>
      <c r="AG659" s="139"/>
      <c r="AH659" s="139"/>
      <c r="AI659" s="139"/>
      <c r="AJ659" s="139"/>
      <c r="AK659" s="139"/>
      <c r="AL659" s="139"/>
      <c r="AM659" s="139"/>
      <c r="AN659" s="139"/>
      <c r="AO659" s="139"/>
    </row>
    <row r="660">
      <c r="A660" s="94"/>
      <c r="B660" s="690"/>
      <c r="C660" s="94"/>
      <c r="D660" s="94"/>
      <c r="E660" s="94"/>
      <c r="F660" s="94"/>
      <c r="G660" s="94"/>
      <c r="H660" s="691"/>
      <c r="I660" s="691"/>
      <c r="J660" s="691"/>
      <c r="K660" s="85"/>
      <c r="L660" s="85"/>
      <c r="M660" s="85"/>
      <c r="N660" s="85"/>
      <c r="O660" s="85"/>
      <c r="P660" s="85"/>
      <c r="Q660" s="138"/>
      <c r="R660" s="138"/>
      <c r="S660" s="138"/>
      <c r="T660" s="85"/>
      <c r="U660" s="85"/>
      <c r="V660" s="85"/>
      <c r="W660" s="138"/>
      <c r="X660" s="139"/>
      <c r="Y660" s="139"/>
      <c r="Z660" s="139"/>
      <c r="AA660" s="139"/>
      <c r="AB660" s="139"/>
      <c r="AC660" s="139"/>
      <c r="AD660" s="139"/>
      <c r="AE660" s="139"/>
      <c r="AF660" s="139"/>
      <c r="AG660" s="139"/>
      <c r="AH660" s="139"/>
      <c r="AI660" s="139"/>
      <c r="AJ660" s="139"/>
      <c r="AK660" s="139"/>
      <c r="AL660" s="139"/>
      <c r="AM660" s="139"/>
      <c r="AN660" s="139"/>
      <c r="AO660" s="139"/>
    </row>
    <row r="661">
      <c r="A661" s="94"/>
      <c r="B661" s="690"/>
      <c r="C661" s="94"/>
      <c r="D661" s="94"/>
      <c r="E661" s="94"/>
      <c r="F661" s="94"/>
      <c r="G661" s="94"/>
      <c r="H661" s="691"/>
      <c r="I661" s="691"/>
      <c r="J661" s="691"/>
      <c r="K661" s="85"/>
      <c r="L661" s="85"/>
      <c r="M661" s="85"/>
      <c r="N661" s="85"/>
      <c r="O661" s="85"/>
      <c r="P661" s="85"/>
      <c r="Q661" s="138"/>
      <c r="R661" s="138"/>
      <c r="S661" s="138"/>
      <c r="T661" s="85"/>
      <c r="U661" s="85"/>
      <c r="V661" s="85"/>
      <c r="W661" s="138"/>
      <c r="X661" s="139"/>
      <c r="Y661" s="139"/>
      <c r="Z661" s="139"/>
      <c r="AA661" s="139"/>
      <c r="AB661" s="139"/>
      <c r="AC661" s="139"/>
      <c r="AD661" s="139"/>
      <c r="AE661" s="139"/>
      <c r="AF661" s="139"/>
      <c r="AG661" s="139"/>
      <c r="AH661" s="139"/>
      <c r="AI661" s="139"/>
      <c r="AJ661" s="139"/>
      <c r="AK661" s="139"/>
      <c r="AL661" s="139"/>
      <c r="AM661" s="139"/>
      <c r="AN661" s="139"/>
      <c r="AO661" s="139"/>
    </row>
    <row r="662">
      <c r="A662" s="94"/>
      <c r="B662" s="690"/>
      <c r="C662" s="94"/>
      <c r="D662" s="94"/>
      <c r="E662" s="94"/>
      <c r="F662" s="94"/>
      <c r="G662" s="94"/>
      <c r="H662" s="691"/>
      <c r="I662" s="691"/>
      <c r="J662" s="691"/>
      <c r="K662" s="85"/>
      <c r="L662" s="85"/>
      <c r="M662" s="85"/>
      <c r="N662" s="85"/>
      <c r="O662" s="85"/>
      <c r="P662" s="85"/>
      <c r="Q662" s="138"/>
      <c r="R662" s="138"/>
      <c r="S662" s="138"/>
      <c r="T662" s="85"/>
      <c r="U662" s="85"/>
      <c r="V662" s="85"/>
      <c r="W662" s="138"/>
      <c r="X662" s="139"/>
      <c r="Y662" s="139"/>
      <c r="Z662" s="139"/>
      <c r="AA662" s="139"/>
      <c r="AB662" s="139"/>
      <c r="AC662" s="139"/>
      <c r="AD662" s="139"/>
      <c r="AE662" s="139"/>
      <c r="AF662" s="139"/>
      <c r="AG662" s="139"/>
      <c r="AH662" s="139"/>
      <c r="AI662" s="139"/>
      <c r="AJ662" s="139"/>
      <c r="AK662" s="139"/>
      <c r="AL662" s="139"/>
      <c r="AM662" s="139"/>
      <c r="AN662" s="139"/>
      <c r="AO662" s="139"/>
    </row>
    <row r="663">
      <c r="A663" s="94"/>
      <c r="B663" s="690"/>
      <c r="C663" s="94"/>
      <c r="D663" s="94"/>
      <c r="E663" s="94"/>
      <c r="F663" s="94"/>
      <c r="G663" s="94"/>
      <c r="H663" s="691"/>
      <c r="I663" s="691"/>
      <c r="J663" s="691"/>
      <c r="K663" s="85"/>
      <c r="L663" s="85"/>
      <c r="M663" s="85"/>
      <c r="N663" s="85"/>
      <c r="O663" s="85"/>
      <c r="P663" s="85"/>
      <c r="Q663" s="138"/>
      <c r="R663" s="138"/>
      <c r="S663" s="138"/>
      <c r="T663" s="85"/>
      <c r="U663" s="85"/>
      <c r="V663" s="85"/>
      <c r="W663" s="138"/>
      <c r="X663" s="139"/>
      <c r="Y663" s="139"/>
      <c r="Z663" s="139"/>
      <c r="AA663" s="139"/>
      <c r="AB663" s="139"/>
      <c r="AC663" s="139"/>
      <c r="AD663" s="139"/>
      <c r="AE663" s="139"/>
      <c r="AF663" s="139"/>
      <c r="AG663" s="139"/>
      <c r="AH663" s="139"/>
      <c r="AI663" s="139"/>
      <c r="AJ663" s="139"/>
      <c r="AK663" s="139"/>
      <c r="AL663" s="139"/>
      <c r="AM663" s="139"/>
      <c r="AN663" s="139"/>
      <c r="AO663" s="139"/>
    </row>
    <row r="664">
      <c r="A664" s="94"/>
      <c r="B664" s="690"/>
      <c r="C664" s="94"/>
      <c r="D664" s="94"/>
      <c r="E664" s="94"/>
      <c r="F664" s="94"/>
      <c r="G664" s="94"/>
      <c r="H664" s="691"/>
      <c r="I664" s="691"/>
      <c r="J664" s="691"/>
      <c r="K664" s="85"/>
      <c r="L664" s="85"/>
      <c r="M664" s="85"/>
      <c r="N664" s="85"/>
      <c r="O664" s="85"/>
      <c r="P664" s="85"/>
      <c r="Q664" s="138"/>
      <c r="R664" s="138"/>
      <c r="S664" s="138"/>
      <c r="T664" s="85"/>
      <c r="U664" s="85"/>
      <c r="V664" s="85"/>
      <c r="W664" s="138"/>
      <c r="X664" s="139"/>
      <c r="Y664" s="139"/>
      <c r="Z664" s="139"/>
      <c r="AA664" s="139"/>
      <c r="AB664" s="139"/>
      <c r="AC664" s="139"/>
      <c r="AD664" s="139"/>
      <c r="AE664" s="139"/>
      <c r="AF664" s="139"/>
      <c r="AG664" s="139"/>
      <c r="AH664" s="139"/>
      <c r="AI664" s="139"/>
      <c r="AJ664" s="139"/>
      <c r="AK664" s="139"/>
      <c r="AL664" s="139"/>
      <c r="AM664" s="139"/>
      <c r="AN664" s="139"/>
      <c r="AO664" s="139"/>
    </row>
    <row r="665">
      <c r="A665" s="94"/>
      <c r="B665" s="690"/>
      <c r="C665" s="94"/>
      <c r="D665" s="94"/>
      <c r="E665" s="94"/>
      <c r="F665" s="94"/>
      <c r="G665" s="94"/>
      <c r="H665" s="691"/>
      <c r="I665" s="691"/>
      <c r="J665" s="691"/>
      <c r="K665" s="85"/>
      <c r="L665" s="85"/>
      <c r="M665" s="85"/>
      <c r="N665" s="85"/>
      <c r="O665" s="85"/>
      <c r="P665" s="85"/>
      <c r="Q665" s="138"/>
      <c r="R665" s="138"/>
      <c r="S665" s="138"/>
      <c r="T665" s="85"/>
      <c r="U665" s="85"/>
      <c r="V665" s="85"/>
      <c r="W665" s="138"/>
      <c r="X665" s="139"/>
      <c r="Y665" s="139"/>
      <c r="Z665" s="139"/>
      <c r="AA665" s="139"/>
      <c r="AB665" s="139"/>
      <c r="AC665" s="139"/>
      <c r="AD665" s="139"/>
      <c r="AE665" s="139"/>
      <c r="AF665" s="139"/>
      <c r="AG665" s="139"/>
      <c r="AH665" s="139"/>
      <c r="AI665" s="139"/>
      <c r="AJ665" s="139"/>
      <c r="AK665" s="139"/>
      <c r="AL665" s="139"/>
      <c r="AM665" s="139"/>
      <c r="AN665" s="139"/>
      <c r="AO665" s="139"/>
    </row>
    <row r="666">
      <c r="A666" s="94"/>
      <c r="B666" s="690"/>
      <c r="C666" s="94"/>
      <c r="D666" s="94"/>
      <c r="E666" s="94"/>
      <c r="F666" s="94"/>
      <c r="G666" s="94"/>
      <c r="H666" s="691"/>
      <c r="I666" s="691"/>
      <c r="J666" s="691"/>
      <c r="K666" s="85"/>
      <c r="L666" s="85"/>
      <c r="M666" s="85"/>
      <c r="N666" s="85"/>
      <c r="O666" s="85"/>
      <c r="P666" s="85"/>
      <c r="Q666" s="138"/>
      <c r="R666" s="138"/>
      <c r="S666" s="138"/>
      <c r="T666" s="85"/>
      <c r="U666" s="85"/>
      <c r="V666" s="85"/>
      <c r="W666" s="138"/>
      <c r="X666" s="139"/>
      <c r="Y666" s="139"/>
      <c r="Z666" s="139"/>
      <c r="AA666" s="139"/>
      <c r="AB666" s="139"/>
      <c r="AC666" s="139"/>
      <c r="AD666" s="139"/>
      <c r="AE666" s="139"/>
      <c r="AF666" s="139"/>
      <c r="AG666" s="139"/>
      <c r="AH666" s="139"/>
      <c r="AI666" s="139"/>
      <c r="AJ666" s="139"/>
      <c r="AK666" s="139"/>
      <c r="AL666" s="139"/>
      <c r="AM666" s="139"/>
      <c r="AN666" s="139"/>
      <c r="AO666" s="139"/>
    </row>
    <row r="667">
      <c r="A667" s="94"/>
      <c r="B667" s="690"/>
      <c r="C667" s="94"/>
      <c r="D667" s="94"/>
      <c r="E667" s="94"/>
      <c r="F667" s="94"/>
      <c r="G667" s="94"/>
      <c r="H667" s="691"/>
      <c r="I667" s="691"/>
      <c r="J667" s="691"/>
      <c r="K667" s="85"/>
      <c r="L667" s="85"/>
      <c r="M667" s="85"/>
      <c r="N667" s="85"/>
      <c r="O667" s="85"/>
      <c r="P667" s="85"/>
      <c r="Q667" s="138"/>
      <c r="R667" s="138"/>
      <c r="S667" s="138"/>
      <c r="T667" s="85"/>
      <c r="U667" s="85"/>
      <c r="V667" s="85"/>
      <c r="W667" s="138"/>
      <c r="X667" s="139"/>
      <c r="Y667" s="139"/>
      <c r="Z667" s="139"/>
      <c r="AA667" s="139"/>
      <c r="AB667" s="139"/>
      <c r="AC667" s="139"/>
      <c r="AD667" s="139"/>
      <c r="AE667" s="139"/>
      <c r="AF667" s="139"/>
      <c r="AG667" s="139"/>
      <c r="AH667" s="139"/>
      <c r="AI667" s="139"/>
      <c r="AJ667" s="139"/>
      <c r="AK667" s="139"/>
      <c r="AL667" s="139"/>
      <c r="AM667" s="139"/>
      <c r="AN667" s="139"/>
      <c r="AO667" s="139"/>
    </row>
    <row r="668">
      <c r="A668" s="94"/>
      <c r="B668" s="690"/>
      <c r="C668" s="94"/>
      <c r="D668" s="94"/>
      <c r="E668" s="94"/>
      <c r="F668" s="94"/>
      <c r="G668" s="94"/>
      <c r="H668" s="691"/>
      <c r="I668" s="691"/>
      <c r="J668" s="691"/>
      <c r="K668" s="85"/>
      <c r="L668" s="85"/>
      <c r="M668" s="85"/>
      <c r="N668" s="85"/>
      <c r="O668" s="85"/>
      <c r="P668" s="85"/>
      <c r="Q668" s="138"/>
      <c r="R668" s="138"/>
      <c r="S668" s="138"/>
      <c r="T668" s="85"/>
      <c r="U668" s="85"/>
      <c r="V668" s="85"/>
      <c r="W668" s="138"/>
      <c r="X668" s="139"/>
      <c r="Y668" s="139"/>
      <c r="Z668" s="139"/>
      <c r="AA668" s="139"/>
      <c r="AB668" s="139"/>
      <c r="AC668" s="139"/>
      <c r="AD668" s="139"/>
      <c r="AE668" s="139"/>
      <c r="AF668" s="139"/>
      <c r="AG668" s="139"/>
      <c r="AH668" s="139"/>
      <c r="AI668" s="139"/>
      <c r="AJ668" s="139"/>
      <c r="AK668" s="139"/>
      <c r="AL668" s="139"/>
      <c r="AM668" s="139"/>
      <c r="AN668" s="139"/>
      <c r="AO668" s="139"/>
    </row>
    <row r="669">
      <c r="A669" s="94"/>
      <c r="B669" s="690"/>
      <c r="C669" s="94"/>
      <c r="D669" s="94"/>
      <c r="E669" s="94"/>
      <c r="F669" s="94"/>
      <c r="G669" s="94"/>
      <c r="H669" s="691"/>
      <c r="I669" s="691"/>
      <c r="J669" s="691"/>
      <c r="K669" s="85"/>
      <c r="L669" s="85"/>
      <c r="M669" s="85"/>
      <c r="N669" s="85"/>
      <c r="O669" s="85"/>
      <c r="P669" s="85"/>
      <c r="Q669" s="138"/>
      <c r="R669" s="138"/>
      <c r="S669" s="138"/>
      <c r="T669" s="85"/>
      <c r="U669" s="85"/>
      <c r="V669" s="85"/>
      <c r="W669" s="138"/>
      <c r="X669" s="139"/>
      <c r="Y669" s="139"/>
      <c r="Z669" s="139"/>
      <c r="AA669" s="139"/>
      <c r="AB669" s="139"/>
      <c r="AC669" s="139"/>
      <c r="AD669" s="139"/>
      <c r="AE669" s="139"/>
      <c r="AF669" s="139"/>
      <c r="AG669" s="139"/>
      <c r="AH669" s="139"/>
      <c r="AI669" s="139"/>
      <c r="AJ669" s="139"/>
      <c r="AK669" s="139"/>
      <c r="AL669" s="139"/>
      <c r="AM669" s="139"/>
      <c r="AN669" s="139"/>
      <c r="AO669" s="139"/>
    </row>
    <row r="670">
      <c r="A670" s="94"/>
      <c r="B670" s="690"/>
      <c r="C670" s="94"/>
      <c r="D670" s="94"/>
      <c r="E670" s="94"/>
      <c r="F670" s="94"/>
      <c r="G670" s="94"/>
      <c r="H670" s="691"/>
      <c r="I670" s="691"/>
      <c r="J670" s="691"/>
      <c r="K670" s="85"/>
      <c r="L670" s="85"/>
      <c r="M670" s="85"/>
      <c r="N670" s="85"/>
      <c r="O670" s="85"/>
      <c r="P670" s="85"/>
      <c r="Q670" s="138"/>
      <c r="R670" s="138"/>
      <c r="S670" s="138"/>
      <c r="T670" s="85"/>
      <c r="U670" s="85"/>
      <c r="V670" s="85"/>
      <c r="W670" s="138"/>
      <c r="X670" s="139"/>
      <c r="Y670" s="139"/>
      <c r="Z670" s="139"/>
      <c r="AA670" s="139"/>
      <c r="AB670" s="139"/>
      <c r="AC670" s="139"/>
      <c r="AD670" s="139"/>
      <c r="AE670" s="139"/>
      <c r="AF670" s="139"/>
      <c r="AG670" s="139"/>
      <c r="AH670" s="139"/>
      <c r="AI670" s="139"/>
      <c r="AJ670" s="139"/>
      <c r="AK670" s="139"/>
      <c r="AL670" s="139"/>
      <c r="AM670" s="139"/>
      <c r="AN670" s="139"/>
      <c r="AO670" s="139"/>
    </row>
    <row r="671">
      <c r="A671" s="94"/>
      <c r="B671" s="690"/>
      <c r="C671" s="94"/>
      <c r="D671" s="94"/>
      <c r="E671" s="94"/>
      <c r="F671" s="94"/>
      <c r="G671" s="94"/>
      <c r="H671" s="691"/>
      <c r="I671" s="691"/>
      <c r="J671" s="691"/>
      <c r="K671" s="85"/>
      <c r="L671" s="85"/>
      <c r="M671" s="85"/>
      <c r="N671" s="85"/>
      <c r="O671" s="85"/>
      <c r="P671" s="85"/>
      <c r="Q671" s="138"/>
      <c r="R671" s="138"/>
      <c r="S671" s="138"/>
      <c r="T671" s="85"/>
      <c r="U671" s="85"/>
      <c r="V671" s="85"/>
      <c r="W671" s="138"/>
      <c r="X671" s="139"/>
      <c r="Y671" s="139"/>
      <c r="Z671" s="139"/>
      <c r="AA671" s="139"/>
      <c r="AB671" s="139"/>
      <c r="AC671" s="139"/>
      <c r="AD671" s="139"/>
      <c r="AE671" s="139"/>
      <c r="AF671" s="139"/>
      <c r="AG671" s="139"/>
      <c r="AH671" s="139"/>
      <c r="AI671" s="139"/>
      <c r="AJ671" s="139"/>
      <c r="AK671" s="139"/>
      <c r="AL671" s="139"/>
      <c r="AM671" s="139"/>
      <c r="AN671" s="139"/>
      <c r="AO671" s="139"/>
    </row>
    <row r="672">
      <c r="A672" s="94"/>
      <c r="B672" s="690"/>
      <c r="C672" s="94"/>
      <c r="D672" s="94"/>
      <c r="E672" s="94"/>
      <c r="F672" s="94"/>
      <c r="G672" s="94"/>
      <c r="H672" s="691"/>
      <c r="I672" s="691"/>
      <c r="J672" s="691"/>
      <c r="K672" s="85"/>
      <c r="L672" s="85"/>
      <c r="M672" s="85"/>
      <c r="N672" s="85"/>
      <c r="O672" s="85"/>
      <c r="P672" s="85"/>
      <c r="Q672" s="138"/>
      <c r="R672" s="138"/>
      <c r="S672" s="138"/>
      <c r="T672" s="85"/>
      <c r="U672" s="85"/>
      <c r="V672" s="85"/>
      <c r="W672" s="138"/>
      <c r="X672" s="139"/>
      <c r="Y672" s="139"/>
      <c r="Z672" s="139"/>
      <c r="AA672" s="139"/>
      <c r="AB672" s="139"/>
      <c r="AC672" s="139"/>
      <c r="AD672" s="139"/>
      <c r="AE672" s="139"/>
      <c r="AF672" s="139"/>
      <c r="AG672" s="139"/>
      <c r="AH672" s="139"/>
      <c r="AI672" s="139"/>
      <c r="AJ672" s="139"/>
      <c r="AK672" s="139"/>
      <c r="AL672" s="139"/>
      <c r="AM672" s="139"/>
      <c r="AN672" s="139"/>
      <c r="AO672" s="139"/>
    </row>
    <row r="673">
      <c r="A673" s="94"/>
      <c r="B673" s="690"/>
      <c r="C673" s="94"/>
      <c r="D673" s="94"/>
      <c r="E673" s="94"/>
      <c r="F673" s="94"/>
      <c r="G673" s="94"/>
      <c r="H673" s="691"/>
      <c r="I673" s="691"/>
      <c r="J673" s="691"/>
      <c r="K673" s="85"/>
      <c r="L673" s="85"/>
      <c r="M673" s="85"/>
      <c r="N673" s="85"/>
      <c r="O673" s="85"/>
      <c r="P673" s="85"/>
      <c r="Q673" s="138"/>
      <c r="R673" s="138"/>
      <c r="S673" s="138"/>
      <c r="T673" s="85"/>
      <c r="U673" s="85"/>
      <c r="V673" s="85"/>
      <c r="W673" s="138"/>
      <c r="X673" s="139"/>
      <c r="Y673" s="139"/>
      <c r="Z673" s="139"/>
      <c r="AA673" s="139"/>
      <c r="AB673" s="139"/>
      <c r="AC673" s="139"/>
      <c r="AD673" s="139"/>
      <c r="AE673" s="139"/>
      <c r="AF673" s="139"/>
      <c r="AG673" s="139"/>
      <c r="AH673" s="139"/>
      <c r="AI673" s="139"/>
      <c r="AJ673" s="139"/>
      <c r="AK673" s="139"/>
      <c r="AL673" s="139"/>
      <c r="AM673" s="139"/>
      <c r="AN673" s="139"/>
      <c r="AO673" s="139"/>
    </row>
    <row r="674">
      <c r="A674" s="94"/>
      <c r="B674" s="690"/>
      <c r="C674" s="94"/>
      <c r="D674" s="94"/>
      <c r="E674" s="94"/>
      <c r="F674" s="94"/>
      <c r="G674" s="94"/>
      <c r="H674" s="691"/>
      <c r="I674" s="691"/>
      <c r="J674" s="691"/>
      <c r="K674" s="85"/>
      <c r="L674" s="85"/>
      <c r="M674" s="85"/>
      <c r="N674" s="85"/>
      <c r="O674" s="85"/>
      <c r="P674" s="85"/>
      <c r="Q674" s="138"/>
      <c r="R674" s="138"/>
      <c r="S674" s="138"/>
      <c r="T674" s="85"/>
      <c r="U674" s="85"/>
      <c r="V674" s="85"/>
      <c r="W674" s="138"/>
      <c r="X674" s="139"/>
      <c r="Y674" s="139"/>
      <c r="Z674" s="139"/>
      <c r="AA674" s="139"/>
      <c r="AB674" s="139"/>
      <c r="AC674" s="139"/>
      <c r="AD674" s="139"/>
      <c r="AE674" s="139"/>
      <c r="AF674" s="139"/>
      <c r="AG674" s="139"/>
      <c r="AH674" s="139"/>
      <c r="AI674" s="139"/>
      <c r="AJ674" s="139"/>
      <c r="AK674" s="139"/>
      <c r="AL674" s="139"/>
      <c r="AM674" s="139"/>
      <c r="AN674" s="139"/>
      <c r="AO674" s="139"/>
    </row>
    <row r="675">
      <c r="A675" s="94"/>
      <c r="B675" s="690"/>
      <c r="C675" s="94"/>
      <c r="D675" s="94"/>
      <c r="E675" s="94"/>
      <c r="F675" s="94"/>
      <c r="G675" s="94"/>
      <c r="H675" s="691"/>
      <c r="I675" s="691"/>
      <c r="J675" s="691"/>
      <c r="K675" s="85"/>
      <c r="L675" s="85"/>
      <c r="M675" s="85"/>
      <c r="N675" s="85"/>
      <c r="O675" s="85"/>
      <c r="P675" s="85"/>
      <c r="Q675" s="138"/>
      <c r="R675" s="138"/>
      <c r="S675" s="138"/>
      <c r="T675" s="85"/>
      <c r="U675" s="85"/>
      <c r="V675" s="85"/>
      <c r="W675" s="138"/>
      <c r="X675" s="139"/>
      <c r="Y675" s="139"/>
      <c r="Z675" s="139"/>
      <c r="AA675" s="139"/>
      <c r="AB675" s="139"/>
      <c r="AC675" s="139"/>
      <c r="AD675" s="139"/>
      <c r="AE675" s="139"/>
      <c r="AF675" s="139"/>
      <c r="AG675" s="139"/>
      <c r="AH675" s="139"/>
      <c r="AI675" s="139"/>
      <c r="AJ675" s="139"/>
      <c r="AK675" s="139"/>
      <c r="AL675" s="139"/>
      <c r="AM675" s="139"/>
      <c r="AN675" s="139"/>
      <c r="AO675" s="139"/>
    </row>
    <row r="676">
      <c r="A676" s="94"/>
      <c r="B676" s="690"/>
      <c r="C676" s="94"/>
      <c r="D676" s="94"/>
      <c r="E676" s="94"/>
      <c r="F676" s="94"/>
      <c r="G676" s="94"/>
      <c r="H676" s="691"/>
      <c r="I676" s="691"/>
      <c r="J676" s="691"/>
      <c r="K676" s="85"/>
      <c r="L676" s="85"/>
      <c r="M676" s="85"/>
      <c r="N676" s="85"/>
      <c r="O676" s="85"/>
      <c r="P676" s="85"/>
      <c r="Q676" s="138"/>
      <c r="R676" s="138"/>
      <c r="S676" s="138"/>
      <c r="T676" s="85"/>
      <c r="U676" s="85"/>
      <c r="V676" s="85"/>
      <c r="W676" s="138"/>
      <c r="X676" s="139"/>
      <c r="Y676" s="139"/>
      <c r="Z676" s="139"/>
      <c r="AA676" s="139"/>
      <c r="AB676" s="139"/>
      <c r="AC676" s="139"/>
      <c r="AD676" s="139"/>
      <c r="AE676" s="139"/>
      <c r="AF676" s="139"/>
      <c r="AG676" s="139"/>
      <c r="AH676" s="139"/>
      <c r="AI676" s="139"/>
      <c r="AJ676" s="139"/>
      <c r="AK676" s="139"/>
      <c r="AL676" s="139"/>
      <c r="AM676" s="139"/>
      <c r="AN676" s="139"/>
      <c r="AO676" s="139"/>
    </row>
    <row r="677">
      <c r="A677" s="94"/>
      <c r="B677" s="690"/>
      <c r="C677" s="94"/>
      <c r="D677" s="94"/>
      <c r="E677" s="94"/>
      <c r="F677" s="94"/>
      <c r="G677" s="94"/>
      <c r="H677" s="691"/>
      <c r="I677" s="691"/>
      <c r="J677" s="691"/>
      <c r="K677" s="85"/>
      <c r="L677" s="85"/>
      <c r="M677" s="85"/>
      <c r="N677" s="85"/>
      <c r="O677" s="85"/>
      <c r="P677" s="85"/>
      <c r="Q677" s="138"/>
      <c r="R677" s="138"/>
      <c r="S677" s="138"/>
      <c r="T677" s="85"/>
      <c r="U677" s="85"/>
      <c r="V677" s="85"/>
      <c r="W677" s="138"/>
      <c r="X677" s="139"/>
      <c r="Y677" s="139"/>
      <c r="Z677" s="139"/>
      <c r="AA677" s="139"/>
      <c r="AB677" s="139"/>
      <c r="AC677" s="139"/>
      <c r="AD677" s="139"/>
      <c r="AE677" s="139"/>
      <c r="AF677" s="139"/>
      <c r="AG677" s="139"/>
      <c r="AH677" s="139"/>
      <c r="AI677" s="139"/>
      <c r="AJ677" s="139"/>
      <c r="AK677" s="139"/>
      <c r="AL677" s="139"/>
      <c r="AM677" s="139"/>
      <c r="AN677" s="139"/>
      <c r="AO677" s="139"/>
    </row>
    <row r="678">
      <c r="A678" s="94"/>
      <c r="B678" s="690"/>
      <c r="C678" s="94"/>
      <c r="D678" s="94"/>
      <c r="E678" s="94"/>
      <c r="F678" s="94"/>
      <c r="G678" s="94"/>
      <c r="H678" s="691"/>
      <c r="I678" s="691"/>
      <c r="J678" s="691"/>
      <c r="K678" s="85"/>
      <c r="L678" s="85"/>
      <c r="M678" s="85"/>
      <c r="N678" s="85"/>
      <c r="O678" s="85"/>
      <c r="P678" s="85"/>
      <c r="Q678" s="138"/>
      <c r="R678" s="138"/>
      <c r="S678" s="138"/>
      <c r="T678" s="85"/>
      <c r="U678" s="85"/>
      <c r="V678" s="85"/>
      <c r="W678" s="138"/>
      <c r="X678" s="139"/>
      <c r="Y678" s="139"/>
      <c r="Z678" s="139"/>
      <c r="AA678" s="139"/>
      <c r="AB678" s="139"/>
      <c r="AC678" s="139"/>
      <c r="AD678" s="139"/>
      <c r="AE678" s="139"/>
      <c r="AF678" s="139"/>
      <c r="AG678" s="139"/>
      <c r="AH678" s="139"/>
      <c r="AI678" s="139"/>
      <c r="AJ678" s="139"/>
      <c r="AK678" s="139"/>
      <c r="AL678" s="139"/>
      <c r="AM678" s="139"/>
      <c r="AN678" s="139"/>
      <c r="AO678" s="139"/>
    </row>
    <row r="679">
      <c r="A679" s="94"/>
      <c r="B679" s="690"/>
      <c r="C679" s="94"/>
      <c r="D679" s="94"/>
      <c r="E679" s="94"/>
      <c r="F679" s="94"/>
      <c r="G679" s="94"/>
      <c r="H679" s="691"/>
      <c r="I679" s="691"/>
      <c r="J679" s="691"/>
      <c r="K679" s="85"/>
      <c r="L679" s="85"/>
      <c r="M679" s="85"/>
      <c r="N679" s="85"/>
      <c r="O679" s="85"/>
      <c r="P679" s="85"/>
      <c r="Q679" s="138"/>
      <c r="R679" s="138"/>
      <c r="S679" s="138"/>
      <c r="T679" s="85"/>
      <c r="U679" s="85"/>
      <c r="V679" s="85"/>
      <c r="W679" s="138"/>
      <c r="X679" s="139"/>
      <c r="Y679" s="139"/>
      <c r="Z679" s="139"/>
      <c r="AA679" s="139"/>
      <c r="AB679" s="139"/>
      <c r="AC679" s="139"/>
      <c r="AD679" s="139"/>
      <c r="AE679" s="139"/>
      <c r="AF679" s="139"/>
      <c r="AG679" s="139"/>
      <c r="AH679" s="139"/>
      <c r="AI679" s="139"/>
      <c r="AJ679" s="139"/>
      <c r="AK679" s="139"/>
      <c r="AL679" s="139"/>
      <c r="AM679" s="139"/>
      <c r="AN679" s="139"/>
      <c r="AO679" s="139"/>
    </row>
    <row r="680">
      <c r="A680" s="94"/>
      <c r="B680" s="690"/>
      <c r="C680" s="94"/>
      <c r="D680" s="94"/>
      <c r="E680" s="94"/>
      <c r="F680" s="94"/>
      <c r="G680" s="94"/>
      <c r="H680" s="691"/>
      <c r="I680" s="691"/>
      <c r="J680" s="691"/>
      <c r="K680" s="85"/>
      <c r="L680" s="85"/>
      <c r="M680" s="85"/>
      <c r="N680" s="85"/>
      <c r="O680" s="85"/>
      <c r="P680" s="85"/>
      <c r="Q680" s="138"/>
      <c r="R680" s="138"/>
      <c r="S680" s="138"/>
      <c r="T680" s="85"/>
      <c r="U680" s="85"/>
      <c r="V680" s="85"/>
      <c r="W680" s="138"/>
      <c r="X680" s="139"/>
      <c r="Y680" s="139"/>
      <c r="Z680" s="139"/>
      <c r="AA680" s="139"/>
      <c r="AB680" s="139"/>
      <c r="AC680" s="139"/>
      <c r="AD680" s="139"/>
      <c r="AE680" s="139"/>
      <c r="AF680" s="139"/>
      <c r="AG680" s="139"/>
      <c r="AH680" s="139"/>
      <c r="AI680" s="139"/>
      <c r="AJ680" s="139"/>
      <c r="AK680" s="139"/>
      <c r="AL680" s="139"/>
      <c r="AM680" s="139"/>
      <c r="AN680" s="139"/>
      <c r="AO680" s="139"/>
    </row>
    <row r="681">
      <c r="A681" s="94"/>
      <c r="B681" s="690"/>
      <c r="C681" s="94"/>
      <c r="D681" s="94"/>
      <c r="E681" s="94"/>
      <c r="F681" s="94"/>
      <c r="G681" s="94"/>
      <c r="H681" s="691"/>
      <c r="I681" s="691"/>
      <c r="J681" s="691"/>
      <c r="K681" s="85"/>
      <c r="L681" s="85"/>
      <c r="M681" s="85"/>
      <c r="N681" s="85"/>
      <c r="O681" s="85"/>
      <c r="P681" s="85"/>
      <c r="Q681" s="138"/>
      <c r="R681" s="138"/>
      <c r="S681" s="138"/>
      <c r="T681" s="85"/>
      <c r="U681" s="85"/>
      <c r="V681" s="85"/>
      <c r="W681" s="138"/>
      <c r="X681" s="139"/>
      <c r="Y681" s="139"/>
      <c r="Z681" s="139"/>
      <c r="AA681" s="139"/>
      <c r="AB681" s="139"/>
      <c r="AC681" s="139"/>
      <c r="AD681" s="139"/>
      <c r="AE681" s="139"/>
      <c r="AF681" s="139"/>
      <c r="AG681" s="139"/>
      <c r="AH681" s="139"/>
      <c r="AI681" s="139"/>
      <c r="AJ681" s="139"/>
      <c r="AK681" s="139"/>
      <c r="AL681" s="139"/>
      <c r="AM681" s="139"/>
      <c r="AN681" s="139"/>
      <c r="AO681" s="139"/>
    </row>
    <row r="682">
      <c r="A682" s="94"/>
      <c r="B682" s="690"/>
      <c r="C682" s="94"/>
      <c r="D682" s="94"/>
      <c r="E682" s="94"/>
      <c r="F682" s="94"/>
      <c r="G682" s="94"/>
      <c r="H682" s="691"/>
      <c r="I682" s="691"/>
      <c r="J682" s="691"/>
      <c r="K682" s="85"/>
      <c r="L682" s="85"/>
      <c r="M682" s="85"/>
      <c r="N682" s="85"/>
      <c r="O682" s="85"/>
      <c r="P682" s="85"/>
      <c r="Q682" s="138"/>
      <c r="R682" s="138"/>
      <c r="S682" s="138"/>
      <c r="T682" s="85"/>
      <c r="U682" s="85"/>
      <c r="V682" s="85"/>
      <c r="W682" s="138"/>
      <c r="X682" s="139"/>
      <c r="Y682" s="139"/>
      <c r="Z682" s="139"/>
      <c r="AA682" s="139"/>
      <c r="AB682" s="139"/>
      <c r="AC682" s="139"/>
      <c r="AD682" s="139"/>
      <c r="AE682" s="139"/>
      <c r="AF682" s="139"/>
      <c r="AG682" s="139"/>
      <c r="AH682" s="139"/>
      <c r="AI682" s="139"/>
      <c r="AJ682" s="139"/>
      <c r="AK682" s="139"/>
      <c r="AL682" s="139"/>
      <c r="AM682" s="139"/>
      <c r="AN682" s="139"/>
      <c r="AO682" s="139"/>
    </row>
    <row r="683">
      <c r="A683" s="94"/>
      <c r="B683" s="690"/>
      <c r="C683" s="94"/>
      <c r="D683" s="94"/>
      <c r="E683" s="94"/>
      <c r="F683" s="94"/>
      <c r="G683" s="94"/>
      <c r="H683" s="691"/>
      <c r="I683" s="691"/>
      <c r="J683" s="691"/>
      <c r="K683" s="85"/>
      <c r="L683" s="85"/>
      <c r="M683" s="85"/>
      <c r="N683" s="85"/>
      <c r="O683" s="85"/>
      <c r="P683" s="85"/>
      <c r="Q683" s="138"/>
      <c r="R683" s="138"/>
      <c r="S683" s="138"/>
      <c r="T683" s="85"/>
      <c r="U683" s="85"/>
      <c r="V683" s="85"/>
      <c r="W683" s="138"/>
      <c r="X683" s="139"/>
      <c r="Y683" s="139"/>
      <c r="Z683" s="139"/>
      <c r="AA683" s="139"/>
      <c r="AB683" s="139"/>
      <c r="AC683" s="139"/>
      <c r="AD683" s="139"/>
      <c r="AE683" s="139"/>
      <c r="AF683" s="139"/>
      <c r="AG683" s="139"/>
      <c r="AH683" s="139"/>
      <c r="AI683" s="139"/>
      <c r="AJ683" s="139"/>
      <c r="AK683" s="139"/>
      <c r="AL683" s="139"/>
      <c r="AM683" s="139"/>
      <c r="AN683" s="139"/>
      <c r="AO683" s="139"/>
    </row>
    <row r="684">
      <c r="A684" s="94"/>
      <c r="B684" s="690"/>
      <c r="C684" s="94"/>
      <c r="D684" s="94"/>
      <c r="E684" s="94"/>
      <c r="F684" s="94"/>
      <c r="G684" s="94"/>
      <c r="H684" s="691"/>
      <c r="I684" s="691"/>
      <c r="J684" s="691"/>
      <c r="K684" s="85"/>
      <c r="L684" s="85"/>
      <c r="M684" s="85"/>
      <c r="N684" s="85"/>
      <c r="O684" s="85"/>
      <c r="P684" s="85"/>
      <c r="Q684" s="138"/>
      <c r="R684" s="138"/>
      <c r="S684" s="138"/>
      <c r="T684" s="85"/>
      <c r="U684" s="85"/>
      <c r="V684" s="85"/>
      <c r="W684" s="138"/>
      <c r="X684" s="139"/>
      <c r="Y684" s="139"/>
      <c r="Z684" s="139"/>
      <c r="AA684" s="139"/>
      <c r="AB684" s="139"/>
      <c r="AC684" s="139"/>
      <c r="AD684" s="139"/>
      <c r="AE684" s="139"/>
      <c r="AF684" s="139"/>
      <c r="AG684" s="139"/>
      <c r="AH684" s="139"/>
      <c r="AI684" s="139"/>
      <c r="AJ684" s="139"/>
      <c r="AK684" s="139"/>
      <c r="AL684" s="139"/>
      <c r="AM684" s="139"/>
      <c r="AN684" s="139"/>
      <c r="AO684" s="139"/>
    </row>
    <row r="685">
      <c r="A685" s="94"/>
      <c r="B685" s="690"/>
      <c r="C685" s="94"/>
      <c r="D685" s="94"/>
      <c r="E685" s="94"/>
      <c r="F685" s="94"/>
      <c r="G685" s="94"/>
      <c r="H685" s="691"/>
      <c r="I685" s="691"/>
      <c r="J685" s="691"/>
      <c r="K685" s="85"/>
      <c r="L685" s="85"/>
      <c r="M685" s="85"/>
      <c r="N685" s="85"/>
      <c r="O685" s="85"/>
      <c r="P685" s="85"/>
      <c r="Q685" s="138"/>
      <c r="R685" s="138"/>
      <c r="S685" s="138"/>
      <c r="T685" s="85"/>
      <c r="U685" s="85"/>
      <c r="V685" s="85"/>
      <c r="W685" s="138"/>
      <c r="X685" s="139"/>
      <c r="Y685" s="139"/>
      <c r="Z685" s="139"/>
      <c r="AA685" s="139"/>
      <c r="AB685" s="139"/>
      <c r="AC685" s="139"/>
      <c r="AD685" s="139"/>
      <c r="AE685" s="139"/>
      <c r="AF685" s="139"/>
      <c r="AG685" s="139"/>
      <c r="AH685" s="139"/>
      <c r="AI685" s="139"/>
      <c r="AJ685" s="139"/>
      <c r="AK685" s="139"/>
      <c r="AL685" s="139"/>
      <c r="AM685" s="139"/>
      <c r="AN685" s="139"/>
      <c r="AO685" s="139"/>
    </row>
    <row r="686">
      <c r="A686" s="94"/>
      <c r="B686" s="690"/>
      <c r="C686" s="94"/>
      <c r="D686" s="94"/>
      <c r="E686" s="94"/>
      <c r="F686" s="94"/>
      <c r="G686" s="94"/>
      <c r="H686" s="691"/>
      <c r="I686" s="691"/>
      <c r="J686" s="691"/>
      <c r="K686" s="85"/>
      <c r="L686" s="85"/>
      <c r="M686" s="85"/>
      <c r="N686" s="85"/>
      <c r="O686" s="85"/>
      <c r="P686" s="85"/>
      <c r="Q686" s="138"/>
      <c r="R686" s="138"/>
      <c r="S686" s="138"/>
      <c r="T686" s="85"/>
      <c r="U686" s="85"/>
      <c r="V686" s="85"/>
      <c r="W686" s="138"/>
      <c r="X686" s="139"/>
      <c r="Y686" s="139"/>
      <c r="Z686" s="139"/>
      <c r="AA686" s="139"/>
      <c r="AB686" s="139"/>
      <c r="AC686" s="139"/>
      <c r="AD686" s="139"/>
      <c r="AE686" s="139"/>
      <c r="AF686" s="139"/>
      <c r="AG686" s="139"/>
      <c r="AH686" s="139"/>
      <c r="AI686" s="139"/>
      <c r="AJ686" s="139"/>
      <c r="AK686" s="139"/>
      <c r="AL686" s="139"/>
      <c r="AM686" s="139"/>
      <c r="AN686" s="139"/>
      <c r="AO686" s="139"/>
    </row>
    <row r="687">
      <c r="A687" s="94"/>
      <c r="B687" s="690"/>
      <c r="C687" s="94"/>
      <c r="D687" s="94"/>
      <c r="E687" s="94"/>
      <c r="F687" s="94"/>
      <c r="G687" s="94"/>
      <c r="H687" s="691"/>
      <c r="I687" s="691"/>
      <c r="J687" s="691"/>
      <c r="K687" s="85"/>
      <c r="L687" s="85"/>
      <c r="M687" s="85"/>
      <c r="N687" s="85"/>
      <c r="O687" s="85"/>
      <c r="P687" s="85"/>
      <c r="Q687" s="138"/>
      <c r="R687" s="138"/>
      <c r="S687" s="138"/>
      <c r="T687" s="85"/>
      <c r="U687" s="85"/>
      <c r="V687" s="85"/>
      <c r="W687" s="138"/>
      <c r="X687" s="139"/>
      <c r="Y687" s="139"/>
      <c r="Z687" s="139"/>
      <c r="AA687" s="139"/>
      <c r="AB687" s="139"/>
      <c r="AC687" s="139"/>
      <c r="AD687" s="139"/>
      <c r="AE687" s="139"/>
      <c r="AF687" s="139"/>
      <c r="AG687" s="139"/>
      <c r="AH687" s="139"/>
      <c r="AI687" s="139"/>
      <c r="AJ687" s="139"/>
      <c r="AK687" s="139"/>
      <c r="AL687" s="139"/>
      <c r="AM687" s="139"/>
      <c r="AN687" s="139"/>
      <c r="AO687" s="139"/>
    </row>
    <row r="688">
      <c r="A688" s="94"/>
      <c r="B688" s="690"/>
      <c r="C688" s="94"/>
      <c r="D688" s="94"/>
      <c r="E688" s="94"/>
      <c r="F688" s="94"/>
      <c r="G688" s="94"/>
      <c r="H688" s="691"/>
      <c r="I688" s="691"/>
      <c r="J688" s="691"/>
      <c r="K688" s="85"/>
      <c r="L688" s="85"/>
      <c r="M688" s="85"/>
      <c r="N688" s="85"/>
      <c r="O688" s="85"/>
      <c r="P688" s="85"/>
      <c r="Q688" s="138"/>
      <c r="R688" s="138"/>
      <c r="S688" s="138"/>
      <c r="T688" s="85"/>
      <c r="U688" s="85"/>
      <c r="V688" s="85"/>
      <c r="W688" s="138"/>
      <c r="X688" s="139"/>
      <c r="Y688" s="139"/>
      <c r="Z688" s="139"/>
      <c r="AA688" s="139"/>
      <c r="AB688" s="139"/>
      <c r="AC688" s="139"/>
      <c r="AD688" s="139"/>
      <c r="AE688" s="139"/>
      <c r="AF688" s="139"/>
      <c r="AG688" s="139"/>
      <c r="AH688" s="139"/>
      <c r="AI688" s="139"/>
      <c r="AJ688" s="139"/>
      <c r="AK688" s="139"/>
      <c r="AL688" s="139"/>
      <c r="AM688" s="139"/>
      <c r="AN688" s="139"/>
      <c r="AO688" s="139"/>
    </row>
    <row r="689">
      <c r="A689" s="94"/>
      <c r="B689" s="690"/>
      <c r="C689" s="94"/>
      <c r="D689" s="94"/>
      <c r="E689" s="94"/>
      <c r="F689" s="94"/>
      <c r="G689" s="94"/>
      <c r="H689" s="691"/>
      <c r="I689" s="691"/>
      <c r="J689" s="691"/>
      <c r="K689" s="85"/>
      <c r="L689" s="85"/>
      <c r="M689" s="85"/>
      <c r="N689" s="85"/>
      <c r="O689" s="85"/>
      <c r="P689" s="85"/>
      <c r="Q689" s="138"/>
      <c r="R689" s="138"/>
      <c r="S689" s="138"/>
      <c r="T689" s="85"/>
      <c r="U689" s="85"/>
      <c r="V689" s="85"/>
      <c r="W689" s="138"/>
      <c r="X689" s="139"/>
      <c r="Y689" s="139"/>
      <c r="Z689" s="139"/>
      <c r="AA689" s="139"/>
      <c r="AB689" s="139"/>
      <c r="AC689" s="139"/>
      <c r="AD689" s="139"/>
      <c r="AE689" s="139"/>
      <c r="AF689" s="139"/>
      <c r="AG689" s="139"/>
      <c r="AH689" s="139"/>
      <c r="AI689" s="139"/>
      <c r="AJ689" s="139"/>
      <c r="AK689" s="139"/>
      <c r="AL689" s="139"/>
      <c r="AM689" s="139"/>
      <c r="AN689" s="139"/>
      <c r="AO689" s="139"/>
    </row>
    <row r="690">
      <c r="A690" s="94"/>
      <c r="B690" s="690"/>
      <c r="C690" s="94"/>
      <c r="D690" s="94"/>
      <c r="E690" s="94"/>
      <c r="F690" s="94"/>
      <c r="G690" s="94"/>
      <c r="H690" s="691"/>
      <c r="I690" s="691"/>
      <c r="J690" s="691"/>
      <c r="K690" s="85"/>
      <c r="L690" s="85"/>
      <c r="M690" s="85"/>
      <c r="N690" s="85"/>
      <c r="O690" s="85"/>
      <c r="P690" s="85"/>
      <c r="Q690" s="138"/>
      <c r="R690" s="138"/>
      <c r="S690" s="138"/>
      <c r="T690" s="85"/>
      <c r="U690" s="85"/>
      <c r="V690" s="85"/>
      <c r="W690" s="138"/>
      <c r="X690" s="139"/>
      <c r="Y690" s="139"/>
      <c r="Z690" s="139"/>
      <c r="AA690" s="139"/>
      <c r="AB690" s="139"/>
      <c r="AC690" s="139"/>
      <c r="AD690" s="139"/>
      <c r="AE690" s="139"/>
      <c r="AF690" s="139"/>
      <c r="AG690" s="139"/>
      <c r="AH690" s="139"/>
      <c r="AI690" s="139"/>
      <c r="AJ690" s="139"/>
      <c r="AK690" s="139"/>
      <c r="AL690" s="139"/>
      <c r="AM690" s="139"/>
      <c r="AN690" s="139"/>
      <c r="AO690" s="139"/>
    </row>
    <row r="691">
      <c r="A691" s="94"/>
      <c r="B691" s="690"/>
      <c r="C691" s="94"/>
      <c r="D691" s="94"/>
      <c r="E691" s="94"/>
      <c r="F691" s="94"/>
      <c r="G691" s="94"/>
      <c r="H691" s="691"/>
      <c r="I691" s="691"/>
      <c r="J691" s="691"/>
      <c r="K691" s="85"/>
      <c r="L691" s="85"/>
      <c r="M691" s="85"/>
      <c r="N691" s="85"/>
      <c r="O691" s="85"/>
      <c r="P691" s="85"/>
      <c r="Q691" s="138"/>
      <c r="R691" s="138"/>
      <c r="S691" s="138"/>
      <c r="T691" s="85"/>
      <c r="U691" s="85"/>
      <c r="V691" s="85"/>
      <c r="W691" s="138"/>
      <c r="X691" s="139"/>
      <c r="Y691" s="139"/>
      <c r="Z691" s="139"/>
      <c r="AA691" s="139"/>
      <c r="AB691" s="139"/>
      <c r="AC691" s="139"/>
      <c r="AD691" s="139"/>
      <c r="AE691" s="139"/>
      <c r="AF691" s="139"/>
      <c r="AG691" s="139"/>
      <c r="AH691" s="139"/>
      <c r="AI691" s="139"/>
      <c r="AJ691" s="139"/>
      <c r="AK691" s="139"/>
      <c r="AL691" s="139"/>
      <c r="AM691" s="139"/>
      <c r="AN691" s="139"/>
      <c r="AO691" s="139"/>
    </row>
    <row r="692">
      <c r="A692" s="94"/>
      <c r="B692" s="690"/>
      <c r="C692" s="94"/>
      <c r="D692" s="94"/>
      <c r="E692" s="94"/>
      <c r="F692" s="94"/>
      <c r="G692" s="94"/>
      <c r="H692" s="691"/>
      <c r="I692" s="691"/>
      <c r="J692" s="691"/>
      <c r="K692" s="85"/>
      <c r="L692" s="85"/>
      <c r="M692" s="85"/>
      <c r="N692" s="85"/>
      <c r="O692" s="85"/>
      <c r="P692" s="85"/>
      <c r="Q692" s="138"/>
      <c r="R692" s="138"/>
      <c r="S692" s="138"/>
      <c r="T692" s="85"/>
      <c r="U692" s="85"/>
      <c r="V692" s="85"/>
      <c r="W692" s="138"/>
      <c r="X692" s="139"/>
      <c r="Y692" s="139"/>
      <c r="Z692" s="139"/>
      <c r="AA692" s="139"/>
      <c r="AB692" s="139"/>
      <c r="AC692" s="139"/>
      <c r="AD692" s="139"/>
      <c r="AE692" s="139"/>
      <c r="AF692" s="139"/>
      <c r="AG692" s="139"/>
      <c r="AH692" s="139"/>
      <c r="AI692" s="139"/>
      <c r="AJ692" s="139"/>
      <c r="AK692" s="139"/>
      <c r="AL692" s="139"/>
      <c r="AM692" s="139"/>
      <c r="AN692" s="139"/>
      <c r="AO692" s="139"/>
    </row>
    <row r="693">
      <c r="A693" s="94"/>
      <c r="B693" s="690"/>
      <c r="C693" s="94"/>
      <c r="D693" s="94"/>
      <c r="E693" s="94"/>
      <c r="F693" s="94"/>
      <c r="G693" s="94"/>
      <c r="H693" s="691"/>
      <c r="I693" s="691"/>
      <c r="J693" s="691"/>
      <c r="K693" s="85"/>
      <c r="L693" s="85"/>
      <c r="M693" s="85"/>
      <c r="N693" s="85"/>
      <c r="O693" s="85"/>
      <c r="P693" s="85"/>
      <c r="Q693" s="138"/>
      <c r="R693" s="138"/>
      <c r="S693" s="138"/>
      <c r="T693" s="85"/>
      <c r="U693" s="85"/>
      <c r="V693" s="85"/>
      <c r="W693" s="138"/>
      <c r="X693" s="139"/>
      <c r="Y693" s="139"/>
      <c r="Z693" s="139"/>
      <c r="AA693" s="139"/>
      <c r="AB693" s="139"/>
      <c r="AC693" s="139"/>
      <c r="AD693" s="139"/>
      <c r="AE693" s="139"/>
      <c r="AF693" s="139"/>
      <c r="AG693" s="139"/>
      <c r="AH693" s="139"/>
      <c r="AI693" s="139"/>
      <c r="AJ693" s="139"/>
      <c r="AK693" s="139"/>
      <c r="AL693" s="139"/>
      <c r="AM693" s="139"/>
      <c r="AN693" s="139"/>
      <c r="AO693" s="139"/>
    </row>
    <row r="694">
      <c r="A694" s="94"/>
      <c r="B694" s="690"/>
      <c r="C694" s="94"/>
      <c r="D694" s="94"/>
      <c r="E694" s="94"/>
      <c r="F694" s="94"/>
      <c r="G694" s="94"/>
      <c r="H694" s="691"/>
      <c r="I694" s="691"/>
      <c r="J694" s="691"/>
      <c r="K694" s="85"/>
      <c r="L694" s="85"/>
      <c r="M694" s="85"/>
      <c r="N694" s="85"/>
      <c r="O694" s="85"/>
      <c r="P694" s="85"/>
      <c r="Q694" s="138"/>
      <c r="R694" s="138"/>
      <c r="S694" s="138"/>
      <c r="T694" s="85"/>
      <c r="U694" s="85"/>
      <c r="V694" s="85"/>
      <c r="W694" s="138"/>
      <c r="X694" s="139"/>
      <c r="Y694" s="139"/>
      <c r="Z694" s="139"/>
      <c r="AA694" s="139"/>
      <c r="AB694" s="139"/>
      <c r="AC694" s="139"/>
      <c r="AD694" s="139"/>
      <c r="AE694" s="139"/>
      <c r="AF694" s="139"/>
      <c r="AG694" s="139"/>
      <c r="AH694" s="139"/>
      <c r="AI694" s="139"/>
      <c r="AJ694" s="139"/>
      <c r="AK694" s="139"/>
      <c r="AL694" s="139"/>
      <c r="AM694" s="139"/>
      <c r="AN694" s="139"/>
      <c r="AO694" s="139"/>
    </row>
    <row r="695">
      <c r="A695" s="94"/>
      <c r="B695" s="690"/>
      <c r="C695" s="94"/>
      <c r="D695" s="94"/>
      <c r="E695" s="94"/>
      <c r="F695" s="94"/>
      <c r="G695" s="94"/>
      <c r="H695" s="691"/>
      <c r="I695" s="691"/>
      <c r="J695" s="691"/>
      <c r="K695" s="85"/>
      <c r="L695" s="85"/>
      <c r="M695" s="85"/>
      <c r="N695" s="85"/>
      <c r="O695" s="85"/>
      <c r="P695" s="85"/>
      <c r="Q695" s="138"/>
      <c r="R695" s="138"/>
      <c r="S695" s="138"/>
      <c r="T695" s="85"/>
      <c r="U695" s="85"/>
      <c r="V695" s="85"/>
      <c r="W695" s="138"/>
      <c r="X695" s="139"/>
      <c r="Y695" s="139"/>
      <c r="Z695" s="139"/>
      <c r="AA695" s="139"/>
      <c r="AB695" s="139"/>
      <c r="AC695" s="139"/>
      <c r="AD695" s="139"/>
      <c r="AE695" s="139"/>
      <c r="AF695" s="139"/>
      <c r="AG695" s="139"/>
      <c r="AH695" s="139"/>
      <c r="AI695" s="139"/>
      <c r="AJ695" s="139"/>
      <c r="AK695" s="139"/>
      <c r="AL695" s="139"/>
      <c r="AM695" s="139"/>
      <c r="AN695" s="139"/>
      <c r="AO695" s="139"/>
    </row>
    <row r="696">
      <c r="A696" s="94"/>
      <c r="B696" s="690"/>
      <c r="C696" s="94"/>
      <c r="D696" s="94"/>
      <c r="E696" s="94"/>
      <c r="F696" s="94"/>
      <c r="G696" s="94"/>
      <c r="H696" s="691"/>
      <c r="I696" s="691"/>
      <c r="J696" s="691"/>
      <c r="K696" s="85"/>
      <c r="L696" s="85"/>
      <c r="M696" s="85"/>
      <c r="N696" s="85"/>
      <c r="O696" s="85"/>
      <c r="P696" s="85"/>
      <c r="Q696" s="138"/>
      <c r="R696" s="138"/>
      <c r="S696" s="138"/>
      <c r="T696" s="85"/>
      <c r="U696" s="85"/>
      <c r="V696" s="85"/>
      <c r="W696" s="138"/>
      <c r="X696" s="139"/>
      <c r="Y696" s="139"/>
      <c r="Z696" s="139"/>
      <c r="AA696" s="139"/>
      <c r="AB696" s="139"/>
      <c r="AC696" s="139"/>
      <c r="AD696" s="139"/>
      <c r="AE696" s="139"/>
      <c r="AF696" s="139"/>
      <c r="AG696" s="139"/>
      <c r="AH696" s="139"/>
      <c r="AI696" s="139"/>
      <c r="AJ696" s="139"/>
      <c r="AK696" s="139"/>
      <c r="AL696" s="139"/>
      <c r="AM696" s="139"/>
      <c r="AN696" s="139"/>
      <c r="AO696" s="139"/>
    </row>
    <row r="697">
      <c r="A697" s="94"/>
      <c r="B697" s="690"/>
      <c r="C697" s="94"/>
      <c r="D697" s="94"/>
      <c r="E697" s="94"/>
      <c r="F697" s="94"/>
      <c r="G697" s="94"/>
      <c r="H697" s="691"/>
      <c r="I697" s="691"/>
      <c r="J697" s="691"/>
      <c r="K697" s="85"/>
      <c r="L697" s="85"/>
      <c r="M697" s="85"/>
      <c r="N697" s="85"/>
      <c r="O697" s="85"/>
      <c r="P697" s="85"/>
      <c r="Q697" s="138"/>
      <c r="R697" s="138"/>
      <c r="S697" s="138"/>
      <c r="T697" s="85"/>
      <c r="U697" s="85"/>
      <c r="V697" s="85"/>
      <c r="W697" s="138"/>
      <c r="X697" s="139"/>
      <c r="Y697" s="139"/>
      <c r="Z697" s="139"/>
      <c r="AA697" s="139"/>
      <c r="AB697" s="139"/>
      <c r="AC697" s="139"/>
      <c r="AD697" s="139"/>
      <c r="AE697" s="139"/>
      <c r="AF697" s="139"/>
      <c r="AG697" s="139"/>
      <c r="AH697" s="139"/>
      <c r="AI697" s="139"/>
      <c r="AJ697" s="139"/>
      <c r="AK697" s="139"/>
      <c r="AL697" s="139"/>
      <c r="AM697" s="139"/>
      <c r="AN697" s="139"/>
      <c r="AO697" s="139"/>
    </row>
    <row r="698">
      <c r="A698" s="94"/>
      <c r="B698" s="690"/>
      <c r="C698" s="94"/>
      <c r="D698" s="94"/>
      <c r="E698" s="94"/>
      <c r="F698" s="94"/>
      <c r="G698" s="94"/>
      <c r="H698" s="691"/>
      <c r="I698" s="691"/>
      <c r="J698" s="691"/>
      <c r="K698" s="85"/>
      <c r="L698" s="85"/>
      <c r="M698" s="85"/>
      <c r="N698" s="85"/>
      <c r="O698" s="85"/>
      <c r="P698" s="85"/>
      <c r="Q698" s="138"/>
      <c r="R698" s="138"/>
      <c r="S698" s="138"/>
      <c r="T698" s="85"/>
      <c r="U698" s="85"/>
      <c r="V698" s="85"/>
      <c r="W698" s="138"/>
      <c r="X698" s="139"/>
      <c r="Y698" s="139"/>
      <c r="Z698" s="139"/>
      <c r="AA698" s="139"/>
      <c r="AB698" s="139"/>
      <c r="AC698" s="139"/>
      <c r="AD698" s="139"/>
      <c r="AE698" s="139"/>
      <c r="AF698" s="139"/>
      <c r="AG698" s="139"/>
      <c r="AH698" s="139"/>
      <c r="AI698" s="139"/>
      <c r="AJ698" s="139"/>
      <c r="AK698" s="139"/>
      <c r="AL698" s="139"/>
      <c r="AM698" s="139"/>
      <c r="AN698" s="139"/>
      <c r="AO698" s="139"/>
    </row>
    <row r="699">
      <c r="A699" s="94"/>
      <c r="B699" s="690"/>
      <c r="C699" s="94"/>
      <c r="D699" s="94"/>
      <c r="E699" s="94"/>
      <c r="F699" s="94"/>
      <c r="G699" s="94"/>
      <c r="H699" s="691"/>
      <c r="I699" s="691"/>
      <c r="J699" s="691"/>
      <c r="K699" s="85"/>
      <c r="L699" s="85"/>
      <c r="M699" s="85"/>
      <c r="N699" s="85"/>
      <c r="O699" s="85"/>
      <c r="P699" s="85"/>
      <c r="Q699" s="138"/>
      <c r="R699" s="138"/>
      <c r="S699" s="138"/>
      <c r="T699" s="85"/>
      <c r="U699" s="85"/>
      <c r="V699" s="85"/>
      <c r="W699" s="138"/>
      <c r="X699" s="139"/>
      <c r="Y699" s="139"/>
      <c r="Z699" s="139"/>
      <c r="AA699" s="139"/>
      <c r="AB699" s="139"/>
      <c r="AC699" s="139"/>
      <c r="AD699" s="139"/>
      <c r="AE699" s="139"/>
      <c r="AF699" s="139"/>
      <c r="AG699" s="139"/>
      <c r="AH699" s="139"/>
      <c r="AI699" s="139"/>
      <c r="AJ699" s="139"/>
      <c r="AK699" s="139"/>
      <c r="AL699" s="139"/>
      <c r="AM699" s="139"/>
      <c r="AN699" s="139"/>
      <c r="AO699" s="139"/>
    </row>
    <row r="700">
      <c r="A700" s="94"/>
      <c r="B700" s="690"/>
      <c r="C700" s="94"/>
      <c r="D700" s="94"/>
      <c r="E700" s="94"/>
      <c r="F700" s="94"/>
      <c r="G700" s="94"/>
      <c r="H700" s="691"/>
      <c r="I700" s="691"/>
      <c r="J700" s="691"/>
      <c r="K700" s="85"/>
      <c r="L700" s="85"/>
      <c r="M700" s="85"/>
      <c r="N700" s="85"/>
      <c r="O700" s="85"/>
      <c r="P700" s="85"/>
      <c r="Q700" s="138"/>
      <c r="R700" s="138"/>
      <c r="S700" s="138"/>
      <c r="T700" s="85"/>
      <c r="U700" s="85"/>
      <c r="V700" s="85"/>
      <c r="W700" s="138"/>
      <c r="X700" s="139"/>
      <c r="Y700" s="139"/>
      <c r="Z700" s="139"/>
      <c r="AA700" s="139"/>
      <c r="AB700" s="139"/>
      <c r="AC700" s="139"/>
      <c r="AD700" s="139"/>
      <c r="AE700" s="139"/>
      <c r="AF700" s="139"/>
      <c r="AG700" s="139"/>
      <c r="AH700" s="139"/>
      <c r="AI700" s="139"/>
      <c r="AJ700" s="139"/>
      <c r="AK700" s="139"/>
      <c r="AL700" s="139"/>
      <c r="AM700" s="139"/>
      <c r="AN700" s="139"/>
      <c r="AO700" s="139"/>
    </row>
    <row r="701">
      <c r="A701" s="94"/>
      <c r="B701" s="690"/>
      <c r="C701" s="94"/>
      <c r="D701" s="94"/>
      <c r="E701" s="94"/>
      <c r="F701" s="94"/>
      <c r="G701" s="94"/>
      <c r="H701" s="691"/>
      <c r="I701" s="691"/>
      <c r="J701" s="691"/>
      <c r="K701" s="85"/>
      <c r="L701" s="85"/>
      <c r="M701" s="85"/>
      <c r="N701" s="85"/>
      <c r="O701" s="85"/>
      <c r="P701" s="85"/>
      <c r="Q701" s="138"/>
      <c r="R701" s="138"/>
      <c r="S701" s="138"/>
      <c r="T701" s="85"/>
      <c r="U701" s="85"/>
      <c r="V701" s="85"/>
      <c r="W701" s="138"/>
      <c r="X701" s="139"/>
      <c r="Y701" s="139"/>
      <c r="Z701" s="139"/>
      <c r="AA701" s="139"/>
      <c r="AB701" s="139"/>
      <c r="AC701" s="139"/>
      <c r="AD701" s="139"/>
      <c r="AE701" s="139"/>
      <c r="AF701" s="139"/>
      <c r="AG701" s="139"/>
      <c r="AH701" s="139"/>
      <c r="AI701" s="139"/>
      <c r="AJ701" s="139"/>
      <c r="AK701" s="139"/>
      <c r="AL701" s="139"/>
      <c r="AM701" s="139"/>
      <c r="AN701" s="139"/>
      <c r="AO701" s="139"/>
    </row>
    <row r="702">
      <c r="A702" s="94"/>
      <c r="B702" s="690"/>
      <c r="C702" s="94"/>
      <c r="D702" s="94"/>
      <c r="E702" s="94"/>
      <c r="F702" s="94"/>
      <c r="G702" s="94"/>
      <c r="H702" s="691"/>
      <c r="I702" s="691"/>
      <c r="J702" s="691"/>
      <c r="K702" s="85"/>
      <c r="L702" s="85"/>
      <c r="M702" s="85"/>
      <c r="N702" s="85"/>
      <c r="O702" s="85"/>
      <c r="P702" s="85"/>
      <c r="Q702" s="138"/>
      <c r="R702" s="138"/>
      <c r="S702" s="138"/>
      <c r="T702" s="85"/>
      <c r="U702" s="85"/>
      <c r="V702" s="85"/>
      <c r="W702" s="138"/>
      <c r="X702" s="139"/>
      <c r="Y702" s="139"/>
      <c r="Z702" s="139"/>
      <c r="AA702" s="139"/>
      <c r="AB702" s="139"/>
      <c r="AC702" s="139"/>
      <c r="AD702" s="139"/>
      <c r="AE702" s="139"/>
      <c r="AF702" s="139"/>
      <c r="AG702" s="139"/>
      <c r="AH702" s="139"/>
      <c r="AI702" s="139"/>
      <c r="AJ702" s="139"/>
      <c r="AK702" s="139"/>
      <c r="AL702" s="139"/>
      <c r="AM702" s="139"/>
      <c r="AN702" s="139"/>
      <c r="AO702" s="139"/>
    </row>
    <row r="703">
      <c r="A703" s="94"/>
      <c r="B703" s="690"/>
      <c r="C703" s="94"/>
      <c r="D703" s="94"/>
      <c r="E703" s="94"/>
      <c r="F703" s="94"/>
      <c r="G703" s="94"/>
      <c r="H703" s="691"/>
      <c r="I703" s="691"/>
      <c r="J703" s="691"/>
      <c r="K703" s="85"/>
      <c r="L703" s="85"/>
      <c r="M703" s="85"/>
      <c r="N703" s="85"/>
      <c r="O703" s="85"/>
      <c r="P703" s="85"/>
      <c r="Q703" s="138"/>
      <c r="R703" s="138"/>
      <c r="S703" s="138"/>
      <c r="T703" s="85"/>
      <c r="U703" s="85"/>
      <c r="V703" s="85"/>
      <c r="W703" s="138"/>
      <c r="X703" s="139"/>
      <c r="Y703" s="139"/>
      <c r="Z703" s="139"/>
      <c r="AA703" s="139"/>
      <c r="AB703" s="139"/>
      <c r="AC703" s="139"/>
      <c r="AD703" s="139"/>
      <c r="AE703" s="139"/>
      <c r="AF703" s="139"/>
      <c r="AG703" s="139"/>
      <c r="AH703" s="139"/>
      <c r="AI703" s="139"/>
      <c r="AJ703" s="139"/>
      <c r="AK703" s="139"/>
      <c r="AL703" s="139"/>
      <c r="AM703" s="139"/>
      <c r="AN703" s="139"/>
      <c r="AO703" s="139"/>
    </row>
    <row r="704">
      <c r="A704" s="94"/>
      <c r="B704" s="690"/>
      <c r="C704" s="94"/>
      <c r="D704" s="94"/>
      <c r="E704" s="94"/>
      <c r="F704" s="94"/>
      <c r="G704" s="94"/>
      <c r="H704" s="691"/>
      <c r="I704" s="691"/>
      <c r="J704" s="691"/>
      <c r="K704" s="85"/>
      <c r="L704" s="85"/>
      <c r="M704" s="85"/>
      <c r="N704" s="85"/>
      <c r="O704" s="85"/>
      <c r="P704" s="85"/>
      <c r="Q704" s="138"/>
      <c r="R704" s="138"/>
      <c r="S704" s="138"/>
      <c r="T704" s="85"/>
      <c r="U704" s="85"/>
      <c r="V704" s="85"/>
      <c r="W704" s="138"/>
      <c r="X704" s="139"/>
      <c r="Y704" s="139"/>
      <c r="Z704" s="139"/>
      <c r="AA704" s="139"/>
      <c r="AB704" s="139"/>
      <c r="AC704" s="139"/>
      <c r="AD704" s="139"/>
      <c r="AE704" s="139"/>
      <c r="AF704" s="139"/>
      <c r="AG704" s="139"/>
      <c r="AH704" s="139"/>
      <c r="AI704" s="139"/>
      <c r="AJ704" s="139"/>
      <c r="AK704" s="139"/>
      <c r="AL704" s="139"/>
      <c r="AM704" s="139"/>
      <c r="AN704" s="139"/>
      <c r="AO704" s="139"/>
    </row>
    <row r="705">
      <c r="A705" s="94"/>
      <c r="B705" s="690"/>
      <c r="C705" s="94"/>
      <c r="D705" s="94"/>
      <c r="E705" s="94"/>
      <c r="F705" s="94"/>
      <c r="G705" s="94"/>
      <c r="H705" s="691"/>
      <c r="I705" s="691"/>
      <c r="J705" s="691"/>
      <c r="K705" s="85"/>
      <c r="L705" s="85"/>
      <c r="M705" s="85"/>
      <c r="N705" s="85"/>
      <c r="O705" s="85"/>
      <c r="P705" s="85"/>
      <c r="Q705" s="138"/>
      <c r="R705" s="138"/>
      <c r="S705" s="138"/>
      <c r="T705" s="85"/>
      <c r="U705" s="85"/>
      <c r="V705" s="85"/>
      <c r="W705" s="138"/>
      <c r="X705" s="139"/>
      <c r="Y705" s="139"/>
      <c r="Z705" s="139"/>
      <c r="AA705" s="139"/>
      <c r="AB705" s="139"/>
      <c r="AC705" s="139"/>
      <c r="AD705" s="139"/>
      <c r="AE705" s="139"/>
      <c r="AF705" s="139"/>
      <c r="AG705" s="139"/>
      <c r="AH705" s="139"/>
      <c r="AI705" s="139"/>
      <c r="AJ705" s="139"/>
      <c r="AK705" s="139"/>
      <c r="AL705" s="139"/>
      <c r="AM705" s="139"/>
      <c r="AN705" s="139"/>
      <c r="AO705" s="139"/>
    </row>
    <row r="706">
      <c r="A706" s="94"/>
      <c r="B706" s="690"/>
      <c r="C706" s="94"/>
      <c r="D706" s="94"/>
      <c r="E706" s="94"/>
      <c r="F706" s="94"/>
      <c r="G706" s="94"/>
      <c r="H706" s="691"/>
      <c r="I706" s="691"/>
      <c r="J706" s="691"/>
      <c r="K706" s="85"/>
      <c r="L706" s="85"/>
      <c r="M706" s="85"/>
      <c r="N706" s="85"/>
      <c r="O706" s="85"/>
      <c r="P706" s="85"/>
      <c r="Q706" s="138"/>
      <c r="R706" s="138"/>
      <c r="S706" s="138"/>
      <c r="T706" s="85"/>
      <c r="U706" s="85"/>
      <c r="V706" s="85"/>
      <c r="W706" s="138"/>
      <c r="X706" s="139"/>
      <c r="Y706" s="139"/>
      <c r="Z706" s="139"/>
      <c r="AA706" s="139"/>
      <c r="AB706" s="139"/>
      <c r="AC706" s="139"/>
      <c r="AD706" s="139"/>
      <c r="AE706" s="139"/>
      <c r="AF706" s="139"/>
      <c r="AG706" s="139"/>
      <c r="AH706" s="139"/>
      <c r="AI706" s="139"/>
      <c r="AJ706" s="139"/>
      <c r="AK706" s="139"/>
      <c r="AL706" s="139"/>
      <c r="AM706" s="139"/>
      <c r="AN706" s="139"/>
      <c r="AO706" s="139"/>
    </row>
    <row r="707">
      <c r="A707" s="94"/>
      <c r="B707" s="690"/>
      <c r="C707" s="94"/>
      <c r="D707" s="94"/>
      <c r="E707" s="94"/>
      <c r="F707" s="94"/>
      <c r="G707" s="94"/>
      <c r="H707" s="691"/>
      <c r="I707" s="691"/>
      <c r="J707" s="691"/>
      <c r="K707" s="85"/>
      <c r="L707" s="85"/>
      <c r="M707" s="85"/>
      <c r="N707" s="85"/>
      <c r="O707" s="85"/>
      <c r="P707" s="85"/>
      <c r="Q707" s="138"/>
      <c r="R707" s="138"/>
      <c r="S707" s="138"/>
      <c r="T707" s="85"/>
      <c r="U707" s="85"/>
      <c r="V707" s="85"/>
      <c r="W707" s="138"/>
      <c r="X707" s="139"/>
      <c r="Y707" s="139"/>
      <c r="Z707" s="139"/>
      <c r="AA707" s="139"/>
      <c r="AB707" s="139"/>
      <c r="AC707" s="139"/>
      <c r="AD707" s="139"/>
      <c r="AE707" s="139"/>
      <c r="AF707" s="139"/>
      <c r="AG707" s="139"/>
      <c r="AH707" s="139"/>
      <c r="AI707" s="139"/>
      <c r="AJ707" s="139"/>
      <c r="AK707" s="139"/>
      <c r="AL707" s="139"/>
      <c r="AM707" s="139"/>
      <c r="AN707" s="139"/>
      <c r="AO707" s="139"/>
    </row>
    <row r="708">
      <c r="A708" s="94"/>
      <c r="B708" s="690"/>
      <c r="C708" s="94"/>
      <c r="D708" s="94"/>
      <c r="E708" s="94"/>
      <c r="F708" s="94"/>
      <c r="G708" s="94"/>
      <c r="H708" s="691"/>
      <c r="I708" s="691"/>
      <c r="J708" s="691"/>
      <c r="K708" s="85"/>
      <c r="L708" s="85"/>
      <c r="M708" s="85"/>
      <c r="N708" s="85"/>
      <c r="O708" s="85"/>
      <c r="P708" s="85"/>
      <c r="Q708" s="138"/>
      <c r="R708" s="138"/>
      <c r="S708" s="138"/>
      <c r="T708" s="85"/>
      <c r="U708" s="85"/>
      <c r="V708" s="85"/>
      <c r="W708" s="138"/>
      <c r="X708" s="139"/>
      <c r="Y708" s="139"/>
      <c r="Z708" s="139"/>
      <c r="AA708" s="139"/>
      <c r="AB708" s="139"/>
      <c r="AC708" s="139"/>
      <c r="AD708" s="139"/>
      <c r="AE708" s="139"/>
      <c r="AF708" s="139"/>
      <c r="AG708" s="139"/>
      <c r="AH708" s="139"/>
      <c r="AI708" s="139"/>
      <c r="AJ708" s="139"/>
      <c r="AK708" s="139"/>
      <c r="AL708" s="139"/>
      <c r="AM708" s="139"/>
      <c r="AN708" s="139"/>
      <c r="AO708" s="139"/>
    </row>
    <row r="709">
      <c r="A709" s="94"/>
      <c r="B709" s="690"/>
      <c r="C709" s="94"/>
      <c r="D709" s="94"/>
      <c r="E709" s="94"/>
      <c r="F709" s="94"/>
      <c r="G709" s="94"/>
      <c r="H709" s="691"/>
      <c r="I709" s="691"/>
      <c r="J709" s="691"/>
      <c r="K709" s="85"/>
      <c r="L709" s="85"/>
      <c r="M709" s="85"/>
      <c r="N709" s="85"/>
      <c r="O709" s="85"/>
      <c r="P709" s="85"/>
      <c r="Q709" s="138"/>
      <c r="R709" s="138"/>
      <c r="S709" s="138"/>
      <c r="T709" s="85"/>
      <c r="U709" s="85"/>
      <c r="V709" s="85"/>
      <c r="W709" s="138"/>
      <c r="X709" s="139"/>
      <c r="Y709" s="139"/>
      <c r="Z709" s="139"/>
      <c r="AA709" s="139"/>
      <c r="AB709" s="139"/>
      <c r="AC709" s="139"/>
      <c r="AD709" s="139"/>
      <c r="AE709" s="139"/>
      <c r="AF709" s="139"/>
      <c r="AG709" s="139"/>
      <c r="AH709" s="139"/>
      <c r="AI709" s="139"/>
      <c r="AJ709" s="139"/>
      <c r="AK709" s="139"/>
      <c r="AL709" s="139"/>
      <c r="AM709" s="139"/>
      <c r="AN709" s="139"/>
      <c r="AO709" s="139"/>
    </row>
    <row r="710">
      <c r="A710" s="94"/>
      <c r="B710" s="690"/>
      <c r="C710" s="94"/>
      <c r="D710" s="94"/>
      <c r="E710" s="94"/>
      <c r="F710" s="94"/>
      <c r="G710" s="94"/>
      <c r="H710" s="691"/>
      <c r="I710" s="691"/>
      <c r="J710" s="691"/>
      <c r="K710" s="85"/>
      <c r="L710" s="85"/>
      <c r="M710" s="85"/>
      <c r="N710" s="85"/>
      <c r="O710" s="85"/>
      <c r="P710" s="85"/>
      <c r="Q710" s="138"/>
      <c r="R710" s="138"/>
      <c r="S710" s="138"/>
      <c r="T710" s="85"/>
      <c r="U710" s="85"/>
      <c r="V710" s="85"/>
      <c r="W710" s="138"/>
      <c r="X710" s="139"/>
      <c r="Y710" s="139"/>
      <c r="Z710" s="139"/>
      <c r="AA710" s="139"/>
      <c r="AB710" s="139"/>
      <c r="AC710" s="139"/>
      <c r="AD710" s="139"/>
      <c r="AE710" s="139"/>
      <c r="AF710" s="139"/>
      <c r="AG710" s="139"/>
      <c r="AH710" s="139"/>
      <c r="AI710" s="139"/>
      <c r="AJ710" s="139"/>
      <c r="AK710" s="139"/>
      <c r="AL710" s="139"/>
      <c r="AM710" s="139"/>
      <c r="AN710" s="139"/>
      <c r="AO710" s="139"/>
    </row>
    <row r="711">
      <c r="A711" s="94"/>
      <c r="B711" s="690"/>
      <c r="C711" s="94"/>
      <c r="D711" s="94"/>
      <c r="E711" s="94"/>
      <c r="F711" s="94"/>
      <c r="G711" s="94"/>
      <c r="H711" s="691"/>
      <c r="I711" s="691"/>
      <c r="J711" s="691"/>
      <c r="K711" s="85"/>
      <c r="L711" s="85"/>
      <c r="M711" s="85"/>
      <c r="N711" s="85"/>
      <c r="O711" s="85"/>
      <c r="P711" s="85"/>
      <c r="Q711" s="138"/>
      <c r="R711" s="138"/>
      <c r="S711" s="138"/>
      <c r="T711" s="85"/>
      <c r="U711" s="85"/>
      <c r="V711" s="85"/>
      <c r="W711" s="138"/>
      <c r="X711" s="139"/>
      <c r="Y711" s="139"/>
      <c r="Z711" s="139"/>
      <c r="AA711" s="139"/>
      <c r="AB711" s="139"/>
      <c r="AC711" s="139"/>
      <c r="AD711" s="139"/>
      <c r="AE711" s="139"/>
      <c r="AF711" s="139"/>
      <c r="AG711" s="139"/>
      <c r="AH711" s="139"/>
      <c r="AI711" s="139"/>
      <c r="AJ711" s="139"/>
      <c r="AK711" s="139"/>
      <c r="AL711" s="139"/>
      <c r="AM711" s="139"/>
      <c r="AN711" s="139"/>
      <c r="AO711" s="139"/>
    </row>
    <row r="712">
      <c r="A712" s="94"/>
      <c r="B712" s="690"/>
      <c r="C712" s="94"/>
      <c r="D712" s="94"/>
      <c r="E712" s="94"/>
      <c r="F712" s="94"/>
      <c r="G712" s="94"/>
      <c r="H712" s="691"/>
      <c r="I712" s="691"/>
      <c r="J712" s="691"/>
      <c r="K712" s="85"/>
      <c r="L712" s="85"/>
      <c r="M712" s="85"/>
      <c r="N712" s="85"/>
      <c r="O712" s="85"/>
      <c r="P712" s="85"/>
      <c r="Q712" s="138"/>
      <c r="R712" s="138"/>
      <c r="S712" s="138"/>
      <c r="T712" s="85"/>
      <c r="U712" s="85"/>
      <c r="V712" s="85"/>
      <c r="W712" s="138"/>
      <c r="X712" s="139"/>
      <c r="Y712" s="139"/>
      <c r="Z712" s="139"/>
      <c r="AA712" s="139"/>
      <c r="AB712" s="139"/>
      <c r="AC712" s="139"/>
      <c r="AD712" s="139"/>
      <c r="AE712" s="139"/>
      <c r="AF712" s="139"/>
      <c r="AG712" s="139"/>
      <c r="AH712" s="139"/>
      <c r="AI712" s="139"/>
      <c r="AJ712" s="139"/>
      <c r="AK712" s="139"/>
      <c r="AL712" s="139"/>
      <c r="AM712" s="139"/>
      <c r="AN712" s="139"/>
      <c r="AO712" s="139"/>
    </row>
    <row r="713">
      <c r="A713" s="94"/>
      <c r="B713" s="690"/>
      <c r="C713" s="94"/>
      <c r="D713" s="94"/>
      <c r="E713" s="94"/>
      <c r="F713" s="94"/>
      <c r="G713" s="94"/>
      <c r="H713" s="691"/>
      <c r="I713" s="691"/>
      <c r="J713" s="691"/>
      <c r="K713" s="85"/>
      <c r="L713" s="85"/>
      <c r="M713" s="85"/>
      <c r="N713" s="85"/>
      <c r="O713" s="85"/>
      <c r="P713" s="85"/>
      <c r="Q713" s="138"/>
      <c r="R713" s="138"/>
      <c r="S713" s="138"/>
      <c r="T713" s="85"/>
      <c r="U713" s="85"/>
      <c r="V713" s="85"/>
      <c r="W713" s="138"/>
      <c r="X713" s="139"/>
      <c r="Y713" s="139"/>
      <c r="Z713" s="139"/>
      <c r="AA713" s="139"/>
      <c r="AB713" s="139"/>
      <c r="AC713" s="139"/>
      <c r="AD713" s="139"/>
      <c r="AE713" s="139"/>
      <c r="AF713" s="139"/>
      <c r="AG713" s="139"/>
      <c r="AH713" s="139"/>
      <c r="AI713" s="139"/>
      <c r="AJ713" s="139"/>
      <c r="AK713" s="139"/>
      <c r="AL713" s="139"/>
      <c r="AM713" s="139"/>
      <c r="AN713" s="139"/>
      <c r="AO713" s="139"/>
    </row>
    <row r="714">
      <c r="A714" s="94"/>
      <c r="B714" s="690"/>
      <c r="C714" s="94"/>
      <c r="D714" s="94"/>
      <c r="E714" s="94"/>
      <c r="F714" s="94"/>
      <c r="G714" s="94"/>
      <c r="H714" s="691"/>
      <c r="I714" s="691"/>
      <c r="J714" s="691"/>
      <c r="K714" s="85"/>
      <c r="L714" s="85"/>
      <c r="M714" s="85"/>
      <c r="N714" s="85"/>
      <c r="O714" s="85"/>
      <c r="P714" s="85"/>
      <c r="Q714" s="138"/>
      <c r="R714" s="138"/>
      <c r="S714" s="138"/>
      <c r="T714" s="85"/>
      <c r="U714" s="85"/>
      <c r="V714" s="85"/>
      <c r="W714" s="138"/>
      <c r="X714" s="139"/>
      <c r="Y714" s="139"/>
      <c r="Z714" s="139"/>
      <c r="AA714" s="139"/>
      <c r="AB714" s="139"/>
      <c r="AC714" s="139"/>
      <c r="AD714" s="139"/>
      <c r="AE714" s="139"/>
      <c r="AF714" s="139"/>
      <c r="AG714" s="139"/>
      <c r="AH714" s="139"/>
      <c r="AI714" s="139"/>
      <c r="AJ714" s="139"/>
      <c r="AK714" s="139"/>
      <c r="AL714" s="139"/>
      <c r="AM714" s="139"/>
      <c r="AN714" s="139"/>
      <c r="AO714" s="139"/>
    </row>
    <row r="715">
      <c r="A715" s="94"/>
      <c r="B715" s="690"/>
      <c r="C715" s="94"/>
      <c r="D715" s="94"/>
      <c r="E715" s="94"/>
      <c r="F715" s="94"/>
      <c r="G715" s="94"/>
      <c r="H715" s="691"/>
      <c r="I715" s="691"/>
      <c r="J715" s="691"/>
      <c r="K715" s="85"/>
      <c r="L715" s="85"/>
      <c r="M715" s="85"/>
      <c r="N715" s="85"/>
      <c r="O715" s="85"/>
      <c r="P715" s="85"/>
      <c r="Q715" s="138"/>
      <c r="R715" s="138"/>
      <c r="S715" s="138"/>
      <c r="T715" s="85"/>
      <c r="U715" s="85"/>
      <c r="V715" s="85"/>
      <c r="W715" s="138"/>
      <c r="X715" s="139"/>
      <c r="Y715" s="139"/>
      <c r="Z715" s="139"/>
      <c r="AA715" s="139"/>
      <c r="AB715" s="139"/>
      <c r="AC715" s="139"/>
      <c r="AD715" s="139"/>
      <c r="AE715" s="139"/>
      <c r="AF715" s="139"/>
      <c r="AG715" s="139"/>
      <c r="AH715" s="139"/>
      <c r="AI715" s="139"/>
      <c r="AJ715" s="139"/>
      <c r="AK715" s="139"/>
      <c r="AL715" s="139"/>
      <c r="AM715" s="139"/>
      <c r="AN715" s="139"/>
      <c r="AO715" s="139"/>
    </row>
    <row r="716">
      <c r="A716" s="94"/>
      <c r="B716" s="690"/>
      <c r="C716" s="94"/>
      <c r="D716" s="94"/>
      <c r="E716" s="94"/>
      <c r="F716" s="94"/>
      <c r="G716" s="94"/>
      <c r="H716" s="691"/>
      <c r="I716" s="691"/>
      <c r="J716" s="691"/>
      <c r="K716" s="85"/>
      <c r="L716" s="85"/>
      <c r="M716" s="85"/>
      <c r="N716" s="85"/>
      <c r="O716" s="85"/>
      <c r="P716" s="85"/>
      <c r="Q716" s="138"/>
      <c r="R716" s="138"/>
      <c r="S716" s="138"/>
      <c r="T716" s="85"/>
      <c r="U716" s="85"/>
      <c r="V716" s="85"/>
      <c r="W716" s="138"/>
      <c r="X716" s="139"/>
      <c r="Y716" s="139"/>
      <c r="Z716" s="139"/>
      <c r="AA716" s="139"/>
      <c r="AB716" s="139"/>
      <c r="AC716" s="139"/>
      <c r="AD716" s="139"/>
      <c r="AE716" s="139"/>
      <c r="AF716" s="139"/>
      <c r="AG716" s="139"/>
      <c r="AH716" s="139"/>
      <c r="AI716" s="139"/>
      <c r="AJ716" s="139"/>
      <c r="AK716" s="139"/>
      <c r="AL716" s="139"/>
      <c r="AM716" s="139"/>
      <c r="AN716" s="139"/>
      <c r="AO716" s="139"/>
    </row>
    <row r="717">
      <c r="A717" s="94"/>
      <c r="B717" s="690"/>
      <c r="C717" s="94"/>
      <c r="D717" s="94"/>
      <c r="E717" s="94"/>
      <c r="F717" s="94"/>
      <c r="G717" s="94"/>
      <c r="H717" s="691"/>
      <c r="I717" s="691"/>
      <c r="J717" s="691"/>
      <c r="K717" s="85"/>
      <c r="L717" s="85"/>
      <c r="M717" s="85"/>
      <c r="N717" s="85"/>
      <c r="O717" s="85"/>
      <c r="P717" s="85"/>
      <c r="Q717" s="138"/>
      <c r="R717" s="138"/>
      <c r="S717" s="138"/>
      <c r="T717" s="85"/>
      <c r="U717" s="85"/>
      <c r="V717" s="85"/>
      <c r="W717" s="138"/>
      <c r="X717" s="139"/>
      <c r="Y717" s="139"/>
      <c r="Z717" s="139"/>
      <c r="AA717" s="139"/>
      <c r="AB717" s="139"/>
      <c r="AC717" s="139"/>
      <c r="AD717" s="139"/>
      <c r="AE717" s="139"/>
      <c r="AF717" s="139"/>
      <c r="AG717" s="139"/>
      <c r="AH717" s="139"/>
      <c r="AI717" s="139"/>
      <c r="AJ717" s="139"/>
      <c r="AK717" s="139"/>
      <c r="AL717" s="139"/>
      <c r="AM717" s="139"/>
      <c r="AN717" s="139"/>
      <c r="AO717" s="139"/>
    </row>
    <row r="718">
      <c r="A718" s="94"/>
      <c r="B718" s="690"/>
      <c r="C718" s="94"/>
      <c r="D718" s="94"/>
      <c r="E718" s="94"/>
      <c r="F718" s="94"/>
      <c r="G718" s="94"/>
      <c r="H718" s="691"/>
      <c r="I718" s="691"/>
      <c r="J718" s="691"/>
      <c r="K718" s="85"/>
      <c r="L718" s="85"/>
      <c r="M718" s="85"/>
      <c r="N718" s="85"/>
      <c r="O718" s="85"/>
      <c r="P718" s="85"/>
      <c r="Q718" s="138"/>
      <c r="R718" s="138"/>
      <c r="S718" s="138"/>
      <c r="T718" s="85"/>
      <c r="U718" s="85"/>
      <c r="V718" s="85"/>
      <c r="W718" s="138"/>
      <c r="X718" s="139"/>
      <c r="Y718" s="139"/>
      <c r="Z718" s="139"/>
      <c r="AA718" s="139"/>
      <c r="AB718" s="139"/>
      <c r="AC718" s="139"/>
      <c r="AD718" s="139"/>
      <c r="AE718" s="139"/>
      <c r="AF718" s="139"/>
      <c r="AG718" s="139"/>
      <c r="AH718" s="139"/>
      <c r="AI718" s="139"/>
      <c r="AJ718" s="139"/>
      <c r="AK718" s="139"/>
      <c r="AL718" s="139"/>
      <c r="AM718" s="139"/>
      <c r="AN718" s="139"/>
      <c r="AO718" s="139"/>
    </row>
    <row r="719">
      <c r="A719" s="94"/>
      <c r="B719" s="690"/>
      <c r="C719" s="94"/>
      <c r="D719" s="94"/>
      <c r="E719" s="94"/>
      <c r="F719" s="94"/>
      <c r="G719" s="94"/>
      <c r="H719" s="691"/>
      <c r="I719" s="691"/>
      <c r="J719" s="691"/>
      <c r="K719" s="85"/>
      <c r="L719" s="85"/>
      <c r="M719" s="85"/>
      <c r="N719" s="85"/>
      <c r="O719" s="85"/>
      <c r="P719" s="85"/>
      <c r="Q719" s="138"/>
      <c r="R719" s="138"/>
      <c r="S719" s="138"/>
      <c r="T719" s="85"/>
      <c r="U719" s="85"/>
      <c r="V719" s="85"/>
      <c r="W719" s="138"/>
      <c r="X719" s="139"/>
      <c r="Y719" s="139"/>
      <c r="Z719" s="139"/>
      <c r="AA719" s="139"/>
      <c r="AB719" s="139"/>
      <c r="AC719" s="139"/>
      <c r="AD719" s="139"/>
      <c r="AE719" s="139"/>
      <c r="AF719" s="139"/>
      <c r="AG719" s="139"/>
      <c r="AH719" s="139"/>
      <c r="AI719" s="139"/>
      <c r="AJ719" s="139"/>
      <c r="AK719" s="139"/>
      <c r="AL719" s="139"/>
      <c r="AM719" s="139"/>
      <c r="AN719" s="139"/>
      <c r="AO719" s="139"/>
    </row>
    <row r="720">
      <c r="A720" s="94"/>
      <c r="B720" s="690"/>
      <c r="C720" s="94"/>
      <c r="D720" s="94"/>
      <c r="E720" s="94"/>
      <c r="F720" s="94"/>
      <c r="G720" s="94"/>
      <c r="H720" s="691"/>
      <c r="I720" s="691"/>
      <c r="J720" s="691"/>
      <c r="K720" s="85"/>
      <c r="L720" s="85"/>
      <c r="M720" s="85"/>
      <c r="N720" s="85"/>
      <c r="O720" s="85"/>
      <c r="P720" s="85"/>
      <c r="Q720" s="138"/>
      <c r="R720" s="138"/>
      <c r="S720" s="138"/>
      <c r="T720" s="85"/>
      <c r="U720" s="85"/>
      <c r="V720" s="85"/>
      <c r="W720" s="138"/>
      <c r="X720" s="139"/>
      <c r="Y720" s="139"/>
      <c r="Z720" s="139"/>
      <c r="AA720" s="139"/>
      <c r="AB720" s="139"/>
      <c r="AC720" s="139"/>
      <c r="AD720" s="139"/>
      <c r="AE720" s="139"/>
      <c r="AF720" s="139"/>
      <c r="AG720" s="139"/>
      <c r="AH720" s="139"/>
      <c r="AI720" s="139"/>
      <c r="AJ720" s="139"/>
      <c r="AK720" s="139"/>
      <c r="AL720" s="139"/>
      <c r="AM720" s="139"/>
      <c r="AN720" s="139"/>
      <c r="AO720" s="139"/>
    </row>
    <row r="721">
      <c r="A721" s="94"/>
      <c r="B721" s="690"/>
      <c r="C721" s="94"/>
      <c r="D721" s="94"/>
      <c r="E721" s="94"/>
      <c r="F721" s="94"/>
      <c r="G721" s="94"/>
      <c r="H721" s="691"/>
      <c r="I721" s="691"/>
      <c r="J721" s="691"/>
      <c r="K721" s="85"/>
      <c r="L721" s="85"/>
      <c r="M721" s="85"/>
      <c r="N721" s="85"/>
      <c r="O721" s="85"/>
      <c r="P721" s="85"/>
      <c r="Q721" s="138"/>
      <c r="R721" s="138"/>
      <c r="S721" s="138"/>
      <c r="T721" s="85"/>
      <c r="U721" s="85"/>
      <c r="V721" s="85"/>
      <c r="W721" s="138"/>
      <c r="X721" s="139"/>
      <c r="Y721" s="139"/>
      <c r="Z721" s="139"/>
      <c r="AA721" s="139"/>
      <c r="AB721" s="139"/>
      <c r="AC721" s="139"/>
      <c r="AD721" s="139"/>
      <c r="AE721" s="139"/>
      <c r="AF721" s="139"/>
      <c r="AG721" s="139"/>
      <c r="AH721" s="139"/>
      <c r="AI721" s="139"/>
      <c r="AJ721" s="139"/>
      <c r="AK721" s="139"/>
      <c r="AL721" s="139"/>
      <c r="AM721" s="139"/>
      <c r="AN721" s="139"/>
      <c r="AO721" s="139"/>
    </row>
    <row r="722">
      <c r="A722" s="94"/>
      <c r="B722" s="690"/>
      <c r="C722" s="94"/>
      <c r="D722" s="94"/>
      <c r="E722" s="94"/>
      <c r="F722" s="94"/>
      <c r="G722" s="94"/>
      <c r="H722" s="691"/>
      <c r="I722" s="691"/>
      <c r="J722" s="691"/>
      <c r="K722" s="85"/>
      <c r="L722" s="85"/>
      <c r="M722" s="85"/>
      <c r="N722" s="85"/>
      <c r="O722" s="85"/>
      <c r="P722" s="85"/>
      <c r="Q722" s="138"/>
      <c r="R722" s="138"/>
      <c r="S722" s="138"/>
      <c r="T722" s="85"/>
      <c r="U722" s="85"/>
      <c r="V722" s="85"/>
      <c r="W722" s="138"/>
      <c r="X722" s="139"/>
      <c r="Y722" s="139"/>
      <c r="Z722" s="139"/>
      <c r="AA722" s="139"/>
      <c r="AB722" s="139"/>
      <c r="AC722" s="139"/>
      <c r="AD722" s="139"/>
      <c r="AE722" s="139"/>
      <c r="AF722" s="139"/>
      <c r="AG722" s="139"/>
      <c r="AH722" s="139"/>
      <c r="AI722" s="139"/>
      <c r="AJ722" s="139"/>
      <c r="AK722" s="139"/>
      <c r="AL722" s="139"/>
      <c r="AM722" s="139"/>
      <c r="AN722" s="139"/>
      <c r="AO722" s="139"/>
    </row>
    <row r="723">
      <c r="A723" s="94"/>
      <c r="B723" s="690"/>
      <c r="C723" s="94"/>
      <c r="D723" s="94"/>
      <c r="E723" s="94"/>
      <c r="F723" s="94"/>
      <c r="G723" s="94"/>
      <c r="H723" s="691"/>
      <c r="I723" s="691"/>
      <c r="J723" s="691"/>
      <c r="K723" s="85"/>
      <c r="L723" s="85"/>
      <c r="M723" s="85"/>
      <c r="N723" s="85"/>
      <c r="O723" s="85"/>
      <c r="P723" s="85"/>
      <c r="Q723" s="138"/>
      <c r="R723" s="138"/>
      <c r="S723" s="138"/>
      <c r="T723" s="85"/>
      <c r="U723" s="85"/>
      <c r="V723" s="85"/>
      <c r="W723" s="138"/>
      <c r="X723" s="139"/>
      <c r="Y723" s="139"/>
      <c r="Z723" s="139"/>
      <c r="AA723" s="139"/>
      <c r="AB723" s="139"/>
      <c r="AC723" s="139"/>
      <c r="AD723" s="139"/>
      <c r="AE723" s="139"/>
      <c r="AF723" s="139"/>
      <c r="AG723" s="139"/>
      <c r="AH723" s="139"/>
      <c r="AI723" s="139"/>
      <c r="AJ723" s="139"/>
      <c r="AK723" s="139"/>
      <c r="AL723" s="139"/>
      <c r="AM723" s="139"/>
      <c r="AN723" s="139"/>
      <c r="AO723" s="139"/>
    </row>
    <row r="724">
      <c r="A724" s="94"/>
      <c r="B724" s="690"/>
      <c r="C724" s="94"/>
      <c r="D724" s="94"/>
      <c r="E724" s="94"/>
      <c r="F724" s="94"/>
      <c r="G724" s="94"/>
      <c r="H724" s="691"/>
      <c r="I724" s="691"/>
      <c r="J724" s="691"/>
      <c r="K724" s="85"/>
      <c r="L724" s="85"/>
      <c r="M724" s="85"/>
      <c r="N724" s="85"/>
      <c r="O724" s="85"/>
      <c r="P724" s="85"/>
      <c r="Q724" s="138"/>
      <c r="R724" s="138"/>
      <c r="S724" s="138"/>
      <c r="T724" s="85"/>
      <c r="U724" s="85"/>
      <c r="V724" s="85"/>
      <c r="W724" s="138"/>
      <c r="X724" s="139"/>
      <c r="Y724" s="139"/>
      <c r="Z724" s="139"/>
      <c r="AA724" s="139"/>
      <c r="AB724" s="139"/>
      <c r="AC724" s="139"/>
      <c r="AD724" s="139"/>
      <c r="AE724" s="139"/>
      <c r="AF724" s="139"/>
      <c r="AG724" s="139"/>
      <c r="AH724" s="139"/>
      <c r="AI724" s="139"/>
      <c r="AJ724" s="139"/>
      <c r="AK724" s="139"/>
      <c r="AL724" s="139"/>
      <c r="AM724" s="139"/>
      <c r="AN724" s="139"/>
      <c r="AO724" s="139"/>
    </row>
    <row r="725">
      <c r="A725" s="94"/>
      <c r="B725" s="690"/>
      <c r="C725" s="94"/>
      <c r="D725" s="94"/>
      <c r="E725" s="94"/>
      <c r="F725" s="94"/>
      <c r="G725" s="94"/>
      <c r="H725" s="691"/>
      <c r="I725" s="691"/>
      <c r="J725" s="691"/>
      <c r="K725" s="85"/>
      <c r="L725" s="85"/>
      <c r="M725" s="85"/>
      <c r="N725" s="85"/>
      <c r="O725" s="85"/>
      <c r="P725" s="85"/>
      <c r="Q725" s="138"/>
      <c r="R725" s="138"/>
      <c r="S725" s="138"/>
      <c r="T725" s="85"/>
      <c r="U725" s="85"/>
      <c r="V725" s="85"/>
      <c r="W725" s="138"/>
      <c r="X725" s="139"/>
      <c r="Y725" s="139"/>
      <c r="Z725" s="139"/>
      <c r="AA725" s="139"/>
      <c r="AB725" s="139"/>
      <c r="AC725" s="139"/>
      <c r="AD725" s="139"/>
      <c r="AE725" s="139"/>
      <c r="AF725" s="139"/>
      <c r="AG725" s="139"/>
      <c r="AH725" s="139"/>
      <c r="AI725" s="139"/>
      <c r="AJ725" s="139"/>
      <c r="AK725" s="139"/>
      <c r="AL725" s="139"/>
      <c r="AM725" s="139"/>
      <c r="AN725" s="139"/>
      <c r="AO725" s="139"/>
    </row>
    <row r="726">
      <c r="A726" s="94"/>
      <c r="B726" s="690"/>
      <c r="C726" s="94"/>
      <c r="D726" s="94"/>
      <c r="E726" s="94"/>
      <c r="F726" s="94"/>
      <c r="G726" s="94"/>
      <c r="H726" s="691"/>
      <c r="I726" s="691"/>
      <c r="J726" s="691"/>
      <c r="K726" s="85"/>
      <c r="L726" s="85"/>
      <c r="M726" s="85"/>
      <c r="N726" s="85"/>
      <c r="O726" s="85"/>
      <c r="P726" s="85"/>
      <c r="Q726" s="138"/>
      <c r="R726" s="138"/>
      <c r="S726" s="138"/>
      <c r="T726" s="85"/>
      <c r="U726" s="85"/>
      <c r="V726" s="85"/>
      <c r="W726" s="138"/>
      <c r="X726" s="139"/>
      <c r="Y726" s="139"/>
      <c r="Z726" s="139"/>
      <c r="AA726" s="139"/>
      <c r="AB726" s="139"/>
      <c r="AC726" s="139"/>
      <c r="AD726" s="139"/>
      <c r="AE726" s="139"/>
      <c r="AF726" s="139"/>
      <c r="AG726" s="139"/>
      <c r="AH726" s="139"/>
      <c r="AI726" s="139"/>
      <c r="AJ726" s="139"/>
      <c r="AK726" s="139"/>
      <c r="AL726" s="139"/>
      <c r="AM726" s="139"/>
      <c r="AN726" s="139"/>
      <c r="AO726" s="139"/>
    </row>
    <row r="727">
      <c r="A727" s="94"/>
      <c r="B727" s="690"/>
      <c r="C727" s="94"/>
      <c r="D727" s="94"/>
      <c r="E727" s="94"/>
      <c r="F727" s="94"/>
      <c r="G727" s="94"/>
      <c r="H727" s="691"/>
      <c r="I727" s="691"/>
      <c r="J727" s="691"/>
      <c r="K727" s="85"/>
      <c r="L727" s="85"/>
      <c r="M727" s="85"/>
      <c r="N727" s="85"/>
      <c r="O727" s="85"/>
      <c r="P727" s="85"/>
      <c r="Q727" s="138"/>
      <c r="R727" s="138"/>
      <c r="S727" s="138"/>
      <c r="T727" s="85"/>
      <c r="U727" s="85"/>
      <c r="V727" s="85"/>
      <c r="W727" s="138"/>
      <c r="X727" s="139"/>
      <c r="Y727" s="139"/>
      <c r="Z727" s="139"/>
      <c r="AA727" s="139"/>
      <c r="AB727" s="139"/>
      <c r="AC727" s="139"/>
      <c r="AD727" s="139"/>
      <c r="AE727" s="139"/>
      <c r="AF727" s="139"/>
      <c r="AG727" s="139"/>
      <c r="AH727" s="139"/>
      <c r="AI727" s="139"/>
      <c r="AJ727" s="139"/>
      <c r="AK727" s="139"/>
      <c r="AL727" s="139"/>
      <c r="AM727" s="139"/>
      <c r="AN727" s="139"/>
      <c r="AO727" s="139"/>
    </row>
    <row r="728">
      <c r="A728" s="94"/>
      <c r="B728" s="690"/>
      <c r="C728" s="94"/>
      <c r="D728" s="94"/>
      <c r="E728" s="94"/>
      <c r="F728" s="94"/>
      <c r="G728" s="94"/>
      <c r="H728" s="691"/>
      <c r="I728" s="691"/>
      <c r="J728" s="691"/>
      <c r="K728" s="85"/>
      <c r="L728" s="85"/>
      <c r="M728" s="85"/>
      <c r="N728" s="85"/>
      <c r="O728" s="85"/>
      <c r="P728" s="85"/>
      <c r="Q728" s="138"/>
      <c r="R728" s="138"/>
      <c r="S728" s="138"/>
      <c r="T728" s="85"/>
      <c r="U728" s="85"/>
      <c r="V728" s="85"/>
      <c r="W728" s="138"/>
      <c r="X728" s="139"/>
      <c r="Y728" s="139"/>
      <c r="Z728" s="139"/>
      <c r="AA728" s="139"/>
      <c r="AB728" s="139"/>
      <c r="AC728" s="139"/>
      <c r="AD728" s="139"/>
      <c r="AE728" s="139"/>
      <c r="AF728" s="139"/>
      <c r="AG728" s="139"/>
      <c r="AH728" s="139"/>
      <c r="AI728" s="139"/>
      <c r="AJ728" s="139"/>
      <c r="AK728" s="139"/>
      <c r="AL728" s="139"/>
      <c r="AM728" s="139"/>
      <c r="AN728" s="139"/>
      <c r="AO728" s="139"/>
    </row>
    <row r="729">
      <c r="A729" s="94"/>
      <c r="B729" s="690"/>
      <c r="C729" s="94"/>
      <c r="D729" s="94"/>
      <c r="E729" s="94"/>
      <c r="F729" s="94"/>
      <c r="G729" s="94"/>
      <c r="H729" s="691"/>
      <c r="I729" s="691"/>
      <c r="J729" s="691"/>
      <c r="K729" s="85"/>
      <c r="L729" s="85"/>
      <c r="M729" s="85"/>
      <c r="N729" s="85"/>
      <c r="O729" s="85"/>
      <c r="P729" s="85"/>
      <c r="Q729" s="138"/>
      <c r="R729" s="138"/>
      <c r="S729" s="138"/>
      <c r="T729" s="85"/>
      <c r="U729" s="85"/>
      <c r="V729" s="85"/>
      <c r="W729" s="138"/>
      <c r="X729" s="139"/>
      <c r="Y729" s="139"/>
      <c r="Z729" s="139"/>
      <c r="AA729" s="139"/>
      <c r="AB729" s="139"/>
      <c r="AC729" s="139"/>
      <c r="AD729" s="139"/>
      <c r="AE729" s="139"/>
      <c r="AF729" s="139"/>
      <c r="AG729" s="139"/>
      <c r="AH729" s="139"/>
      <c r="AI729" s="139"/>
      <c r="AJ729" s="139"/>
      <c r="AK729" s="139"/>
      <c r="AL729" s="139"/>
      <c r="AM729" s="139"/>
      <c r="AN729" s="139"/>
      <c r="AO729" s="139"/>
    </row>
    <row r="730">
      <c r="A730" s="94"/>
      <c r="B730" s="690"/>
      <c r="C730" s="94"/>
      <c r="D730" s="94"/>
      <c r="E730" s="94"/>
      <c r="F730" s="94"/>
      <c r="G730" s="94"/>
      <c r="H730" s="691"/>
      <c r="I730" s="691"/>
      <c r="J730" s="691"/>
      <c r="K730" s="85"/>
      <c r="L730" s="85"/>
      <c r="M730" s="85"/>
      <c r="N730" s="85"/>
      <c r="O730" s="85"/>
      <c r="P730" s="85"/>
      <c r="Q730" s="138"/>
      <c r="R730" s="138"/>
      <c r="S730" s="138"/>
      <c r="T730" s="85"/>
      <c r="U730" s="85"/>
      <c r="V730" s="85"/>
      <c r="W730" s="138"/>
      <c r="X730" s="139"/>
      <c r="Y730" s="139"/>
      <c r="Z730" s="139"/>
      <c r="AA730" s="139"/>
      <c r="AB730" s="139"/>
      <c r="AC730" s="139"/>
      <c r="AD730" s="139"/>
      <c r="AE730" s="139"/>
      <c r="AF730" s="139"/>
      <c r="AG730" s="139"/>
      <c r="AH730" s="139"/>
      <c r="AI730" s="139"/>
      <c r="AJ730" s="139"/>
      <c r="AK730" s="139"/>
      <c r="AL730" s="139"/>
      <c r="AM730" s="139"/>
      <c r="AN730" s="139"/>
      <c r="AO730" s="139"/>
    </row>
    <row r="731">
      <c r="A731" s="94"/>
      <c r="B731" s="690"/>
      <c r="C731" s="94"/>
      <c r="D731" s="94"/>
      <c r="E731" s="94"/>
      <c r="F731" s="94"/>
      <c r="G731" s="94"/>
      <c r="H731" s="691"/>
      <c r="I731" s="691"/>
      <c r="J731" s="691"/>
      <c r="K731" s="85"/>
      <c r="L731" s="85"/>
      <c r="M731" s="85"/>
      <c r="N731" s="85"/>
      <c r="O731" s="85"/>
      <c r="P731" s="85"/>
      <c r="Q731" s="138"/>
      <c r="R731" s="138"/>
      <c r="S731" s="138"/>
      <c r="T731" s="85"/>
      <c r="U731" s="85"/>
      <c r="V731" s="85"/>
      <c r="W731" s="138"/>
      <c r="X731" s="139"/>
      <c r="Y731" s="139"/>
      <c r="Z731" s="139"/>
      <c r="AA731" s="139"/>
      <c r="AB731" s="139"/>
      <c r="AC731" s="139"/>
      <c r="AD731" s="139"/>
      <c r="AE731" s="139"/>
      <c r="AF731" s="139"/>
      <c r="AG731" s="139"/>
      <c r="AH731" s="139"/>
      <c r="AI731" s="139"/>
      <c r="AJ731" s="139"/>
      <c r="AK731" s="139"/>
      <c r="AL731" s="139"/>
      <c r="AM731" s="139"/>
      <c r="AN731" s="139"/>
      <c r="AO731" s="139"/>
    </row>
    <row r="732">
      <c r="A732" s="94"/>
      <c r="B732" s="690"/>
      <c r="C732" s="94"/>
      <c r="D732" s="94"/>
      <c r="E732" s="94"/>
      <c r="F732" s="94"/>
      <c r="G732" s="94"/>
      <c r="H732" s="691"/>
      <c r="I732" s="691"/>
      <c r="J732" s="691"/>
      <c r="K732" s="85"/>
      <c r="L732" s="85"/>
      <c r="M732" s="85"/>
      <c r="N732" s="85"/>
      <c r="O732" s="85"/>
      <c r="P732" s="85"/>
      <c r="Q732" s="138"/>
      <c r="R732" s="138"/>
      <c r="S732" s="138"/>
      <c r="T732" s="85"/>
      <c r="U732" s="85"/>
      <c r="V732" s="85"/>
      <c r="W732" s="138"/>
      <c r="X732" s="139"/>
      <c r="Y732" s="139"/>
      <c r="Z732" s="139"/>
      <c r="AA732" s="139"/>
      <c r="AB732" s="139"/>
      <c r="AC732" s="139"/>
      <c r="AD732" s="139"/>
      <c r="AE732" s="139"/>
      <c r="AF732" s="139"/>
      <c r="AG732" s="139"/>
      <c r="AH732" s="139"/>
      <c r="AI732" s="139"/>
      <c r="AJ732" s="139"/>
      <c r="AK732" s="139"/>
      <c r="AL732" s="139"/>
      <c r="AM732" s="139"/>
      <c r="AN732" s="139"/>
      <c r="AO732" s="139"/>
    </row>
    <row r="733">
      <c r="A733" s="94"/>
      <c r="B733" s="690"/>
      <c r="C733" s="94"/>
      <c r="D733" s="94"/>
      <c r="E733" s="94"/>
      <c r="F733" s="94"/>
      <c r="G733" s="94"/>
      <c r="H733" s="691"/>
      <c r="I733" s="691"/>
      <c r="J733" s="691"/>
      <c r="K733" s="85"/>
      <c r="L733" s="85"/>
      <c r="M733" s="85"/>
      <c r="N733" s="85"/>
      <c r="O733" s="85"/>
      <c r="P733" s="85"/>
      <c r="Q733" s="138"/>
      <c r="R733" s="138"/>
      <c r="S733" s="138"/>
      <c r="T733" s="85"/>
      <c r="U733" s="85"/>
      <c r="V733" s="85"/>
      <c r="W733" s="138"/>
      <c r="X733" s="139"/>
      <c r="Y733" s="139"/>
      <c r="Z733" s="139"/>
      <c r="AA733" s="139"/>
      <c r="AB733" s="139"/>
      <c r="AC733" s="139"/>
      <c r="AD733" s="139"/>
      <c r="AE733" s="139"/>
      <c r="AF733" s="139"/>
      <c r="AG733" s="139"/>
      <c r="AH733" s="139"/>
      <c r="AI733" s="139"/>
      <c r="AJ733" s="139"/>
      <c r="AK733" s="139"/>
      <c r="AL733" s="139"/>
      <c r="AM733" s="139"/>
      <c r="AN733" s="139"/>
      <c r="AO733" s="139"/>
    </row>
    <row r="734">
      <c r="A734" s="94"/>
      <c r="B734" s="690"/>
      <c r="C734" s="94"/>
      <c r="D734" s="94"/>
      <c r="E734" s="94"/>
      <c r="F734" s="94"/>
      <c r="G734" s="94"/>
      <c r="H734" s="691"/>
      <c r="I734" s="691"/>
      <c r="J734" s="691"/>
      <c r="K734" s="85"/>
      <c r="L734" s="85"/>
      <c r="M734" s="85"/>
      <c r="N734" s="85"/>
      <c r="O734" s="85"/>
      <c r="P734" s="85"/>
      <c r="Q734" s="138"/>
      <c r="R734" s="138"/>
      <c r="S734" s="138"/>
      <c r="T734" s="85"/>
      <c r="U734" s="85"/>
      <c r="V734" s="85"/>
      <c r="W734" s="138"/>
      <c r="X734" s="139"/>
      <c r="Y734" s="139"/>
      <c r="Z734" s="139"/>
      <c r="AA734" s="139"/>
      <c r="AB734" s="139"/>
      <c r="AC734" s="139"/>
      <c r="AD734" s="139"/>
      <c r="AE734" s="139"/>
      <c r="AF734" s="139"/>
      <c r="AG734" s="139"/>
      <c r="AH734" s="139"/>
      <c r="AI734" s="139"/>
      <c r="AJ734" s="139"/>
      <c r="AK734" s="139"/>
      <c r="AL734" s="139"/>
      <c r="AM734" s="139"/>
      <c r="AN734" s="139"/>
      <c r="AO734" s="139"/>
    </row>
    <row r="735">
      <c r="A735" s="94"/>
      <c r="B735" s="690"/>
      <c r="C735" s="94"/>
      <c r="D735" s="94"/>
      <c r="E735" s="94"/>
      <c r="F735" s="94"/>
      <c r="G735" s="94"/>
      <c r="H735" s="691"/>
      <c r="I735" s="691"/>
      <c r="J735" s="691"/>
      <c r="K735" s="85"/>
      <c r="L735" s="85"/>
      <c r="M735" s="85"/>
      <c r="N735" s="85"/>
      <c r="O735" s="85"/>
      <c r="P735" s="85"/>
      <c r="Q735" s="138"/>
      <c r="R735" s="138"/>
      <c r="S735" s="138"/>
      <c r="T735" s="85"/>
      <c r="U735" s="85"/>
      <c r="V735" s="85"/>
      <c r="W735" s="138"/>
      <c r="X735" s="139"/>
      <c r="Y735" s="139"/>
      <c r="Z735" s="139"/>
      <c r="AA735" s="139"/>
      <c r="AB735" s="139"/>
      <c r="AC735" s="139"/>
      <c r="AD735" s="139"/>
      <c r="AE735" s="139"/>
      <c r="AF735" s="139"/>
      <c r="AG735" s="139"/>
      <c r="AH735" s="139"/>
      <c r="AI735" s="139"/>
      <c r="AJ735" s="139"/>
      <c r="AK735" s="139"/>
      <c r="AL735" s="139"/>
      <c r="AM735" s="139"/>
      <c r="AN735" s="139"/>
      <c r="AO735" s="139"/>
    </row>
    <row r="736">
      <c r="A736" s="94"/>
      <c r="B736" s="690"/>
      <c r="C736" s="94"/>
      <c r="D736" s="94"/>
      <c r="E736" s="94"/>
      <c r="F736" s="94"/>
      <c r="G736" s="94"/>
      <c r="H736" s="691"/>
      <c r="I736" s="691"/>
      <c r="J736" s="691"/>
      <c r="K736" s="85"/>
      <c r="L736" s="85"/>
      <c r="M736" s="85"/>
      <c r="N736" s="85"/>
      <c r="O736" s="85"/>
      <c r="P736" s="85"/>
      <c r="Q736" s="138"/>
      <c r="R736" s="138"/>
      <c r="S736" s="138"/>
      <c r="T736" s="85"/>
      <c r="U736" s="85"/>
      <c r="V736" s="85"/>
      <c r="W736" s="138"/>
      <c r="X736" s="139"/>
      <c r="Y736" s="139"/>
      <c r="Z736" s="139"/>
      <c r="AA736" s="139"/>
      <c r="AB736" s="139"/>
      <c r="AC736" s="139"/>
      <c r="AD736" s="139"/>
      <c r="AE736" s="139"/>
      <c r="AF736" s="139"/>
      <c r="AG736" s="139"/>
      <c r="AH736" s="139"/>
      <c r="AI736" s="139"/>
      <c r="AJ736" s="139"/>
      <c r="AK736" s="139"/>
      <c r="AL736" s="139"/>
      <c r="AM736" s="139"/>
      <c r="AN736" s="139"/>
      <c r="AO736" s="139"/>
    </row>
    <row r="737">
      <c r="A737" s="94"/>
      <c r="B737" s="690"/>
      <c r="C737" s="94"/>
      <c r="D737" s="94"/>
      <c r="E737" s="94"/>
      <c r="F737" s="94"/>
      <c r="G737" s="94"/>
      <c r="H737" s="691"/>
      <c r="I737" s="691"/>
      <c r="J737" s="691"/>
      <c r="K737" s="85"/>
      <c r="L737" s="85"/>
      <c r="M737" s="85"/>
      <c r="N737" s="85"/>
      <c r="O737" s="85"/>
      <c r="P737" s="85"/>
      <c r="Q737" s="138"/>
      <c r="R737" s="138"/>
      <c r="S737" s="138"/>
      <c r="T737" s="85"/>
      <c r="U737" s="85"/>
      <c r="V737" s="85"/>
      <c r="W737" s="138"/>
      <c r="X737" s="139"/>
      <c r="Y737" s="139"/>
      <c r="Z737" s="139"/>
      <c r="AA737" s="139"/>
      <c r="AB737" s="139"/>
      <c r="AC737" s="139"/>
      <c r="AD737" s="139"/>
      <c r="AE737" s="139"/>
      <c r="AF737" s="139"/>
      <c r="AG737" s="139"/>
      <c r="AH737" s="139"/>
      <c r="AI737" s="139"/>
      <c r="AJ737" s="139"/>
      <c r="AK737" s="139"/>
      <c r="AL737" s="139"/>
      <c r="AM737" s="139"/>
      <c r="AN737" s="139"/>
      <c r="AO737" s="139"/>
    </row>
    <row r="738">
      <c r="A738" s="94"/>
      <c r="B738" s="690"/>
      <c r="C738" s="94"/>
      <c r="D738" s="94"/>
      <c r="E738" s="94"/>
      <c r="F738" s="94"/>
      <c r="G738" s="94"/>
      <c r="H738" s="691"/>
      <c r="I738" s="691"/>
      <c r="J738" s="691"/>
      <c r="K738" s="85"/>
      <c r="L738" s="85"/>
      <c r="M738" s="85"/>
      <c r="N738" s="85"/>
      <c r="O738" s="85"/>
      <c r="P738" s="85"/>
      <c r="Q738" s="138"/>
      <c r="R738" s="138"/>
      <c r="S738" s="138"/>
      <c r="T738" s="85"/>
      <c r="U738" s="85"/>
      <c r="V738" s="85"/>
      <c r="W738" s="138"/>
      <c r="X738" s="139"/>
      <c r="Y738" s="139"/>
      <c r="Z738" s="139"/>
      <c r="AA738" s="139"/>
      <c r="AB738" s="139"/>
      <c r="AC738" s="139"/>
      <c r="AD738" s="139"/>
      <c r="AE738" s="139"/>
      <c r="AF738" s="139"/>
      <c r="AG738" s="139"/>
      <c r="AH738" s="139"/>
      <c r="AI738" s="139"/>
      <c r="AJ738" s="139"/>
      <c r="AK738" s="139"/>
      <c r="AL738" s="139"/>
      <c r="AM738" s="139"/>
      <c r="AN738" s="139"/>
      <c r="AO738" s="139"/>
    </row>
    <row r="739">
      <c r="A739" s="94"/>
      <c r="B739" s="690"/>
      <c r="C739" s="94"/>
      <c r="D739" s="94"/>
      <c r="E739" s="94"/>
      <c r="F739" s="94"/>
      <c r="G739" s="94"/>
      <c r="H739" s="691"/>
      <c r="I739" s="691"/>
      <c r="J739" s="691"/>
      <c r="K739" s="85"/>
      <c r="L739" s="85"/>
      <c r="M739" s="85"/>
      <c r="N739" s="85"/>
      <c r="O739" s="85"/>
      <c r="P739" s="85"/>
      <c r="Q739" s="138"/>
      <c r="R739" s="138"/>
      <c r="S739" s="138"/>
      <c r="T739" s="85"/>
      <c r="U739" s="85"/>
      <c r="V739" s="85"/>
      <c r="W739" s="138"/>
      <c r="X739" s="139"/>
      <c r="Y739" s="139"/>
      <c r="Z739" s="139"/>
      <c r="AA739" s="139"/>
      <c r="AB739" s="139"/>
      <c r="AC739" s="139"/>
      <c r="AD739" s="139"/>
      <c r="AE739" s="139"/>
      <c r="AF739" s="139"/>
      <c r="AG739" s="139"/>
      <c r="AH739" s="139"/>
      <c r="AI739" s="139"/>
      <c r="AJ739" s="139"/>
      <c r="AK739" s="139"/>
      <c r="AL739" s="139"/>
      <c r="AM739" s="139"/>
      <c r="AN739" s="139"/>
      <c r="AO739" s="139"/>
    </row>
    <row r="740">
      <c r="A740" s="94"/>
      <c r="B740" s="690"/>
      <c r="C740" s="94"/>
      <c r="D740" s="94"/>
      <c r="E740" s="94"/>
      <c r="F740" s="94"/>
      <c r="G740" s="94"/>
      <c r="H740" s="691"/>
      <c r="I740" s="691"/>
      <c r="J740" s="691"/>
      <c r="K740" s="85"/>
      <c r="L740" s="85"/>
      <c r="M740" s="85"/>
      <c r="N740" s="85"/>
      <c r="O740" s="85"/>
      <c r="P740" s="85"/>
      <c r="Q740" s="138"/>
      <c r="R740" s="138"/>
      <c r="S740" s="138"/>
      <c r="T740" s="85"/>
      <c r="U740" s="85"/>
      <c r="V740" s="85"/>
      <c r="W740" s="138"/>
      <c r="X740" s="139"/>
      <c r="Y740" s="139"/>
      <c r="Z740" s="139"/>
      <c r="AA740" s="139"/>
      <c r="AB740" s="139"/>
      <c r="AC740" s="139"/>
      <c r="AD740" s="139"/>
      <c r="AE740" s="139"/>
      <c r="AF740" s="139"/>
      <c r="AG740" s="139"/>
      <c r="AH740" s="139"/>
      <c r="AI740" s="139"/>
      <c r="AJ740" s="139"/>
      <c r="AK740" s="139"/>
      <c r="AL740" s="139"/>
      <c r="AM740" s="139"/>
      <c r="AN740" s="139"/>
      <c r="AO740" s="139"/>
    </row>
    <row r="741">
      <c r="A741" s="94"/>
      <c r="B741" s="690"/>
      <c r="C741" s="94"/>
      <c r="D741" s="94"/>
      <c r="E741" s="94"/>
      <c r="F741" s="94"/>
      <c r="G741" s="94"/>
      <c r="H741" s="691"/>
      <c r="I741" s="691"/>
      <c r="J741" s="691"/>
      <c r="K741" s="85"/>
      <c r="L741" s="85"/>
      <c r="M741" s="85"/>
      <c r="N741" s="85"/>
      <c r="O741" s="85"/>
      <c r="P741" s="85"/>
      <c r="Q741" s="138"/>
      <c r="R741" s="138"/>
      <c r="S741" s="138"/>
      <c r="T741" s="85"/>
      <c r="U741" s="85"/>
      <c r="V741" s="85"/>
      <c r="W741" s="138"/>
      <c r="X741" s="139"/>
      <c r="Y741" s="139"/>
      <c r="Z741" s="139"/>
      <c r="AA741" s="139"/>
      <c r="AB741" s="139"/>
      <c r="AC741" s="139"/>
      <c r="AD741" s="139"/>
      <c r="AE741" s="139"/>
      <c r="AF741" s="139"/>
      <c r="AG741" s="139"/>
      <c r="AH741" s="139"/>
      <c r="AI741" s="139"/>
      <c r="AJ741" s="139"/>
      <c r="AK741" s="139"/>
      <c r="AL741" s="139"/>
      <c r="AM741" s="139"/>
      <c r="AN741" s="139"/>
      <c r="AO741" s="139"/>
    </row>
    <row r="742">
      <c r="A742" s="94"/>
      <c r="B742" s="690"/>
      <c r="C742" s="94"/>
      <c r="D742" s="94"/>
      <c r="E742" s="94"/>
      <c r="F742" s="94"/>
      <c r="G742" s="94"/>
      <c r="H742" s="691"/>
      <c r="I742" s="691"/>
      <c r="J742" s="691"/>
      <c r="K742" s="85"/>
      <c r="L742" s="85"/>
      <c r="M742" s="85"/>
      <c r="N742" s="85"/>
      <c r="O742" s="85"/>
      <c r="P742" s="85"/>
      <c r="Q742" s="138"/>
      <c r="R742" s="138"/>
      <c r="S742" s="138"/>
      <c r="T742" s="85"/>
      <c r="U742" s="85"/>
      <c r="V742" s="85"/>
      <c r="W742" s="138"/>
      <c r="X742" s="139"/>
      <c r="Y742" s="139"/>
      <c r="Z742" s="139"/>
      <c r="AA742" s="139"/>
      <c r="AB742" s="139"/>
      <c r="AC742" s="139"/>
      <c r="AD742" s="139"/>
      <c r="AE742" s="139"/>
      <c r="AF742" s="139"/>
      <c r="AG742" s="139"/>
      <c r="AH742" s="139"/>
      <c r="AI742" s="139"/>
      <c r="AJ742" s="139"/>
      <c r="AK742" s="139"/>
      <c r="AL742" s="139"/>
      <c r="AM742" s="139"/>
      <c r="AN742" s="139"/>
      <c r="AO742" s="139"/>
    </row>
    <row r="743">
      <c r="A743" s="94"/>
      <c r="B743" s="690"/>
      <c r="C743" s="94"/>
      <c r="D743" s="94"/>
      <c r="E743" s="94"/>
      <c r="F743" s="94"/>
      <c r="G743" s="94"/>
      <c r="H743" s="691"/>
      <c r="I743" s="691"/>
      <c r="J743" s="691"/>
      <c r="K743" s="85"/>
      <c r="L743" s="85"/>
      <c r="M743" s="85"/>
      <c r="N743" s="85"/>
      <c r="O743" s="85"/>
      <c r="P743" s="85"/>
      <c r="Q743" s="138"/>
      <c r="R743" s="138"/>
      <c r="S743" s="138"/>
      <c r="T743" s="85"/>
      <c r="U743" s="85"/>
      <c r="V743" s="85"/>
      <c r="W743" s="138"/>
      <c r="X743" s="139"/>
      <c r="Y743" s="139"/>
      <c r="Z743" s="139"/>
      <c r="AA743" s="139"/>
      <c r="AB743" s="139"/>
      <c r="AC743" s="139"/>
      <c r="AD743" s="139"/>
      <c r="AE743" s="139"/>
      <c r="AF743" s="139"/>
      <c r="AG743" s="139"/>
      <c r="AH743" s="139"/>
      <c r="AI743" s="139"/>
      <c r="AJ743" s="139"/>
      <c r="AK743" s="139"/>
      <c r="AL743" s="139"/>
      <c r="AM743" s="139"/>
      <c r="AN743" s="139"/>
      <c r="AO743" s="139"/>
    </row>
    <row r="744">
      <c r="A744" s="94"/>
      <c r="B744" s="690"/>
      <c r="C744" s="94"/>
      <c r="D744" s="94"/>
      <c r="E744" s="94"/>
      <c r="F744" s="94"/>
      <c r="G744" s="94"/>
      <c r="H744" s="691"/>
      <c r="I744" s="691"/>
      <c r="J744" s="691"/>
      <c r="K744" s="85"/>
      <c r="L744" s="85"/>
      <c r="M744" s="85"/>
      <c r="N744" s="85"/>
      <c r="O744" s="85"/>
      <c r="P744" s="85"/>
      <c r="Q744" s="138"/>
      <c r="R744" s="138"/>
      <c r="S744" s="138"/>
      <c r="T744" s="85"/>
      <c r="U744" s="85"/>
      <c r="V744" s="85"/>
      <c r="W744" s="138"/>
      <c r="X744" s="139"/>
      <c r="Y744" s="139"/>
      <c r="Z744" s="139"/>
      <c r="AA744" s="139"/>
      <c r="AB744" s="139"/>
      <c r="AC744" s="139"/>
      <c r="AD744" s="139"/>
      <c r="AE744" s="139"/>
      <c r="AF744" s="139"/>
      <c r="AG744" s="139"/>
      <c r="AH744" s="139"/>
      <c r="AI744" s="139"/>
      <c r="AJ744" s="139"/>
      <c r="AK744" s="139"/>
      <c r="AL744" s="139"/>
      <c r="AM744" s="139"/>
      <c r="AN744" s="139"/>
      <c r="AO744" s="139"/>
    </row>
    <row r="745">
      <c r="A745" s="94"/>
      <c r="B745" s="690"/>
      <c r="C745" s="94"/>
      <c r="D745" s="94"/>
      <c r="E745" s="94"/>
      <c r="F745" s="94"/>
      <c r="G745" s="94"/>
      <c r="H745" s="691"/>
      <c r="I745" s="691"/>
      <c r="J745" s="691"/>
      <c r="K745" s="85"/>
      <c r="L745" s="85"/>
      <c r="M745" s="85"/>
      <c r="N745" s="85"/>
      <c r="O745" s="85"/>
      <c r="P745" s="85"/>
      <c r="Q745" s="138"/>
      <c r="R745" s="138"/>
      <c r="S745" s="138"/>
      <c r="T745" s="85"/>
      <c r="U745" s="85"/>
      <c r="V745" s="85"/>
      <c r="W745" s="138"/>
      <c r="X745" s="139"/>
      <c r="Y745" s="139"/>
      <c r="Z745" s="139"/>
      <c r="AA745" s="139"/>
      <c r="AB745" s="139"/>
      <c r="AC745" s="139"/>
      <c r="AD745" s="139"/>
      <c r="AE745" s="139"/>
      <c r="AF745" s="139"/>
      <c r="AG745" s="139"/>
      <c r="AH745" s="139"/>
      <c r="AI745" s="139"/>
      <c r="AJ745" s="139"/>
      <c r="AK745" s="139"/>
      <c r="AL745" s="139"/>
      <c r="AM745" s="139"/>
      <c r="AN745" s="139"/>
      <c r="AO745" s="139"/>
    </row>
    <row r="746">
      <c r="A746" s="94"/>
      <c r="B746" s="690"/>
      <c r="C746" s="94"/>
      <c r="D746" s="94"/>
      <c r="E746" s="94"/>
      <c r="F746" s="94"/>
      <c r="G746" s="94"/>
      <c r="H746" s="691"/>
      <c r="I746" s="691"/>
      <c r="J746" s="691"/>
      <c r="K746" s="85"/>
      <c r="L746" s="85"/>
      <c r="M746" s="85"/>
      <c r="N746" s="85"/>
      <c r="O746" s="85"/>
      <c r="P746" s="85"/>
      <c r="Q746" s="138"/>
      <c r="R746" s="138"/>
      <c r="S746" s="138"/>
      <c r="T746" s="85"/>
      <c r="U746" s="85"/>
      <c r="V746" s="85"/>
      <c r="W746" s="138"/>
      <c r="X746" s="139"/>
      <c r="Y746" s="139"/>
      <c r="Z746" s="139"/>
      <c r="AA746" s="139"/>
      <c r="AB746" s="139"/>
      <c r="AC746" s="139"/>
      <c r="AD746" s="139"/>
      <c r="AE746" s="139"/>
      <c r="AF746" s="139"/>
      <c r="AG746" s="139"/>
      <c r="AH746" s="139"/>
      <c r="AI746" s="139"/>
      <c r="AJ746" s="139"/>
      <c r="AK746" s="139"/>
      <c r="AL746" s="139"/>
      <c r="AM746" s="139"/>
      <c r="AN746" s="139"/>
      <c r="AO746" s="139"/>
    </row>
    <row r="747">
      <c r="A747" s="94"/>
      <c r="B747" s="690"/>
      <c r="C747" s="94"/>
      <c r="D747" s="94"/>
      <c r="E747" s="94"/>
      <c r="F747" s="94"/>
      <c r="G747" s="94"/>
      <c r="H747" s="691"/>
      <c r="I747" s="691"/>
      <c r="J747" s="691"/>
      <c r="K747" s="85"/>
      <c r="L747" s="85"/>
      <c r="M747" s="85"/>
      <c r="N747" s="85"/>
      <c r="O747" s="85"/>
      <c r="P747" s="85"/>
      <c r="Q747" s="138"/>
      <c r="R747" s="138"/>
      <c r="S747" s="138"/>
      <c r="T747" s="85"/>
      <c r="U747" s="85"/>
      <c r="V747" s="85"/>
      <c r="W747" s="138"/>
      <c r="X747" s="139"/>
      <c r="Y747" s="139"/>
      <c r="Z747" s="139"/>
      <c r="AA747" s="139"/>
      <c r="AB747" s="139"/>
      <c r="AC747" s="139"/>
      <c r="AD747" s="139"/>
      <c r="AE747" s="139"/>
      <c r="AF747" s="139"/>
      <c r="AG747" s="139"/>
      <c r="AH747" s="139"/>
      <c r="AI747" s="139"/>
      <c r="AJ747" s="139"/>
      <c r="AK747" s="139"/>
      <c r="AL747" s="139"/>
      <c r="AM747" s="139"/>
      <c r="AN747" s="139"/>
      <c r="AO747" s="139"/>
    </row>
    <row r="748">
      <c r="A748" s="94"/>
      <c r="B748" s="690"/>
      <c r="C748" s="94"/>
      <c r="D748" s="94"/>
      <c r="E748" s="94"/>
      <c r="F748" s="94"/>
      <c r="G748" s="94"/>
      <c r="H748" s="691"/>
      <c r="I748" s="691"/>
      <c r="J748" s="691"/>
      <c r="K748" s="85"/>
      <c r="L748" s="85"/>
      <c r="M748" s="85"/>
      <c r="N748" s="85"/>
      <c r="O748" s="85"/>
      <c r="P748" s="85"/>
      <c r="Q748" s="138"/>
      <c r="R748" s="138"/>
      <c r="S748" s="138"/>
      <c r="T748" s="85"/>
      <c r="U748" s="85"/>
      <c r="V748" s="85"/>
      <c r="W748" s="138"/>
      <c r="X748" s="139"/>
      <c r="Y748" s="139"/>
      <c r="Z748" s="139"/>
      <c r="AA748" s="139"/>
      <c r="AB748" s="139"/>
      <c r="AC748" s="139"/>
      <c r="AD748" s="139"/>
      <c r="AE748" s="139"/>
      <c r="AF748" s="139"/>
      <c r="AG748" s="139"/>
      <c r="AH748" s="139"/>
      <c r="AI748" s="139"/>
      <c r="AJ748" s="139"/>
      <c r="AK748" s="139"/>
      <c r="AL748" s="139"/>
      <c r="AM748" s="139"/>
      <c r="AN748" s="139"/>
      <c r="AO748" s="139"/>
    </row>
    <row r="749">
      <c r="A749" s="94"/>
      <c r="B749" s="690"/>
      <c r="C749" s="94"/>
      <c r="D749" s="94"/>
      <c r="E749" s="94"/>
      <c r="F749" s="94"/>
      <c r="G749" s="94"/>
      <c r="H749" s="691"/>
      <c r="I749" s="691"/>
      <c r="J749" s="691"/>
      <c r="K749" s="85"/>
      <c r="L749" s="85"/>
      <c r="M749" s="85"/>
      <c r="N749" s="85"/>
      <c r="O749" s="85"/>
      <c r="P749" s="85"/>
      <c r="Q749" s="138"/>
      <c r="R749" s="138"/>
      <c r="S749" s="138"/>
      <c r="T749" s="85"/>
      <c r="U749" s="85"/>
      <c r="V749" s="85"/>
      <c r="W749" s="138"/>
      <c r="X749" s="139"/>
      <c r="Y749" s="139"/>
      <c r="Z749" s="139"/>
      <c r="AA749" s="139"/>
      <c r="AB749" s="139"/>
      <c r="AC749" s="139"/>
      <c r="AD749" s="139"/>
      <c r="AE749" s="139"/>
      <c r="AF749" s="139"/>
      <c r="AG749" s="139"/>
      <c r="AH749" s="139"/>
      <c r="AI749" s="139"/>
      <c r="AJ749" s="139"/>
      <c r="AK749" s="139"/>
      <c r="AL749" s="139"/>
      <c r="AM749" s="139"/>
      <c r="AN749" s="139"/>
      <c r="AO749" s="139"/>
    </row>
    <row r="750">
      <c r="A750" s="94"/>
      <c r="B750" s="690"/>
      <c r="C750" s="94"/>
      <c r="D750" s="94"/>
      <c r="E750" s="94"/>
      <c r="F750" s="94"/>
      <c r="G750" s="94"/>
      <c r="H750" s="691"/>
      <c r="I750" s="691"/>
      <c r="J750" s="691"/>
      <c r="K750" s="85"/>
      <c r="L750" s="85"/>
      <c r="M750" s="85"/>
      <c r="N750" s="85"/>
      <c r="O750" s="85"/>
      <c r="P750" s="85"/>
      <c r="Q750" s="138"/>
      <c r="R750" s="138"/>
      <c r="S750" s="138"/>
      <c r="T750" s="85"/>
      <c r="U750" s="85"/>
      <c r="V750" s="85"/>
      <c r="W750" s="138"/>
      <c r="X750" s="139"/>
      <c r="Y750" s="139"/>
      <c r="Z750" s="139"/>
      <c r="AA750" s="139"/>
      <c r="AB750" s="139"/>
      <c r="AC750" s="139"/>
      <c r="AD750" s="139"/>
      <c r="AE750" s="139"/>
      <c r="AF750" s="139"/>
      <c r="AG750" s="139"/>
      <c r="AH750" s="139"/>
      <c r="AI750" s="139"/>
      <c r="AJ750" s="139"/>
      <c r="AK750" s="139"/>
      <c r="AL750" s="139"/>
      <c r="AM750" s="139"/>
      <c r="AN750" s="139"/>
      <c r="AO750" s="139"/>
    </row>
    <row r="751">
      <c r="A751" s="94"/>
      <c r="B751" s="690"/>
      <c r="C751" s="94"/>
      <c r="D751" s="94"/>
      <c r="E751" s="94"/>
      <c r="F751" s="94"/>
      <c r="G751" s="94"/>
      <c r="H751" s="691"/>
      <c r="I751" s="691"/>
      <c r="J751" s="691"/>
      <c r="K751" s="85"/>
      <c r="L751" s="85"/>
      <c r="M751" s="85"/>
      <c r="N751" s="85"/>
      <c r="O751" s="85"/>
      <c r="P751" s="85"/>
      <c r="Q751" s="138"/>
      <c r="R751" s="138"/>
      <c r="S751" s="138"/>
      <c r="T751" s="85"/>
      <c r="U751" s="85"/>
      <c r="V751" s="85"/>
      <c r="W751" s="138"/>
      <c r="X751" s="139"/>
      <c r="Y751" s="139"/>
      <c r="Z751" s="139"/>
      <c r="AA751" s="139"/>
      <c r="AB751" s="139"/>
      <c r="AC751" s="139"/>
      <c r="AD751" s="139"/>
      <c r="AE751" s="139"/>
      <c r="AF751" s="139"/>
      <c r="AG751" s="139"/>
      <c r="AH751" s="139"/>
      <c r="AI751" s="139"/>
      <c r="AJ751" s="139"/>
      <c r="AK751" s="139"/>
      <c r="AL751" s="139"/>
      <c r="AM751" s="139"/>
      <c r="AN751" s="139"/>
      <c r="AO751" s="139"/>
    </row>
    <row r="752">
      <c r="A752" s="94"/>
      <c r="B752" s="690"/>
      <c r="C752" s="94"/>
      <c r="D752" s="94"/>
      <c r="E752" s="94"/>
      <c r="F752" s="94"/>
      <c r="G752" s="94"/>
      <c r="H752" s="691"/>
      <c r="I752" s="691"/>
      <c r="J752" s="691"/>
      <c r="K752" s="85"/>
      <c r="L752" s="85"/>
      <c r="M752" s="85"/>
      <c r="N752" s="85"/>
      <c r="O752" s="85"/>
      <c r="P752" s="85"/>
      <c r="Q752" s="138"/>
      <c r="R752" s="138"/>
      <c r="S752" s="138"/>
      <c r="T752" s="85"/>
      <c r="U752" s="85"/>
      <c r="V752" s="85"/>
      <c r="W752" s="138"/>
      <c r="X752" s="139"/>
      <c r="Y752" s="139"/>
      <c r="Z752" s="139"/>
      <c r="AA752" s="139"/>
      <c r="AB752" s="139"/>
      <c r="AC752" s="139"/>
      <c r="AD752" s="139"/>
      <c r="AE752" s="139"/>
      <c r="AF752" s="139"/>
      <c r="AG752" s="139"/>
      <c r="AH752" s="139"/>
      <c r="AI752" s="139"/>
      <c r="AJ752" s="139"/>
      <c r="AK752" s="139"/>
      <c r="AL752" s="139"/>
      <c r="AM752" s="139"/>
      <c r="AN752" s="139"/>
      <c r="AO752" s="139"/>
    </row>
    <row r="753">
      <c r="A753" s="94"/>
      <c r="B753" s="690"/>
      <c r="C753" s="94"/>
      <c r="D753" s="94"/>
      <c r="E753" s="94"/>
      <c r="F753" s="94"/>
      <c r="G753" s="94"/>
      <c r="H753" s="691"/>
      <c r="I753" s="691"/>
      <c r="J753" s="691"/>
      <c r="K753" s="85"/>
      <c r="L753" s="85"/>
      <c r="M753" s="85"/>
      <c r="N753" s="85"/>
      <c r="O753" s="85"/>
      <c r="P753" s="85"/>
      <c r="Q753" s="138"/>
      <c r="R753" s="138"/>
      <c r="S753" s="138"/>
      <c r="T753" s="85"/>
      <c r="U753" s="85"/>
      <c r="V753" s="85"/>
      <c r="W753" s="138"/>
      <c r="X753" s="139"/>
      <c r="Y753" s="139"/>
      <c r="Z753" s="139"/>
      <c r="AA753" s="139"/>
      <c r="AB753" s="139"/>
      <c r="AC753" s="139"/>
      <c r="AD753" s="139"/>
      <c r="AE753" s="139"/>
      <c r="AF753" s="139"/>
      <c r="AG753" s="139"/>
      <c r="AH753" s="139"/>
      <c r="AI753" s="139"/>
      <c r="AJ753" s="139"/>
      <c r="AK753" s="139"/>
      <c r="AL753" s="139"/>
      <c r="AM753" s="139"/>
      <c r="AN753" s="139"/>
      <c r="AO753" s="139"/>
    </row>
    <row r="754">
      <c r="A754" s="94"/>
      <c r="B754" s="690"/>
      <c r="C754" s="94"/>
      <c r="D754" s="94"/>
      <c r="E754" s="94"/>
      <c r="F754" s="94"/>
      <c r="G754" s="94"/>
      <c r="H754" s="691"/>
      <c r="I754" s="691"/>
      <c r="J754" s="691"/>
      <c r="K754" s="85"/>
      <c r="L754" s="85"/>
      <c r="M754" s="85"/>
      <c r="N754" s="85"/>
      <c r="O754" s="85"/>
      <c r="P754" s="85"/>
      <c r="Q754" s="138"/>
      <c r="R754" s="138"/>
      <c r="S754" s="138"/>
      <c r="T754" s="85"/>
      <c r="U754" s="85"/>
      <c r="V754" s="85"/>
      <c r="W754" s="138"/>
      <c r="X754" s="139"/>
      <c r="Y754" s="139"/>
      <c r="Z754" s="139"/>
      <c r="AA754" s="139"/>
      <c r="AB754" s="139"/>
      <c r="AC754" s="139"/>
      <c r="AD754" s="139"/>
      <c r="AE754" s="139"/>
      <c r="AF754" s="139"/>
      <c r="AG754" s="139"/>
      <c r="AH754" s="139"/>
      <c r="AI754" s="139"/>
      <c r="AJ754" s="139"/>
      <c r="AK754" s="139"/>
      <c r="AL754" s="139"/>
      <c r="AM754" s="139"/>
      <c r="AN754" s="139"/>
      <c r="AO754" s="139"/>
    </row>
    <row r="755">
      <c r="A755" s="94"/>
      <c r="B755" s="690"/>
      <c r="C755" s="94"/>
      <c r="D755" s="94"/>
      <c r="E755" s="94"/>
      <c r="F755" s="94"/>
      <c r="G755" s="94"/>
      <c r="H755" s="691"/>
      <c r="I755" s="691"/>
      <c r="J755" s="691"/>
      <c r="K755" s="85"/>
      <c r="L755" s="85"/>
      <c r="M755" s="85"/>
      <c r="N755" s="85"/>
      <c r="O755" s="85"/>
      <c r="P755" s="85"/>
      <c r="Q755" s="138"/>
      <c r="R755" s="138"/>
      <c r="S755" s="138"/>
      <c r="T755" s="85"/>
      <c r="U755" s="85"/>
      <c r="V755" s="85"/>
      <c r="W755" s="138"/>
      <c r="X755" s="139"/>
      <c r="Y755" s="139"/>
      <c r="Z755" s="139"/>
      <c r="AA755" s="139"/>
      <c r="AB755" s="139"/>
      <c r="AC755" s="139"/>
      <c r="AD755" s="139"/>
      <c r="AE755" s="139"/>
      <c r="AF755" s="139"/>
      <c r="AG755" s="139"/>
      <c r="AH755" s="139"/>
      <c r="AI755" s="139"/>
      <c r="AJ755" s="139"/>
      <c r="AK755" s="139"/>
      <c r="AL755" s="139"/>
      <c r="AM755" s="139"/>
      <c r="AN755" s="139"/>
      <c r="AO755" s="139"/>
    </row>
    <row r="756">
      <c r="A756" s="94"/>
      <c r="B756" s="690"/>
      <c r="C756" s="94"/>
      <c r="D756" s="94"/>
      <c r="E756" s="94"/>
      <c r="F756" s="94"/>
      <c r="G756" s="94"/>
      <c r="H756" s="691"/>
      <c r="I756" s="691"/>
      <c r="J756" s="691"/>
      <c r="K756" s="85"/>
      <c r="L756" s="85"/>
      <c r="M756" s="85"/>
      <c r="N756" s="85"/>
      <c r="O756" s="85"/>
      <c r="P756" s="85"/>
      <c r="Q756" s="138"/>
      <c r="R756" s="138"/>
      <c r="S756" s="138"/>
      <c r="T756" s="85"/>
      <c r="U756" s="85"/>
      <c r="V756" s="85"/>
      <c r="W756" s="138"/>
      <c r="X756" s="139"/>
      <c r="Y756" s="139"/>
      <c r="Z756" s="139"/>
      <c r="AA756" s="139"/>
      <c r="AB756" s="139"/>
      <c r="AC756" s="139"/>
      <c r="AD756" s="139"/>
      <c r="AE756" s="139"/>
      <c r="AF756" s="139"/>
      <c r="AG756" s="139"/>
      <c r="AH756" s="139"/>
      <c r="AI756" s="139"/>
      <c r="AJ756" s="139"/>
      <c r="AK756" s="139"/>
      <c r="AL756" s="139"/>
      <c r="AM756" s="139"/>
      <c r="AN756" s="139"/>
      <c r="AO756" s="139"/>
    </row>
    <row r="757">
      <c r="A757" s="94"/>
      <c r="B757" s="690"/>
      <c r="C757" s="94"/>
      <c r="D757" s="94"/>
      <c r="E757" s="94"/>
      <c r="F757" s="94"/>
      <c r="G757" s="94"/>
      <c r="H757" s="691"/>
      <c r="I757" s="691"/>
      <c r="J757" s="691"/>
      <c r="K757" s="85"/>
      <c r="L757" s="85"/>
      <c r="M757" s="85"/>
      <c r="N757" s="85"/>
      <c r="O757" s="85"/>
      <c r="P757" s="85"/>
      <c r="Q757" s="138"/>
      <c r="R757" s="138"/>
      <c r="S757" s="138"/>
      <c r="T757" s="85"/>
      <c r="U757" s="85"/>
      <c r="V757" s="85"/>
      <c r="W757" s="138"/>
      <c r="X757" s="139"/>
      <c r="Y757" s="139"/>
      <c r="Z757" s="139"/>
      <c r="AA757" s="139"/>
      <c r="AB757" s="139"/>
      <c r="AC757" s="139"/>
      <c r="AD757" s="139"/>
      <c r="AE757" s="139"/>
      <c r="AF757" s="139"/>
      <c r="AG757" s="139"/>
      <c r="AH757" s="139"/>
      <c r="AI757" s="139"/>
      <c r="AJ757" s="139"/>
      <c r="AK757" s="139"/>
      <c r="AL757" s="139"/>
      <c r="AM757" s="139"/>
      <c r="AN757" s="139"/>
      <c r="AO757" s="139"/>
    </row>
    <row r="758">
      <c r="A758" s="94"/>
      <c r="B758" s="690"/>
      <c r="C758" s="94"/>
      <c r="D758" s="94"/>
      <c r="E758" s="94"/>
      <c r="F758" s="94"/>
      <c r="G758" s="94"/>
      <c r="H758" s="691"/>
      <c r="I758" s="691"/>
      <c r="J758" s="691"/>
      <c r="K758" s="85"/>
      <c r="L758" s="85"/>
      <c r="M758" s="85"/>
      <c r="N758" s="85"/>
      <c r="O758" s="85"/>
      <c r="P758" s="85"/>
      <c r="Q758" s="138"/>
      <c r="R758" s="138"/>
      <c r="S758" s="138"/>
      <c r="T758" s="85"/>
      <c r="U758" s="85"/>
      <c r="V758" s="85"/>
      <c r="W758" s="138"/>
      <c r="X758" s="139"/>
      <c r="Y758" s="139"/>
      <c r="Z758" s="139"/>
      <c r="AA758" s="139"/>
      <c r="AB758" s="139"/>
      <c r="AC758" s="139"/>
      <c r="AD758" s="139"/>
      <c r="AE758" s="139"/>
      <c r="AF758" s="139"/>
      <c r="AG758" s="139"/>
      <c r="AH758" s="139"/>
      <c r="AI758" s="139"/>
      <c r="AJ758" s="139"/>
      <c r="AK758" s="139"/>
      <c r="AL758" s="139"/>
      <c r="AM758" s="139"/>
      <c r="AN758" s="139"/>
      <c r="AO758" s="139"/>
    </row>
    <row r="759">
      <c r="A759" s="94"/>
      <c r="B759" s="690"/>
      <c r="C759" s="94"/>
      <c r="D759" s="94"/>
      <c r="E759" s="94"/>
      <c r="F759" s="94"/>
      <c r="G759" s="94"/>
      <c r="H759" s="691"/>
      <c r="I759" s="691"/>
      <c r="J759" s="691"/>
      <c r="K759" s="85"/>
      <c r="L759" s="85"/>
      <c r="M759" s="85"/>
      <c r="N759" s="85"/>
      <c r="O759" s="85"/>
      <c r="P759" s="85"/>
      <c r="Q759" s="138"/>
      <c r="R759" s="138"/>
      <c r="S759" s="138"/>
      <c r="T759" s="85"/>
      <c r="U759" s="85"/>
      <c r="V759" s="85"/>
      <c r="W759" s="138"/>
      <c r="X759" s="139"/>
      <c r="Y759" s="139"/>
      <c r="Z759" s="139"/>
      <c r="AA759" s="139"/>
      <c r="AB759" s="139"/>
      <c r="AC759" s="139"/>
      <c r="AD759" s="139"/>
      <c r="AE759" s="139"/>
      <c r="AF759" s="139"/>
      <c r="AG759" s="139"/>
      <c r="AH759" s="139"/>
      <c r="AI759" s="139"/>
      <c r="AJ759" s="139"/>
      <c r="AK759" s="139"/>
      <c r="AL759" s="139"/>
      <c r="AM759" s="139"/>
      <c r="AN759" s="139"/>
      <c r="AO759" s="139"/>
    </row>
    <row r="760">
      <c r="A760" s="94"/>
      <c r="B760" s="690"/>
      <c r="C760" s="94"/>
      <c r="D760" s="94"/>
      <c r="E760" s="94"/>
      <c r="F760" s="94"/>
      <c r="G760" s="94"/>
      <c r="H760" s="691"/>
      <c r="I760" s="691"/>
      <c r="J760" s="691"/>
      <c r="K760" s="85"/>
      <c r="L760" s="85"/>
      <c r="M760" s="85"/>
      <c r="N760" s="85"/>
      <c r="O760" s="85"/>
      <c r="P760" s="85"/>
      <c r="Q760" s="138"/>
      <c r="R760" s="138"/>
      <c r="S760" s="138"/>
      <c r="T760" s="85"/>
      <c r="U760" s="85"/>
      <c r="V760" s="85"/>
      <c r="W760" s="138"/>
      <c r="X760" s="139"/>
      <c r="Y760" s="139"/>
      <c r="Z760" s="139"/>
      <c r="AA760" s="139"/>
      <c r="AB760" s="139"/>
      <c r="AC760" s="139"/>
      <c r="AD760" s="139"/>
      <c r="AE760" s="139"/>
      <c r="AF760" s="139"/>
      <c r="AG760" s="139"/>
      <c r="AH760" s="139"/>
      <c r="AI760" s="139"/>
      <c r="AJ760" s="139"/>
      <c r="AK760" s="139"/>
      <c r="AL760" s="139"/>
      <c r="AM760" s="139"/>
      <c r="AN760" s="139"/>
      <c r="AO760" s="139"/>
    </row>
    <row r="761">
      <c r="A761" s="94"/>
      <c r="B761" s="690"/>
      <c r="C761" s="94"/>
      <c r="D761" s="94"/>
      <c r="E761" s="94"/>
      <c r="F761" s="94"/>
      <c r="G761" s="94"/>
      <c r="H761" s="691"/>
      <c r="I761" s="691"/>
      <c r="J761" s="691"/>
      <c r="K761" s="85"/>
      <c r="L761" s="85"/>
      <c r="M761" s="85"/>
      <c r="N761" s="85"/>
      <c r="O761" s="85"/>
      <c r="P761" s="85"/>
      <c r="Q761" s="138"/>
      <c r="R761" s="138"/>
      <c r="S761" s="138"/>
      <c r="T761" s="85"/>
      <c r="U761" s="85"/>
      <c r="V761" s="85"/>
      <c r="W761" s="138"/>
      <c r="X761" s="139"/>
      <c r="Y761" s="139"/>
      <c r="Z761" s="139"/>
      <c r="AA761" s="139"/>
      <c r="AB761" s="139"/>
      <c r="AC761" s="139"/>
      <c r="AD761" s="139"/>
      <c r="AE761" s="139"/>
      <c r="AF761" s="139"/>
      <c r="AG761" s="139"/>
      <c r="AH761" s="139"/>
      <c r="AI761" s="139"/>
      <c r="AJ761" s="139"/>
      <c r="AK761" s="139"/>
      <c r="AL761" s="139"/>
      <c r="AM761" s="139"/>
      <c r="AN761" s="139"/>
      <c r="AO761" s="139"/>
    </row>
    <row r="762">
      <c r="A762" s="94"/>
      <c r="B762" s="690"/>
      <c r="C762" s="94"/>
      <c r="D762" s="94"/>
      <c r="E762" s="94"/>
      <c r="F762" s="94"/>
      <c r="G762" s="94"/>
      <c r="H762" s="691"/>
      <c r="I762" s="691"/>
      <c r="J762" s="691"/>
      <c r="K762" s="85"/>
      <c r="L762" s="85"/>
      <c r="M762" s="85"/>
      <c r="N762" s="85"/>
      <c r="O762" s="85"/>
      <c r="P762" s="85"/>
      <c r="Q762" s="138"/>
      <c r="R762" s="138"/>
      <c r="S762" s="138"/>
      <c r="T762" s="85"/>
      <c r="U762" s="85"/>
      <c r="V762" s="85"/>
      <c r="W762" s="138"/>
      <c r="X762" s="139"/>
      <c r="Y762" s="139"/>
      <c r="Z762" s="139"/>
      <c r="AA762" s="139"/>
      <c r="AB762" s="139"/>
      <c r="AC762" s="139"/>
      <c r="AD762" s="139"/>
      <c r="AE762" s="139"/>
      <c r="AF762" s="139"/>
      <c r="AG762" s="139"/>
      <c r="AH762" s="139"/>
      <c r="AI762" s="139"/>
      <c r="AJ762" s="139"/>
      <c r="AK762" s="139"/>
      <c r="AL762" s="139"/>
      <c r="AM762" s="139"/>
      <c r="AN762" s="139"/>
      <c r="AO762" s="139"/>
    </row>
    <row r="763">
      <c r="A763" s="94"/>
      <c r="B763" s="690"/>
      <c r="C763" s="94"/>
      <c r="D763" s="94"/>
      <c r="E763" s="94"/>
      <c r="F763" s="94"/>
      <c r="G763" s="94"/>
      <c r="H763" s="691"/>
      <c r="I763" s="691"/>
      <c r="J763" s="691"/>
      <c r="K763" s="85"/>
      <c r="L763" s="85"/>
      <c r="M763" s="85"/>
      <c r="N763" s="85"/>
      <c r="O763" s="85"/>
      <c r="P763" s="85"/>
      <c r="Q763" s="138"/>
      <c r="R763" s="138"/>
      <c r="S763" s="138"/>
      <c r="T763" s="85"/>
      <c r="U763" s="85"/>
      <c r="V763" s="85"/>
      <c r="W763" s="138"/>
      <c r="X763" s="139"/>
      <c r="Y763" s="139"/>
      <c r="Z763" s="139"/>
      <c r="AA763" s="139"/>
      <c r="AB763" s="139"/>
      <c r="AC763" s="139"/>
      <c r="AD763" s="139"/>
      <c r="AE763" s="139"/>
      <c r="AF763" s="139"/>
      <c r="AG763" s="139"/>
      <c r="AH763" s="139"/>
      <c r="AI763" s="139"/>
      <c r="AJ763" s="139"/>
      <c r="AK763" s="139"/>
      <c r="AL763" s="139"/>
      <c r="AM763" s="139"/>
      <c r="AN763" s="139"/>
      <c r="AO763" s="139"/>
    </row>
    <row r="764">
      <c r="A764" s="94"/>
      <c r="B764" s="690"/>
      <c r="C764" s="94"/>
      <c r="D764" s="94"/>
      <c r="E764" s="94"/>
      <c r="F764" s="94"/>
      <c r="G764" s="94"/>
      <c r="H764" s="691"/>
      <c r="I764" s="691"/>
      <c r="J764" s="691"/>
      <c r="K764" s="85"/>
      <c r="L764" s="85"/>
      <c r="M764" s="85"/>
      <c r="N764" s="85"/>
      <c r="O764" s="85"/>
      <c r="P764" s="85"/>
      <c r="Q764" s="138"/>
      <c r="R764" s="138"/>
      <c r="S764" s="138"/>
      <c r="T764" s="85"/>
      <c r="U764" s="85"/>
      <c r="V764" s="85"/>
      <c r="W764" s="138"/>
      <c r="X764" s="139"/>
      <c r="Y764" s="139"/>
      <c r="Z764" s="139"/>
      <c r="AA764" s="139"/>
      <c r="AB764" s="139"/>
      <c r="AC764" s="139"/>
      <c r="AD764" s="139"/>
      <c r="AE764" s="139"/>
      <c r="AF764" s="139"/>
      <c r="AG764" s="139"/>
      <c r="AH764" s="139"/>
      <c r="AI764" s="139"/>
      <c r="AJ764" s="139"/>
      <c r="AK764" s="139"/>
      <c r="AL764" s="139"/>
      <c r="AM764" s="139"/>
      <c r="AN764" s="139"/>
      <c r="AO764" s="139"/>
    </row>
    <row r="765">
      <c r="A765" s="94"/>
      <c r="B765" s="690"/>
      <c r="C765" s="94"/>
      <c r="D765" s="94"/>
      <c r="E765" s="94"/>
      <c r="F765" s="94"/>
      <c r="G765" s="94"/>
      <c r="H765" s="691"/>
      <c r="I765" s="691"/>
      <c r="J765" s="691"/>
      <c r="K765" s="85"/>
      <c r="L765" s="85"/>
      <c r="M765" s="85"/>
      <c r="N765" s="85"/>
      <c r="O765" s="85"/>
      <c r="P765" s="85"/>
      <c r="Q765" s="138"/>
      <c r="R765" s="138"/>
      <c r="S765" s="138"/>
      <c r="T765" s="85"/>
      <c r="U765" s="85"/>
      <c r="V765" s="85"/>
      <c r="W765" s="138"/>
      <c r="X765" s="139"/>
      <c r="Y765" s="139"/>
      <c r="Z765" s="139"/>
      <c r="AA765" s="139"/>
      <c r="AB765" s="139"/>
      <c r="AC765" s="139"/>
      <c r="AD765" s="139"/>
      <c r="AE765" s="139"/>
      <c r="AF765" s="139"/>
      <c r="AG765" s="139"/>
      <c r="AH765" s="139"/>
      <c r="AI765" s="139"/>
      <c r="AJ765" s="139"/>
      <c r="AK765" s="139"/>
      <c r="AL765" s="139"/>
      <c r="AM765" s="139"/>
      <c r="AN765" s="139"/>
      <c r="AO765" s="139"/>
    </row>
    <row r="766">
      <c r="A766" s="94"/>
      <c r="B766" s="690"/>
      <c r="C766" s="94"/>
      <c r="D766" s="94"/>
      <c r="E766" s="94"/>
      <c r="F766" s="94"/>
      <c r="G766" s="94"/>
      <c r="H766" s="691"/>
      <c r="I766" s="691"/>
      <c r="J766" s="691"/>
      <c r="K766" s="85"/>
      <c r="L766" s="85"/>
      <c r="M766" s="85"/>
      <c r="N766" s="85"/>
      <c r="O766" s="85"/>
      <c r="P766" s="85"/>
      <c r="Q766" s="138"/>
      <c r="R766" s="138"/>
      <c r="S766" s="138"/>
      <c r="T766" s="85"/>
      <c r="U766" s="85"/>
      <c r="V766" s="85"/>
      <c r="W766" s="138"/>
      <c r="X766" s="139"/>
      <c r="Y766" s="139"/>
      <c r="Z766" s="139"/>
      <c r="AA766" s="139"/>
      <c r="AB766" s="139"/>
      <c r="AC766" s="139"/>
      <c r="AD766" s="139"/>
      <c r="AE766" s="139"/>
      <c r="AF766" s="139"/>
      <c r="AG766" s="139"/>
      <c r="AH766" s="139"/>
      <c r="AI766" s="139"/>
      <c r="AJ766" s="139"/>
      <c r="AK766" s="139"/>
      <c r="AL766" s="139"/>
      <c r="AM766" s="139"/>
      <c r="AN766" s="139"/>
      <c r="AO766" s="139"/>
    </row>
    <row r="767">
      <c r="A767" s="94"/>
      <c r="B767" s="690"/>
      <c r="C767" s="94"/>
      <c r="D767" s="94"/>
      <c r="E767" s="94"/>
      <c r="F767" s="94"/>
      <c r="G767" s="94"/>
      <c r="H767" s="691"/>
      <c r="I767" s="691"/>
      <c r="J767" s="691"/>
      <c r="K767" s="85"/>
      <c r="L767" s="85"/>
      <c r="M767" s="85"/>
      <c r="N767" s="85"/>
      <c r="O767" s="85"/>
      <c r="P767" s="85"/>
      <c r="Q767" s="138"/>
      <c r="R767" s="138"/>
      <c r="S767" s="138"/>
      <c r="T767" s="85"/>
      <c r="U767" s="85"/>
      <c r="V767" s="85"/>
      <c r="W767" s="138"/>
      <c r="X767" s="139"/>
      <c r="Y767" s="139"/>
      <c r="Z767" s="139"/>
      <c r="AA767" s="139"/>
      <c r="AB767" s="139"/>
      <c r="AC767" s="139"/>
      <c r="AD767" s="139"/>
      <c r="AE767" s="139"/>
      <c r="AF767" s="139"/>
      <c r="AG767" s="139"/>
      <c r="AH767" s="139"/>
      <c r="AI767" s="139"/>
      <c r="AJ767" s="139"/>
      <c r="AK767" s="139"/>
      <c r="AL767" s="139"/>
      <c r="AM767" s="139"/>
      <c r="AN767" s="139"/>
      <c r="AO767" s="139"/>
    </row>
    <row r="768">
      <c r="A768" s="94"/>
      <c r="B768" s="690"/>
      <c r="C768" s="94"/>
      <c r="D768" s="94"/>
      <c r="E768" s="94"/>
      <c r="F768" s="94"/>
      <c r="G768" s="94"/>
      <c r="H768" s="691"/>
      <c r="I768" s="691"/>
      <c r="J768" s="691"/>
      <c r="K768" s="85"/>
      <c r="L768" s="85"/>
      <c r="M768" s="85"/>
      <c r="N768" s="85"/>
      <c r="O768" s="85"/>
      <c r="P768" s="85"/>
      <c r="Q768" s="138"/>
      <c r="R768" s="138"/>
      <c r="S768" s="138"/>
      <c r="T768" s="85"/>
      <c r="U768" s="85"/>
      <c r="V768" s="85"/>
      <c r="W768" s="138"/>
      <c r="X768" s="139"/>
      <c r="Y768" s="139"/>
      <c r="Z768" s="139"/>
      <c r="AA768" s="139"/>
      <c r="AB768" s="139"/>
      <c r="AC768" s="139"/>
      <c r="AD768" s="139"/>
      <c r="AE768" s="139"/>
      <c r="AF768" s="139"/>
      <c r="AG768" s="139"/>
      <c r="AH768" s="139"/>
      <c r="AI768" s="139"/>
      <c r="AJ768" s="139"/>
      <c r="AK768" s="139"/>
      <c r="AL768" s="139"/>
      <c r="AM768" s="139"/>
      <c r="AN768" s="139"/>
      <c r="AO768" s="139"/>
    </row>
    <row r="769">
      <c r="A769" s="94"/>
      <c r="B769" s="690"/>
      <c r="C769" s="94"/>
      <c r="D769" s="94"/>
      <c r="E769" s="94"/>
      <c r="F769" s="94"/>
      <c r="G769" s="94"/>
      <c r="H769" s="691"/>
      <c r="I769" s="691"/>
      <c r="J769" s="691"/>
      <c r="K769" s="85"/>
      <c r="L769" s="85"/>
      <c r="M769" s="85"/>
      <c r="N769" s="85"/>
      <c r="O769" s="85"/>
      <c r="P769" s="85"/>
      <c r="Q769" s="138"/>
      <c r="R769" s="138"/>
      <c r="S769" s="138"/>
      <c r="T769" s="85"/>
      <c r="U769" s="85"/>
      <c r="V769" s="85"/>
      <c r="W769" s="138"/>
      <c r="X769" s="139"/>
      <c r="Y769" s="139"/>
      <c r="Z769" s="139"/>
      <c r="AA769" s="139"/>
      <c r="AB769" s="139"/>
      <c r="AC769" s="139"/>
      <c r="AD769" s="139"/>
      <c r="AE769" s="139"/>
      <c r="AF769" s="139"/>
      <c r="AG769" s="139"/>
      <c r="AH769" s="139"/>
      <c r="AI769" s="139"/>
      <c r="AJ769" s="139"/>
      <c r="AK769" s="139"/>
      <c r="AL769" s="139"/>
      <c r="AM769" s="139"/>
      <c r="AN769" s="139"/>
      <c r="AO769" s="139"/>
    </row>
    <row r="770">
      <c r="A770" s="94"/>
      <c r="B770" s="690"/>
      <c r="C770" s="94"/>
      <c r="D770" s="94"/>
      <c r="E770" s="94"/>
      <c r="F770" s="94"/>
      <c r="G770" s="94"/>
      <c r="H770" s="691"/>
      <c r="I770" s="691"/>
      <c r="J770" s="691"/>
      <c r="K770" s="85"/>
      <c r="L770" s="85"/>
      <c r="M770" s="85"/>
      <c r="N770" s="85"/>
      <c r="O770" s="85"/>
      <c r="P770" s="85"/>
      <c r="Q770" s="138"/>
      <c r="R770" s="138"/>
      <c r="S770" s="138"/>
      <c r="T770" s="85"/>
      <c r="U770" s="85"/>
      <c r="V770" s="85"/>
      <c r="W770" s="138"/>
      <c r="X770" s="139"/>
      <c r="Y770" s="139"/>
      <c r="Z770" s="139"/>
      <c r="AA770" s="139"/>
      <c r="AB770" s="139"/>
      <c r="AC770" s="139"/>
      <c r="AD770" s="139"/>
      <c r="AE770" s="139"/>
      <c r="AF770" s="139"/>
      <c r="AG770" s="139"/>
      <c r="AH770" s="139"/>
      <c r="AI770" s="139"/>
      <c r="AJ770" s="139"/>
      <c r="AK770" s="139"/>
      <c r="AL770" s="139"/>
      <c r="AM770" s="139"/>
      <c r="AN770" s="139"/>
      <c r="AO770" s="139"/>
    </row>
    <row r="771">
      <c r="A771" s="94"/>
      <c r="B771" s="690"/>
      <c r="C771" s="94"/>
      <c r="D771" s="94"/>
      <c r="E771" s="94"/>
      <c r="F771" s="94"/>
      <c r="G771" s="94"/>
      <c r="H771" s="691"/>
      <c r="I771" s="691"/>
      <c r="J771" s="691"/>
      <c r="K771" s="85"/>
      <c r="L771" s="85"/>
      <c r="M771" s="85"/>
      <c r="N771" s="85"/>
      <c r="O771" s="85"/>
      <c r="P771" s="85"/>
      <c r="Q771" s="138"/>
      <c r="R771" s="138"/>
      <c r="S771" s="138"/>
      <c r="T771" s="85"/>
      <c r="U771" s="85"/>
      <c r="V771" s="85"/>
      <c r="W771" s="138"/>
      <c r="X771" s="139"/>
      <c r="Y771" s="139"/>
      <c r="Z771" s="139"/>
      <c r="AA771" s="139"/>
      <c r="AB771" s="139"/>
      <c r="AC771" s="139"/>
      <c r="AD771" s="139"/>
      <c r="AE771" s="139"/>
      <c r="AF771" s="139"/>
      <c r="AG771" s="139"/>
      <c r="AH771" s="139"/>
      <c r="AI771" s="139"/>
      <c r="AJ771" s="139"/>
      <c r="AK771" s="139"/>
      <c r="AL771" s="139"/>
      <c r="AM771" s="139"/>
      <c r="AN771" s="139"/>
      <c r="AO771" s="139"/>
    </row>
    <row r="772">
      <c r="A772" s="94"/>
      <c r="B772" s="690"/>
      <c r="C772" s="94"/>
      <c r="D772" s="94"/>
      <c r="E772" s="94"/>
      <c r="F772" s="94"/>
      <c r="G772" s="94"/>
      <c r="H772" s="691"/>
      <c r="I772" s="691"/>
      <c r="J772" s="691"/>
      <c r="K772" s="85"/>
      <c r="L772" s="85"/>
      <c r="M772" s="85"/>
      <c r="N772" s="85"/>
      <c r="O772" s="85"/>
      <c r="P772" s="85"/>
      <c r="Q772" s="138"/>
      <c r="R772" s="138"/>
      <c r="S772" s="138"/>
      <c r="T772" s="85"/>
      <c r="U772" s="85"/>
      <c r="V772" s="85"/>
      <c r="W772" s="138"/>
      <c r="X772" s="139"/>
      <c r="Y772" s="139"/>
      <c r="Z772" s="139"/>
      <c r="AA772" s="139"/>
      <c r="AB772" s="139"/>
      <c r="AC772" s="139"/>
      <c r="AD772" s="139"/>
      <c r="AE772" s="139"/>
      <c r="AF772" s="139"/>
      <c r="AG772" s="139"/>
      <c r="AH772" s="139"/>
      <c r="AI772" s="139"/>
      <c r="AJ772" s="139"/>
      <c r="AK772" s="139"/>
      <c r="AL772" s="139"/>
      <c r="AM772" s="139"/>
      <c r="AN772" s="139"/>
      <c r="AO772" s="139"/>
    </row>
    <row r="773">
      <c r="A773" s="94"/>
      <c r="B773" s="690"/>
      <c r="C773" s="94"/>
      <c r="D773" s="94"/>
      <c r="E773" s="94"/>
      <c r="F773" s="94"/>
      <c r="G773" s="94"/>
      <c r="H773" s="691"/>
      <c r="I773" s="691"/>
      <c r="J773" s="691"/>
      <c r="K773" s="85"/>
      <c r="L773" s="85"/>
      <c r="M773" s="85"/>
      <c r="N773" s="85"/>
      <c r="O773" s="85"/>
      <c r="P773" s="85"/>
      <c r="Q773" s="138"/>
      <c r="R773" s="138"/>
      <c r="S773" s="138"/>
      <c r="T773" s="85"/>
      <c r="U773" s="85"/>
      <c r="V773" s="85"/>
      <c r="W773" s="138"/>
      <c r="X773" s="139"/>
      <c r="Y773" s="139"/>
      <c r="Z773" s="139"/>
      <c r="AA773" s="139"/>
      <c r="AB773" s="139"/>
      <c r="AC773" s="139"/>
      <c r="AD773" s="139"/>
      <c r="AE773" s="139"/>
      <c r="AF773" s="139"/>
      <c r="AG773" s="139"/>
      <c r="AH773" s="139"/>
      <c r="AI773" s="139"/>
      <c r="AJ773" s="139"/>
      <c r="AK773" s="139"/>
      <c r="AL773" s="139"/>
      <c r="AM773" s="139"/>
      <c r="AN773" s="139"/>
      <c r="AO773" s="139"/>
    </row>
    <row r="774">
      <c r="A774" s="94"/>
      <c r="B774" s="690"/>
      <c r="C774" s="94"/>
      <c r="D774" s="94"/>
      <c r="E774" s="94"/>
      <c r="F774" s="94"/>
      <c r="G774" s="94"/>
      <c r="H774" s="691"/>
      <c r="I774" s="691"/>
      <c r="J774" s="691"/>
      <c r="K774" s="85"/>
      <c r="L774" s="85"/>
      <c r="M774" s="85"/>
      <c r="N774" s="85"/>
      <c r="O774" s="85"/>
      <c r="P774" s="85"/>
      <c r="Q774" s="138"/>
      <c r="R774" s="138"/>
      <c r="S774" s="138"/>
      <c r="T774" s="85"/>
      <c r="U774" s="85"/>
      <c r="V774" s="85"/>
      <c r="W774" s="138"/>
      <c r="X774" s="139"/>
      <c r="Y774" s="139"/>
      <c r="Z774" s="139"/>
      <c r="AA774" s="139"/>
      <c r="AB774" s="139"/>
      <c r="AC774" s="139"/>
      <c r="AD774" s="139"/>
      <c r="AE774" s="139"/>
      <c r="AF774" s="139"/>
      <c r="AG774" s="139"/>
      <c r="AH774" s="139"/>
      <c r="AI774" s="139"/>
      <c r="AJ774" s="139"/>
      <c r="AK774" s="139"/>
      <c r="AL774" s="139"/>
      <c r="AM774" s="139"/>
      <c r="AN774" s="139"/>
      <c r="AO774" s="139"/>
    </row>
    <row r="775">
      <c r="A775" s="94"/>
      <c r="B775" s="690"/>
      <c r="C775" s="94"/>
      <c r="D775" s="94"/>
      <c r="E775" s="94"/>
      <c r="F775" s="94"/>
      <c r="G775" s="94"/>
      <c r="H775" s="691"/>
      <c r="I775" s="691"/>
      <c r="J775" s="691"/>
      <c r="K775" s="85"/>
      <c r="L775" s="85"/>
      <c r="M775" s="85"/>
      <c r="N775" s="85"/>
      <c r="O775" s="85"/>
      <c r="P775" s="85"/>
      <c r="Q775" s="138"/>
      <c r="R775" s="138"/>
      <c r="S775" s="138"/>
      <c r="T775" s="85"/>
      <c r="U775" s="85"/>
      <c r="V775" s="85"/>
      <c r="W775" s="138"/>
      <c r="X775" s="139"/>
      <c r="Y775" s="139"/>
      <c r="Z775" s="139"/>
      <c r="AA775" s="139"/>
      <c r="AB775" s="139"/>
      <c r="AC775" s="139"/>
      <c r="AD775" s="139"/>
      <c r="AE775" s="139"/>
      <c r="AF775" s="139"/>
      <c r="AG775" s="139"/>
      <c r="AH775" s="139"/>
      <c r="AI775" s="139"/>
      <c r="AJ775" s="139"/>
      <c r="AK775" s="139"/>
      <c r="AL775" s="139"/>
      <c r="AM775" s="139"/>
      <c r="AN775" s="139"/>
      <c r="AO775" s="139"/>
    </row>
    <row r="776">
      <c r="A776" s="94"/>
      <c r="B776" s="690"/>
      <c r="C776" s="94"/>
      <c r="D776" s="94"/>
      <c r="E776" s="94"/>
      <c r="F776" s="94"/>
      <c r="G776" s="94"/>
      <c r="H776" s="691"/>
      <c r="I776" s="691"/>
      <c r="J776" s="691"/>
      <c r="K776" s="85"/>
      <c r="L776" s="85"/>
      <c r="M776" s="85"/>
      <c r="N776" s="85"/>
      <c r="O776" s="85"/>
      <c r="P776" s="85"/>
      <c r="Q776" s="138"/>
      <c r="R776" s="138"/>
      <c r="S776" s="138"/>
      <c r="T776" s="85"/>
      <c r="U776" s="85"/>
      <c r="V776" s="85"/>
      <c r="W776" s="138"/>
      <c r="X776" s="139"/>
      <c r="Y776" s="139"/>
      <c r="Z776" s="139"/>
      <c r="AA776" s="139"/>
      <c r="AB776" s="139"/>
      <c r="AC776" s="139"/>
      <c r="AD776" s="139"/>
      <c r="AE776" s="139"/>
      <c r="AF776" s="139"/>
      <c r="AG776" s="139"/>
      <c r="AH776" s="139"/>
      <c r="AI776" s="139"/>
      <c r="AJ776" s="139"/>
      <c r="AK776" s="139"/>
      <c r="AL776" s="139"/>
      <c r="AM776" s="139"/>
      <c r="AN776" s="139"/>
      <c r="AO776" s="139"/>
    </row>
    <row r="777">
      <c r="A777" s="94"/>
      <c r="B777" s="690"/>
      <c r="C777" s="94"/>
      <c r="D777" s="94"/>
      <c r="E777" s="94"/>
      <c r="F777" s="94"/>
      <c r="G777" s="94"/>
      <c r="H777" s="691"/>
      <c r="I777" s="691"/>
      <c r="J777" s="691"/>
      <c r="K777" s="85"/>
      <c r="L777" s="85"/>
      <c r="M777" s="85"/>
      <c r="N777" s="85"/>
      <c r="O777" s="85"/>
      <c r="P777" s="85"/>
      <c r="Q777" s="138"/>
      <c r="R777" s="138"/>
      <c r="S777" s="138"/>
      <c r="T777" s="85"/>
      <c r="U777" s="85"/>
      <c r="V777" s="85"/>
      <c r="W777" s="138"/>
      <c r="X777" s="139"/>
      <c r="Y777" s="139"/>
      <c r="Z777" s="139"/>
      <c r="AA777" s="139"/>
      <c r="AB777" s="139"/>
      <c r="AC777" s="139"/>
      <c r="AD777" s="139"/>
      <c r="AE777" s="139"/>
      <c r="AF777" s="139"/>
      <c r="AG777" s="139"/>
      <c r="AH777" s="139"/>
      <c r="AI777" s="139"/>
      <c r="AJ777" s="139"/>
      <c r="AK777" s="139"/>
      <c r="AL777" s="139"/>
      <c r="AM777" s="139"/>
      <c r="AN777" s="139"/>
      <c r="AO777" s="139"/>
    </row>
    <row r="778">
      <c r="A778" s="94"/>
      <c r="B778" s="690"/>
      <c r="C778" s="94"/>
      <c r="D778" s="94"/>
      <c r="E778" s="94"/>
      <c r="F778" s="94"/>
      <c r="G778" s="94"/>
      <c r="H778" s="691"/>
      <c r="I778" s="691"/>
      <c r="J778" s="691"/>
      <c r="K778" s="85"/>
      <c r="L778" s="85"/>
      <c r="M778" s="85"/>
      <c r="N778" s="85"/>
      <c r="O778" s="85"/>
      <c r="P778" s="85"/>
      <c r="Q778" s="138"/>
      <c r="R778" s="138"/>
      <c r="S778" s="138"/>
      <c r="T778" s="85"/>
      <c r="U778" s="85"/>
      <c r="V778" s="85"/>
      <c r="W778" s="138"/>
      <c r="X778" s="139"/>
      <c r="Y778" s="139"/>
      <c r="Z778" s="139"/>
      <c r="AA778" s="139"/>
      <c r="AB778" s="139"/>
      <c r="AC778" s="139"/>
      <c r="AD778" s="139"/>
      <c r="AE778" s="139"/>
      <c r="AF778" s="139"/>
      <c r="AG778" s="139"/>
      <c r="AH778" s="139"/>
      <c r="AI778" s="139"/>
      <c r="AJ778" s="139"/>
      <c r="AK778" s="139"/>
      <c r="AL778" s="139"/>
      <c r="AM778" s="139"/>
      <c r="AN778" s="139"/>
      <c r="AO778" s="139"/>
    </row>
    <row r="779">
      <c r="A779" s="94"/>
      <c r="B779" s="690"/>
      <c r="C779" s="94"/>
      <c r="D779" s="94"/>
      <c r="E779" s="94"/>
      <c r="F779" s="94"/>
      <c r="G779" s="94"/>
      <c r="H779" s="691"/>
      <c r="I779" s="691"/>
      <c r="J779" s="691"/>
      <c r="K779" s="85"/>
      <c r="L779" s="85"/>
      <c r="M779" s="85"/>
      <c r="N779" s="85"/>
      <c r="O779" s="85"/>
      <c r="P779" s="85"/>
      <c r="Q779" s="138"/>
      <c r="R779" s="138"/>
      <c r="S779" s="138"/>
      <c r="T779" s="85"/>
      <c r="U779" s="85"/>
      <c r="V779" s="85"/>
      <c r="W779" s="138"/>
      <c r="X779" s="139"/>
      <c r="Y779" s="139"/>
      <c r="Z779" s="139"/>
      <c r="AA779" s="139"/>
      <c r="AB779" s="139"/>
      <c r="AC779" s="139"/>
      <c r="AD779" s="139"/>
      <c r="AE779" s="139"/>
      <c r="AF779" s="139"/>
      <c r="AG779" s="139"/>
      <c r="AH779" s="139"/>
      <c r="AI779" s="139"/>
      <c r="AJ779" s="139"/>
      <c r="AK779" s="139"/>
      <c r="AL779" s="139"/>
      <c r="AM779" s="139"/>
      <c r="AN779" s="139"/>
      <c r="AO779" s="139"/>
    </row>
    <row r="780">
      <c r="A780" s="94"/>
      <c r="B780" s="690"/>
      <c r="C780" s="94"/>
      <c r="D780" s="94"/>
      <c r="E780" s="94"/>
      <c r="F780" s="94"/>
      <c r="G780" s="94"/>
      <c r="H780" s="691"/>
      <c r="I780" s="691"/>
      <c r="J780" s="691"/>
      <c r="K780" s="85"/>
      <c r="L780" s="85"/>
      <c r="M780" s="85"/>
      <c r="N780" s="85"/>
      <c r="O780" s="85"/>
      <c r="P780" s="85"/>
      <c r="Q780" s="138"/>
      <c r="R780" s="138"/>
      <c r="S780" s="138"/>
      <c r="T780" s="85"/>
      <c r="U780" s="85"/>
      <c r="V780" s="85"/>
      <c r="W780" s="138"/>
      <c r="X780" s="139"/>
      <c r="Y780" s="139"/>
      <c r="Z780" s="139"/>
      <c r="AA780" s="139"/>
      <c r="AB780" s="139"/>
      <c r="AC780" s="139"/>
      <c r="AD780" s="139"/>
      <c r="AE780" s="139"/>
      <c r="AF780" s="139"/>
      <c r="AG780" s="139"/>
      <c r="AH780" s="139"/>
      <c r="AI780" s="139"/>
      <c r="AJ780" s="139"/>
      <c r="AK780" s="139"/>
      <c r="AL780" s="139"/>
      <c r="AM780" s="139"/>
      <c r="AN780" s="139"/>
      <c r="AO780" s="139"/>
    </row>
    <row r="781">
      <c r="A781" s="94"/>
      <c r="B781" s="690"/>
      <c r="C781" s="94"/>
      <c r="D781" s="94"/>
      <c r="E781" s="94"/>
      <c r="F781" s="94"/>
      <c r="G781" s="94"/>
      <c r="H781" s="691"/>
      <c r="I781" s="691"/>
      <c r="J781" s="691"/>
      <c r="K781" s="85"/>
      <c r="L781" s="85"/>
      <c r="M781" s="85"/>
      <c r="N781" s="85"/>
      <c r="O781" s="85"/>
      <c r="P781" s="85"/>
      <c r="Q781" s="138"/>
      <c r="R781" s="138"/>
      <c r="S781" s="138"/>
      <c r="T781" s="85"/>
      <c r="U781" s="85"/>
      <c r="V781" s="85"/>
      <c r="W781" s="138"/>
      <c r="X781" s="139"/>
      <c r="Y781" s="139"/>
      <c r="Z781" s="139"/>
      <c r="AA781" s="139"/>
      <c r="AB781" s="139"/>
      <c r="AC781" s="139"/>
      <c r="AD781" s="139"/>
      <c r="AE781" s="139"/>
      <c r="AF781" s="139"/>
      <c r="AG781" s="139"/>
      <c r="AH781" s="139"/>
      <c r="AI781" s="139"/>
      <c r="AJ781" s="139"/>
      <c r="AK781" s="139"/>
      <c r="AL781" s="139"/>
      <c r="AM781" s="139"/>
      <c r="AN781" s="139"/>
      <c r="AO781" s="139"/>
    </row>
    <row r="782">
      <c r="A782" s="94"/>
      <c r="B782" s="690"/>
      <c r="C782" s="94"/>
      <c r="D782" s="94"/>
      <c r="E782" s="94"/>
      <c r="F782" s="94"/>
      <c r="G782" s="94"/>
      <c r="H782" s="691"/>
      <c r="I782" s="691"/>
      <c r="J782" s="691"/>
      <c r="K782" s="85"/>
      <c r="L782" s="85"/>
      <c r="M782" s="85"/>
      <c r="N782" s="85"/>
      <c r="O782" s="85"/>
      <c r="P782" s="85"/>
      <c r="Q782" s="138"/>
      <c r="R782" s="138"/>
      <c r="S782" s="138"/>
      <c r="T782" s="85"/>
      <c r="U782" s="85"/>
      <c r="V782" s="85"/>
      <c r="W782" s="138"/>
      <c r="X782" s="139"/>
      <c r="Y782" s="139"/>
      <c r="Z782" s="139"/>
      <c r="AA782" s="139"/>
      <c r="AB782" s="139"/>
      <c r="AC782" s="139"/>
      <c r="AD782" s="139"/>
      <c r="AE782" s="139"/>
      <c r="AF782" s="139"/>
      <c r="AG782" s="139"/>
      <c r="AH782" s="139"/>
      <c r="AI782" s="139"/>
      <c r="AJ782" s="139"/>
      <c r="AK782" s="139"/>
      <c r="AL782" s="139"/>
      <c r="AM782" s="139"/>
      <c r="AN782" s="139"/>
      <c r="AO782" s="139"/>
    </row>
    <row r="783">
      <c r="A783" s="94"/>
      <c r="B783" s="690"/>
      <c r="C783" s="94"/>
      <c r="D783" s="94"/>
      <c r="E783" s="94"/>
      <c r="F783" s="94"/>
      <c r="G783" s="94"/>
      <c r="H783" s="691"/>
      <c r="I783" s="691"/>
      <c r="J783" s="691"/>
      <c r="K783" s="85"/>
      <c r="L783" s="85"/>
      <c r="M783" s="85"/>
      <c r="N783" s="85"/>
      <c r="O783" s="85"/>
      <c r="P783" s="85"/>
      <c r="Q783" s="138"/>
      <c r="R783" s="138"/>
      <c r="S783" s="138"/>
      <c r="T783" s="85"/>
      <c r="U783" s="85"/>
      <c r="V783" s="85"/>
      <c r="W783" s="138"/>
      <c r="X783" s="139"/>
      <c r="Y783" s="139"/>
      <c r="Z783" s="139"/>
      <c r="AA783" s="139"/>
      <c r="AB783" s="139"/>
      <c r="AC783" s="139"/>
      <c r="AD783" s="139"/>
      <c r="AE783" s="139"/>
      <c r="AF783" s="139"/>
      <c r="AG783" s="139"/>
      <c r="AH783" s="139"/>
      <c r="AI783" s="139"/>
      <c r="AJ783" s="139"/>
      <c r="AK783" s="139"/>
      <c r="AL783" s="139"/>
      <c r="AM783" s="139"/>
      <c r="AN783" s="139"/>
      <c r="AO783" s="139"/>
    </row>
    <row r="784">
      <c r="A784" s="94"/>
      <c r="B784" s="690"/>
      <c r="C784" s="94"/>
      <c r="D784" s="94"/>
      <c r="E784" s="94"/>
      <c r="F784" s="94"/>
      <c r="G784" s="94"/>
      <c r="H784" s="691"/>
      <c r="I784" s="691"/>
      <c r="J784" s="691"/>
      <c r="K784" s="85"/>
      <c r="L784" s="85"/>
      <c r="M784" s="85"/>
      <c r="N784" s="85"/>
      <c r="O784" s="85"/>
      <c r="P784" s="85"/>
      <c r="Q784" s="138"/>
      <c r="R784" s="138"/>
      <c r="S784" s="138"/>
      <c r="T784" s="85"/>
      <c r="U784" s="85"/>
      <c r="V784" s="85"/>
      <c r="W784" s="138"/>
      <c r="X784" s="139"/>
      <c r="Y784" s="139"/>
      <c r="Z784" s="139"/>
      <c r="AA784" s="139"/>
      <c r="AB784" s="139"/>
      <c r="AC784" s="139"/>
      <c r="AD784" s="139"/>
      <c r="AE784" s="139"/>
      <c r="AF784" s="139"/>
      <c r="AG784" s="139"/>
      <c r="AH784" s="139"/>
      <c r="AI784" s="139"/>
      <c r="AJ784" s="139"/>
      <c r="AK784" s="139"/>
      <c r="AL784" s="139"/>
      <c r="AM784" s="139"/>
      <c r="AN784" s="139"/>
      <c r="AO784" s="139"/>
    </row>
    <row r="785">
      <c r="A785" s="94"/>
      <c r="B785" s="690"/>
      <c r="C785" s="94"/>
      <c r="D785" s="94"/>
      <c r="E785" s="94"/>
      <c r="F785" s="94"/>
      <c r="G785" s="94"/>
      <c r="H785" s="691"/>
      <c r="I785" s="691"/>
      <c r="J785" s="691"/>
      <c r="K785" s="85"/>
      <c r="L785" s="85"/>
      <c r="M785" s="85"/>
      <c r="N785" s="85"/>
      <c r="O785" s="85"/>
      <c r="P785" s="85"/>
      <c r="Q785" s="138"/>
      <c r="R785" s="138"/>
      <c r="S785" s="138"/>
      <c r="T785" s="85"/>
      <c r="U785" s="85"/>
      <c r="V785" s="85"/>
      <c r="W785" s="138"/>
      <c r="X785" s="139"/>
      <c r="Y785" s="139"/>
      <c r="Z785" s="139"/>
      <c r="AA785" s="139"/>
      <c r="AB785" s="139"/>
      <c r="AC785" s="139"/>
      <c r="AD785" s="139"/>
      <c r="AE785" s="139"/>
      <c r="AF785" s="139"/>
      <c r="AG785" s="139"/>
      <c r="AH785" s="139"/>
      <c r="AI785" s="139"/>
      <c r="AJ785" s="139"/>
      <c r="AK785" s="139"/>
      <c r="AL785" s="139"/>
      <c r="AM785" s="139"/>
      <c r="AN785" s="139"/>
      <c r="AO785" s="139"/>
    </row>
    <row r="786">
      <c r="A786" s="94"/>
      <c r="B786" s="690"/>
      <c r="C786" s="94"/>
      <c r="D786" s="94"/>
      <c r="E786" s="94"/>
      <c r="F786" s="94"/>
      <c r="G786" s="94"/>
      <c r="H786" s="691"/>
      <c r="I786" s="691"/>
      <c r="J786" s="691"/>
      <c r="K786" s="85"/>
      <c r="L786" s="85"/>
      <c r="M786" s="85"/>
      <c r="N786" s="85"/>
      <c r="O786" s="85"/>
      <c r="P786" s="85"/>
      <c r="Q786" s="138"/>
      <c r="R786" s="138"/>
      <c r="S786" s="138"/>
      <c r="T786" s="85"/>
      <c r="U786" s="85"/>
      <c r="V786" s="85"/>
      <c r="W786" s="138"/>
      <c r="X786" s="139"/>
      <c r="Y786" s="139"/>
      <c r="Z786" s="139"/>
      <c r="AA786" s="139"/>
      <c r="AB786" s="139"/>
      <c r="AC786" s="139"/>
      <c r="AD786" s="139"/>
      <c r="AE786" s="139"/>
      <c r="AF786" s="139"/>
      <c r="AG786" s="139"/>
      <c r="AH786" s="139"/>
      <c r="AI786" s="139"/>
      <c r="AJ786" s="139"/>
      <c r="AK786" s="139"/>
      <c r="AL786" s="139"/>
      <c r="AM786" s="139"/>
      <c r="AN786" s="139"/>
      <c r="AO786" s="139"/>
    </row>
    <row r="787">
      <c r="A787" s="94"/>
      <c r="B787" s="690"/>
      <c r="C787" s="94"/>
      <c r="D787" s="94"/>
      <c r="E787" s="94"/>
      <c r="F787" s="94"/>
      <c r="G787" s="94"/>
      <c r="H787" s="691"/>
      <c r="I787" s="691"/>
      <c r="J787" s="691"/>
      <c r="K787" s="85"/>
      <c r="L787" s="85"/>
      <c r="M787" s="85"/>
      <c r="N787" s="85"/>
      <c r="O787" s="85"/>
      <c r="P787" s="85"/>
      <c r="Q787" s="138"/>
      <c r="R787" s="138"/>
      <c r="S787" s="138"/>
      <c r="T787" s="85"/>
      <c r="U787" s="85"/>
      <c r="V787" s="85"/>
      <c r="W787" s="138"/>
      <c r="X787" s="139"/>
      <c r="Y787" s="139"/>
      <c r="Z787" s="139"/>
      <c r="AA787" s="139"/>
      <c r="AB787" s="139"/>
      <c r="AC787" s="139"/>
      <c r="AD787" s="139"/>
      <c r="AE787" s="139"/>
      <c r="AF787" s="139"/>
      <c r="AG787" s="139"/>
      <c r="AH787" s="139"/>
      <c r="AI787" s="139"/>
      <c r="AJ787" s="139"/>
      <c r="AK787" s="139"/>
      <c r="AL787" s="139"/>
      <c r="AM787" s="139"/>
      <c r="AN787" s="139"/>
      <c r="AO787" s="139"/>
    </row>
    <row r="788">
      <c r="A788" s="94"/>
      <c r="B788" s="690"/>
      <c r="C788" s="94"/>
      <c r="D788" s="94"/>
      <c r="E788" s="94"/>
      <c r="F788" s="94"/>
      <c r="G788" s="94"/>
      <c r="H788" s="691"/>
      <c r="I788" s="691"/>
      <c r="J788" s="691"/>
      <c r="K788" s="85"/>
      <c r="L788" s="85"/>
      <c r="M788" s="85"/>
      <c r="N788" s="85"/>
      <c r="O788" s="85"/>
      <c r="P788" s="85"/>
      <c r="Q788" s="138"/>
      <c r="R788" s="138"/>
      <c r="S788" s="138"/>
      <c r="T788" s="85"/>
      <c r="U788" s="85"/>
      <c r="V788" s="85"/>
      <c r="W788" s="138"/>
      <c r="X788" s="139"/>
      <c r="Y788" s="139"/>
      <c r="Z788" s="139"/>
      <c r="AA788" s="139"/>
      <c r="AB788" s="139"/>
      <c r="AC788" s="139"/>
      <c r="AD788" s="139"/>
      <c r="AE788" s="139"/>
      <c r="AF788" s="139"/>
      <c r="AG788" s="139"/>
      <c r="AH788" s="139"/>
      <c r="AI788" s="139"/>
      <c r="AJ788" s="139"/>
      <c r="AK788" s="139"/>
      <c r="AL788" s="139"/>
      <c r="AM788" s="139"/>
      <c r="AN788" s="139"/>
      <c r="AO788" s="139"/>
    </row>
    <row r="789">
      <c r="A789" s="94"/>
      <c r="B789" s="690"/>
      <c r="C789" s="94"/>
      <c r="D789" s="94"/>
      <c r="E789" s="94"/>
      <c r="F789" s="94"/>
      <c r="G789" s="94"/>
      <c r="H789" s="691"/>
      <c r="I789" s="691"/>
      <c r="J789" s="691"/>
      <c r="K789" s="85"/>
      <c r="L789" s="85"/>
      <c r="M789" s="85"/>
      <c r="N789" s="85"/>
      <c r="O789" s="85"/>
      <c r="P789" s="85"/>
      <c r="Q789" s="138"/>
      <c r="R789" s="138"/>
      <c r="S789" s="138"/>
      <c r="T789" s="85"/>
      <c r="U789" s="85"/>
      <c r="V789" s="85"/>
      <c r="W789" s="138"/>
      <c r="X789" s="139"/>
      <c r="Y789" s="139"/>
      <c r="Z789" s="139"/>
      <c r="AA789" s="139"/>
      <c r="AB789" s="139"/>
      <c r="AC789" s="139"/>
      <c r="AD789" s="139"/>
      <c r="AE789" s="139"/>
      <c r="AF789" s="139"/>
      <c r="AG789" s="139"/>
      <c r="AH789" s="139"/>
      <c r="AI789" s="139"/>
      <c r="AJ789" s="139"/>
      <c r="AK789" s="139"/>
      <c r="AL789" s="139"/>
      <c r="AM789" s="139"/>
      <c r="AN789" s="139"/>
      <c r="AO789" s="139"/>
    </row>
    <row r="790">
      <c r="A790" s="94"/>
      <c r="B790" s="690"/>
      <c r="C790" s="94"/>
      <c r="D790" s="94"/>
      <c r="E790" s="94"/>
      <c r="F790" s="94"/>
      <c r="G790" s="94"/>
      <c r="H790" s="691"/>
      <c r="I790" s="691"/>
      <c r="J790" s="691"/>
      <c r="K790" s="85"/>
      <c r="L790" s="85"/>
      <c r="M790" s="85"/>
      <c r="N790" s="85"/>
      <c r="O790" s="85"/>
      <c r="P790" s="85"/>
      <c r="Q790" s="138"/>
      <c r="R790" s="138"/>
      <c r="S790" s="138"/>
      <c r="T790" s="85"/>
      <c r="U790" s="85"/>
      <c r="V790" s="85"/>
      <c r="W790" s="138"/>
      <c r="X790" s="139"/>
      <c r="Y790" s="139"/>
      <c r="Z790" s="139"/>
      <c r="AA790" s="139"/>
      <c r="AB790" s="139"/>
      <c r="AC790" s="139"/>
      <c r="AD790" s="139"/>
      <c r="AE790" s="139"/>
      <c r="AF790" s="139"/>
      <c r="AG790" s="139"/>
      <c r="AH790" s="139"/>
      <c r="AI790" s="139"/>
      <c r="AJ790" s="139"/>
      <c r="AK790" s="139"/>
      <c r="AL790" s="139"/>
      <c r="AM790" s="139"/>
      <c r="AN790" s="139"/>
      <c r="AO790" s="139"/>
    </row>
    <row r="791">
      <c r="A791" s="94"/>
      <c r="B791" s="690"/>
      <c r="C791" s="94"/>
      <c r="D791" s="94"/>
      <c r="E791" s="94"/>
      <c r="F791" s="94"/>
      <c r="G791" s="94"/>
      <c r="H791" s="691"/>
      <c r="I791" s="691"/>
      <c r="J791" s="691"/>
      <c r="K791" s="85"/>
      <c r="L791" s="85"/>
      <c r="M791" s="85"/>
      <c r="N791" s="85"/>
      <c r="O791" s="85"/>
      <c r="P791" s="85"/>
      <c r="Q791" s="138"/>
      <c r="R791" s="138"/>
      <c r="S791" s="138"/>
      <c r="T791" s="85"/>
      <c r="U791" s="85"/>
      <c r="V791" s="85"/>
      <c r="W791" s="138"/>
      <c r="X791" s="139"/>
      <c r="Y791" s="139"/>
      <c r="Z791" s="139"/>
      <c r="AA791" s="139"/>
      <c r="AB791" s="139"/>
      <c r="AC791" s="139"/>
      <c r="AD791" s="139"/>
      <c r="AE791" s="139"/>
      <c r="AF791" s="139"/>
      <c r="AG791" s="139"/>
      <c r="AH791" s="139"/>
      <c r="AI791" s="139"/>
      <c r="AJ791" s="139"/>
      <c r="AK791" s="139"/>
      <c r="AL791" s="139"/>
      <c r="AM791" s="139"/>
      <c r="AN791" s="139"/>
      <c r="AO791" s="139"/>
    </row>
    <row r="792">
      <c r="A792" s="94"/>
      <c r="B792" s="690"/>
      <c r="C792" s="94"/>
      <c r="D792" s="94"/>
      <c r="E792" s="94"/>
      <c r="F792" s="94"/>
      <c r="G792" s="94"/>
      <c r="H792" s="691"/>
      <c r="I792" s="691"/>
      <c r="J792" s="691"/>
      <c r="K792" s="85"/>
      <c r="L792" s="85"/>
      <c r="M792" s="85"/>
      <c r="N792" s="85"/>
      <c r="O792" s="85"/>
      <c r="P792" s="85"/>
      <c r="Q792" s="138"/>
      <c r="R792" s="138"/>
      <c r="S792" s="138"/>
      <c r="T792" s="85"/>
      <c r="U792" s="85"/>
      <c r="V792" s="85"/>
      <c r="W792" s="138"/>
      <c r="X792" s="139"/>
      <c r="Y792" s="139"/>
      <c r="Z792" s="139"/>
      <c r="AA792" s="139"/>
      <c r="AB792" s="139"/>
      <c r="AC792" s="139"/>
      <c r="AD792" s="139"/>
      <c r="AE792" s="139"/>
      <c r="AF792" s="139"/>
      <c r="AG792" s="139"/>
      <c r="AH792" s="139"/>
      <c r="AI792" s="139"/>
      <c r="AJ792" s="139"/>
      <c r="AK792" s="139"/>
      <c r="AL792" s="139"/>
      <c r="AM792" s="139"/>
      <c r="AN792" s="139"/>
      <c r="AO792" s="139"/>
    </row>
    <row r="793">
      <c r="A793" s="94"/>
      <c r="B793" s="690"/>
      <c r="C793" s="94"/>
      <c r="D793" s="94"/>
      <c r="E793" s="94"/>
      <c r="F793" s="94"/>
      <c r="G793" s="94"/>
      <c r="H793" s="691"/>
      <c r="I793" s="691"/>
      <c r="J793" s="691"/>
      <c r="K793" s="85"/>
      <c r="L793" s="85"/>
      <c r="M793" s="85"/>
      <c r="N793" s="85"/>
      <c r="O793" s="85"/>
      <c r="P793" s="85"/>
      <c r="Q793" s="138"/>
      <c r="R793" s="138"/>
      <c r="S793" s="138"/>
      <c r="T793" s="85"/>
      <c r="U793" s="85"/>
      <c r="V793" s="85"/>
      <c r="W793" s="138"/>
      <c r="X793" s="139"/>
      <c r="Y793" s="139"/>
      <c r="Z793" s="139"/>
      <c r="AA793" s="139"/>
      <c r="AB793" s="139"/>
      <c r="AC793" s="139"/>
      <c r="AD793" s="139"/>
      <c r="AE793" s="139"/>
      <c r="AF793" s="139"/>
      <c r="AG793" s="139"/>
      <c r="AH793" s="139"/>
      <c r="AI793" s="139"/>
      <c r="AJ793" s="139"/>
      <c r="AK793" s="139"/>
      <c r="AL793" s="139"/>
      <c r="AM793" s="139"/>
      <c r="AN793" s="139"/>
      <c r="AO793" s="139"/>
    </row>
    <row r="794">
      <c r="A794" s="94"/>
      <c r="B794" s="690"/>
      <c r="C794" s="94"/>
      <c r="D794" s="94"/>
      <c r="E794" s="94"/>
      <c r="F794" s="94"/>
      <c r="G794" s="94"/>
      <c r="H794" s="691"/>
      <c r="I794" s="691"/>
      <c r="J794" s="691"/>
      <c r="K794" s="85"/>
      <c r="L794" s="85"/>
      <c r="M794" s="85"/>
      <c r="N794" s="85"/>
      <c r="O794" s="85"/>
      <c r="P794" s="85"/>
      <c r="Q794" s="138"/>
      <c r="R794" s="138"/>
      <c r="S794" s="138"/>
      <c r="T794" s="85"/>
      <c r="U794" s="85"/>
      <c r="V794" s="85"/>
      <c r="W794" s="138"/>
      <c r="X794" s="139"/>
      <c r="Y794" s="139"/>
      <c r="Z794" s="139"/>
      <c r="AA794" s="139"/>
      <c r="AB794" s="139"/>
      <c r="AC794" s="139"/>
      <c r="AD794" s="139"/>
      <c r="AE794" s="139"/>
      <c r="AF794" s="139"/>
      <c r="AG794" s="139"/>
      <c r="AH794" s="139"/>
      <c r="AI794" s="139"/>
      <c r="AJ794" s="139"/>
      <c r="AK794" s="139"/>
      <c r="AL794" s="139"/>
      <c r="AM794" s="139"/>
      <c r="AN794" s="139"/>
      <c r="AO794" s="139"/>
    </row>
    <row r="795">
      <c r="A795" s="94"/>
      <c r="B795" s="690"/>
      <c r="C795" s="94"/>
      <c r="D795" s="94"/>
      <c r="E795" s="94"/>
      <c r="F795" s="94"/>
      <c r="G795" s="94"/>
      <c r="H795" s="691"/>
      <c r="I795" s="691"/>
      <c r="J795" s="691"/>
      <c r="K795" s="85"/>
      <c r="L795" s="85"/>
      <c r="M795" s="85"/>
      <c r="N795" s="85"/>
      <c r="O795" s="85"/>
      <c r="P795" s="85"/>
      <c r="Q795" s="138"/>
      <c r="R795" s="138"/>
      <c r="S795" s="138"/>
      <c r="T795" s="85"/>
      <c r="U795" s="85"/>
      <c r="V795" s="85"/>
      <c r="W795" s="138"/>
      <c r="X795" s="139"/>
      <c r="Y795" s="139"/>
      <c r="Z795" s="139"/>
      <c r="AA795" s="139"/>
      <c r="AB795" s="139"/>
      <c r="AC795" s="139"/>
      <c r="AD795" s="139"/>
      <c r="AE795" s="139"/>
      <c r="AF795" s="139"/>
      <c r="AG795" s="139"/>
      <c r="AH795" s="139"/>
      <c r="AI795" s="139"/>
      <c r="AJ795" s="139"/>
      <c r="AK795" s="139"/>
      <c r="AL795" s="139"/>
      <c r="AM795" s="139"/>
      <c r="AN795" s="139"/>
      <c r="AO795" s="139"/>
    </row>
    <row r="796">
      <c r="A796" s="94"/>
      <c r="B796" s="690"/>
      <c r="C796" s="94"/>
      <c r="D796" s="94"/>
      <c r="E796" s="94"/>
      <c r="F796" s="94"/>
      <c r="G796" s="94"/>
      <c r="H796" s="691"/>
      <c r="I796" s="691"/>
      <c r="J796" s="691"/>
      <c r="K796" s="85"/>
      <c r="L796" s="85"/>
      <c r="M796" s="85"/>
      <c r="N796" s="85"/>
      <c r="O796" s="85"/>
      <c r="P796" s="85"/>
      <c r="Q796" s="138"/>
      <c r="R796" s="138"/>
      <c r="S796" s="138"/>
      <c r="T796" s="85"/>
      <c r="U796" s="85"/>
      <c r="V796" s="85"/>
      <c r="W796" s="138"/>
      <c r="X796" s="139"/>
      <c r="Y796" s="139"/>
      <c r="Z796" s="139"/>
      <c r="AA796" s="139"/>
      <c r="AB796" s="139"/>
      <c r="AC796" s="139"/>
      <c r="AD796" s="139"/>
      <c r="AE796" s="139"/>
      <c r="AF796" s="139"/>
      <c r="AG796" s="139"/>
      <c r="AH796" s="139"/>
      <c r="AI796" s="139"/>
      <c r="AJ796" s="139"/>
      <c r="AK796" s="139"/>
      <c r="AL796" s="139"/>
      <c r="AM796" s="139"/>
      <c r="AN796" s="139"/>
      <c r="AO796" s="139"/>
    </row>
    <row r="797">
      <c r="A797" s="94"/>
      <c r="B797" s="690"/>
      <c r="C797" s="94"/>
      <c r="D797" s="94"/>
      <c r="E797" s="94"/>
      <c r="F797" s="94"/>
      <c r="G797" s="94"/>
      <c r="H797" s="691"/>
      <c r="I797" s="691"/>
      <c r="J797" s="691"/>
      <c r="K797" s="85"/>
      <c r="L797" s="85"/>
      <c r="M797" s="85"/>
      <c r="N797" s="85"/>
      <c r="O797" s="85"/>
      <c r="P797" s="85"/>
      <c r="Q797" s="138"/>
      <c r="R797" s="138"/>
      <c r="S797" s="138"/>
      <c r="T797" s="85"/>
      <c r="U797" s="85"/>
      <c r="V797" s="85"/>
      <c r="W797" s="138"/>
      <c r="X797" s="139"/>
      <c r="Y797" s="139"/>
      <c r="Z797" s="139"/>
      <c r="AA797" s="139"/>
      <c r="AB797" s="139"/>
      <c r="AC797" s="139"/>
      <c r="AD797" s="139"/>
      <c r="AE797" s="139"/>
      <c r="AF797" s="139"/>
      <c r="AG797" s="139"/>
      <c r="AH797" s="139"/>
      <c r="AI797" s="139"/>
      <c r="AJ797" s="139"/>
      <c r="AK797" s="139"/>
      <c r="AL797" s="139"/>
      <c r="AM797" s="139"/>
      <c r="AN797" s="139"/>
      <c r="AO797" s="139"/>
    </row>
    <row r="798">
      <c r="A798" s="94"/>
      <c r="B798" s="690"/>
      <c r="C798" s="94"/>
      <c r="D798" s="94"/>
      <c r="E798" s="94"/>
      <c r="F798" s="94"/>
      <c r="G798" s="94"/>
      <c r="H798" s="691"/>
      <c r="I798" s="691"/>
      <c r="J798" s="691"/>
      <c r="K798" s="85"/>
      <c r="L798" s="85"/>
      <c r="M798" s="85"/>
      <c r="N798" s="85"/>
      <c r="O798" s="85"/>
      <c r="P798" s="85"/>
      <c r="Q798" s="138"/>
      <c r="R798" s="138"/>
      <c r="S798" s="138"/>
      <c r="T798" s="85"/>
      <c r="U798" s="85"/>
      <c r="V798" s="85"/>
      <c r="W798" s="138"/>
      <c r="X798" s="139"/>
      <c r="Y798" s="139"/>
      <c r="Z798" s="139"/>
      <c r="AA798" s="139"/>
      <c r="AB798" s="139"/>
      <c r="AC798" s="139"/>
      <c r="AD798" s="139"/>
      <c r="AE798" s="139"/>
      <c r="AF798" s="139"/>
      <c r="AG798" s="139"/>
      <c r="AH798" s="139"/>
      <c r="AI798" s="139"/>
      <c r="AJ798" s="139"/>
      <c r="AK798" s="139"/>
      <c r="AL798" s="139"/>
      <c r="AM798" s="139"/>
      <c r="AN798" s="139"/>
      <c r="AO798" s="139"/>
    </row>
    <row r="799">
      <c r="A799" s="94"/>
      <c r="B799" s="690"/>
      <c r="C799" s="94"/>
      <c r="D799" s="94"/>
      <c r="E799" s="94"/>
      <c r="F799" s="94"/>
      <c r="G799" s="94"/>
      <c r="H799" s="691"/>
      <c r="I799" s="691"/>
      <c r="J799" s="691"/>
      <c r="K799" s="85"/>
      <c r="L799" s="85"/>
      <c r="M799" s="85"/>
      <c r="N799" s="85"/>
      <c r="O799" s="85"/>
      <c r="P799" s="85"/>
      <c r="Q799" s="138"/>
      <c r="R799" s="138"/>
      <c r="S799" s="138"/>
      <c r="T799" s="85"/>
      <c r="U799" s="85"/>
      <c r="V799" s="85"/>
      <c r="W799" s="138"/>
      <c r="X799" s="139"/>
      <c r="Y799" s="139"/>
      <c r="Z799" s="139"/>
      <c r="AA799" s="139"/>
      <c r="AB799" s="139"/>
      <c r="AC799" s="139"/>
      <c r="AD799" s="139"/>
      <c r="AE799" s="139"/>
      <c r="AF799" s="139"/>
      <c r="AG799" s="139"/>
      <c r="AH799" s="139"/>
      <c r="AI799" s="139"/>
      <c r="AJ799" s="139"/>
      <c r="AK799" s="139"/>
      <c r="AL799" s="139"/>
      <c r="AM799" s="139"/>
      <c r="AN799" s="139"/>
      <c r="AO799" s="139"/>
    </row>
    <row r="800">
      <c r="A800" s="94"/>
      <c r="B800" s="690"/>
      <c r="C800" s="94"/>
      <c r="D800" s="94"/>
      <c r="E800" s="94"/>
      <c r="F800" s="94"/>
      <c r="G800" s="94"/>
      <c r="H800" s="691"/>
      <c r="I800" s="691"/>
      <c r="J800" s="691"/>
      <c r="K800" s="85"/>
      <c r="L800" s="85"/>
      <c r="M800" s="85"/>
      <c r="N800" s="85"/>
      <c r="O800" s="85"/>
      <c r="P800" s="85"/>
      <c r="Q800" s="138"/>
      <c r="R800" s="138"/>
      <c r="S800" s="138"/>
      <c r="T800" s="85"/>
      <c r="U800" s="85"/>
      <c r="V800" s="85"/>
      <c r="W800" s="138"/>
      <c r="X800" s="139"/>
      <c r="Y800" s="139"/>
      <c r="Z800" s="139"/>
      <c r="AA800" s="139"/>
      <c r="AB800" s="139"/>
      <c r="AC800" s="139"/>
      <c r="AD800" s="139"/>
      <c r="AE800" s="139"/>
      <c r="AF800" s="139"/>
      <c r="AG800" s="139"/>
      <c r="AH800" s="139"/>
      <c r="AI800" s="139"/>
      <c r="AJ800" s="139"/>
      <c r="AK800" s="139"/>
      <c r="AL800" s="139"/>
      <c r="AM800" s="139"/>
      <c r="AN800" s="139"/>
      <c r="AO800" s="139"/>
    </row>
    <row r="801">
      <c r="A801" s="94"/>
      <c r="B801" s="690"/>
      <c r="C801" s="94"/>
      <c r="D801" s="94"/>
      <c r="E801" s="94"/>
      <c r="F801" s="94"/>
      <c r="G801" s="94"/>
      <c r="H801" s="691"/>
      <c r="I801" s="691"/>
      <c r="J801" s="691"/>
      <c r="K801" s="85"/>
      <c r="L801" s="85"/>
      <c r="M801" s="85"/>
      <c r="N801" s="85"/>
      <c r="O801" s="85"/>
      <c r="P801" s="85"/>
      <c r="Q801" s="138"/>
      <c r="R801" s="138"/>
      <c r="S801" s="138"/>
      <c r="T801" s="85"/>
      <c r="U801" s="85"/>
      <c r="V801" s="85"/>
      <c r="W801" s="138"/>
      <c r="X801" s="139"/>
      <c r="Y801" s="139"/>
      <c r="Z801" s="139"/>
      <c r="AA801" s="139"/>
      <c r="AB801" s="139"/>
      <c r="AC801" s="139"/>
      <c r="AD801" s="139"/>
      <c r="AE801" s="139"/>
      <c r="AF801" s="139"/>
      <c r="AG801" s="139"/>
      <c r="AH801" s="139"/>
      <c r="AI801" s="139"/>
      <c r="AJ801" s="139"/>
      <c r="AK801" s="139"/>
      <c r="AL801" s="139"/>
      <c r="AM801" s="139"/>
      <c r="AN801" s="139"/>
      <c r="AO801" s="139"/>
    </row>
    <row r="802">
      <c r="A802" s="94"/>
      <c r="B802" s="690"/>
      <c r="C802" s="94"/>
      <c r="D802" s="94"/>
      <c r="E802" s="94"/>
      <c r="F802" s="94"/>
      <c r="G802" s="94"/>
      <c r="H802" s="691"/>
      <c r="I802" s="691"/>
      <c r="J802" s="691"/>
      <c r="K802" s="85"/>
      <c r="L802" s="85"/>
      <c r="M802" s="85"/>
      <c r="N802" s="85"/>
      <c r="O802" s="85"/>
      <c r="P802" s="85"/>
      <c r="Q802" s="138"/>
      <c r="R802" s="138"/>
      <c r="S802" s="138"/>
      <c r="T802" s="85"/>
      <c r="U802" s="85"/>
      <c r="V802" s="85"/>
      <c r="W802" s="138"/>
      <c r="X802" s="139"/>
      <c r="Y802" s="139"/>
      <c r="Z802" s="139"/>
      <c r="AA802" s="139"/>
      <c r="AB802" s="139"/>
      <c r="AC802" s="139"/>
      <c r="AD802" s="139"/>
      <c r="AE802" s="139"/>
      <c r="AF802" s="139"/>
      <c r="AG802" s="139"/>
      <c r="AH802" s="139"/>
      <c r="AI802" s="139"/>
      <c r="AJ802" s="139"/>
      <c r="AK802" s="139"/>
      <c r="AL802" s="139"/>
      <c r="AM802" s="139"/>
      <c r="AN802" s="139"/>
      <c r="AO802" s="139"/>
    </row>
    <row r="803">
      <c r="A803" s="94"/>
      <c r="B803" s="690"/>
      <c r="C803" s="94"/>
      <c r="D803" s="94"/>
      <c r="E803" s="94"/>
      <c r="F803" s="94"/>
      <c r="G803" s="94"/>
      <c r="H803" s="691"/>
      <c r="I803" s="691"/>
      <c r="J803" s="691"/>
      <c r="K803" s="85"/>
      <c r="L803" s="85"/>
      <c r="M803" s="85"/>
      <c r="N803" s="85"/>
      <c r="O803" s="85"/>
      <c r="P803" s="85"/>
      <c r="Q803" s="138"/>
      <c r="R803" s="138"/>
      <c r="S803" s="138"/>
      <c r="T803" s="85"/>
      <c r="U803" s="85"/>
      <c r="V803" s="85"/>
      <c r="W803" s="138"/>
      <c r="X803" s="139"/>
      <c r="Y803" s="139"/>
      <c r="Z803" s="139"/>
      <c r="AA803" s="139"/>
      <c r="AB803" s="139"/>
      <c r="AC803" s="139"/>
      <c r="AD803" s="139"/>
      <c r="AE803" s="139"/>
      <c r="AF803" s="139"/>
      <c r="AG803" s="139"/>
      <c r="AH803" s="139"/>
      <c r="AI803" s="139"/>
      <c r="AJ803" s="139"/>
      <c r="AK803" s="139"/>
      <c r="AL803" s="139"/>
      <c r="AM803" s="139"/>
      <c r="AN803" s="139"/>
      <c r="AO803" s="139"/>
    </row>
    <row r="804">
      <c r="A804" s="94"/>
      <c r="B804" s="690"/>
      <c r="C804" s="94"/>
      <c r="D804" s="94"/>
      <c r="E804" s="94"/>
      <c r="F804" s="94"/>
      <c r="G804" s="94"/>
      <c r="H804" s="691"/>
      <c r="I804" s="691"/>
      <c r="J804" s="691"/>
      <c r="K804" s="85"/>
      <c r="L804" s="85"/>
      <c r="M804" s="85"/>
      <c r="N804" s="85"/>
      <c r="O804" s="85"/>
      <c r="P804" s="85"/>
      <c r="Q804" s="138"/>
      <c r="R804" s="138"/>
      <c r="S804" s="138"/>
      <c r="T804" s="85"/>
      <c r="U804" s="85"/>
      <c r="V804" s="85"/>
      <c r="W804" s="138"/>
      <c r="X804" s="139"/>
      <c r="Y804" s="139"/>
      <c r="Z804" s="139"/>
      <c r="AA804" s="139"/>
      <c r="AB804" s="139"/>
      <c r="AC804" s="139"/>
      <c r="AD804" s="139"/>
      <c r="AE804" s="139"/>
      <c r="AF804" s="139"/>
      <c r="AG804" s="139"/>
      <c r="AH804" s="139"/>
      <c r="AI804" s="139"/>
      <c r="AJ804" s="139"/>
      <c r="AK804" s="139"/>
      <c r="AL804" s="139"/>
      <c r="AM804" s="139"/>
      <c r="AN804" s="139"/>
      <c r="AO804" s="139"/>
    </row>
    <row r="805">
      <c r="A805" s="94"/>
      <c r="B805" s="690"/>
      <c r="C805" s="94"/>
      <c r="D805" s="94"/>
      <c r="E805" s="94"/>
      <c r="F805" s="94"/>
      <c r="G805" s="94"/>
      <c r="H805" s="691"/>
      <c r="I805" s="691"/>
      <c r="J805" s="691"/>
      <c r="K805" s="85"/>
      <c r="L805" s="85"/>
      <c r="M805" s="85"/>
      <c r="N805" s="85"/>
      <c r="O805" s="85"/>
      <c r="P805" s="85"/>
      <c r="Q805" s="138"/>
      <c r="R805" s="138"/>
      <c r="S805" s="138"/>
      <c r="T805" s="85"/>
      <c r="U805" s="85"/>
      <c r="V805" s="85"/>
      <c r="W805" s="138"/>
      <c r="X805" s="139"/>
      <c r="Y805" s="139"/>
      <c r="Z805" s="139"/>
      <c r="AA805" s="139"/>
      <c r="AB805" s="139"/>
      <c r="AC805" s="139"/>
      <c r="AD805" s="139"/>
      <c r="AE805" s="139"/>
      <c r="AF805" s="139"/>
      <c r="AG805" s="139"/>
      <c r="AH805" s="139"/>
      <c r="AI805" s="139"/>
      <c r="AJ805" s="139"/>
      <c r="AK805" s="139"/>
      <c r="AL805" s="139"/>
      <c r="AM805" s="139"/>
      <c r="AN805" s="139"/>
      <c r="AO805" s="139"/>
    </row>
    <row r="806">
      <c r="A806" s="94"/>
      <c r="B806" s="690"/>
      <c r="C806" s="94"/>
      <c r="D806" s="94"/>
      <c r="E806" s="94"/>
      <c r="F806" s="94"/>
      <c r="G806" s="94"/>
      <c r="H806" s="691"/>
      <c r="I806" s="691"/>
      <c r="J806" s="691"/>
      <c r="K806" s="85"/>
      <c r="L806" s="85"/>
      <c r="M806" s="85"/>
      <c r="N806" s="85"/>
      <c r="O806" s="85"/>
      <c r="P806" s="85"/>
      <c r="Q806" s="138"/>
      <c r="R806" s="138"/>
      <c r="S806" s="138"/>
      <c r="T806" s="85"/>
      <c r="U806" s="85"/>
      <c r="V806" s="85"/>
      <c r="W806" s="138"/>
      <c r="X806" s="139"/>
      <c r="Y806" s="139"/>
      <c r="Z806" s="139"/>
      <c r="AA806" s="139"/>
      <c r="AB806" s="139"/>
      <c r="AC806" s="139"/>
      <c r="AD806" s="139"/>
      <c r="AE806" s="139"/>
      <c r="AF806" s="139"/>
      <c r="AG806" s="139"/>
      <c r="AH806" s="139"/>
      <c r="AI806" s="139"/>
      <c r="AJ806" s="139"/>
      <c r="AK806" s="139"/>
      <c r="AL806" s="139"/>
      <c r="AM806" s="139"/>
      <c r="AN806" s="139"/>
      <c r="AO806" s="139"/>
    </row>
    <row r="807">
      <c r="A807" s="94"/>
      <c r="B807" s="690"/>
      <c r="C807" s="94"/>
      <c r="D807" s="94"/>
      <c r="E807" s="94"/>
      <c r="F807" s="94"/>
      <c r="G807" s="94"/>
      <c r="H807" s="691"/>
      <c r="I807" s="691"/>
      <c r="J807" s="691"/>
      <c r="K807" s="85"/>
      <c r="L807" s="85"/>
      <c r="M807" s="85"/>
      <c r="N807" s="85"/>
      <c r="O807" s="85"/>
      <c r="P807" s="85"/>
      <c r="Q807" s="138"/>
      <c r="R807" s="138"/>
      <c r="S807" s="138"/>
      <c r="T807" s="85"/>
      <c r="U807" s="85"/>
      <c r="V807" s="85"/>
      <c r="W807" s="138"/>
      <c r="X807" s="139"/>
      <c r="Y807" s="139"/>
      <c r="Z807" s="139"/>
      <c r="AA807" s="139"/>
      <c r="AB807" s="139"/>
      <c r="AC807" s="139"/>
      <c r="AD807" s="139"/>
      <c r="AE807" s="139"/>
      <c r="AF807" s="139"/>
      <c r="AG807" s="139"/>
      <c r="AH807" s="139"/>
      <c r="AI807" s="139"/>
      <c r="AJ807" s="139"/>
      <c r="AK807" s="139"/>
      <c r="AL807" s="139"/>
      <c r="AM807" s="139"/>
      <c r="AN807" s="139"/>
      <c r="AO807" s="139"/>
    </row>
    <row r="808">
      <c r="A808" s="94"/>
      <c r="B808" s="690"/>
      <c r="C808" s="94"/>
      <c r="D808" s="94"/>
      <c r="E808" s="94"/>
      <c r="F808" s="94"/>
      <c r="G808" s="94"/>
      <c r="H808" s="691"/>
      <c r="I808" s="691"/>
      <c r="J808" s="691"/>
      <c r="K808" s="85"/>
      <c r="L808" s="85"/>
      <c r="M808" s="85"/>
      <c r="N808" s="85"/>
      <c r="O808" s="85"/>
      <c r="P808" s="85"/>
      <c r="Q808" s="138"/>
      <c r="R808" s="138"/>
      <c r="S808" s="138"/>
      <c r="T808" s="85"/>
      <c r="U808" s="85"/>
      <c r="V808" s="85"/>
      <c r="W808" s="138"/>
      <c r="X808" s="139"/>
      <c r="Y808" s="139"/>
      <c r="Z808" s="139"/>
      <c r="AA808" s="139"/>
      <c r="AB808" s="139"/>
      <c r="AC808" s="139"/>
      <c r="AD808" s="139"/>
      <c r="AE808" s="139"/>
      <c r="AF808" s="139"/>
      <c r="AG808" s="139"/>
      <c r="AH808" s="139"/>
      <c r="AI808" s="139"/>
      <c r="AJ808" s="139"/>
      <c r="AK808" s="139"/>
      <c r="AL808" s="139"/>
      <c r="AM808" s="139"/>
      <c r="AN808" s="139"/>
      <c r="AO808" s="139"/>
    </row>
    <row r="809">
      <c r="A809" s="94"/>
      <c r="B809" s="690"/>
      <c r="C809" s="94"/>
      <c r="D809" s="94"/>
      <c r="E809" s="94"/>
      <c r="F809" s="94"/>
      <c r="G809" s="94"/>
      <c r="H809" s="691"/>
      <c r="I809" s="691"/>
      <c r="J809" s="691"/>
      <c r="K809" s="85"/>
      <c r="L809" s="85"/>
      <c r="M809" s="85"/>
      <c r="N809" s="85"/>
      <c r="O809" s="85"/>
      <c r="P809" s="85"/>
      <c r="Q809" s="138"/>
      <c r="R809" s="138"/>
      <c r="S809" s="138"/>
      <c r="T809" s="85"/>
      <c r="U809" s="85"/>
      <c r="V809" s="85"/>
      <c r="W809" s="138"/>
      <c r="X809" s="139"/>
      <c r="Y809" s="139"/>
      <c r="Z809" s="139"/>
      <c r="AA809" s="139"/>
      <c r="AB809" s="139"/>
      <c r="AC809" s="139"/>
      <c r="AD809" s="139"/>
      <c r="AE809" s="139"/>
      <c r="AF809" s="139"/>
      <c r="AG809" s="139"/>
      <c r="AH809" s="139"/>
      <c r="AI809" s="139"/>
      <c r="AJ809" s="139"/>
      <c r="AK809" s="139"/>
      <c r="AL809" s="139"/>
      <c r="AM809" s="139"/>
      <c r="AN809" s="139"/>
      <c r="AO809" s="139"/>
    </row>
    <row r="810">
      <c r="A810" s="94"/>
      <c r="B810" s="690"/>
      <c r="C810" s="94"/>
      <c r="D810" s="94"/>
      <c r="E810" s="94"/>
      <c r="F810" s="94"/>
      <c r="G810" s="94"/>
      <c r="H810" s="691"/>
      <c r="I810" s="691"/>
      <c r="J810" s="691"/>
      <c r="K810" s="85"/>
      <c r="L810" s="85"/>
      <c r="M810" s="85"/>
      <c r="N810" s="85"/>
      <c r="O810" s="85"/>
      <c r="P810" s="85"/>
      <c r="Q810" s="138"/>
      <c r="R810" s="138"/>
      <c r="S810" s="138"/>
      <c r="T810" s="85"/>
      <c r="U810" s="85"/>
      <c r="V810" s="85"/>
      <c r="W810" s="138"/>
      <c r="X810" s="139"/>
      <c r="Y810" s="139"/>
      <c r="Z810" s="139"/>
      <c r="AA810" s="139"/>
      <c r="AB810" s="139"/>
      <c r="AC810" s="139"/>
      <c r="AD810" s="139"/>
      <c r="AE810" s="139"/>
      <c r="AF810" s="139"/>
      <c r="AG810" s="139"/>
      <c r="AH810" s="139"/>
      <c r="AI810" s="139"/>
      <c r="AJ810" s="139"/>
      <c r="AK810" s="139"/>
      <c r="AL810" s="139"/>
      <c r="AM810" s="139"/>
      <c r="AN810" s="139"/>
      <c r="AO810" s="139"/>
    </row>
    <row r="811">
      <c r="A811" s="94"/>
      <c r="B811" s="690"/>
      <c r="C811" s="94"/>
      <c r="D811" s="94"/>
      <c r="E811" s="94"/>
      <c r="F811" s="94"/>
      <c r="G811" s="94"/>
      <c r="H811" s="691"/>
      <c r="I811" s="691"/>
      <c r="J811" s="691"/>
      <c r="K811" s="85"/>
      <c r="L811" s="85"/>
      <c r="M811" s="85"/>
      <c r="N811" s="85"/>
      <c r="O811" s="85"/>
      <c r="P811" s="85"/>
      <c r="Q811" s="138"/>
      <c r="R811" s="138"/>
      <c r="S811" s="138"/>
      <c r="T811" s="85"/>
      <c r="U811" s="85"/>
      <c r="V811" s="85"/>
      <c r="W811" s="138"/>
      <c r="X811" s="139"/>
      <c r="Y811" s="139"/>
      <c r="Z811" s="139"/>
      <c r="AA811" s="139"/>
      <c r="AB811" s="139"/>
      <c r="AC811" s="139"/>
      <c r="AD811" s="139"/>
      <c r="AE811" s="139"/>
      <c r="AF811" s="139"/>
      <c r="AG811" s="139"/>
      <c r="AH811" s="139"/>
      <c r="AI811" s="139"/>
      <c r="AJ811" s="139"/>
      <c r="AK811" s="139"/>
      <c r="AL811" s="139"/>
      <c r="AM811" s="139"/>
      <c r="AN811" s="139"/>
      <c r="AO811" s="139"/>
    </row>
    <row r="812">
      <c r="A812" s="94"/>
      <c r="B812" s="690"/>
      <c r="C812" s="94"/>
      <c r="D812" s="94"/>
      <c r="E812" s="94"/>
      <c r="F812" s="94"/>
      <c r="G812" s="94"/>
      <c r="H812" s="691"/>
      <c r="I812" s="691"/>
      <c r="J812" s="691"/>
      <c r="K812" s="85"/>
      <c r="L812" s="85"/>
      <c r="M812" s="85"/>
      <c r="N812" s="85"/>
      <c r="O812" s="85"/>
      <c r="P812" s="85"/>
      <c r="Q812" s="138"/>
      <c r="R812" s="138"/>
      <c r="S812" s="138"/>
      <c r="T812" s="85"/>
      <c r="U812" s="85"/>
      <c r="V812" s="85"/>
      <c r="W812" s="138"/>
      <c r="X812" s="139"/>
      <c r="Y812" s="139"/>
      <c r="Z812" s="139"/>
      <c r="AA812" s="139"/>
      <c r="AB812" s="139"/>
      <c r="AC812" s="139"/>
      <c r="AD812" s="139"/>
      <c r="AE812" s="139"/>
      <c r="AF812" s="139"/>
      <c r="AG812" s="139"/>
      <c r="AH812" s="139"/>
      <c r="AI812" s="139"/>
      <c r="AJ812" s="139"/>
      <c r="AK812" s="139"/>
      <c r="AL812" s="139"/>
      <c r="AM812" s="139"/>
      <c r="AN812" s="139"/>
      <c r="AO812" s="139"/>
    </row>
    <row r="813">
      <c r="A813" s="94"/>
      <c r="B813" s="690"/>
      <c r="C813" s="94"/>
      <c r="D813" s="94"/>
      <c r="E813" s="94"/>
      <c r="F813" s="94"/>
      <c r="G813" s="94"/>
      <c r="H813" s="691"/>
      <c r="I813" s="691"/>
      <c r="J813" s="691"/>
      <c r="K813" s="85"/>
      <c r="L813" s="85"/>
      <c r="M813" s="85"/>
      <c r="N813" s="85"/>
      <c r="O813" s="85"/>
      <c r="P813" s="85"/>
      <c r="Q813" s="138"/>
      <c r="R813" s="138"/>
      <c r="S813" s="138"/>
      <c r="T813" s="85"/>
      <c r="U813" s="85"/>
      <c r="V813" s="85"/>
      <c r="W813" s="138"/>
      <c r="X813" s="139"/>
      <c r="Y813" s="139"/>
      <c r="Z813" s="139"/>
      <c r="AA813" s="139"/>
      <c r="AB813" s="139"/>
      <c r="AC813" s="139"/>
      <c r="AD813" s="139"/>
      <c r="AE813" s="139"/>
      <c r="AF813" s="139"/>
      <c r="AG813" s="139"/>
      <c r="AH813" s="139"/>
      <c r="AI813" s="139"/>
      <c r="AJ813" s="139"/>
      <c r="AK813" s="139"/>
      <c r="AL813" s="139"/>
      <c r="AM813" s="139"/>
      <c r="AN813" s="139"/>
      <c r="AO813" s="139"/>
    </row>
    <row r="814">
      <c r="A814" s="94"/>
      <c r="B814" s="690"/>
      <c r="C814" s="94"/>
      <c r="D814" s="94"/>
      <c r="E814" s="94"/>
      <c r="F814" s="94"/>
      <c r="G814" s="94"/>
      <c r="H814" s="691"/>
      <c r="I814" s="691"/>
      <c r="J814" s="691"/>
      <c r="K814" s="85"/>
      <c r="L814" s="85"/>
      <c r="M814" s="85"/>
      <c r="N814" s="85"/>
      <c r="O814" s="85"/>
      <c r="P814" s="85"/>
      <c r="Q814" s="138"/>
      <c r="R814" s="138"/>
      <c r="S814" s="138"/>
      <c r="T814" s="85"/>
      <c r="U814" s="85"/>
      <c r="V814" s="85"/>
      <c r="W814" s="138"/>
      <c r="X814" s="139"/>
      <c r="Y814" s="139"/>
      <c r="Z814" s="139"/>
      <c r="AA814" s="139"/>
      <c r="AB814" s="139"/>
      <c r="AC814" s="139"/>
      <c r="AD814" s="139"/>
      <c r="AE814" s="139"/>
      <c r="AF814" s="139"/>
      <c r="AG814" s="139"/>
      <c r="AH814" s="139"/>
      <c r="AI814" s="139"/>
      <c r="AJ814" s="139"/>
      <c r="AK814" s="139"/>
      <c r="AL814" s="139"/>
      <c r="AM814" s="139"/>
      <c r="AN814" s="139"/>
      <c r="AO814" s="139"/>
    </row>
    <row r="815">
      <c r="A815" s="94"/>
      <c r="B815" s="690"/>
      <c r="C815" s="94"/>
      <c r="D815" s="94"/>
      <c r="E815" s="94"/>
      <c r="F815" s="94"/>
      <c r="G815" s="94"/>
      <c r="H815" s="691"/>
      <c r="I815" s="691"/>
      <c r="J815" s="691"/>
      <c r="K815" s="85"/>
      <c r="L815" s="85"/>
      <c r="M815" s="85"/>
      <c r="N815" s="85"/>
      <c r="O815" s="85"/>
      <c r="P815" s="85"/>
      <c r="Q815" s="138"/>
      <c r="R815" s="138"/>
      <c r="S815" s="138"/>
      <c r="T815" s="85"/>
      <c r="U815" s="85"/>
      <c r="V815" s="85"/>
      <c r="W815" s="138"/>
      <c r="X815" s="139"/>
      <c r="Y815" s="139"/>
      <c r="Z815" s="139"/>
      <c r="AA815" s="139"/>
      <c r="AB815" s="139"/>
      <c r="AC815" s="139"/>
      <c r="AD815" s="139"/>
      <c r="AE815" s="139"/>
      <c r="AF815" s="139"/>
      <c r="AG815" s="139"/>
      <c r="AH815" s="139"/>
      <c r="AI815" s="139"/>
      <c r="AJ815" s="139"/>
      <c r="AK815" s="139"/>
      <c r="AL815" s="139"/>
      <c r="AM815" s="139"/>
      <c r="AN815" s="139"/>
      <c r="AO815" s="139"/>
    </row>
    <row r="816">
      <c r="A816" s="94"/>
      <c r="B816" s="690"/>
      <c r="C816" s="94"/>
      <c r="D816" s="94"/>
      <c r="E816" s="94"/>
      <c r="F816" s="94"/>
      <c r="G816" s="94"/>
      <c r="H816" s="691"/>
      <c r="I816" s="691"/>
      <c r="J816" s="691"/>
      <c r="K816" s="85"/>
      <c r="L816" s="85"/>
      <c r="M816" s="85"/>
      <c r="N816" s="85"/>
      <c r="O816" s="85"/>
      <c r="P816" s="85"/>
      <c r="Q816" s="138"/>
      <c r="R816" s="138"/>
      <c r="S816" s="138"/>
      <c r="T816" s="85"/>
      <c r="U816" s="85"/>
      <c r="V816" s="85"/>
      <c r="W816" s="138"/>
      <c r="X816" s="139"/>
      <c r="Y816" s="139"/>
      <c r="Z816" s="139"/>
      <c r="AA816" s="139"/>
      <c r="AB816" s="139"/>
      <c r="AC816" s="139"/>
      <c r="AD816" s="139"/>
      <c r="AE816" s="139"/>
      <c r="AF816" s="139"/>
      <c r="AG816" s="139"/>
      <c r="AH816" s="139"/>
      <c r="AI816" s="139"/>
      <c r="AJ816" s="139"/>
      <c r="AK816" s="139"/>
      <c r="AL816" s="139"/>
      <c r="AM816" s="139"/>
      <c r="AN816" s="139"/>
      <c r="AO816" s="139"/>
    </row>
    <row r="817">
      <c r="A817" s="94"/>
      <c r="B817" s="690"/>
      <c r="C817" s="94"/>
      <c r="D817" s="94"/>
      <c r="E817" s="94"/>
      <c r="F817" s="94"/>
      <c r="G817" s="94"/>
      <c r="H817" s="691"/>
      <c r="I817" s="691"/>
      <c r="J817" s="691"/>
      <c r="K817" s="85"/>
      <c r="L817" s="85"/>
      <c r="M817" s="85"/>
      <c r="N817" s="85"/>
      <c r="O817" s="85"/>
      <c r="P817" s="85"/>
      <c r="Q817" s="138"/>
      <c r="R817" s="138"/>
      <c r="S817" s="138"/>
      <c r="T817" s="85"/>
      <c r="U817" s="85"/>
      <c r="V817" s="85"/>
      <c r="W817" s="138"/>
      <c r="X817" s="139"/>
      <c r="Y817" s="139"/>
      <c r="Z817" s="139"/>
      <c r="AA817" s="139"/>
      <c r="AB817" s="139"/>
      <c r="AC817" s="139"/>
      <c r="AD817" s="139"/>
      <c r="AE817" s="139"/>
      <c r="AF817" s="139"/>
      <c r="AG817" s="139"/>
      <c r="AH817" s="139"/>
      <c r="AI817" s="139"/>
      <c r="AJ817" s="139"/>
      <c r="AK817" s="139"/>
      <c r="AL817" s="139"/>
      <c r="AM817" s="139"/>
      <c r="AN817" s="139"/>
      <c r="AO817" s="139"/>
    </row>
    <row r="818">
      <c r="A818" s="94"/>
      <c r="B818" s="690"/>
      <c r="C818" s="94"/>
      <c r="D818" s="94"/>
      <c r="E818" s="94"/>
      <c r="F818" s="94"/>
      <c r="G818" s="94"/>
      <c r="H818" s="691"/>
      <c r="I818" s="691"/>
      <c r="J818" s="691"/>
      <c r="K818" s="85"/>
      <c r="L818" s="85"/>
      <c r="M818" s="85"/>
      <c r="N818" s="85"/>
      <c r="O818" s="85"/>
      <c r="P818" s="85"/>
      <c r="Q818" s="138"/>
      <c r="R818" s="138"/>
      <c r="S818" s="138"/>
      <c r="T818" s="85"/>
      <c r="U818" s="85"/>
      <c r="V818" s="85"/>
      <c r="W818" s="138"/>
      <c r="X818" s="139"/>
      <c r="Y818" s="139"/>
      <c r="Z818" s="139"/>
      <c r="AA818" s="139"/>
      <c r="AB818" s="139"/>
      <c r="AC818" s="139"/>
      <c r="AD818" s="139"/>
      <c r="AE818" s="139"/>
      <c r="AF818" s="139"/>
      <c r="AG818" s="139"/>
      <c r="AH818" s="139"/>
      <c r="AI818" s="139"/>
      <c r="AJ818" s="139"/>
      <c r="AK818" s="139"/>
      <c r="AL818" s="139"/>
      <c r="AM818" s="139"/>
      <c r="AN818" s="139"/>
      <c r="AO818" s="139"/>
    </row>
    <row r="819">
      <c r="A819" s="94"/>
      <c r="B819" s="690"/>
      <c r="C819" s="94"/>
      <c r="D819" s="94"/>
      <c r="E819" s="94"/>
      <c r="F819" s="94"/>
      <c r="G819" s="94"/>
      <c r="H819" s="691"/>
      <c r="I819" s="691"/>
      <c r="J819" s="691"/>
      <c r="K819" s="85"/>
      <c r="L819" s="85"/>
      <c r="M819" s="85"/>
      <c r="N819" s="85"/>
      <c r="O819" s="85"/>
      <c r="P819" s="85"/>
      <c r="Q819" s="138"/>
      <c r="R819" s="138"/>
      <c r="S819" s="138"/>
      <c r="T819" s="85"/>
      <c r="U819" s="85"/>
      <c r="V819" s="85"/>
      <c r="W819" s="138"/>
      <c r="X819" s="139"/>
      <c r="Y819" s="139"/>
      <c r="Z819" s="139"/>
      <c r="AA819" s="139"/>
      <c r="AB819" s="139"/>
      <c r="AC819" s="139"/>
      <c r="AD819" s="139"/>
      <c r="AE819" s="139"/>
      <c r="AF819" s="139"/>
      <c r="AG819" s="139"/>
      <c r="AH819" s="139"/>
      <c r="AI819" s="139"/>
      <c r="AJ819" s="139"/>
      <c r="AK819" s="139"/>
      <c r="AL819" s="139"/>
      <c r="AM819" s="139"/>
      <c r="AN819" s="139"/>
      <c r="AO819" s="139"/>
    </row>
    <row r="820">
      <c r="A820" s="94"/>
      <c r="B820" s="690"/>
      <c r="C820" s="94"/>
      <c r="D820" s="94"/>
      <c r="E820" s="94"/>
      <c r="F820" s="94"/>
      <c r="G820" s="94"/>
      <c r="H820" s="691"/>
      <c r="I820" s="691"/>
      <c r="J820" s="691"/>
      <c r="K820" s="85"/>
      <c r="L820" s="85"/>
      <c r="M820" s="85"/>
      <c r="N820" s="85"/>
      <c r="O820" s="85"/>
      <c r="P820" s="85"/>
      <c r="Q820" s="138"/>
      <c r="R820" s="138"/>
      <c r="S820" s="138"/>
      <c r="T820" s="85"/>
      <c r="U820" s="85"/>
      <c r="V820" s="85"/>
      <c r="W820" s="138"/>
      <c r="X820" s="139"/>
      <c r="Y820" s="139"/>
      <c r="Z820" s="139"/>
      <c r="AA820" s="139"/>
      <c r="AB820" s="139"/>
      <c r="AC820" s="139"/>
      <c r="AD820" s="139"/>
      <c r="AE820" s="139"/>
      <c r="AF820" s="139"/>
      <c r="AG820" s="139"/>
      <c r="AH820" s="139"/>
      <c r="AI820" s="139"/>
      <c r="AJ820" s="139"/>
      <c r="AK820" s="139"/>
      <c r="AL820" s="139"/>
      <c r="AM820" s="139"/>
      <c r="AN820" s="139"/>
      <c r="AO820" s="139"/>
    </row>
    <row r="821">
      <c r="A821" s="94"/>
      <c r="B821" s="690"/>
      <c r="C821" s="94"/>
      <c r="D821" s="94"/>
      <c r="E821" s="94"/>
      <c r="F821" s="94"/>
      <c r="G821" s="94"/>
      <c r="H821" s="691"/>
      <c r="I821" s="691"/>
      <c r="J821" s="691"/>
      <c r="K821" s="85"/>
      <c r="L821" s="85"/>
      <c r="M821" s="85"/>
      <c r="N821" s="85"/>
      <c r="O821" s="85"/>
      <c r="P821" s="85"/>
      <c r="Q821" s="138"/>
      <c r="R821" s="138"/>
      <c r="S821" s="138"/>
      <c r="T821" s="85"/>
      <c r="U821" s="85"/>
      <c r="V821" s="85"/>
      <c r="W821" s="138"/>
      <c r="X821" s="139"/>
      <c r="Y821" s="139"/>
      <c r="Z821" s="139"/>
      <c r="AA821" s="139"/>
      <c r="AB821" s="139"/>
      <c r="AC821" s="139"/>
      <c r="AD821" s="139"/>
      <c r="AE821" s="139"/>
      <c r="AF821" s="139"/>
      <c r="AG821" s="139"/>
      <c r="AH821" s="139"/>
      <c r="AI821" s="139"/>
      <c r="AJ821" s="139"/>
      <c r="AK821" s="139"/>
      <c r="AL821" s="139"/>
      <c r="AM821" s="139"/>
      <c r="AN821" s="139"/>
      <c r="AO821" s="139"/>
    </row>
    <row r="822">
      <c r="A822" s="94"/>
      <c r="B822" s="690"/>
      <c r="C822" s="94"/>
      <c r="D822" s="94"/>
      <c r="E822" s="94"/>
      <c r="F822" s="94"/>
      <c r="G822" s="94"/>
      <c r="H822" s="691"/>
      <c r="I822" s="691"/>
      <c r="J822" s="691"/>
      <c r="K822" s="85"/>
      <c r="L822" s="85"/>
      <c r="M822" s="85"/>
      <c r="N822" s="85"/>
      <c r="O822" s="85"/>
      <c r="P822" s="85"/>
      <c r="Q822" s="138"/>
      <c r="R822" s="138"/>
      <c r="S822" s="138"/>
      <c r="T822" s="85"/>
      <c r="U822" s="85"/>
      <c r="V822" s="85"/>
      <c r="W822" s="138"/>
      <c r="X822" s="139"/>
      <c r="Y822" s="139"/>
      <c r="Z822" s="139"/>
      <c r="AA822" s="139"/>
      <c r="AB822" s="139"/>
      <c r="AC822" s="139"/>
      <c r="AD822" s="139"/>
      <c r="AE822" s="139"/>
      <c r="AF822" s="139"/>
      <c r="AG822" s="139"/>
      <c r="AH822" s="139"/>
      <c r="AI822" s="139"/>
      <c r="AJ822" s="139"/>
      <c r="AK822" s="139"/>
      <c r="AL822" s="139"/>
      <c r="AM822" s="139"/>
      <c r="AN822" s="139"/>
      <c r="AO822" s="139"/>
    </row>
    <row r="823">
      <c r="A823" s="94"/>
      <c r="B823" s="690"/>
      <c r="C823" s="94"/>
      <c r="D823" s="94"/>
      <c r="E823" s="94"/>
      <c r="F823" s="94"/>
      <c r="G823" s="94"/>
      <c r="H823" s="691"/>
      <c r="I823" s="691"/>
      <c r="J823" s="691"/>
      <c r="K823" s="85"/>
      <c r="L823" s="85"/>
      <c r="M823" s="85"/>
      <c r="N823" s="85"/>
      <c r="O823" s="85"/>
      <c r="P823" s="85"/>
      <c r="Q823" s="138"/>
      <c r="R823" s="138"/>
      <c r="S823" s="138"/>
      <c r="T823" s="85"/>
      <c r="U823" s="85"/>
      <c r="V823" s="85"/>
      <c r="W823" s="138"/>
      <c r="X823" s="139"/>
      <c r="Y823" s="139"/>
      <c r="Z823" s="139"/>
      <c r="AA823" s="139"/>
      <c r="AB823" s="139"/>
      <c r="AC823" s="139"/>
      <c r="AD823" s="139"/>
      <c r="AE823" s="139"/>
      <c r="AF823" s="139"/>
      <c r="AG823" s="139"/>
      <c r="AH823" s="139"/>
      <c r="AI823" s="139"/>
      <c r="AJ823" s="139"/>
      <c r="AK823" s="139"/>
      <c r="AL823" s="139"/>
      <c r="AM823" s="139"/>
      <c r="AN823" s="139"/>
      <c r="AO823" s="139"/>
    </row>
    <row r="824">
      <c r="A824" s="94"/>
      <c r="B824" s="690"/>
      <c r="C824" s="94"/>
      <c r="D824" s="94"/>
      <c r="E824" s="94"/>
      <c r="F824" s="94"/>
      <c r="G824" s="94"/>
      <c r="H824" s="691"/>
      <c r="I824" s="691"/>
      <c r="J824" s="691"/>
      <c r="K824" s="85"/>
      <c r="L824" s="85"/>
      <c r="M824" s="85"/>
      <c r="N824" s="85"/>
      <c r="O824" s="85"/>
      <c r="P824" s="85"/>
      <c r="Q824" s="138"/>
      <c r="R824" s="138"/>
      <c r="S824" s="138"/>
      <c r="T824" s="85"/>
      <c r="U824" s="85"/>
      <c r="V824" s="85"/>
      <c r="W824" s="138"/>
      <c r="X824" s="139"/>
      <c r="Y824" s="139"/>
      <c r="Z824" s="139"/>
      <c r="AA824" s="139"/>
      <c r="AB824" s="139"/>
      <c r="AC824" s="139"/>
      <c r="AD824" s="139"/>
      <c r="AE824" s="139"/>
      <c r="AF824" s="139"/>
      <c r="AG824" s="139"/>
      <c r="AH824" s="139"/>
      <c r="AI824" s="139"/>
      <c r="AJ824" s="139"/>
      <c r="AK824" s="139"/>
      <c r="AL824" s="139"/>
      <c r="AM824" s="139"/>
      <c r="AN824" s="139"/>
      <c r="AO824" s="139"/>
    </row>
    <row r="825">
      <c r="A825" s="94"/>
      <c r="B825" s="690"/>
      <c r="C825" s="94"/>
      <c r="D825" s="94"/>
      <c r="E825" s="94"/>
      <c r="F825" s="94"/>
      <c r="G825" s="94"/>
      <c r="H825" s="691"/>
      <c r="I825" s="691"/>
      <c r="J825" s="691"/>
      <c r="K825" s="85"/>
      <c r="L825" s="85"/>
      <c r="M825" s="85"/>
      <c r="N825" s="85"/>
      <c r="O825" s="85"/>
      <c r="P825" s="85"/>
      <c r="Q825" s="138"/>
      <c r="R825" s="138"/>
      <c r="S825" s="138"/>
      <c r="T825" s="85"/>
      <c r="U825" s="85"/>
      <c r="V825" s="85"/>
      <c r="W825" s="138"/>
      <c r="X825" s="139"/>
      <c r="Y825" s="139"/>
      <c r="Z825" s="139"/>
      <c r="AA825" s="139"/>
      <c r="AB825" s="139"/>
      <c r="AC825" s="139"/>
      <c r="AD825" s="139"/>
      <c r="AE825" s="139"/>
      <c r="AF825" s="139"/>
      <c r="AG825" s="139"/>
      <c r="AH825" s="139"/>
      <c r="AI825" s="139"/>
      <c r="AJ825" s="139"/>
      <c r="AK825" s="139"/>
      <c r="AL825" s="139"/>
      <c r="AM825" s="139"/>
      <c r="AN825" s="139"/>
      <c r="AO825" s="139"/>
    </row>
    <row r="826">
      <c r="A826" s="94"/>
      <c r="B826" s="690"/>
      <c r="C826" s="94"/>
      <c r="D826" s="94"/>
      <c r="E826" s="94"/>
      <c r="F826" s="94"/>
      <c r="G826" s="94"/>
      <c r="H826" s="691"/>
      <c r="I826" s="691"/>
      <c r="J826" s="691"/>
      <c r="K826" s="85"/>
      <c r="L826" s="85"/>
      <c r="M826" s="85"/>
      <c r="N826" s="85"/>
      <c r="O826" s="85"/>
      <c r="P826" s="85"/>
      <c r="Q826" s="138"/>
      <c r="R826" s="138"/>
      <c r="S826" s="138"/>
      <c r="T826" s="85"/>
      <c r="U826" s="85"/>
      <c r="V826" s="85"/>
      <c r="W826" s="138"/>
      <c r="X826" s="139"/>
      <c r="Y826" s="139"/>
      <c r="Z826" s="139"/>
      <c r="AA826" s="139"/>
      <c r="AB826" s="139"/>
      <c r="AC826" s="139"/>
      <c r="AD826" s="139"/>
      <c r="AE826" s="139"/>
      <c r="AF826" s="139"/>
      <c r="AG826" s="139"/>
      <c r="AH826" s="139"/>
      <c r="AI826" s="139"/>
      <c r="AJ826" s="139"/>
      <c r="AK826" s="139"/>
      <c r="AL826" s="139"/>
      <c r="AM826" s="139"/>
      <c r="AN826" s="139"/>
      <c r="AO826" s="139"/>
    </row>
    <row r="827">
      <c r="A827" s="94"/>
      <c r="B827" s="690"/>
      <c r="C827" s="94"/>
      <c r="D827" s="94"/>
      <c r="E827" s="94"/>
      <c r="F827" s="94"/>
      <c r="G827" s="94"/>
      <c r="H827" s="691"/>
      <c r="I827" s="691"/>
      <c r="J827" s="691"/>
      <c r="K827" s="85"/>
      <c r="L827" s="85"/>
      <c r="M827" s="85"/>
      <c r="N827" s="85"/>
      <c r="O827" s="85"/>
      <c r="P827" s="85"/>
      <c r="Q827" s="138"/>
      <c r="R827" s="138"/>
      <c r="S827" s="138"/>
      <c r="T827" s="85"/>
      <c r="U827" s="85"/>
      <c r="V827" s="85"/>
      <c r="W827" s="138"/>
      <c r="X827" s="139"/>
      <c r="Y827" s="139"/>
      <c r="Z827" s="139"/>
      <c r="AA827" s="139"/>
      <c r="AB827" s="139"/>
      <c r="AC827" s="139"/>
      <c r="AD827" s="139"/>
      <c r="AE827" s="139"/>
      <c r="AF827" s="139"/>
      <c r="AG827" s="139"/>
      <c r="AH827" s="139"/>
      <c r="AI827" s="139"/>
      <c r="AJ827" s="139"/>
      <c r="AK827" s="139"/>
      <c r="AL827" s="139"/>
      <c r="AM827" s="139"/>
      <c r="AN827" s="139"/>
      <c r="AO827" s="139"/>
    </row>
    <row r="828">
      <c r="A828" s="94"/>
      <c r="B828" s="690"/>
      <c r="C828" s="94"/>
      <c r="D828" s="94"/>
      <c r="E828" s="94"/>
      <c r="F828" s="94"/>
      <c r="G828" s="94"/>
      <c r="H828" s="691"/>
      <c r="I828" s="691"/>
      <c r="J828" s="691"/>
      <c r="K828" s="85"/>
      <c r="L828" s="85"/>
      <c r="M828" s="85"/>
      <c r="N828" s="85"/>
      <c r="O828" s="85"/>
      <c r="P828" s="85"/>
      <c r="Q828" s="138"/>
      <c r="R828" s="138"/>
      <c r="S828" s="138"/>
      <c r="T828" s="85"/>
      <c r="U828" s="85"/>
      <c r="V828" s="85"/>
      <c r="W828" s="138"/>
      <c r="X828" s="139"/>
      <c r="Y828" s="139"/>
      <c r="Z828" s="139"/>
      <c r="AA828" s="139"/>
      <c r="AB828" s="139"/>
      <c r="AC828" s="139"/>
      <c r="AD828" s="139"/>
      <c r="AE828" s="139"/>
      <c r="AF828" s="139"/>
      <c r="AG828" s="139"/>
      <c r="AH828" s="139"/>
      <c r="AI828" s="139"/>
      <c r="AJ828" s="139"/>
      <c r="AK828" s="139"/>
      <c r="AL828" s="139"/>
      <c r="AM828" s="139"/>
      <c r="AN828" s="139"/>
      <c r="AO828" s="139"/>
    </row>
    <row r="829">
      <c r="A829" s="94"/>
      <c r="B829" s="690"/>
      <c r="C829" s="94"/>
      <c r="D829" s="94"/>
      <c r="E829" s="94"/>
      <c r="F829" s="94"/>
      <c r="G829" s="94"/>
      <c r="H829" s="691"/>
      <c r="I829" s="691"/>
      <c r="J829" s="691"/>
      <c r="K829" s="85"/>
      <c r="L829" s="85"/>
      <c r="M829" s="85"/>
      <c r="N829" s="85"/>
      <c r="O829" s="85"/>
      <c r="P829" s="85"/>
      <c r="Q829" s="138"/>
      <c r="R829" s="138"/>
      <c r="S829" s="138"/>
      <c r="T829" s="85"/>
      <c r="U829" s="85"/>
      <c r="V829" s="85"/>
      <c r="W829" s="138"/>
      <c r="X829" s="139"/>
      <c r="Y829" s="139"/>
      <c r="Z829" s="139"/>
      <c r="AA829" s="139"/>
      <c r="AB829" s="139"/>
      <c r="AC829" s="139"/>
      <c r="AD829" s="139"/>
      <c r="AE829" s="139"/>
      <c r="AF829" s="139"/>
      <c r="AG829" s="139"/>
      <c r="AH829" s="139"/>
      <c r="AI829" s="139"/>
      <c r="AJ829" s="139"/>
      <c r="AK829" s="139"/>
      <c r="AL829" s="139"/>
      <c r="AM829" s="139"/>
      <c r="AN829" s="139"/>
      <c r="AO829" s="139"/>
    </row>
    <row r="830">
      <c r="A830" s="94"/>
      <c r="B830" s="690"/>
      <c r="C830" s="94"/>
      <c r="D830" s="94"/>
      <c r="E830" s="94"/>
      <c r="F830" s="94"/>
      <c r="G830" s="94"/>
      <c r="H830" s="691"/>
      <c r="I830" s="691"/>
      <c r="J830" s="691"/>
      <c r="K830" s="85"/>
      <c r="L830" s="85"/>
      <c r="M830" s="85"/>
      <c r="N830" s="85"/>
      <c r="O830" s="85"/>
      <c r="P830" s="85"/>
      <c r="Q830" s="138"/>
      <c r="R830" s="138"/>
      <c r="S830" s="138"/>
      <c r="T830" s="85"/>
      <c r="U830" s="85"/>
      <c r="V830" s="85"/>
      <c r="W830" s="138"/>
      <c r="X830" s="139"/>
      <c r="Y830" s="139"/>
      <c r="Z830" s="139"/>
      <c r="AA830" s="139"/>
      <c r="AB830" s="139"/>
      <c r="AC830" s="139"/>
      <c r="AD830" s="139"/>
      <c r="AE830" s="139"/>
      <c r="AF830" s="139"/>
      <c r="AG830" s="139"/>
      <c r="AH830" s="139"/>
      <c r="AI830" s="139"/>
      <c r="AJ830" s="139"/>
      <c r="AK830" s="139"/>
      <c r="AL830" s="139"/>
      <c r="AM830" s="139"/>
      <c r="AN830" s="139"/>
      <c r="AO830" s="139"/>
    </row>
    <row r="831">
      <c r="A831" s="94"/>
      <c r="B831" s="690"/>
      <c r="C831" s="94"/>
      <c r="D831" s="94"/>
      <c r="E831" s="94"/>
      <c r="F831" s="94"/>
      <c r="G831" s="94"/>
      <c r="H831" s="691"/>
      <c r="I831" s="691"/>
      <c r="J831" s="691"/>
      <c r="K831" s="85"/>
      <c r="L831" s="85"/>
      <c r="M831" s="85"/>
      <c r="N831" s="85"/>
      <c r="O831" s="85"/>
      <c r="P831" s="85"/>
      <c r="Q831" s="138"/>
      <c r="R831" s="138"/>
      <c r="S831" s="138"/>
      <c r="T831" s="85"/>
      <c r="U831" s="85"/>
      <c r="V831" s="85"/>
      <c r="W831" s="138"/>
      <c r="X831" s="139"/>
      <c r="Y831" s="139"/>
      <c r="Z831" s="139"/>
      <c r="AA831" s="139"/>
      <c r="AB831" s="139"/>
      <c r="AC831" s="139"/>
      <c r="AD831" s="139"/>
      <c r="AE831" s="139"/>
      <c r="AF831" s="139"/>
      <c r="AG831" s="139"/>
      <c r="AH831" s="139"/>
      <c r="AI831" s="139"/>
      <c r="AJ831" s="139"/>
      <c r="AK831" s="139"/>
      <c r="AL831" s="139"/>
      <c r="AM831" s="139"/>
      <c r="AN831" s="139"/>
      <c r="AO831" s="139"/>
    </row>
    <row r="832">
      <c r="A832" s="94"/>
      <c r="B832" s="690"/>
      <c r="C832" s="94"/>
      <c r="D832" s="94"/>
      <c r="E832" s="94"/>
      <c r="F832" s="94"/>
      <c r="G832" s="94"/>
      <c r="H832" s="691"/>
      <c r="I832" s="691"/>
      <c r="J832" s="691"/>
      <c r="K832" s="85"/>
      <c r="L832" s="85"/>
      <c r="M832" s="85"/>
      <c r="N832" s="85"/>
      <c r="O832" s="85"/>
      <c r="P832" s="85"/>
      <c r="Q832" s="138"/>
      <c r="R832" s="138"/>
      <c r="S832" s="138"/>
      <c r="T832" s="85"/>
      <c r="U832" s="85"/>
      <c r="V832" s="85"/>
      <c r="W832" s="138"/>
      <c r="X832" s="139"/>
      <c r="Y832" s="139"/>
      <c r="Z832" s="139"/>
      <c r="AA832" s="139"/>
      <c r="AB832" s="139"/>
      <c r="AC832" s="139"/>
      <c r="AD832" s="139"/>
      <c r="AE832" s="139"/>
      <c r="AF832" s="139"/>
      <c r="AG832" s="139"/>
      <c r="AH832" s="139"/>
      <c r="AI832" s="139"/>
      <c r="AJ832" s="139"/>
      <c r="AK832" s="139"/>
      <c r="AL832" s="139"/>
      <c r="AM832" s="139"/>
      <c r="AN832" s="139"/>
      <c r="AO832" s="139"/>
    </row>
    <row r="833">
      <c r="A833" s="94"/>
      <c r="B833" s="690"/>
      <c r="C833" s="94"/>
      <c r="D833" s="94"/>
      <c r="E833" s="94"/>
      <c r="F833" s="94"/>
      <c r="G833" s="94"/>
      <c r="H833" s="691"/>
      <c r="I833" s="691"/>
      <c r="J833" s="691"/>
      <c r="K833" s="85"/>
      <c r="L833" s="85"/>
      <c r="M833" s="85"/>
      <c r="N833" s="85"/>
      <c r="O833" s="85"/>
      <c r="P833" s="85"/>
      <c r="Q833" s="138"/>
      <c r="R833" s="138"/>
      <c r="S833" s="138"/>
      <c r="T833" s="85"/>
      <c r="U833" s="85"/>
      <c r="V833" s="85"/>
      <c r="W833" s="138"/>
      <c r="X833" s="139"/>
      <c r="Y833" s="139"/>
      <c r="Z833" s="139"/>
      <c r="AA833" s="139"/>
      <c r="AB833" s="139"/>
      <c r="AC833" s="139"/>
      <c r="AD833" s="139"/>
      <c r="AE833" s="139"/>
      <c r="AF833" s="139"/>
      <c r="AG833" s="139"/>
      <c r="AH833" s="139"/>
      <c r="AI833" s="139"/>
      <c r="AJ833" s="139"/>
      <c r="AK833" s="139"/>
      <c r="AL833" s="139"/>
      <c r="AM833" s="139"/>
      <c r="AN833" s="139"/>
      <c r="AO833" s="139"/>
    </row>
    <row r="834">
      <c r="A834" s="94"/>
      <c r="B834" s="690"/>
      <c r="C834" s="94"/>
      <c r="D834" s="94"/>
      <c r="E834" s="94"/>
      <c r="F834" s="94"/>
      <c r="G834" s="94"/>
      <c r="H834" s="691"/>
      <c r="I834" s="691"/>
      <c r="J834" s="691"/>
      <c r="K834" s="85"/>
      <c r="L834" s="85"/>
      <c r="M834" s="85"/>
      <c r="N834" s="85"/>
      <c r="O834" s="85"/>
      <c r="P834" s="85"/>
      <c r="Q834" s="138"/>
      <c r="R834" s="138"/>
      <c r="S834" s="138"/>
      <c r="T834" s="85"/>
      <c r="U834" s="85"/>
      <c r="V834" s="85"/>
      <c r="W834" s="138"/>
      <c r="X834" s="139"/>
      <c r="Y834" s="139"/>
      <c r="Z834" s="139"/>
      <c r="AA834" s="139"/>
      <c r="AB834" s="139"/>
      <c r="AC834" s="139"/>
      <c r="AD834" s="139"/>
      <c r="AE834" s="139"/>
      <c r="AF834" s="139"/>
      <c r="AG834" s="139"/>
      <c r="AH834" s="139"/>
      <c r="AI834" s="139"/>
      <c r="AJ834" s="139"/>
      <c r="AK834" s="139"/>
      <c r="AL834" s="139"/>
      <c r="AM834" s="139"/>
      <c r="AN834" s="139"/>
      <c r="AO834" s="139"/>
    </row>
    <row r="835">
      <c r="A835" s="94"/>
      <c r="B835" s="690"/>
      <c r="C835" s="94"/>
      <c r="D835" s="94"/>
      <c r="E835" s="94"/>
      <c r="F835" s="94"/>
      <c r="G835" s="94"/>
      <c r="H835" s="691"/>
      <c r="I835" s="691"/>
      <c r="J835" s="691"/>
      <c r="K835" s="85"/>
      <c r="L835" s="85"/>
      <c r="M835" s="85"/>
      <c r="N835" s="85"/>
      <c r="O835" s="85"/>
      <c r="P835" s="85"/>
      <c r="Q835" s="138"/>
      <c r="R835" s="138"/>
      <c r="S835" s="138"/>
      <c r="T835" s="85"/>
      <c r="U835" s="85"/>
      <c r="V835" s="85"/>
      <c r="W835" s="138"/>
      <c r="X835" s="139"/>
      <c r="Y835" s="139"/>
      <c r="Z835" s="139"/>
      <c r="AA835" s="139"/>
      <c r="AB835" s="139"/>
      <c r="AC835" s="139"/>
      <c r="AD835" s="139"/>
      <c r="AE835" s="139"/>
      <c r="AF835" s="139"/>
      <c r="AG835" s="139"/>
      <c r="AH835" s="139"/>
      <c r="AI835" s="139"/>
      <c r="AJ835" s="139"/>
      <c r="AK835" s="139"/>
      <c r="AL835" s="139"/>
      <c r="AM835" s="139"/>
      <c r="AN835" s="139"/>
      <c r="AO835" s="139"/>
    </row>
    <row r="836">
      <c r="A836" s="94"/>
      <c r="B836" s="690"/>
      <c r="C836" s="94"/>
      <c r="D836" s="94"/>
      <c r="E836" s="94"/>
      <c r="F836" s="94"/>
      <c r="G836" s="94"/>
      <c r="H836" s="691"/>
      <c r="I836" s="691"/>
      <c r="J836" s="691"/>
      <c r="K836" s="85"/>
      <c r="L836" s="85"/>
      <c r="M836" s="85"/>
      <c r="N836" s="85"/>
      <c r="O836" s="85"/>
      <c r="P836" s="85"/>
      <c r="Q836" s="138"/>
      <c r="R836" s="138"/>
      <c r="S836" s="138"/>
      <c r="T836" s="85"/>
      <c r="U836" s="85"/>
      <c r="V836" s="85"/>
      <c r="W836" s="138"/>
      <c r="X836" s="139"/>
      <c r="Y836" s="139"/>
      <c r="Z836" s="139"/>
      <c r="AA836" s="139"/>
      <c r="AB836" s="139"/>
      <c r="AC836" s="139"/>
      <c r="AD836" s="139"/>
      <c r="AE836" s="139"/>
      <c r="AF836" s="139"/>
      <c r="AG836" s="139"/>
      <c r="AH836" s="139"/>
      <c r="AI836" s="139"/>
      <c r="AJ836" s="139"/>
      <c r="AK836" s="139"/>
      <c r="AL836" s="139"/>
      <c r="AM836" s="139"/>
      <c r="AN836" s="139"/>
      <c r="AO836" s="139"/>
    </row>
    <row r="837">
      <c r="A837" s="94"/>
      <c r="B837" s="690"/>
      <c r="C837" s="94"/>
      <c r="D837" s="94"/>
      <c r="E837" s="94"/>
      <c r="F837" s="94"/>
      <c r="G837" s="94"/>
      <c r="H837" s="691"/>
      <c r="I837" s="691"/>
      <c r="J837" s="691"/>
      <c r="K837" s="85"/>
      <c r="L837" s="85"/>
      <c r="M837" s="85"/>
      <c r="N837" s="85"/>
      <c r="O837" s="85"/>
      <c r="P837" s="85"/>
      <c r="Q837" s="138"/>
      <c r="R837" s="138"/>
      <c r="S837" s="138"/>
      <c r="T837" s="85"/>
      <c r="U837" s="85"/>
      <c r="V837" s="85"/>
      <c r="W837" s="138"/>
      <c r="X837" s="11"/>
      <c r="Y837" s="11"/>
      <c r="Z837" s="11"/>
      <c r="AA837" s="11"/>
      <c r="AB837" s="11"/>
      <c r="AC837" s="11"/>
      <c r="AD837" s="11"/>
      <c r="AE837" s="11"/>
      <c r="AF837" s="11"/>
      <c r="AG837" s="11"/>
      <c r="AH837" s="11"/>
      <c r="AI837" s="11"/>
      <c r="AJ837" s="11"/>
      <c r="AK837" s="11"/>
      <c r="AL837" s="11"/>
      <c r="AM837" s="11"/>
      <c r="AN837" s="11"/>
      <c r="AO837" s="11"/>
    </row>
    <row r="838">
      <c r="A838" s="94"/>
      <c r="B838" s="690"/>
      <c r="C838" s="94"/>
      <c r="D838" s="94"/>
      <c r="E838" s="94"/>
      <c r="F838" s="94"/>
      <c r="G838" s="94"/>
      <c r="H838" s="691"/>
      <c r="I838" s="691"/>
      <c r="J838" s="691"/>
      <c r="K838" s="85"/>
      <c r="L838" s="85"/>
      <c r="M838" s="85"/>
      <c r="N838" s="85"/>
      <c r="O838" s="85"/>
      <c r="P838" s="85"/>
      <c r="Q838" s="138"/>
      <c r="R838" s="138"/>
      <c r="S838" s="138"/>
      <c r="T838" s="85"/>
      <c r="U838" s="85"/>
      <c r="V838" s="85"/>
      <c r="W838" s="138"/>
      <c r="X838" s="11"/>
      <c r="Y838" s="11"/>
      <c r="Z838" s="11"/>
      <c r="AA838" s="11"/>
      <c r="AB838" s="11"/>
      <c r="AC838" s="11"/>
      <c r="AD838" s="11"/>
      <c r="AE838" s="11"/>
      <c r="AF838" s="11"/>
      <c r="AG838" s="11"/>
      <c r="AH838" s="11"/>
      <c r="AI838" s="11"/>
      <c r="AJ838" s="11"/>
      <c r="AK838" s="11"/>
      <c r="AL838" s="11"/>
      <c r="AM838" s="11"/>
      <c r="AN838" s="11"/>
      <c r="AO838" s="11"/>
    </row>
    <row r="839">
      <c r="A839" s="94"/>
      <c r="B839" s="690"/>
      <c r="C839" s="94"/>
      <c r="D839" s="94"/>
      <c r="E839" s="94"/>
      <c r="F839" s="94"/>
      <c r="G839" s="94"/>
      <c r="H839" s="691"/>
      <c r="I839" s="691"/>
      <c r="J839" s="691"/>
      <c r="K839" s="85"/>
      <c r="L839" s="85"/>
      <c r="M839" s="85"/>
      <c r="N839" s="85"/>
      <c r="O839" s="85"/>
      <c r="P839" s="85"/>
      <c r="Q839" s="138"/>
      <c r="R839" s="138"/>
      <c r="S839" s="138"/>
      <c r="T839" s="85"/>
      <c r="U839" s="85"/>
      <c r="V839" s="85"/>
      <c r="W839" s="138"/>
      <c r="X839" s="11"/>
      <c r="Y839" s="11"/>
      <c r="Z839" s="11"/>
      <c r="AA839" s="11"/>
      <c r="AB839" s="11"/>
      <c r="AC839" s="11"/>
      <c r="AD839" s="11"/>
      <c r="AE839" s="11"/>
      <c r="AF839" s="11"/>
      <c r="AG839" s="11"/>
      <c r="AH839" s="11"/>
      <c r="AI839" s="11"/>
      <c r="AJ839" s="11"/>
      <c r="AK839" s="11"/>
      <c r="AL839" s="11"/>
      <c r="AM839" s="11"/>
      <c r="AN839" s="11"/>
      <c r="AO839" s="11"/>
    </row>
    <row r="840">
      <c r="A840" s="94"/>
      <c r="B840" s="690"/>
      <c r="C840" s="94"/>
      <c r="D840" s="94"/>
      <c r="E840" s="94"/>
      <c r="F840" s="94"/>
      <c r="G840" s="94"/>
      <c r="H840" s="691"/>
      <c r="I840" s="691"/>
      <c r="J840" s="691"/>
      <c r="K840" s="85"/>
      <c r="L840" s="85"/>
      <c r="M840" s="85"/>
      <c r="N840" s="85"/>
      <c r="O840" s="85"/>
      <c r="P840" s="85"/>
      <c r="Q840" s="138"/>
      <c r="R840" s="138"/>
      <c r="S840" s="138"/>
      <c r="T840" s="85"/>
      <c r="U840" s="85"/>
      <c r="V840" s="85"/>
      <c r="W840" s="138"/>
      <c r="X840" s="11"/>
      <c r="Y840" s="11"/>
      <c r="Z840" s="11"/>
      <c r="AA840" s="11"/>
      <c r="AB840" s="11"/>
      <c r="AC840" s="11"/>
      <c r="AD840" s="11"/>
      <c r="AE840" s="11"/>
      <c r="AF840" s="11"/>
      <c r="AG840" s="11"/>
      <c r="AH840" s="11"/>
      <c r="AI840" s="11"/>
      <c r="AJ840" s="11"/>
      <c r="AK840" s="11"/>
      <c r="AL840" s="11"/>
      <c r="AM840" s="11"/>
      <c r="AN840" s="11"/>
      <c r="AO840" s="11"/>
    </row>
    <row r="841">
      <c r="A841" s="94"/>
      <c r="B841" s="690"/>
      <c r="C841" s="94"/>
      <c r="D841" s="94"/>
      <c r="E841" s="94"/>
      <c r="F841" s="94"/>
      <c r="G841" s="94"/>
      <c r="H841" s="691"/>
      <c r="I841" s="691"/>
      <c r="J841" s="691"/>
      <c r="K841" s="85"/>
      <c r="L841" s="85"/>
      <c r="M841" s="85"/>
      <c r="N841" s="85"/>
      <c r="O841" s="85"/>
      <c r="P841" s="85"/>
      <c r="Q841" s="138"/>
      <c r="R841" s="138"/>
      <c r="S841" s="138"/>
      <c r="T841" s="85"/>
      <c r="U841" s="85"/>
      <c r="V841" s="85"/>
      <c r="W841" s="138"/>
      <c r="X841" s="11"/>
      <c r="Y841" s="11"/>
      <c r="Z841" s="11"/>
      <c r="AA841" s="11"/>
      <c r="AB841" s="11"/>
      <c r="AC841" s="11"/>
      <c r="AD841" s="11"/>
      <c r="AE841" s="11"/>
      <c r="AF841" s="11"/>
      <c r="AG841" s="11"/>
      <c r="AH841" s="11"/>
      <c r="AI841" s="11"/>
      <c r="AJ841" s="11"/>
      <c r="AK841" s="11"/>
      <c r="AL841" s="11"/>
      <c r="AM841" s="11"/>
      <c r="AN841" s="11"/>
      <c r="AO841" s="11"/>
    </row>
    <row r="842">
      <c r="A842" s="94"/>
      <c r="B842" s="690"/>
      <c r="C842" s="94"/>
      <c r="D842" s="94"/>
      <c r="E842" s="94"/>
      <c r="F842" s="94"/>
      <c r="G842" s="94"/>
      <c r="H842" s="691"/>
      <c r="I842" s="691"/>
      <c r="J842" s="691"/>
      <c r="K842" s="85"/>
      <c r="L842" s="85"/>
      <c r="M842" s="85"/>
      <c r="N842" s="85"/>
      <c r="O842" s="85"/>
      <c r="P842" s="85"/>
      <c r="Q842" s="138"/>
      <c r="R842" s="138"/>
      <c r="S842" s="138"/>
      <c r="T842" s="85"/>
      <c r="U842" s="85"/>
      <c r="V842" s="85"/>
      <c r="W842" s="138"/>
      <c r="X842" s="11"/>
      <c r="Y842" s="11"/>
      <c r="Z842" s="11"/>
      <c r="AA842" s="11"/>
      <c r="AB842" s="11"/>
      <c r="AC842" s="11"/>
      <c r="AD842" s="11"/>
      <c r="AE842" s="11"/>
      <c r="AF842" s="11"/>
      <c r="AG842" s="11"/>
      <c r="AH842" s="11"/>
      <c r="AI842" s="11"/>
      <c r="AJ842" s="11"/>
      <c r="AK842" s="11"/>
      <c r="AL842" s="11"/>
      <c r="AM842" s="11"/>
      <c r="AN842" s="11"/>
      <c r="AO842" s="11"/>
    </row>
    <row r="843">
      <c r="A843" s="94"/>
      <c r="B843" s="690"/>
      <c r="C843" s="94"/>
      <c r="D843" s="94"/>
      <c r="E843" s="94"/>
      <c r="F843" s="94"/>
      <c r="G843" s="94"/>
      <c r="H843" s="691"/>
      <c r="I843" s="691"/>
      <c r="J843" s="691"/>
      <c r="K843" s="85"/>
      <c r="L843" s="85"/>
      <c r="M843" s="85"/>
      <c r="N843" s="85"/>
      <c r="O843" s="85"/>
      <c r="P843" s="85"/>
      <c r="Q843" s="138"/>
      <c r="R843" s="138"/>
      <c r="S843" s="138"/>
      <c r="T843" s="85"/>
      <c r="U843" s="85"/>
      <c r="V843" s="85"/>
      <c r="W843" s="138"/>
      <c r="X843" s="11"/>
      <c r="Y843" s="11"/>
      <c r="Z843" s="11"/>
      <c r="AA843" s="11"/>
      <c r="AB843" s="11"/>
      <c r="AC843" s="11"/>
      <c r="AD843" s="11"/>
      <c r="AE843" s="11"/>
      <c r="AF843" s="11"/>
      <c r="AG843" s="11"/>
      <c r="AH843" s="11"/>
      <c r="AI843" s="11"/>
      <c r="AJ843" s="11"/>
      <c r="AK843" s="11"/>
      <c r="AL843" s="11"/>
      <c r="AM843" s="11"/>
      <c r="AN843" s="11"/>
      <c r="AO843" s="11"/>
    </row>
    <row r="844">
      <c r="A844" s="94"/>
      <c r="B844" s="690"/>
      <c r="C844" s="94"/>
      <c r="D844" s="94"/>
      <c r="E844" s="94"/>
      <c r="F844" s="94"/>
      <c r="G844" s="94"/>
      <c r="H844" s="691"/>
      <c r="I844" s="691"/>
      <c r="J844" s="691"/>
      <c r="K844" s="85"/>
      <c r="L844" s="85"/>
      <c r="M844" s="85"/>
      <c r="N844" s="85"/>
      <c r="O844" s="85"/>
      <c r="P844" s="85"/>
      <c r="Q844" s="138"/>
      <c r="R844" s="138"/>
      <c r="S844" s="138"/>
      <c r="T844" s="85"/>
      <c r="U844" s="85"/>
      <c r="V844" s="85"/>
      <c r="W844" s="138"/>
      <c r="X844" s="11"/>
      <c r="Y844" s="11"/>
      <c r="Z844" s="11"/>
      <c r="AA844" s="11"/>
      <c r="AB844" s="11"/>
      <c r="AC844" s="11"/>
      <c r="AD844" s="11"/>
      <c r="AE844" s="11"/>
      <c r="AF844" s="11"/>
      <c r="AG844" s="11"/>
      <c r="AH844" s="11"/>
      <c r="AI844" s="11"/>
      <c r="AJ844" s="11"/>
      <c r="AK844" s="11"/>
      <c r="AL844" s="11"/>
      <c r="AM844" s="11"/>
      <c r="AN844" s="11"/>
      <c r="AO844" s="11"/>
    </row>
    <row r="845">
      <c r="A845" s="94"/>
      <c r="B845" s="690"/>
      <c r="C845" s="94"/>
      <c r="D845" s="94"/>
      <c r="E845" s="94"/>
      <c r="F845" s="94"/>
      <c r="G845" s="94"/>
      <c r="H845" s="691"/>
      <c r="I845" s="691"/>
      <c r="J845" s="691"/>
      <c r="K845" s="85"/>
      <c r="L845" s="85"/>
      <c r="M845" s="85"/>
      <c r="N845" s="85"/>
      <c r="O845" s="85"/>
      <c r="P845" s="85"/>
      <c r="Q845" s="138"/>
      <c r="R845" s="138"/>
      <c r="S845" s="138"/>
      <c r="T845" s="85"/>
      <c r="U845" s="85"/>
      <c r="V845" s="85"/>
      <c r="W845" s="138"/>
      <c r="X845" s="11"/>
      <c r="Y845" s="11"/>
      <c r="Z845" s="11"/>
      <c r="AA845" s="11"/>
      <c r="AB845" s="11"/>
      <c r="AC845" s="11"/>
      <c r="AD845" s="11"/>
      <c r="AE845" s="11"/>
      <c r="AF845" s="11"/>
      <c r="AG845" s="11"/>
      <c r="AH845" s="11"/>
      <c r="AI845" s="11"/>
      <c r="AJ845" s="11"/>
      <c r="AK845" s="11"/>
      <c r="AL845" s="11"/>
      <c r="AM845" s="11"/>
      <c r="AN845" s="11"/>
      <c r="AO845" s="11"/>
    </row>
    <row r="846">
      <c r="A846" s="94"/>
      <c r="B846" s="690"/>
      <c r="C846" s="94"/>
      <c r="D846" s="94"/>
      <c r="E846" s="94"/>
      <c r="F846" s="94"/>
      <c r="G846" s="94"/>
      <c r="H846" s="691"/>
      <c r="I846" s="691"/>
      <c r="J846" s="691"/>
      <c r="K846" s="85"/>
      <c r="L846" s="85"/>
      <c r="M846" s="85"/>
      <c r="N846" s="85"/>
      <c r="O846" s="85"/>
      <c r="P846" s="85"/>
      <c r="Q846" s="138"/>
      <c r="R846" s="138"/>
      <c r="S846" s="138"/>
      <c r="T846" s="85"/>
      <c r="U846" s="85"/>
      <c r="V846" s="85"/>
      <c r="W846" s="138"/>
      <c r="X846" s="11"/>
      <c r="Y846" s="11"/>
      <c r="Z846" s="11"/>
      <c r="AA846" s="11"/>
      <c r="AB846" s="11"/>
      <c r="AC846" s="11"/>
      <c r="AD846" s="11"/>
      <c r="AE846" s="11"/>
      <c r="AF846" s="11"/>
      <c r="AG846" s="11"/>
      <c r="AH846" s="11"/>
      <c r="AI846" s="11"/>
      <c r="AJ846" s="11"/>
      <c r="AK846" s="11"/>
      <c r="AL846" s="11"/>
      <c r="AM846" s="11"/>
      <c r="AN846" s="11"/>
      <c r="AO846" s="11"/>
    </row>
    <row r="847">
      <c r="A847" s="94"/>
      <c r="B847" s="690"/>
      <c r="C847" s="94"/>
      <c r="D847" s="94"/>
      <c r="E847" s="94"/>
      <c r="F847" s="94"/>
      <c r="G847" s="94"/>
      <c r="H847" s="691"/>
      <c r="I847" s="691"/>
      <c r="J847" s="691"/>
      <c r="K847" s="85"/>
      <c r="L847" s="85"/>
      <c r="M847" s="85"/>
      <c r="N847" s="85"/>
      <c r="O847" s="85"/>
      <c r="P847" s="85"/>
      <c r="Q847" s="138"/>
      <c r="R847" s="138"/>
      <c r="S847" s="138"/>
      <c r="T847" s="85"/>
      <c r="U847" s="85"/>
      <c r="V847" s="85"/>
      <c r="W847" s="138"/>
      <c r="X847" s="11"/>
      <c r="Y847" s="11"/>
      <c r="Z847" s="11"/>
      <c r="AA847" s="11"/>
      <c r="AB847" s="11"/>
      <c r="AC847" s="11"/>
      <c r="AD847" s="11"/>
      <c r="AE847" s="11"/>
      <c r="AF847" s="11"/>
      <c r="AG847" s="11"/>
      <c r="AH847" s="11"/>
      <c r="AI847" s="11"/>
      <c r="AJ847" s="11"/>
      <c r="AK847" s="11"/>
      <c r="AL847" s="11"/>
      <c r="AM847" s="11"/>
      <c r="AN847" s="11"/>
      <c r="AO847" s="11"/>
    </row>
    <row r="848">
      <c r="A848" s="94"/>
      <c r="B848" s="690"/>
      <c r="C848" s="94"/>
      <c r="D848" s="94"/>
      <c r="E848" s="94"/>
      <c r="F848" s="94"/>
      <c r="G848" s="94"/>
      <c r="H848" s="691"/>
      <c r="I848" s="691"/>
      <c r="J848" s="691"/>
      <c r="K848" s="85"/>
      <c r="L848" s="85"/>
      <c r="M848" s="85"/>
      <c r="N848" s="85"/>
      <c r="O848" s="85"/>
      <c r="P848" s="85"/>
      <c r="Q848" s="138"/>
      <c r="R848" s="138"/>
      <c r="S848" s="138"/>
      <c r="T848" s="85"/>
      <c r="U848" s="85"/>
      <c r="V848" s="85"/>
      <c r="W848" s="138"/>
      <c r="X848" s="11"/>
      <c r="Y848" s="11"/>
      <c r="Z848" s="11"/>
      <c r="AA848" s="11"/>
      <c r="AB848" s="11"/>
      <c r="AC848" s="11"/>
      <c r="AD848" s="11"/>
      <c r="AE848" s="11"/>
      <c r="AF848" s="11"/>
      <c r="AG848" s="11"/>
      <c r="AH848" s="11"/>
      <c r="AI848" s="11"/>
      <c r="AJ848" s="11"/>
      <c r="AK848" s="11"/>
      <c r="AL848" s="11"/>
      <c r="AM848" s="11"/>
      <c r="AN848" s="11"/>
      <c r="AO848" s="11"/>
    </row>
    <row r="849">
      <c r="A849" s="94"/>
      <c r="B849" s="690"/>
      <c r="C849" s="94"/>
      <c r="D849" s="94"/>
      <c r="E849" s="94"/>
      <c r="F849" s="94"/>
      <c r="G849" s="94"/>
      <c r="H849" s="691"/>
      <c r="I849" s="691"/>
      <c r="J849" s="691"/>
      <c r="K849" s="85"/>
      <c r="L849" s="85"/>
      <c r="M849" s="85"/>
      <c r="N849" s="85"/>
      <c r="O849" s="85"/>
      <c r="P849" s="85"/>
      <c r="Q849" s="138"/>
      <c r="R849" s="138"/>
      <c r="S849" s="138"/>
      <c r="T849" s="85"/>
      <c r="U849" s="85"/>
      <c r="V849" s="85"/>
      <c r="W849" s="138"/>
      <c r="X849" s="11"/>
      <c r="Y849" s="11"/>
      <c r="Z849" s="11"/>
      <c r="AA849" s="11"/>
      <c r="AB849" s="11"/>
      <c r="AC849" s="11"/>
      <c r="AD849" s="11"/>
      <c r="AE849" s="11"/>
      <c r="AF849" s="11"/>
      <c r="AG849" s="11"/>
      <c r="AH849" s="11"/>
      <c r="AI849" s="11"/>
      <c r="AJ849" s="11"/>
      <c r="AK849" s="11"/>
      <c r="AL849" s="11"/>
      <c r="AM849" s="11"/>
      <c r="AN849" s="11"/>
      <c r="AO849" s="11"/>
    </row>
    <row r="850">
      <c r="A850" s="94"/>
      <c r="B850" s="690"/>
      <c r="C850" s="94"/>
      <c r="D850" s="94"/>
      <c r="E850" s="94"/>
      <c r="F850" s="94"/>
      <c r="G850" s="94"/>
      <c r="H850" s="691"/>
      <c r="I850" s="691"/>
      <c r="J850" s="691"/>
      <c r="K850" s="85"/>
      <c r="L850" s="85"/>
      <c r="M850" s="85"/>
      <c r="N850" s="85"/>
      <c r="O850" s="85"/>
      <c r="P850" s="85"/>
      <c r="Q850" s="138"/>
      <c r="R850" s="138"/>
      <c r="S850" s="138"/>
      <c r="T850" s="85"/>
      <c r="U850" s="85"/>
      <c r="V850" s="85"/>
      <c r="W850" s="138"/>
      <c r="X850" s="11"/>
      <c r="Y850" s="11"/>
      <c r="Z850" s="11"/>
      <c r="AA850" s="11"/>
      <c r="AB850" s="11"/>
      <c r="AC850" s="11"/>
      <c r="AD850" s="11"/>
      <c r="AE850" s="11"/>
      <c r="AF850" s="11"/>
      <c r="AG850" s="11"/>
      <c r="AH850" s="11"/>
      <c r="AI850" s="11"/>
      <c r="AJ850" s="11"/>
      <c r="AK850" s="11"/>
      <c r="AL850" s="11"/>
      <c r="AM850" s="11"/>
      <c r="AN850" s="11"/>
      <c r="AO850" s="11"/>
    </row>
    <row r="851">
      <c r="A851" s="94"/>
      <c r="B851" s="690"/>
      <c r="C851" s="94"/>
      <c r="D851" s="94"/>
      <c r="E851" s="94"/>
      <c r="F851" s="94"/>
      <c r="G851" s="94"/>
      <c r="H851" s="691"/>
      <c r="I851" s="691"/>
      <c r="J851" s="691"/>
      <c r="K851" s="85"/>
      <c r="L851" s="85"/>
      <c r="M851" s="85"/>
      <c r="N851" s="85"/>
      <c r="O851" s="85"/>
      <c r="P851" s="85"/>
      <c r="Q851" s="138"/>
      <c r="R851" s="138"/>
      <c r="S851" s="138"/>
      <c r="T851" s="85"/>
      <c r="U851" s="85"/>
      <c r="V851" s="85"/>
      <c r="W851" s="138"/>
      <c r="X851" s="11"/>
      <c r="Y851" s="11"/>
      <c r="Z851" s="11"/>
      <c r="AA851" s="11"/>
      <c r="AB851" s="11"/>
      <c r="AC851" s="11"/>
      <c r="AD851" s="11"/>
      <c r="AE851" s="11"/>
      <c r="AF851" s="11"/>
      <c r="AG851" s="11"/>
      <c r="AH851" s="11"/>
      <c r="AI851" s="11"/>
      <c r="AJ851" s="11"/>
      <c r="AK851" s="11"/>
      <c r="AL851" s="11"/>
      <c r="AM851" s="11"/>
      <c r="AN851" s="11"/>
      <c r="AO851" s="11"/>
    </row>
    <row r="852">
      <c r="A852" s="94"/>
      <c r="B852" s="690"/>
      <c r="C852" s="94"/>
      <c r="D852" s="94"/>
      <c r="E852" s="94"/>
      <c r="F852" s="94"/>
      <c r="G852" s="94"/>
      <c r="H852" s="691"/>
      <c r="I852" s="691"/>
      <c r="J852" s="691"/>
      <c r="K852" s="85"/>
      <c r="L852" s="85"/>
      <c r="M852" s="85"/>
      <c r="N852" s="85"/>
      <c r="O852" s="85"/>
      <c r="P852" s="85"/>
      <c r="Q852" s="138"/>
      <c r="R852" s="138"/>
      <c r="S852" s="138"/>
      <c r="T852" s="85"/>
      <c r="U852" s="85"/>
      <c r="V852" s="85"/>
      <c r="W852" s="138"/>
      <c r="X852" s="11"/>
      <c r="Y852" s="11"/>
      <c r="Z852" s="11"/>
      <c r="AA852" s="11"/>
      <c r="AB852" s="11"/>
      <c r="AC852" s="11"/>
      <c r="AD852" s="11"/>
      <c r="AE852" s="11"/>
      <c r="AF852" s="11"/>
      <c r="AG852" s="11"/>
      <c r="AH852" s="11"/>
      <c r="AI852" s="11"/>
      <c r="AJ852" s="11"/>
      <c r="AK852" s="11"/>
      <c r="AL852" s="11"/>
      <c r="AM852" s="11"/>
      <c r="AN852" s="11"/>
      <c r="AO852" s="11"/>
    </row>
    <row r="853">
      <c r="A853" s="94"/>
      <c r="B853" s="690"/>
      <c r="C853" s="94"/>
      <c r="D853" s="94"/>
      <c r="E853" s="94"/>
      <c r="F853" s="94"/>
      <c r="G853" s="94"/>
      <c r="H853" s="691"/>
      <c r="I853" s="691"/>
      <c r="J853" s="691"/>
      <c r="K853" s="85"/>
      <c r="L853" s="85"/>
      <c r="M853" s="85"/>
      <c r="N853" s="85"/>
      <c r="O853" s="85"/>
      <c r="P853" s="85"/>
      <c r="Q853" s="138"/>
      <c r="R853" s="138"/>
      <c r="S853" s="138"/>
      <c r="T853" s="85"/>
      <c r="U853" s="85"/>
      <c r="V853" s="85"/>
      <c r="W853" s="138"/>
      <c r="X853" s="11"/>
      <c r="Y853" s="11"/>
      <c r="Z853" s="11"/>
      <c r="AA853" s="11"/>
      <c r="AB853" s="11"/>
      <c r="AC853" s="11"/>
      <c r="AD853" s="11"/>
      <c r="AE853" s="11"/>
      <c r="AF853" s="11"/>
      <c r="AG853" s="11"/>
      <c r="AH853" s="11"/>
      <c r="AI853" s="11"/>
      <c r="AJ853" s="11"/>
      <c r="AK853" s="11"/>
      <c r="AL853" s="11"/>
      <c r="AM853" s="11"/>
      <c r="AN853" s="11"/>
      <c r="AO853" s="11"/>
    </row>
    <row r="854">
      <c r="A854" s="94"/>
      <c r="B854" s="690"/>
      <c r="C854" s="94"/>
      <c r="D854" s="94"/>
      <c r="E854" s="94"/>
      <c r="F854" s="94"/>
      <c r="G854" s="94"/>
      <c r="H854" s="691"/>
      <c r="I854" s="691"/>
      <c r="J854" s="691"/>
      <c r="K854" s="85"/>
      <c r="L854" s="85"/>
      <c r="M854" s="85"/>
      <c r="N854" s="85"/>
      <c r="O854" s="85"/>
      <c r="P854" s="85"/>
      <c r="Q854" s="138"/>
      <c r="R854" s="138"/>
      <c r="S854" s="138"/>
      <c r="T854" s="85"/>
      <c r="U854" s="85"/>
      <c r="V854" s="85"/>
      <c r="W854" s="138"/>
      <c r="X854" s="11"/>
      <c r="Y854" s="11"/>
      <c r="Z854" s="11"/>
      <c r="AA854" s="11"/>
      <c r="AB854" s="11"/>
      <c r="AC854" s="11"/>
      <c r="AD854" s="11"/>
      <c r="AE854" s="11"/>
      <c r="AF854" s="11"/>
      <c r="AG854" s="11"/>
      <c r="AH854" s="11"/>
      <c r="AI854" s="11"/>
      <c r="AJ854" s="11"/>
      <c r="AK854" s="11"/>
      <c r="AL854" s="11"/>
      <c r="AM854" s="11"/>
      <c r="AN854" s="11"/>
      <c r="AO854" s="11"/>
    </row>
    <row r="855">
      <c r="A855" s="94"/>
      <c r="B855" s="690"/>
      <c r="C855" s="94"/>
      <c r="D855" s="94"/>
      <c r="E855" s="94"/>
      <c r="F855" s="94"/>
      <c r="G855" s="94"/>
      <c r="H855" s="691"/>
      <c r="I855" s="691"/>
      <c r="J855" s="691"/>
      <c r="K855" s="85"/>
      <c r="L855" s="85"/>
      <c r="M855" s="85"/>
      <c r="N855" s="85"/>
      <c r="O855" s="85"/>
      <c r="P855" s="85"/>
      <c r="Q855" s="138"/>
      <c r="R855" s="138"/>
      <c r="S855" s="138"/>
      <c r="T855" s="85"/>
      <c r="U855" s="85"/>
      <c r="V855" s="85"/>
      <c r="W855" s="138"/>
      <c r="X855" s="11"/>
      <c r="Y855" s="11"/>
      <c r="Z855" s="11"/>
      <c r="AA855" s="11"/>
      <c r="AB855" s="11"/>
      <c r="AC855" s="11"/>
      <c r="AD855" s="11"/>
      <c r="AE855" s="11"/>
      <c r="AF855" s="11"/>
      <c r="AG855" s="11"/>
      <c r="AH855" s="11"/>
      <c r="AI855" s="11"/>
      <c r="AJ855" s="11"/>
      <c r="AK855" s="11"/>
      <c r="AL855" s="11"/>
      <c r="AM855" s="11"/>
      <c r="AN855" s="11"/>
      <c r="AO855" s="11"/>
    </row>
    <row r="856">
      <c r="A856" s="94"/>
      <c r="B856" s="690"/>
      <c r="C856" s="94"/>
      <c r="D856" s="94"/>
      <c r="E856" s="94"/>
      <c r="F856" s="94"/>
      <c r="G856" s="94"/>
      <c r="H856" s="691"/>
      <c r="I856" s="691"/>
      <c r="J856" s="691"/>
      <c r="K856" s="85"/>
      <c r="L856" s="85"/>
      <c r="M856" s="85"/>
      <c r="N856" s="85"/>
      <c r="O856" s="85"/>
      <c r="P856" s="85"/>
      <c r="Q856" s="138"/>
      <c r="R856" s="138"/>
      <c r="S856" s="138"/>
      <c r="T856" s="85"/>
      <c r="U856" s="85"/>
      <c r="V856" s="85"/>
      <c r="W856" s="11"/>
      <c r="X856" s="11"/>
      <c r="Y856" s="11"/>
      <c r="Z856" s="11"/>
      <c r="AA856" s="11"/>
      <c r="AB856" s="11"/>
      <c r="AC856" s="11"/>
      <c r="AD856" s="11"/>
      <c r="AE856" s="11"/>
      <c r="AF856" s="11"/>
      <c r="AG856" s="11"/>
      <c r="AH856" s="11"/>
      <c r="AI856" s="11"/>
      <c r="AJ856" s="11"/>
      <c r="AK856" s="11"/>
      <c r="AL856" s="11"/>
      <c r="AM856" s="11"/>
      <c r="AN856" s="11"/>
      <c r="AO856" s="11"/>
    </row>
    <row r="857">
      <c r="A857" s="94"/>
      <c r="B857" s="690"/>
      <c r="C857" s="94"/>
      <c r="D857" s="94"/>
      <c r="E857" s="94"/>
      <c r="F857" s="94"/>
      <c r="G857" s="94"/>
      <c r="H857" s="691"/>
      <c r="I857" s="691"/>
      <c r="J857" s="691"/>
      <c r="K857" s="85"/>
      <c r="L857" s="85"/>
      <c r="M857" s="85"/>
      <c r="N857" s="85"/>
      <c r="O857" s="85"/>
      <c r="P857" s="85"/>
      <c r="Q857" s="138"/>
      <c r="R857" s="138"/>
      <c r="S857" s="138"/>
      <c r="T857" s="85"/>
      <c r="U857" s="85"/>
      <c r="V857" s="85"/>
      <c r="W857" s="11"/>
      <c r="X857" s="11"/>
      <c r="Y857" s="11"/>
      <c r="Z857" s="11"/>
      <c r="AA857" s="11"/>
      <c r="AB857" s="11"/>
      <c r="AC857" s="11"/>
      <c r="AD857" s="11"/>
      <c r="AE857" s="11"/>
      <c r="AF857" s="11"/>
      <c r="AG857" s="11"/>
      <c r="AH857" s="11"/>
      <c r="AI857" s="11"/>
      <c r="AJ857" s="11"/>
      <c r="AK857" s="11"/>
      <c r="AL857" s="11"/>
      <c r="AM857" s="11"/>
      <c r="AN857" s="11"/>
      <c r="AO857" s="11"/>
    </row>
    <row r="858">
      <c r="A858" s="94"/>
      <c r="B858" s="690"/>
      <c r="C858" s="94"/>
      <c r="D858" s="94"/>
      <c r="E858" s="94"/>
      <c r="F858" s="94"/>
      <c r="G858" s="94"/>
      <c r="H858" s="691"/>
      <c r="I858" s="691"/>
      <c r="J858" s="691"/>
      <c r="K858" s="85"/>
      <c r="L858" s="85"/>
      <c r="M858" s="85"/>
      <c r="N858" s="85"/>
      <c r="O858" s="85"/>
      <c r="P858" s="85"/>
      <c r="Q858" s="138"/>
      <c r="R858" s="138"/>
      <c r="S858" s="138"/>
      <c r="T858" s="85"/>
      <c r="U858" s="85"/>
      <c r="V858" s="85"/>
      <c r="W858" s="11"/>
      <c r="X858" s="11"/>
      <c r="Y858" s="11"/>
      <c r="Z858" s="11"/>
      <c r="AA858" s="11"/>
      <c r="AB858" s="11"/>
      <c r="AC858" s="11"/>
      <c r="AD858" s="11"/>
      <c r="AE858" s="11"/>
      <c r="AF858" s="11"/>
      <c r="AG858" s="11"/>
      <c r="AH858" s="11"/>
      <c r="AI858" s="11"/>
      <c r="AJ858" s="11"/>
      <c r="AK858" s="11"/>
      <c r="AL858" s="11"/>
      <c r="AM858" s="11"/>
      <c r="AN858" s="11"/>
      <c r="AO858" s="11"/>
    </row>
    <row r="859">
      <c r="A859" s="94"/>
      <c r="B859" s="690"/>
      <c r="C859" s="94"/>
      <c r="D859" s="94"/>
      <c r="E859" s="94"/>
      <c r="F859" s="94"/>
      <c r="G859" s="94"/>
      <c r="H859" s="691"/>
      <c r="I859" s="691"/>
      <c r="J859" s="691"/>
      <c r="K859" s="85"/>
      <c r="L859" s="85"/>
      <c r="M859" s="85"/>
      <c r="N859" s="85"/>
      <c r="O859" s="85"/>
      <c r="P859" s="85"/>
      <c r="Q859" s="138"/>
      <c r="R859" s="138"/>
      <c r="S859" s="138"/>
      <c r="T859" s="85"/>
      <c r="U859" s="85"/>
      <c r="V859" s="85"/>
      <c r="W859" s="11"/>
      <c r="X859" s="11"/>
      <c r="Y859" s="11"/>
      <c r="Z859" s="11"/>
      <c r="AA859" s="11"/>
      <c r="AB859" s="11"/>
      <c r="AC859" s="11"/>
      <c r="AD859" s="11"/>
      <c r="AE859" s="11"/>
      <c r="AF859" s="11"/>
      <c r="AG859" s="11"/>
      <c r="AH859" s="11"/>
      <c r="AI859" s="11"/>
      <c r="AJ859" s="11"/>
      <c r="AK859" s="11"/>
      <c r="AL859" s="11"/>
      <c r="AM859" s="11"/>
      <c r="AN859" s="11"/>
      <c r="AO859" s="11"/>
    </row>
    <row r="860">
      <c r="A860" s="94"/>
      <c r="B860" s="690"/>
      <c r="C860" s="94"/>
      <c r="D860" s="94"/>
      <c r="E860" s="94"/>
      <c r="F860" s="94"/>
      <c r="G860" s="94"/>
      <c r="H860" s="691"/>
      <c r="I860" s="691"/>
      <c r="J860" s="691"/>
      <c r="K860" s="85"/>
      <c r="L860" s="85"/>
      <c r="M860" s="85"/>
      <c r="N860" s="85"/>
      <c r="O860" s="85"/>
      <c r="P860" s="85"/>
      <c r="Q860" s="138"/>
      <c r="R860" s="138"/>
      <c r="S860" s="138"/>
      <c r="T860" s="85"/>
      <c r="U860" s="85"/>
      <c r="V860" s="85"/>
      <c r="W860" s="11"/>
      <c r="X860" s="11"/>
      <c r="Y860" s="11"/>
      <c r="Z860" s="11"/>
      <c r="AA860" s="11"/>
      <c r="AB860" s="11"/>
      <c r="AC860" s="11"/>
      <c r="AD860" s="11"/>
      <c r="AE860" s="11"/>
      <c r="AF860" s="11"/>
      <c r="AG860" s="11"/>
      <c r="AH860" s="11"/>
      <c r="AI860" s="11"/>
      <c r="AJ860" s="11"/>
      <c r="AK860" s="11"/>
      <c r="AL860" s="11"/>
      <c r="AM860" s="11"/>
      <c r="AN860" s="11"/>
      <c r="AO860" s="11"/>
    </row>
    <row r="861">
      <c r="A861" s="94"/>
      <c r="B861" s="690"/>
      <c r="C861" s="94"/>
      <c r="D861" s="94"/>
      <c r="E861" s="94"/>
      <c r="F861" s="94"/>
      <c r="G861" s="94"/>
      <c r="H861" s="691"/>
      <c r="I861" s="691"/>
      <c r="J861" s="691"/>
      <c r="K861" s="85"/>
      <c r="L861" s="85"/>
      <c r="M861" s="85"/>
      <c r="N861" s="85"/>
      <c r="O861" s="85"/>
      <c r="P861" s="85"/>
      <c r="Q861" s="138"/>
      <c r="R861" s="138"/>
      <c r="S861" s="138"/>
      <c r="T861" s="85"/>
      <c r="U861" s="85"/>
      <c r="V861" s="85"/>
      <c r="W861" s="11"/>
      <c r="X861" s="11"/>
      <c r="Y861" s="11"/>
      <c r="Z861" s="11"/>
      <c r="AA861" s="11"/>
      <c r="AB861" s="11"/>
      <c r="AC861" s="11"/>
      <c r="AD861" s="11"/>
      <c r="AE861" s="11"/>
      <c r="AF861" s="11"/>
      <c r="AG861" s="11"/>
      <c r="AH861" s="11"/>
      <c r="AI861" s="11"/>
      <c r="AJ861" s="11"/>
      <c r="AK861" s="11"/>
      <c r="AL861" s="11"/>
      <c r="AM861" s="11"/>
      <c r="AN861" s="11"/>
      <c r="AO861" s="11"/>
    </row>
    <row r="862">
      <c r="A862" s="94"/>
      <c r="B862" s="690"/>
      <c r="C862" s="94"/>
      <c r="D862" s="94"/>
      <c r="E862" s="94"/>
      <c r="F862" s="94"/>
      <c r="G862" s="94"/>
      <c r="H862" s="691"/>
      <c r="I862" s="691"/>
      <c r="J862" s="691"/>
      <c r="K862" s="85"/>
      <c r="L862" s="85"/>
      <c r="M862" s="85"/>
      <c r="N862" s="85"/>
      <c r="O862" s="85"/>
      <c r="P862" s="85"/>
      <c r="Q862" s="138"/>
      <c r="R862" s="138"/>
      <c r="S862" s="138"/>
      <c r="T862" s="85"/>
      <c r="U862" s="85"/>
      <c r="V862" s="85"/>
      <c r="W862" s="11"/>
      <c r="X862" s="11"/>
      <c r="Y862" s="11"/>
      <c r="Z862" s="11"/>
      <c r="AA862" s="11"/>
      <c r="AB862" s="11"/>
      <c r="AC862" s="11"/>
      <c r="AD862" s="11"/>
      <c r="AE862" s="11"/>
      <c r="AF862" s="11"/>
      <c r="AG862" s="11"/>
      <c r="AH862" s="11"/>
      <c r="AI862" s="11"/>
      <c r="AJ862" s="11"/>
      <c r="AK862" s="11"/>
      <c r="AL862" s="11"/>
      <c r="AM862" s="11"/>
      <c r="AN862" s="11"/>
      <c r="AO862" s="11"/>
    </row>
    <row r="863">
      <c r="A863" s="94"/>
      <c r="B863" s="690"/>
      <c r="C863" s="94"/>
      <c r="D863" s="94"/>
      <c r="E863" s="94"/>
      <c r="F863" s="94"/>
      <c r="G863" s="94"/>
      <c r="H863" s="691"/>
      <c r="I863" s="691"/>
      <c r="J863" s="691"/>
      <c r="K863" s="691"/>
      <c r="L863" s="691"/>
      <c r="M863" s="691"/>
      <c r="N863" s="691"/>
      <c r="O863" s="691"/>
      <c r="P863" s="691"/>
      <c r="Q863" s="741"/>
      <c r="R863" s="741"/>
      <c r="S863" s="741"/>
      <c r="T863" s="85"/>
      <c r="U863" s="85"/>
      <c r="V863" s="85"/>
      <c r="W863" s="11"/>
      <c r="X863" s="11"/>
      <c r="Y863" s="11"/>
      <c r="Z863" s="11"/>
      <c r="AA863" s="11"/>
      <c r="AB863" s="11"/>
      <c r="AC863" s="11"/>
      <c r="AD863" s="11"/>
      <c r="AE863" s="11"/>
      <c r="AF863" s="11"/>
      <c r="AG863" s="11"/>
      <c r="AH863" s="11"/>
      <c r="AI863" s="11"/>
      <c r="AJ863" s="11"/>
      <c r="AK863" s="11"/>
      <c r="AL863" s="11"/>
      <c r="AM863" s="11"/>
      <c r="AN863" s="11"/>
      <c r="AO863" s="11"/>
    </row>
    <row r="864">
      <c r="A864" s="94"/>
      <c r="B864" s="690"/>
      <c r="C864" s="94"/>
      <c r="D864" s="94"/>
      <c r="E864" s="94"/>
      <c r="F864" s="94"/>
      <c r="G864" s="94"/>
      <c r="H864" s="691"/>
      <c r="I864" s="691"/>
      <c r="J864" s="691"/>
      <c r="K864" s="691"/>
      <c r="L864" s="691"/>
      <c r="M864" s="691"/>
      <c r="N864" s="691"/>
      <c r="O864" s="691"/>
      <c r="P864" s="691"/>
      <c r="Q864" s="741"/>
      <c r="R864" s="741"/>
      <c r="S864" s="741"/>
      <c r="T864" s="85"/>
      <c r="U864" s="85"/>
      <c r="V864" s="85"/>
      <c r="W864" s="11"/>
      <c r="X864" s="11"/>
      <c r="Y864" s="11"/>
      <c r="Z864" s="11"/>
      <c r="AA864" s="11"/>
      <c r="AB864" s="11"/>
      <c r="AC864" s="11"/>
      <c r="AD864" s="11"/>
      <c r="AE864" s="11"/>
      <c r="AF864" s="11"/>
      <c r="AG864" s="11"/>
      <c r="AH864" s="11"/>
      <c r="AI864" s="11"/>
      <c r="AJ864" s="11"/>
      <c r="AK864" s="11"/>
      <c r="AL864" s="11"/>
      <c r="AM864" s="11"/>
      <c r="AN864" s="11"/>
      <c r="AO864" s="11"/>
    </row>
    <row r="865">
      <c r="A865" s="94"/>
      <c r="B865" s="690"/>
      <c r="C865" s="94"/>
      <c r="D865" s="94"/>
      <c r="E865" s="94"/>
      <c r="F865" s="94"/>
      <c r="G865" s="94"/>
      <c r="H865" s="691"/>
      <c r="I865" s="691"/>
      <c r="J865" s="691"/>
      <c r="K865" s="691"/>
      <c r="L865" s="691"/>
      <c r="M865" s="691"/>
      <c r="N865" s="691"/>
      <c r="O865" s="691"/>
      <c r="P865" s="691"/>
      <c r="Q865" s="741"/>
      <c r="R865" s="741"/>
      <c r="S865" s="741"/>
      <c r="T865" s="85"/>
      <c r="U865" s="85"/>
      <c r="V865" s="85"/>
      <c r="W865" s="11"/>
      <c r="X865" s="11"/>
      <c r="Y865" s="11"/>
      <c r="Z865" s="11"/>
      <c r="AA865" s="11"/>
      <c r="AB865" s="11"/>
      <c r="AC865" s="11"/>
      <c r="AD865" s="11"/>
      <c r="AE865" s="11"/>
      <c r="AF865" s="11"/>
      <c r="AG865" s="11"/>
      <c r="AH865" s="11"/>
      <c r="AI865" s="11"/>
      <c r="AJ865" s="11"/>
      <c r="AK865" s="11"/>
      <c r="AL865" s="11"/>
      <c r="AM865" s="11"/>
      <c r="AN865" s="11"/>
      <c r="AO865" s="11"/>
    </row>
    <row r="866">
      <c r="A866" s="94"/>
      <c r="B866" s="690"/>
      <c r="C866" s="94"/>
      <c r="D866" s="94"/>
      <c r="E866" s="94"/>
      <c r="F866" s="94"/>
      <c r="G866" s="94"/>
      <c r="H866" s="691"/>
      <c r="I866" s="691"/>
      <c r="J866" s="691"/>
      <c r="K866" s="691"/>
      <c r="L866" s="691"/>
      <c r="M866" s="691"/>
      <c r="N866" s="691"/>
      <c r="O866" s="691"/>
      <c r="P866" s="691"/>
      <c r="Q866" s="741"/>
      <c r="R866" s="741"/>
      <c r="S866" s="741"/>
      <c r="T866" s="85"/>
      <c r="U866" s="85"/>
      <c r="V866" s="85"/>
      <c r="W866" s="11"/>
      <c r="X866" s="11"/>
      <c r="Y866" s="11"/>
      <c r="Z866" s="11"/>
      <c r="AA866" s="11"/>
      <c r="AB866" s="11"/>
      <c r="AC866" s="11"/>
      <c r="AD866" s="11"/>
      <c r="AE866" s="11"/>
      <c r="AF866" s="11"/>
      <c r="AG866" s="11"/>
      <c r="AH866" s="11"/>
      <c r="AI866" s="11"/>
      <c r="AJ866" s="11"/>
      <c r="AK866" s="11"/>
      <c r="AL866" s="11"/>
      <c r="AM866" s="11"/>
      <c r="AN866" s="11"/>
      <c r="AO866" s="11"/>
    </row>
    <row r="867">
      <c r="A867" s="94"/>
      <c r="B867" s="690"/>
      <c r="C867" s="94"/>
      <c r="D867" s="94"/>
      <c r="E867" s="94"/>
      <c r="F867" s="94"/>
      <c r="G867" s="94"/>
      <c r="H867" s="691"/>
      <c r="I867" s="691"/>
      <c r="J867" s="691"/>
      <c r="K867" s="691"/>
      <c r="L867" s="691"/>
      <c r="M867" s="691"/>
      <c r="N867" s="691"/>
      <c r="O867" s="691"/>
      <c r="P867" s="691"/>
      <c r="Q867" s="741"/>
      <c r="R867" s="741"/>
      <c r="S867" s="741"/>
      <c r="T867" s="85"/>
      <c r="U867" s="85"/>
      <c r="V867" s="85"/>
      <c r="W867" s="11"/>
      <c r="X867" s="11"/>
      <c r="Y867" s="11"/>
      <c r="Z867" s="11"/>
      <c r="AA867" s="11"/>
      <c r="AB867" s="11"/>
      <c r="AC867" s="11"/>
      <c r="AD867" s="11"/>
      <c r="AE867" s="11"/>
      <c r="AF867" s="11"/>
      <c r="AG867" s="11"/>
      <c r="AH867" s="11"/>
      <c r="AI867" s="11"/>
      <c r="AJ867" s="11"/>
      <c r="AK867" s="11"/>
      <c r="AL867" s="11"/>
      <c r="AM867" s="11"/>
      <c r="AN867" s="11"/>
      <c r="AO867" s="11"/>
    </row>
    <row r="868">
      <c r="A868" s="94"/>
      <c r="B868" s="690"/>
      <c r="C868" s="94"/>
      <c r="D868" s="94"/>
      <c r="E868" s="94"/>
      <c r="F868" s="94"/>
      <c r="G868" s="94"/>
      <c r="H868" s="691"/>
      <c r="I868" s="691"/>
      <c r="J868" s="691"/>
      <c r="K868" s="691"/>
      <c r="L868" s="691"/>
      <c r="M868" s="691"/>
      <c r="N868" s="691"/>
      <c r="O868" s="691"/>
      <c r="P868" s="691"/>
      <c r="Q868" s="741"/>
      <c r="R868" s="741"/>
      <c r="S868" s="741"/>
      <c r="T868" s="85"/>
      <c r="U868" s="85"/>
      <c r="V868" s="85"/>
      <c r="W868" s="11"/>
      <c r="X868" s="11"/>
      <c r="Y868" s="11"/>
      <c r="Z868" s="11"/>
      <c r="AA868" s="11"/>
      <c r="AB868" s="11"/>
      <c r="AC868" s="11"/>
      <c r="AD868" s="11"/>
      <c r="AE868" s="11"/>
      <c r="AF868" s="11"/>
      <c r="AG868" s="11"/>
      <c r="AH868" s="11"/>
      <c r="AI868" s="11"/>
      <c r="AJ868" s="11"/>
      <c r="AK868" s="11"/>
      <c r="AL868" s="11"/>
      <c r="AM868" s="11"/>
      <c r="AN868" s="11"/>
      <c r="AO868" s="11"/>
    </row>
    <row r="869">
      <c r="A869" s="94"/>
      <c r="B869" s="690"/>
      <c r="C869" s="94"/>
      <c r="D869" s="94"/>
      <c r="E869" s="94"/>
      <c r="F869" s="94"/>
      <c r="G869" s="94"/>
      <c r="H869" s="691"/>
      <c r="I869" s="691"/>
      <c r="J869" s="691"/>
      <c r="K869" s="691"/>
      <c r="L869" s="691"/>
      <c r="M869" s="691"/>
      <c r="N869" s="691"/>
      <c r="O869" s="691"/>
      <c r="P869" s="691"/>
      <c r="Q869" s="741"/>
      <c r="R869" s="741"/>
      <c r="S869" s="741"/>
      <c r="T869" s="85"/>
      <c r="U869" s="85"/>
      <c r="V869" s="85"/>
      <c r="W869" s="11"/>
      <c r="X869" s="11"/>
      <c r="Y869" s="11"/>
      <c r="Z869" s="11"/>
      <c r="AA869" s="11"/>
      <c r="AB869" s="11"/>
      <c r="AC869" s="11"/>
      <c r="AD869" s="11"/>
      <c r="AE869" s="11"/>
      <c r="AF869" s="11"/>
      <c r="AG869" s="11"/>
      <c r="AH869" s="11"/>
      <c r="AI869" s="11"/>
      <c r="AJ869" s="11"/>
      <c r="AK869" s="11"/>
      <c r="AL869" s="11"/>
      <c r="AM869" s="11"/>
      <c r="AN869" s="11"/>
      <c r="AO869" s="11"/>
    </row>
    <row r="870">
      <c r="A870" s="94"/>
      <c r="B870" s="690"/>
      <c r="C870" s="94"/>
      <c r="D870" s="94"/>
      <c r="E870" s="94"/>
      <c r="F870" s="94"/>
      <c r="G870" s="94"/>
      <c r="H870" s="691"/>
      <c r="I870" s="691"/>
      <c r="J870" s="691"/>
      <c r="K870" s="691"/>
      <c r="L870" s="691"/>
      <c r="M870" s="691"/>
      <c r="N870" s="691"/>
      <c r="O870" s="691"/>
      <c r="P870" s="691"/>
      <c r="Q870" s="741"/>
      <c r="R870" s="741"/>
      <c r="S870" s="741"/>
      <c r="T870" s="85"/>
      <c r="U870" s="85"/>
      <c r="V870" s="85"/>
      <c r="W870" s="11"/>
      <c r="X870" s="11"/>
      <c r="Y870" s="11"/>
      <c r="Z870" s="11"/>
      <c r="AA870" s="11"/>
      <c r="AB870" s="11"/>
      <c r="AC870" s="11"/>
      <c r="AD870" s="11"/>
      <c r="AE870" s="11"/>
      <c r="AF870" s="11"/>
      <c r="AG870" s="11"/>
      <c r="AH870" s="11"/>
      <c r="AI870" s="11"/>
      <c r="AJ870" s="11"/>
      <c r="AK870" s="11"/>
      <c r="AL870" s="11"/>
      <c r="AM870" s="11"/>
      <c r="AN870" s="11"/>
      <c r="AO870" s="11"/>
    </row>
    <row r="871">
      <c r="A871" s="94"/>
      <c r="B871" s="690"/>
      <c r="C871" s="94"/>
      <c r="D871" s="94"/>
      <c r="E871" s="94"/>
      <c r="F871" s="94"/>
      <c r="G871" s="94"/>
      <c r="H871" s="691"/>
      <c r="I871" s="691"/>
      <c r="J871" s="691"/>
      <c r="K871" s="691"/>
      <c r="L871" s="691"/>
      <c r="M871" s="691"/>
      <c r="N871" s="691"/>
      <c r="O871" s="691"/>
      <c r="P871" s="691"/>
      <c r="Q871" s="741"/>
      <c r="R871" s="741"/>
      <c r="S871" s="741"/>
      <c r="T871" s="85"/>
      <c r="U871" s="85"/>
      <c r="V871" s="85"/>
      <c r="W871" s="11"/>
      <c r="X871" s="11"/>
      <c r="Y871" s="11"/>
      <c r="Z871" s="11"/>
      <c r="AA871" s="11"/>
      <c r="AB871" s="11"/>
      <c r="AC871" s="11"/>
      <c r="AD871" s="11"/>
      <c r="AE871" s="11"/>
      <c r="AF871" s="11"/>
      <c r="AG871" s="11"/>
      <c r="AH871" s="11"/>
      <c r="AI871" s="11"/>
      <c r="AJ871" s="11"/>
      <c r="AK871" s="11"/>
      <c r="AL871" s="11"/>
      <c r="AM871" s="11"/>
      <c r="AN871" s="11"/>
      <c r="AO871" s="11"/>
    </row>
    <row r="872">
      <c r="A872" s="94"/>
      <c r="B872" s="690"/>
      <c r="C872" s="94"/>
      <c r="D872" s="94"/>
      <c r="E872" s="94"/>
      <c r="F872" s="94"/>
      <c r="G872" s="94"/>
      <c r="H872" s="691"/>
      <c r="I872" s="691"/>
      <c r="J872" s="691"/>
      <c r="K872" s="691"/>
      <c r="L872" s="691"/>
      <c r="M872" s="691"/>
      <c r="N872" s="691"/>
      <c r="O872" s="691"/>
      <c r="P872" s="691"/>
      <c r="Q872" s="741"/>
      <c r="R872" s="741"/>
      <c r="S872" s="741"/>
      <c r="T872" s="85"/>
      <c r="U872" s="85"/>
      <c r="V872" s="85"/>
      <c r="W872" s="11"/>
      <c r="X872" s="11"/>
      <c r="Y872" s="11"/>
      <c r="Z872" s="11"/>
      <c r="AA872" s="11"/>
      <c r="AB872" s="11"/>
      <c r="AC872" s="11"/>
      <c r="AD872" s="11"/>
      <c r="AE872" s="11"/>
      <c r="AF872" s="11"/>
      <c r="AG872" s="11"/>
      <c r="AH872" s="11"/>
      <c r="AI872" s="11"/>
      <c r="AJ872" s="11"/>
      <c r="AK872" s="11"/>
      <c r="AL872" s="11"/>
      <c r="AM872" s="11"/>
      <c r="AN872" s="11"/>
      <c r="AO872" s="11"/>
    </row>
    <row r="873">
      <c r="A873" s="94"/>
      <c r="B873" s="690"/>
      <c r="C873" s="94"/>
      <c r="D873" s="94"/>
      <c r="E873" s="94"/>
      <c r="F873" s="94"/>
      <c r="G873" s="94"/>
      <c r="H873" s="691"/>
      <c r="I873" s="691"/>
      <c r="J873" s="691"/>
      <c r="K873" s="691"/>
      <c r="L873" s="691"/>
      <c r="M873" s="691"/>
      <c r="N873" s="691"/>
      <c r="O873" s="691"/>
      <c r="P873" s="691"/>
      <c r="Q873" s="741"/>
      <c r="R873" s="741"/>
      <c r="S873" s="741"/>
      <c r="T873" s="85"/>
      <c r="U873" s="85"/>
      <c r="V873" s="85"/>
      <c r="W873" s="11"/>
      <c r="X873" s="11"/>
      <c r="Y873" s="11"/>
      <c r="Z873" s="11"/>
      <c r="AA873" s="11"/>
      <c r="AB873" s="11"/>
      <c r="AC873" s="11"/>
      <c r="AD873" s="11"/>
      <c r="AE873" s="11"/>
      <c r="AF873" s="11"/>
      <c r="AG873" s="11"/>
      <c r="AH873" s="11"/>
      <c r="AI873" s="11"/>
      <c r="AJ873" s="11"/>
      <c r="AK873" s="11"/>
      <c r="AL873" s="11"/>
      <c r="AM873" s="11"/>
      <c r="AN873" s="11"/>
      <c r="AO873" s="11"/>
    </row>
    <row r="874">
      <c r="A874" s="94"/>
      <c r="B874" s="690"/>
      <c r="C874" s="94"/>
      <c r="D874" s="94"/>
      <c r="E874" s="94"/>
      <c r="F874" s="94"/>
      <c r="G874" s="94"/>
      <c r="H874" s="691"/>
      <c r="I874" s="691"/>
      <c r="J874" s="691"/>
      <c r="K874" s="691"/>
      <c r="L874" s="691"/>
      <c r="M874" s="691"/>
      <c r="N874" s="691"/>
      <c r="O874" s="691"/>
      <c r="P874" s="691"/>
      <c r="Q874" s="741"/>
      <c r="R874" s="741"/>
      <c r="S874" s="741"/>
      <c r="T874" s="85"/>
      <c r="U874" s="85"/>
      <c r="V874" s="85"/>
      <c r="W874" s="11"/>
      <c r="X874" s="11"/>
      <c r="Y874" s="11"/>
      <c r="Z874" s="11"/>
      <c r="AA874" s="11"/>
      <c r="AB874" s="11"/>
      <c r="AC874" s="11"/>
      <c r="AD874" s="11"/>
      <c r="AE874" s="11"/>
      <c r="AF874" s="11"/>
      <c r="AG874" s="11"/>
      <c r="AH874" s="11"/>
      <c r="AI874" s="11"/>
      <c r="AJ874" s="11"/>
      <c r="AK874" s="11"/>
      <c r="AL874" s="11"/>
      <c r="AM874" s="11"/>
      <c r="AN874" s="11"/>
      <c r="AO874" s="11"/>
    </row>
    <row r="875">
      <c r="A875" s="94"/>
      <c r="B875" s="690"/>
      <c r="C875" s="94"/>
      <c r="D875" s="94"/>
      <c r="E875" s="94"/>
      <c r="F875" s="94"/>
      <c r="G875" s="94"/>
      <c r="H875" s="691"/>
      <c r="I875" s="691"/>
      <c r="J875" s="691"/>
      <c r="K875" s="691"/>
      <c r="L875" s="691"/>
      <c r="M875" s="691"/>
      <c r="N875" s="691"/>
      <c r="O875" s="691"/>
      <c r="P875" s="691"/>
      <c r="Q875" s="741"/>
      <c r="R875" s="741"/>
      <c r="S875" s="741"/>
      <c r="T875" s="85"/>
      <c r="U875" s="85"/>
      <c r="V875" s="85"/>
      <c r="W875" s="11"/>
      <c r="X875" s="11"/>
      <c r="Y875" s="11"/>
      <c r="Z875" s="11"/>
      <c r="AA875" s="11"/>
      <c r="AB875" s="11"/>
      <c r="AC875" s="11"/>
      <c r="AD875" s="11"/>
      <c r="AE875" s="11"/>
      <c r="AF875" s="11"/>
      <c r="AG875" s="11"/>
      <c r="AH875" s="11"/>
      <c r="AI875" s="11"/>
      <c r="AJ875" s="11"/>
      <c r="AK875" s="11"/>
      <c r="AL875" s="11"/>
      <c r="AM875" s="11"/>
      <c r="AN875" s="11"/>
      <c r="AO875" s="11"/>
    </row>
    <row r="876">
      <c r="A876" s="94"/>
      <c r="B876" s="690"/>
      <c r="C876" s="94"/>
      <c r="D876" s="94"/>
      <c r="E876" s="94"/>
      <c r="F876" s="94"/>
      <c r="G876" s="94"/>
      <c r="H876" s="691"/>
      <c r="I876" s="691"/>
      <c r="J876" s="691"/>
      <c r="K876" s="691"/>
      <c r="L876" s="691"/>
      <c r="M876" s="691"/>
      <c r="N876" s="691"/>
      <c r="O876" s="691"/>
      <c r="P876" s="691"/>
      <c r="Q876" s="741"/>
      <c r="R876" s="741"/>
      <c r="S876" s="741"/>
      <c r="T876" s="85"/>
      <c r="U876" s="85"/>
      <c r="V876" s="85"/>
      <c r="W876" s="11"/>
      <c r="X876" s="11"/>
      <c r="Y876" s="11"/>
      <c r="Z876" s="11"/>
      <c r="AA876" s="11"/>
      <c r="AB876" s="11"/>
      <c r="AC876" s="11"/>
      <c r="AD876" s="11"/>
      <c r="AE876" s="11"/>
      <c r="AF876" s="11"/>
      <c r="AG876" s="11"/>
      <c r="AH876" s="11"/>
      <c r="AI876" s="11"/>
      <c r="AJ876" s="11"/>
      <c r="AK876" s="11"/>
      <c r="AL876" s="11"/>
      <c r="AM876" s="11"/>
      <c r="AN876" s="11"/>
      <c r="AO876" s="11"/>
    </row>
    <row r="877">
      <c r="A877" s="94"/>
      <c r="B877" s="690"/>
      <c r="C877" s="94"/>
      <c r="D877" s="94"/>
      <c r="E877" s="94"/>
      <c r="F877" s="94"/>
      <c r="G877" s="94"/>
      <c r="H877" s="691"/>
      <c r="I877" s="691"/>
      <c r="J877" s="691"/>
      <c r="K877" s="691"/>
      <c r="L877" s="691"/>
      <c r="M877" s="691"/>
      <c r="N877" s="691"/>
      <c r="O877" s="691"/>
      <c r="P877" s="691"/>
      <c r="Q877" s="741"/>
      <c r="R877" s="741"/>
      <c r="S877" s="741"/>
      <c r="T877" s="85"/>
      <c r="U877" s="85"/>
      <c r="V877" s="85"/>
      <c r="W877" s="11"/>
      <c r="X877" s="11"/>
      <c r="Y877" s="11"/>
      <c r="Z877" s="11"/>
      <c r="AA877" s="11"/>
      <c r="AB877" s="11"/>
      <c r="AC877" s="11"/>
      <c r="AD877" s="11"/>
      <c r="AE877" s="11"/>
      <c r="AF877" s="11"/>
      <c r="AG877" s="11"/>
      <c r="AH877" s="11"/>
      <c r="AI877" s="11"/>
      <c r="AJ877" s="11"/>
      <c r="AK877" s="11"/>
      <c r="AL877" s="11"/>
      <c r="AM877" s="11"/>
      <c r="AN877" s="11"/>
      <c r="AO877" s="11"/>
    </row>
    <row r="878">
      <c r="A878" s="94"/>
      <c r="B878" s="690"/>
      <c r="C878" s="94"/>
      <c r="D878" s="94"/>
      <c r="E878" s="94"/>
      <c r="F878" s="94"/>
      <c r="G878" s="94"/>
      <c r="H878" s="691"/>
      <c r="I878" s="691"/>
      <c r="J878" s="691"/>
      <c r="K878" s="691"/>
      <c r="L878" s="691"/>
      <c r="M878" s="691"/>
      <c r="N878" s="691"/>
      <c r="O878" s="691"/>
      <c r="P878" s="691"/>
      <c r="Q878" s="741"/>
      <c r="R878" s="741"/>
      <c r="S878" s="741"/>
      <c r="T878" s="85"/>
      <c r="U878" s="85"/>
      <c r="V878" s="85"/>
      <c r="W878" s="11"/>
      <c r="X878" s="11"/>
      <c r="Y878" s="11"/>
      <c r="Z878" s="11"/>
      <c r="AA878" s="11"/>
      <c r="AB878" s="11"/>
      <c r="AC878" s="11"/>
      <c r="AD878" s="11"/>
      <c r="AE878" s="11"/>
      <c r="AF878" s="11"/>
      <c r="AG878" s="11"/>
      <c r="AH878" s="11"/>
      <c r="AI878" s="11"/>
      <c r="AJ878" s="11"/>
      <c r="AK878" s="11"/>
      <c r="AL878" s="11"/>
      <c r="AM878" s="11"/>
      <c r="AN878" s="11"/>
      <c r="AO878" s="11"/>
    </row>
    <row r="879">
      <c r="A879" s="94"/>
      <c r="B879" s="690"/>
      <c r="C879" s="94"/>
      <c r="D879" s="94"/>
      <c r="E879" s="94"/>
      <c r="F879" s="94"/>
      <c r="G879" s="94"/>
      <c r="H879" s="691"/>
      <c r="I879" s="691"/>
      <c r="J879" s="691"/>
      <c r="K879" s="691"/>
      <c r="L879" s="691"/>
      <c r="M879" s="691"/>
      <c r="N879" s="691"/>
      <c r="O879" s="691"/>
      <c r="P879" s="691"/>
      <c r="Q879" s="741"/>
      <c r="R879" s="741"/>
      <c r="S879" s="741"/>
      <c r="T879" s="85"/>
      <c r="U879" s="85"/>
      <c r="V879" s="85"/>
      <c r="W879" s="11"/>
      <c r="X879" s="11"/>
      <c r="Y879" s="11"/>
      <c r="Z879" s="11"/>
      <c r="AA879" s="11"/>
      <c r="AB879" s="11"/>
      <c r="AC879" s="11"/>
      <c r="AD879" s="11"/>
      <c r="AE879" s="11"/>
      <c r="AF879" s="11"/>
      <c r="AG879" s="11"/>
      <c r="AH879" s="11"/>
      <c r="AI879" s="11"/>
      <c r="AJ879" s="11"/>
      <c r="AK879" s="11"/>
      <c r="AL879" s="11"/>
      <c r="AM879" s="11"/>
      <c r="AN879" s="11"/>
      <c r="AO879" s="11"/>
    </row>
    <row r="880">
      <c r="A880" s="94"/>
      <c r="B880" s="690"/>
      <c r="C880" s="94"/>
      <c r="D880" s="94"/>
      <c r="E880" s="94"/>
      <c r="F880" s="94"/>
      <c r="G880" s="94"/>
      <c r="H880" s="691"/>
      <c r="I880" s="691"/>
      <c r="J880" s="691"/>
      <c r="K880" s="691"/>
      <c r="L880" s="691"/>
      <c r="M880" s="691"/>
      <c r="N880" s="691"/>
      <c r="O880" s="691"/>
      <c r="P880" s="691"/>
      <c r="Q880" s="741"/>
      <c r="R880" s="741"/>
      <c r="S880" s="741"/>
      <c r="T880" s="85"/>
      <c r="U880" s="85"/>
      <c r="V880" s="85"/>
      <c r="W880" s="11"/>
      <c r="X880" s="11"/>
      <c r="Y880" s="11"/>
      <c r="Z880" s="11"/>
      <c r="AA880" s="11"/>
      <c r="AB880" s="11"/>
      <c r="AC880" s="11"/>
      <c r="AD880" s="11"/>
      <c r="AE880" s="11"/>
      <c r="AF880" s="11"/>
      <c r="AG880" s="11"/>
      <c r="AH880" s="11"/>
      <c r="AI880" s="11"/>
      <c r="AJ880" s="11"/>
      <c r="AK880" s="11"/>
      <c r="AL880" s="11"/>
      <c r="AM880" s="11"/>
      <c r="AN880" s="11"/>
      <c r="AO880" s="11"/>
    </row>
    <row r="881">
      <c r="A881" s="94"/>
      <c r="B881" s="690"/>
      <c r="C881" s="94"/>
      <c r="D881" s="94"/>
      <c r="E881" s="94"/>
      <c r="F881" s="94"/>
      <c r="G881" s="94"/>
      <c r="H881" s="691"/>
      <c r="I881" s="691"/>
      <c r="J881" s="691"/>
      <c r="K881" s="691"/>
      <c r="L881" s="691"/>
      <c r="M881" s="691"/>
      <c r="N881" s="691"/>
      <c r="O881" s="691"/>
      <c r="P881" s="691"/>
      <c r="Q881" s="741"/>
      <c r="R881" s="741"/>
      <c r="S881" s="741"/>
      <c r="T881" s="85"/>
      <c r="U881" s="85"/>
      <c r="V881" s="85"/>
      <c r="W881" s="11"/>
      <c r="X881" s="11"/>
      <c r="Y881" s="11"/>
      <c r="Z881" s="11"/>
      <c r="AA881" s="11"/>
      <c r="AB881" s="11"/>
      <c r="AC881" s="11"/>
      <c r="AD881" s="11"/>
      <c r="AE881" s="11"/>
      <c r="AF881" s="11"/>
      <c r="AG881" s="11"/>
      <c r="AH881" s="11"/>
      <c r="AI881" s="11"/>
      <c r="AJ881" s="11"/>
      <c r="AK881" s="11"/>
      <c r="AL881" s="11"/>
      <c r="AM881" s="11"/>
      <c r="AN881" s="11"/>
      <c r="AO881" s="11"/>
    </row>
    <row r="882">
      <c r="A882" s="94"/>
      <c r="B882" s="690"/>
      <c r="C882" s="94"/>
      <c r="D882" s="94"/>
      <c r="E882" s="94"/>
      <c r="F882" s="94"/>
      <c r="G882" s="94"/>
      <c r="H882" s="691"/>
      <c r="I882" s="691"/>
      <c r="J882" s="691"/>
      <c r="K882" s="691"/>
      <c r="L882" s="691"/>
      <c r="M882" s="691"/>
      <c r="N882" s="691"/>
      <c r="O882" s="691"/>
      <c r="P882" s="691"/>
      <c r="Q882" s="741"/>
      <c r="R882" s="741"/>
      <c r="S882" s="741"/>
      <c r="T882" s="85"/>
      <c r="U882" s="85"/>
      <c r="V882" s="85"/>
      <c r="W882" s="11"/>
      <c r="X882" s="11"/>
      <c r="Y882" s="11"/>
      <c r="Z882" s="11"/>
      <c r="AA882" s="11"/>
      <c r="AB882" s="11"/>
      <c r="AC882" s="11"/>
      <c r="AD882" s="11"/>
      <c r="AE882" s="11"/>
      <c r="AF882" s="11"/>
      <c r="AG882" s="11"/>
      <c r="AH882" s="11"/>
      <c r="AI882" s="11"/>
      <c r="AJ882" s="11"/>
      <c r="AK882" s="11"/>
      <c r="AL882" s="11"/>
      <c r="AM882" s="11"/>
      <c r="AN882" s="11"/>
      <c r="AO882" s="11"/>
    </row>
    <row r="883">
      <c r="A883" s="94"/>
      <c r="B883" s="690"/>
      <c r="C883" s="94"/>
      <c r="D883" s="94"/>
      <c r="E883" s="94"/>
      <c r="F883" s="94"/>
      <c r="G883" s="94"/>
      <c r="H883" s="691"/>
      <c r="I883" s="691"/>
      <c r="J883" s="691"/>
      <c r="K883" s="691"/>
      <c r="L883" s="691"/>
      <c r="M883" s="691"/>
      <c r="N883" s="691"/>
      <c r="O883" s="691"/>
      <c r="P883" s="691"/>
      <c r="Q883" s="741"/>
      <c r="R883" s="741"/>
      <c r="S883" s="741"/>
      <c r="T883" s="85"/>
      <c r="U883" s="85"/>
      <c r="V883" s="85"/>
      <c r="W883" s="11"/>
      <c r="X883" s="11"/>
      <c r="Y883" s="11"/>
      <c r="Z883" s="11"/>
      <c r="AA883" s="11"/>
      <c r="AB883" s="11"/>
      <c r="AC883" s="11"/>
      <c r="AD883" s="11"/>
      <c r="AE883" s="11"/>
      <c r="AF883" s="11"/>
      <c r="AG883" s="11"/>
      <c r="AH883" s="11"/>
      <c r="AI883" s="11"/>
      <c r="AJ883" s="11"/>
      <c r="AK883" s="11"/>
      <c r="AL883" s="11"/>
      <c r="AM883" s="11"/>
      <c r="AN883" s="11"/>
      <c r="AO883" s="11"/>
    </row>
    <row r="884">
      <c r="A884" s="94"/>
      <c r="B884" s="690"/>
      <c r="C884" s="94"/>
      <c r="D884" s="94"/>
      <c r="E884" s="94"/>
      <c r="F884" s="94"/>
      <c r="G884" s="94"/>
      <c r="H884" s="691"/>
      <c r="I884" s="691"/>
      <c r="J884" s="691"/>
      <c r="K884" s="691"/>
      <c r="L884" s="691"/>
      <c r="M884" s="691"/>
      <c r="N884" s="691"/>
      <c r="O884" s="691"/>
      <c r="P884" s="691"/>
      <c r="Q884" s="741"/>
      <c r="R884" s="741"/>
      <c r="S884" s="741"/>
      <c r="T884" s="85"/>
      <c r="U884" s="85"/>
      <c r="V884" s="85"/>
      <c r="W884" s="11"/>
      <c r="X884" s="11"/>
      <c r="Y884" s="11"/>
      <c r="Z884" s="11"/>
      <c r="AA884" s="11"/>
      <c r="AB884" s="11"/>
      <c r="AC884" s="11"/>
      <c r="AD884" s="11"/>
      <c r="AE884" s="11"/>
      <c r="AF884" s="11"/>
      <c r="AG884" s="11"/>
      <c r="AH884" s="11"/>
      <c r="AI884" s="11"/>
      <c r="AJ884" s="11"/>
      <c r="AK884" s="11"/>
      <c r="AL884" s="11"/>
      <c r="AM884" s="11"/>
      <c r="AN884" s="11"/>
      <c r="AO884" s="11"/>
    </row>
    <row r="885">
      <c r="A885" s="94"/>
      <c r="B885" s="690"/>
      <c r="C885" s="94"/>
      <c r="D885" s="94"/>
      <c r="E885" s="94"/>
      <c r="F885" s="94"/>
      <c r="G885" s="94"/>
      <c r="H885" s="691"/>
      <c r="I885" s="691"/>
      <c r="J885" s="691"/>
      <c r="K885" s="691"/>
      <c r="L885" s="691"/>
      <c r="M885" s="691"/>
      <c r="N885" s="691"/>
      <c r="O885" s="691"/>
      <c r="P885" s="691"/>
      <c r="Q885" s="741"/>
      <c r="R885" s="741"/>
      <c r="S885" s="741"/>
      <c r="T885" s="85"/>
      <c r="U885" s="85"/>
      <c r="V885" s="85"/>
      <c r="W885" s="11"/>
      <c r="X885" s="11"/>
      <c r="Y885" s="11"/>
      <c r="Z885" s="11"/>
      <c r="AA885" s="11"/>
      <c r="AB885" s="11"/>
      <c r="AC885" s="11"/>
      <c r="AD885" s="11"/>
      <c r="AE885" s="11"/>
      <c r="AF885" s="11"/>
      <c r="AG885" s="11"/>
      <c r="AH885" s="11"/>
      <c r="AI885" s="11"/>
      <c r="AJ885" s="11"/>
      <c r="AK885" s="11"/>
      <c r="AL885" s="11"/>
      <c r="AM885" s="11"/>
      <c r="AN885" s="11"/>
      <c r="AO885" s="11"/>
    </row>
    <row r="886">
      <c r="A886" s="94"/>
      <c r="B886" s="690"/>
      <c r="C886" s="94"/>
      <c r="D886" s="94"/>
      <c r="E886" s="94"/>
      <c r="F886" s="94"/>
      <c r="G886" s="94"/>
      <c r="H886" s="691"/>
      <c r="I886" s="691"/>
      <c r="J886" s="691"/>
      <c r="K886" s="691"/>
      <c r="L886" s="691"/>
      <c r="M886" s="691"/>
      <c r="N886" s="691"/>
      <c r="O886" s="691"/>
      <c r="P886" s="691"/>
      <c r="Q886" s="741"/>
      <c r="R886" s="741"/>
      <c r="S886" s="741"/>
      <c r="T886" s="85"/>
      <c r="U886" s="85"/>
      <c r="V886" s="85"/>
      <c r="W886" s="11"/>
      <c r="X886" s="11"/>
      <c r="Y886" s="11"/>
      <c r="Z886" s="11"/>
      <c r="AA886" s="11"/>
      <c r="AB886" s="11"/>
      <c r="AC886" s="11"/>
      <c r="AD886" s="11"/>
      <c r="AE886" s="11"/>
      <c r="AF886" s="11"/>
      <c r="AG886" s="11"/>
      <c r="AH886" s="11"/>
      <c r="AI886" s="11"/>
      <c r="AJ886" s="11"/>
      <c r="AK886" s="11"/>
      <c r="AL886" s="11"/>
      <c r="AM886" s="11"/>
      <c r="AN886" s="11"/>
      <c r="AO886" s="11"/>
    </row>
    <row r="887">
      <c r="A887" s="94"/>
      <c r="B887" s="690"/>
      <c r="C887" s="94"/>
      <c r="D887" s="94"/>
      <c r="E887" s="94"/>
      <c r="F887" s="94"/>
      <c r="G887" s="94"/>
      <c r="H887" s="691"/>
      <c r="I887" s="691"/>
      <c r="J887" s="691"/>
      <c r="K887" s="691"/>
      <c r="L887" s="691"/>
      <c r="M887" s="691"/>
      <c r="N887" s="691"/>
      <c r="O887" s="691"/>
      <c r="P887" s="691"/>
      <c r="Q887" s="741"/>
      <c r="R887" s="741"/>
      <c r="S887" s="741"/>
      <c r="T887" s="85"/>
      <c r="U887" s="85"/>
      <c r="V887" s="85"/>
      <c r="W887" s="11"/>
      <c r="X887" s="11"/>
      <c r="Y887" s="11"/>
      <c r="Z887" s="11"/>
      <c r="AA887" s="11"/>
      <c r="AB887" s="11"/>
      <c r="AC887" s="11"/>
      <c r="AD887" s="11"/>
      <c r="AE887" s="11"/>
      <c r="AF887" s="11"/>
      <c r="AG887" s="11"/>
      <c r="AH887" s="11"/>
      <c r="AI887" s="11"/>
      <c r="AJ887" s="11"/>
      <c r="AK887" s="11"/>
      <c r="AL887" s="11"/>
      <c r="AM887" s="11"/>
      <c r="AN887" s="11"/>
      <c r="AO887" s="11"/>
    </row>
    <row r="888">
      <c r="A888" s="94"/>
      <c r="B888" s="690"/>
      <c r="C888" s="94"/>
      <c r="D888" s="94"/>
      <c r="E888" s="94"/>
      <c r="F888" s="94"/>
      <c r="G888" s="94"/>
      <c r="H888" s="691"/>
      <c r="I888" s="691"/>
      <c r="J888" s="691"/>
      <c r="K888" s="691"/>
      <c r="L888" s="691"/>
      <c r="M888" s="691"/>
      <c r="N888" s="691"/>
      <c r="O888" s="691"/>
      <c r="P888" s="691"/>
      <c r="Q888" s="741"/>
      <c r="R888" s="741"/>
      <c r="S888" s="741"/>
      <c r="T888" s="85"/>
      <c r="U888" s="85"/>
      <c r="V888" s="85"/>
      <c r="W888" s="11"/>
      <c r="X888" s="11"/>
      <c r="Y888" s="11"/>
      <c r="Z888" s="11"/>
      <c r="AA888" s="11"/>
      <c r="AB888" s="11"/>
      <c r="AC888" s="11"/>
      <c r="AD888" s="11"/>
      <c r="AE888" s="11"/>
      <c r="AF888" s="11"/>
      <c r="AG888" s="11"/>
      <c r="AH888" s="11"/>
      <c r="AI888" s="11"/>
      <c r="AJ888" s="11"/>
      <c r="AK888" s="11"/>
      <c r="AL888" s="11"/>
      <c r="AM888" s="11"/>
      <c r="AN888" s="11"/>
      <c r="AO888" s="11"/>
    </row>
    <row r="889">
      <c r="A889" s="94"/>
      <c r="B889" s="690"/>
      <c r="C889" s="94"/>
      <c r="D889" s="94"/>
      <c r="E889" s="94"/>
      <c r="F889" s="94"/>
      <c r="G889" s="94"/>
      <c r="H889" s="691"/>
      <c r="I889" s="691"/>
      <c r="J889" s="691"/>
      <c r="K889" s="691"/>
      <c r="L889" s="691"/>
      <c r="M889" s="691"/>
      <c r="N889" s="691"/>
      <c r="O889" s="691"/>
      <c r="P889" s="691"/>
      <c r="Q889" s="741"/>
      <c r="R889" s="741"/>
      <c r="S889" s="741"/>
      <c r="T889" s="85"/>
      <c r="U889" s="85"/>
      <c r="V889" s="85"/>
      <c r="W889" s="11"/>
      <c r="X889" s="11"/>
      <c r="Y889" s="11"/>
      <c r="Z889" s="11"/>
      <c r="AA889" s="11"/>
      <c r="AB889" s="11"/>
      <c r="AC889" s="11"/>
      <c r="AD889" s="11"/>
      <c r="AE889" s="11"/>
      <c r="AF889" s="11"/>
      <c r="AG889" s="11"/>
      <c r="AH889" s="11"/>
      <c r="AI889" s="11"/>
      <c r="AJ889" s="11"/>
      <c r="AK889" s="11"/>
      <c r="AL889" s="11"/>
      <c r="AM889" s="11"/>
      <c r="AN889" s="11"/>
      <c r="AO889" s="11"/>
    </row>
    <row r="890">
      <c r="A890" s="94"/>
      <c r="B890" s="690"/>
      <c r="C890" s="94"/>
      <c r="D890" s="94"/>
      <c r="E890" s="94"/>
      <c r="F890" s="94"/>
      <c r="G890" s="94"/>
      <c r="H890" s="691"/>
      <c r="I890" s="691"/>
      <c r="J890" s="691"/>
      <c r="K890" s="691"/>
      <c r="L890" s="691"/>
      <c r="M890" s="691"/>
      <c r="N890" s="691"/>
      <c r="O890" s="691"/>
      <c r="P890" s="691"/>
      <c r="Q890" s="741"/>
      <c r="R890" s="741"/>
      <c r="S890" s="741"/>
      <c r="T890" s="85"/>
      <c r="U890" s="85"/>
      <c r="V890" s="85"/>
      <c r="W890" s="11"/>
      <c r="X890" s="11"/>
      <c r="Y890" s="11"/>
      <c r="Z890" s="11"/>
      <c r="AA890" s="11"/>
      <c r="AB890" s="11"/>
      <c r="AC890" s="11"/>
      <c r="AD890" s="11"/>
      <c r="AE890" s="11"/>
      <c r="AF890" s="11"/>
      <c r="AG890" s="11"/>
      <c r="AH890" s="11"/>
      <c r="AI890" s="11"/>
      <c r="AJ890" s="11"/>
      <c r="AK890" s="11"/>
      <c r="AL890" s="11"/>
      <c r="AM890" s="11"/>
      <c r="AN890" s="11"/>
      <c r="AO890" s="11"/>
    </row>
    <row r="891">
      <c r="A891" s="94"/>
      <c r="B891" s="690"/>
      <c r="C891" s="94"/>
      <c r="D891" s="94"/>
      <c r="E891" s="94"/>
      <c r="F891" s="94"/>
      <c r="G891" s="94"/>
      <c r="H891" s="691"/>
      <c r="I891" s="691"/>
      <c r="J891" s="691"/>
      <c r="K891" s="691"/>
      <c r="L891" s="691"/>
      <c r="M891" s="691"/>
      <c r="N891" s="691"/>
      <c r="O891" s="691"/>
      <c r="P891" s="691"/>
      <c r="Q891" s="741"/>
      <c r="R891" s="741"/>
      <c r="S891" s="741"/>
      <c r="T891" s="85"/>
      <c r="U891" s="85"/>
      <c r="V891" s="85"/>
      <c r="W891" s="11"/>
      <c r="X891" s="11"/>
      <c r="Y891" s="11"/>
      <c r="Z891" s="11"/>
      <c r="AA891" s="11"/>
      <c r="AB891" s="11"/>
      <c r="AC891" s="11"/>
      <c r="AD891" s="11"/>
      <c r="AE891" s="11"/>
      <c r="AF891" s="11"/>
      <c r="AG891" s="11"/>
      <c r="AH891" s="11"/>
      <c r="AI891" s="11"/>
      <c r="AJ891" s="11"/>
      <c r="AK891" s="11"/>
      <c r="AL891" s="11"/>
      <c r="AM891" s="11"/>
      <c r="AN891" s="11"/>
      <c r="AO891" s="11"/>
    </row>
    <row r="892">
      <c r="A892" s="94"/>
      <c r="B892" s="690"/>
      <c r="C892" s="94"/>
      <c r="D892" s="94"/>
      <c r="E892" s="94"/>
      <c r="F892" s="94"/>
      <c r="G892" s="94"/>
      <c r="H892" s="691"/>
      <c r="I892" s="691"/>
      <c r="J892" s="691"/>
      <c r="K892" s="691"/>
      <c r="L892" s="691"/>
      <c r="M892" s="691"/>
      <c r="N892" s="691"/>
      <c r="O892" s="691"/>
      <c r="P892" s="691"/>
      <c r="Q892" s="741"/>
      <c r="R892" s="741"/>
      <c r="S892" s="741"/>
      <c r="T892" s="85"/>
      <c r="U892" s="85"/>
      <c r="V892" s="85"/>
      <c r="W892" s="11"/>
      <c r="X892" s="11"/>
      <c r="Y892" s="11"/>
      <c r="Z892" s="11"/>
      <c r="AA892" s="11"/>
      <c r="AB892" s="11"/>
      <c r="AC892" s="11"/>
      <c r="AD892" s="11"/>
      <c r="AE892" s="11"/>
      <c r="AF892" s="11"/>
      <c r="AG892" s="11"/>
      <c r="AH892" s="11"/>
      <c r="AI892" s="11"/>
      <c r="AJ892" s="11"/>
      <c r="AK892" s="11"/>
      <c r="AL892" s="11"/>
      <c r="AM892" s="11"/>
      <c r="AN892" s="11"/>
      <c r="AO892" s="11"/>
    </row>
    <row r="893">
      <c r="A893" s="94"/>
      <c r="B893" s="690"/>
      <c r="C893" s="94"/>
      <c r="D893" s="94"/>
      <c r="E893" s="94"/>
      <c r="F893" s="94"/>
      <c r="G893" s="94"/>
      <c r="H893" s="691"/>
      <c r="I893" s="691"/>
      <c r="J893" s="691"/>
      <c r="K893" s="691"/>
      <c r="L893" s="691"/>
      <c r="M893" s="691"/>
      <c r="N893" s="691"/>
      <c r="O893" s="691"/>
      <c r="P893" s="691"/>
      <c r="Q893" s="741"/>
      <c r="R893" s="741"/>
      <c r="S893" s="741"/>
      <c r="T893" s="85"/>
      <c r="U893" s="85"/>
      <c r="V893" s="85"/>
      <c r="W893" s="11"/>
      <c r="X893" s="11"/>
      <c r="Y893" s="11"/>
      <c r="Z893" s="11"/>
      <c r="AA893" s="11"/>
      <c r="AB893" s="11"/>
      <c r="AC893" s="11"/>
      <c r="AD893" s="11"/>
      <c r="AE893" s="11"/>
      <c r="AF893" s="11"/>
      <c r="AG893" s="11"/>
      <c r="AH893" s="11"/>
      <c r="AI893" s="11"/>
      <c r="AJ893" s="11"/>
      <c r="AK893" s="11"/>
      <c r="AL893" s="11"/>
      <c r="AM893" s="11"/>
      <c r="AN893" s="11"/>
      <c r="AO893" s="11"/>
    </row>
    <row r="894">
      <c r="A894" s="94"/>
      <c r="B894" s="690"/>
      <c r="C894" s="94"/>
      <c r="D894" s="94"/>
      <c r="E894" s="94"/>
      <c r="F894" s="94"/>
      <c r="G894" s="94"/>
      <c r="H894" s="691"/>
      <c r="I894" s="691"/>
      <c r="J894" s="691"/>
      <c r="K894" s="691"/>
      <c r="L894" s="691"/>
      <c r="M894" s="691"/>
      <c r="N894" s="691"/>
      <c r="O894" s="691"/>
      <c r="P894" s="691"/>
      <c r="Q894" s="741"/>
      <c r="R894" s="741"/>
      <c r="S894" s="741"/>
      <c r="T894" s="85"/>
      <c r="U894" s="85"/>
      <c r="V894" s="85"/>
      <c r="W894" s="11"/>
      <c r="X894" s="11"/>
      <c r="Y894" s="11"/>
      <c r="Z894" s="11"/>
      <c r="AA894" s="11"/>
      <c r="AB894" s="11"/>
      <c r="AC894" s="11"/>
      <c r="AD894" s="11"/>
      <c r="AE894" s="11"/>
      <c r="AF894" s="11"/>
      <c r="AG894" s="11"/>
      <c r="AH894" s="11"/>
      <c r="AI894" s="11"/>
      <c r="AJ894" s="11"/>
      <c r="AK894" s="11"/>
      <c r="AL894" s="11"/>
      <c r="AM894" s="11"/>
      <c r="AN894" s="11"/>
      <c r="AO894" s="11"/>
    </row>
    <row r="895">
      <c r="A895" s="94"/>
      <c r="B895" s="690"/>
      <c r="C895" s="94"/>
      <c r="D895" s="94"/>
      <c r="E895" s="94"/>
      <c r="F895" s="94"/>
      <c r="G895" s="94"/>
      <c r="H895" s="691"/>
      <c r="I895" s="691"/>
      <c r="J895" s="691"/>
      <c r="K895" s="691"/>
      <c r="L895" s="691"/>
      <c r="M895" s="691"/>
      <c r="N895" s="691"/>
      <c r="O895" s="691"/>
      <c r="P895" s="691"/>
      <c r="Q895" s="741"/>
      <c r="R895" s="741"/>
      <c r="S895" s="741"/>
      <c r="T895" s="85"/>
      <c r="U895" s="85"/>
      <c r="V895" s="85"/>
      <c r="W895" s="11"/>
      <c r="X895" s="11"/>
      <c r="Y895" s="11"/>
      <c r="Z895" s="11"/>
      <c r="AA895" s="11"/>
      <c r="AB895" s="11"/>
      <c r="AC895" s="11"/>
      <c r="AD895" s="11"/>
      <c r="AE895" s="11"/>
      <c r="AF895" s="11"/>
      <c r="AG895" s="11"/>
      <c r="AH895" s="11"/>
      <c r="AI895" s="11"/>
      <c r="AJ895" s="11"/>
      <c r="AK895" s="11"/>
      <c r="AL895" s="11"/>
      <c r="AM895" s="11"/>
      <c r="AN895" s="11"/>
      <c r="AO895" s="11"/>
    </row>
    <row r="896">
      <c r="A896" s="94"/>
      <c r="B896" s="690"/>
      <c r="C896" s="94"/>
      <c r="D896" s="94"/>
      <c r="E896" s="94"/>
      <c r="F896" s="94"/>
      <c r="G896" s="94"/>
      <c r="H896" s="691"/>
      <c r="I896" s="691"/>
      <c r="J896" s="691"/>
      <c r="K896" s="691"/>
      <c r="L896" s="691"/>
      <c r="M896" s="691"/>
      <c r="N896" s="691"/>
      <c r="O896" s="691"/>
      <c r="P896" s="691"/>
      <c r="Q896" s="741"/>
      <c r="R896" s="741"/>
      <c r="S896" s="741"/>
      <c r="T896" s="85"/>
      <c r="U896" s="85"/>
      <c r="V896" s="85"/>
      <c r="W896" s="11"/>
      <c r="X896" s="11"/>
      <c r="Y896" s="11"/>
      <c r="Z896" s="11"/>
      <c r="AA896" s="11"/>
      <c r="AB896" s="11"/>
      <c r="AC896" s="11"/>
      <c r="AD896" s="11"/>
      <c r="AE896" s="11"/>
      <c r="AF896" s="11"/>
      <c r="AG896" s="11"/>
      <c r="AH896" s="11"/>
      <c r="AI896" s="11"/>
      <c r="AJ896" s="11"/>
      <c r="AK896" s="11"/>
      <c r="AL896" s="11"/>
      <c r="AM896" s="11"/>
      <c r="AN896" s="11"/>
      <c r="AO896" s="11"/>
    </row>
    <row r="897">
      <c r="A897" s="94"/>
      <c r="B897" s="690"/>
      <c r="C897" s="94"/>
      <c r="D897" s="94"/>
      <c r="E897" s="94"/>
      <c r="F897" s="94"/>
      <c r="G897" s="94"/>
      <c r="H897" s="691"/>
      <c r="I897" s="691"/>
      <c r="J897" s="691"/>
      <c r="K897" s="691"/>
      <c r="L897" s="691"/>
      <c r="M897" s="691"/>
      <c r="N897" s="691"/>
      <c r="O897" s="691"/>
      <c r="P897" s="691"/>
      <c r="Q897" s="741"/>
      <c r="R897" s="741"/>
      <c r="S897" s="741"/>
      <c r="T897" s="85"/>
      <c r="U897" s="85"/>
      <c r="V897" s="85"/>
      <c r="W897" s="11"/>
      <c r="X897" s="11"/>
      <c r="Y897" s="11"/>
      <c r="Z897" s="11"/>
      <c r="AA897" s="11"/>
      <c r="AB897" s="11"/>
      <c r="AC897" s="11"/>
      <c r="AD897" s="11"/>
      <c r="AE897" s="11"/>
      <c r="AF897" s="11"/>
      <c r="AG897" s="11"/>
      <c r="AH897" s="11"/>
      <c r="AI897" s="11"/>
      <c r="AJ897" s="11"/>
      <c r="AK897" s="11"/>
      <c r="AL897" s="11"/>
      <c r="AM897" s="11"/>
      <c r="AN897" s="11"/>
      <c r="AO897" s="11"/>
    </row>
    <row r="898">
      <c r="A898" s="94"/>
      <c r="B898" s="690"/>
      <c r="C898" s="94"/>
      <c r="D898" s="94"/>
      <c r="E898" s="94"/>
      <c r="F898" s="94"/>
      <c r="G898" s="94"/>
      <c r="H898" s="691"/>
      <c r="I898" s="691"/>
      <c r="J898" s="691"/>
      <c r="K898" s="691"/>
      <c r="L898" s="691"/>
      <c r="M898" s="691"/>
      <c r="N898" s="691"/>
      <c r="O898" s="691"/>
      <c r="P898" s="691"/>
      <c r="Q898" s="741"/>
      <c r="R898" s="741"/>
      <c r="S898" s="741"/>
      <c r="T898" s="85"/>
      <c r="U898" s="85"/>
      <c r="V898" s="85"/>
      <c r="W898" s="11"/>
      <c r="X898" s="11"/>
      <c r="Y898" s="11"/>
      <c r="Z898" s="11"/>
      <c r="AA898" s="11"/>
      <c r="AB898" s="11"/>
      <c r="AC898" s="11"/>
      <c r="AD898" s="11"/>
      <c r="AE898" s="11"/>
      <c r="AF898" s="11"/>
      <c r="AG898" s="11"/>
      <c r="AH898" s="11"/>
      <c r="AI898" s="11"/>
      <c r="AJ898" s="11"/>
      <c r="AK898" s="11"/>
      <c r="AL898" s="11"/>
      <c r="AM898" s="11"/>
      <c r="AN898" s="11"/>
      <c r="AO898" s="11"/>
    </row>
    <row r="899">
      <c r="A899" s="94"/>
      <c r="B899" s="690"/>
      <c r="C899" s="94"/>
      <c r="D899" s="94"/>
      <c r="E899" s="94"/>
      <c r="F899" s="94"/>
      <c r="G899" s="94"/>
      <c r="H899" s="691"/>
      <c r="I899" s="691"/>
      <c r="J899" s="691"/>
      <c r="K899" s="691"/>
      <c r="L899" s="691"/>
      <c r="M899" s="691"/>
      <c r="N899" s="691"/>
      <c r="O899" s="691"/>
      <c r="P899" s="691"/>
      <c r="Q899" s="741"/>
      <c r="R899" s="741"/>
      <c r="S899" s="741"/>
      <c r="T899" s="85"/>
      <c r="U899" s="85"/>
      <c r="V899" s="85"/>
      <c r="W899" s="11"/>
      <c r="X899" s="11"/>
      <c r="Y899" s="11"/>
      <c r="Z899" s="11"/>
      <c r="AA899" s="11"/>
      <c r="AB899" s="11"/>
      <c r="AC899" s="11"/>
      <c r="AD899" s="11"/>
      <c r="AE899" s="11"/>
      <c r="AF899" s="11"/>
      <c r="AG899" s="11"/>
      <c r="AH899" s="11"/>
      <c r="AI899" s="11"/>
      <c r="AJ899" s="11"/>
      <c r="AK899" s="11"/>
      <c r="AL899" s="11"/>
      <c r="AM899" s="11"/>
      <c r="AN899" s="11"/>
      <c r="AO899" s="11"/>
    </row>
    <row r="900">
      <c r="A900" s="94"/>
      <c r="B900" s="690"/>
      <c r="C900" s="94"/>
      <c r="D900" s="94"/>
      <c r="E900" s="94"/>
      <c r="F900" s="94"/>
      <c r="G900" s="94"/>
      <c r="H900" s="691"/>
      <c r="I900" s="691"/>
      <c r="J900" s="691"/>
      <c r="K900" s="691"/>
      <c r="L900" s="691"/>
      <c r="M900" s="691"/>
      <c r="N900" s="691"/>
      <c r="O900" s="691"/>
      <c r="P900" s="691"/>
      <c r="Q900" s="741"/>
      <c r="R900" s="741"/>
      <c r="S900" s="741"/>
      <c r="T900" s="85"/>
      <c r="U900" s="85"/>
      <c r="V900" s="85"/>
      <c r="W900" s="11"/>
      <c r="X900" s="11"/>
      <c r="Y900" s="11"/>
      <c r="Z900" s="11"/>
      <c r="AA900" s="11"/>
      <c r="AB900" s="11"/>
      <c r="AC900" s="11"/>
      <c r="AD900" s="11"/>
      <c r="AE900" s="11"/>
      <c r="AF900" s="11"/>
      <c r="AG900" s="11"/>
      <c r="AH900" s="11"/>
      <c r="AI900" s="11"/>
      <c r="AJ900" s="11"/>
      <c r="AK900" s="11"/>
      <c r="AL900" s="11"/>
      <c r="AM900" s="11"/>
      <c r="AN900" s="11"/>
      <c r="AO900" s="11"/>
    </row>
    <row r="901">
      <c r="A901" s="94"/>
      <c r="B901" s="690"/>
      <c r="C901" s="94"/>
      <c r="D901" s="94"/>
      <c r="E901" s="94"/>
      <c r="F901" s="94"/>
      <c r="G901" s="94"/>
      <c r="H901" s="691"/>
      <c r="I901" s="691"/>
      <c r="J901" s="691"/>
      <c r="K901" s="691"/>
      <c r="L901" s="691"/>
      <c r="M901" s="691"/>
      <c r="N901" s="691"/>
      <c r="O901" s="691"/>
      <c r="P901" s="691"/>
      <c r="Q901" s="741"/>
      <c r="R901" s="741"/>
      <c r="S901" s="741"/>
      <c r="T901" s="85"/>
      <c r="U901" s="85"/>
      <c r="V901" s="85"/>
      <c r="W901" s="11"/>
      <c r="X901" s="11"/>
      <c r="Y901" s="11"/>
      <c r="Z901" s="11"/>
      <c r="AA901" s="11"/>
      <c r="AB901" s="11"/>
      <c r="AC901" s="11"/>
      <c r="AD901" s="11"/>
      <c r="AE901" s="11"/>
      <c r="AF901" s="11"/>
      <c r="AG901" s="11"/>
      <c r="AH901" s="11"/>
      <c r="AI901" s="11"/>
      <c r="AJ901" s="11"/>
      <c r="AK901" s="11"/>
      <c r="AL901" s="11"/>
      <c r="AM901" s="11"/>
      <c r="AN901" s="11"/>
      <c r="AO901" s="11"/>
    </row>
    <row r="902">
      <c r="A902" s="94"/>
      <c r="B902" s="690"/>
      <c r="C902" s="94"/>
      <c r="D902" s="94"/>
      <c r="E902" s="94"/>
      <c r="F902" s="94"/>
      <c r="G902" s="94"/>
      <c r="H902" s="691"/>
      <c r="I902" s="691"/>
      <c r="J902" s="691"/>
      <c r="K902" s="691"/>
      <c r="L902" s="691"/>
      <c r="M902" s="691"/>
      <c r="N902" s="691"/>
      <c r="O902" s="691"/>
      <c r="P902" s="691"/>
      <c r="Q902" s="741"/>
      <c r="R902" s="741"/>
      <c r="S902" s="741"/>
      <c r="T902" s="85"/>
      <c r="U902" s="85"/>
      <c r="V902" s="85"/>
      <c r="W902" s="11"/>
      <c r="X902" s="11"/>
      <c r="Y902" s="11"/>
      <c r="Z902" s="11"/>
      <c r="AA902" s="11"/>
      <c r="AB902" s="11"/>
      <c r="AC902" s="11"/>
      <c r="AD902" s="11"/>
      <c r="AE902" s="11"/>
      <c r="AF902" s="11"/>
      <c r="AG902" s="11"/>
      <c r="AH902" s="11"/>
      <c r="AI902" s="11"/>
      <c r="AJ902" s="11"/>
      <c r="AK902" s="11"/>
      <c r="AL902" s="11"/>
      <c r="AM902" s="11"/>
      <c r="AN902" s="11"/>
      <c r="AO902" s="11"/>
    </row>
    <row r="903">
      <c r="A903" s="94"/>
      <c r="B903" s="690"/>
      <c r="C903" s="94"/>
      <c r="D903" s="94"/>
      <c r="E903" s="94"/>
      <c r="F903" s="94"/>
      <c r="G903" s="94"/>
      <c r="H903" s="691"/>
      <c r="I903" s="691"/>
      <c r="J903" s="691"/>
      <c r="K903" s="691"/>
      <c r="L903" s="691"/>
      <c r="M903" s="691"/>
      <c r="N903" s="691"/>
      <c r="O903" s="691"/>
      <c r="P903" s="691"/>
      <c r="Q903" s="741"/>
      <c r="R903" s="741"/>
      <c r="S903" s="741"/>
      <c r="T903" s="85"/>
      <c r="U903" s="85"/>
      <c r="V903" s="85"/>
      <c r="W903" s="11"/>
      <c r="X903" s="11"/>
      <c r="Y903" s="11"/>
      <c r="Z903" s="11"/>
      <c r="AA903" s="11"/>
      <c r="AB903" s="11"/>
      <c r="AC903" s="11"/>
      <c r="AD903" s="11"/>
      <c r="AE903" s="11"/>
      <c r="AF903" s="11"/>
      <c r="AG903" s="11"/>
      <c r="AH903" s="11"/>
      <c r="AI903" s="11"/>
      <c r="AJ903" s="11"/>
      <c r="AK903" s="11"/>
      <c r="AL903" s="11"/>
      <c r="AM903" s="11"/>
      <c r="AN903" s="11"/>
      <c r="AO903" s="11"/>
    </row>
    <row r="904">
      <c r="A904" s="94"/>
      <c r="B904" s="690"/>
      <c r="C904" s="94"/>
      <c r="D904" s="94"/>
      <c r="E904" s="94"/>
      <c r="F904" s="94"/>
      <c r="G904" s="94"/>
      <c r="H904" s="691"/>
      <c r="I904" s="691"/>
      <c r="J904" s="691"/>
      <c r="K904" s="691"/>
      <c r="L904" s="691"/>
      <c r="M904" s="691"/>
      <c r="N904" s="691"/>
      <c r="O904" s="691"/>
      <c r="P904" s="691"/>
      <c r="Q904" s="741"/>
      <c r="R904" s="741"/>
      <c r="S904" s="741"/>
      <c r="T904" s="85"/>
      <c r="U904" s="85"/>
      <c r="V904" s="85"/>
      <c r="W904" s="11"/>
      <c r="X904" s="11"/>
      <c r="Y904" s="11"/>
      <c r="Z904" s="11"/>
      <c r="AA904" s="11"/>
      <c r="AB904" s="11"/>
      <c r="AC904" s="11"/>
      <c r="AD904" s="11"/>
      <c r="AE904" s="11"/>
      <c r="AF904" s="11"/>
      <c r="AG904" s="11"/>
      <c r="AH904" s="11"/>
      <c r="AI904" s="11"/>
      <c r="AJ904" s="11"/>
      <c r="AK904" s="11"/>
      <c r="AL904" s="11"/>
      <c r="AM904" s="11"/>
      <c r="AN904" s="11"/>
      <c r="AO904" s="11"/>
    </row>
    <row r="905">
      <c r="A905" s="94"/>
      <c r="B905" s="690"/>
      <c r="C905" s="94"/>
      <c r="D905" s="94"/>
      <c r="E905" s="94"/>
      <c r="F905" s="94"/>
      <c r="G905" s="94"/>
      <c r="H905" s="691"/>
      <c r="I905" s="691"/>
      <c r="J905" s="691"/>
      <c r="K905" s="691"/>
      <c r="L905" s="691"/>
      <c r="M905" s="691"/>
      <c r="N905" s="691"/>
      <c r="O905" s="691"/>
      <c r="P905" s="691"/>
      <c r="Q905" s="741"/>
      <c r="R905" s="741"/>
      <c r="S905" s="741"/>
      <c r="T905" s="85"/>
      <c r="U905" s="85"/>
      <c r="V905" s="85"/>
      <c r="W905" s="11"/>
      <c r="X905" s="11"/>
      <c r="Y905" s="11"/>
      <c r="Z905" s="11"/>
      <c r="AA905" s="11"/>
      <c r="AB905" s="11"/>
      <c r="AC905" s="11"/>
      <c r="AD905" s="11"/>
      <c r="AE905" s="11"/>
      <c r="AF905" s="11"/>
      <c r="AG905" s="11"/>
      <c r="AH905" s="11"/>
      <c r="AI905" s="11"/>
      <c r="AJ905" s="11"/>
      <c r="AK905" s="11"/>
      <c r="AL905" s="11"/>
      <c r="AM905" s="11"/>
      <c r="AN905" s="11"/>
      <c r="AO905" s="11"/>
    </row>
    <row r="906">
      <c r="A906" s="94"/>
      <c r="B906" s="690"/>
      <c r="C906" s="94"/>
      <c r="D906" s="94"/>
      <c r="E906" s="94"/>
      <c r="F906" s="94"/>
      <c r="G906" s="94"/>
      <c r="H906" s="691"/>
      <c r="I906" s="691"/>
      <c r="J906" s="691"/>
      <c r="K906" s="691"/>
      <c r="L906" s="691"/>
      <c r="M906" s="691"/>
      <c r="N906" s="691"/>
      <c r="O906" s="691"/>
      <c r="P906" s="691"/>
      <c r="Q906" s="741"/>
      <c r="R906" s="741"/>
      <c r="S906" s="741"/>
      <c r="T906" s="85"/>
      <c r="U906" s="85"/>
      <c r="V906" s="85"/>
      <c r="W906" s="11"/>
      <c r="X906" s="11"/>
      <c r="Y906" s="11"/>
      <c r="Z906" s="11"/>
      <c r="AA906" s="11"/>
      <c r="AB906" s="11"/>
      <c r="AC906" s="11"/>
      <c r="AD906" s="11"/>
      <c r="AE906" s="11"/>
      <c r="AF906" s="11"/>
      <c r="AG906" s="11"/>
      <c r="AH906" s="11"/>
      <c r="AI906" s="11"/>
      <c r="AJ906" s="11"/>
      <c r="AK906" s="11"/>
      <c r="AL906" s="11"/>
      <c r="AM906" s="11"/>
      <c r="AN906" s="11"/>
      <c r="AO906" s="11"/>
    </row>
    <row r="907">
      <c r="A907" s="94"/>
      <c r="B907" s="690"/>
      <c r="C907" s="94"/>
      <c r="D907" s="94"/>
      <c r="E907" s="94"/>
      <c r="F907" s="94"/>
      <c r="G907" s="94"/>
      <c r="H907" s="691"/>
      <c r="I907" s="691"/>
      <c r="J907" s="691"/>
      <c r="K907" s="691"/>
      <c r="L907" s="691"/>
      <c r="M907" s="691"/>
      <c r="N907" s="691"/>
      <c r="O907" s="691"/>
      <c r="P907" s="691"/>
      <c r="Q907" s="741"/>
      <c r="R907" s="741"/>
      <c r="S907" s="741"/>
      <c r="T907" s="85"/>
      <c r="U907" s="85"/>
      <c r="V907" s="85"/>
      <c r="W907" s="11"/>
      <c r="X907" s="11"/>
      <c r="Y907" s="11"/>
      <c r="Z907" s="11"/>
      <c r="AA907" s="11"/>
      <c r="AB907" s="11"/>
      <c r="AC907" s="11"/>
      <c r="AD907" s="11"/>
      <c r="AE907" s="11"/>
      <c r="AF907" s="11"/>
      <c r="AG907" s="11"/>
      <c r="AH907" s="11"/>
      <c r="AI907" s="11"/>
      <c r="AJ907" s="11"/>
      <c r="AK907" s="11"/>
      <c r="AL907" s="11"/>
      <c r="AM907" s="11"/>
      <c r="AN907" s="11"/>
      <c r="AO907" s="11"/>
    </row>
    <row r="908">
      <c r="A908" s="94"/>
      <c r="B908" s="690"/>
      <c r="C908" s="94"/>
      <c r="D908" s="94"/>
      <c r="E908" s="94"/>
      <c r="F908" s="94"/>
      <c r="G908" s="94"/>
      <c r="H908" s="691"/>
      <c r="I908" s="691"/>
      <c r="J908" s="691"/>
      <c r="K908" s="691"/>
      <c r="L908" s="691"/>
      <c r="M908" s="691"/>
      <c r="N908" s="691"/>
      <c r="O908" s="691"/>
      <c r="P908" s="691"/>
      <c r="Q908" s="741"/>
      <c r="R908" s="741"/>
      <c r="S908" s="741"/>
      <c r="T908" s="85"/>
      <c r="U908" s="85"/>
      <c r="V908" s="85"/>
      <c r="W908" s="11"/>
      <c r="X908" s="11"/>
      <c r="Y908" s="11"/>
      <c r="Z908" s="11"/>
      <c r="AA908" s="11"/>
      <c r="AB908" s="11"/>
      <c r="AC908" s="11"/>
      <c r="AD908" s="11"/>
      <c r="AE908" s="11"/>
      <c r="AF908" s="11"/>
      <c r="AG908" s="11"/>
      <c r="AH908" s="11"/>
      <c r="AI908" s="11"/>
      <c r="AJ908" s="11"/>
      <c r="AK908" s="11"/>
      <c r="AL908" s="11"/>
      <c r="AM908" s="11"/>
      <c r="AN908" s="11"/>
      <c r="AO908" s="11"/>
    </row>
    <row r="909">
      <c r="A909" s="94"/>
      <c r="B909" s="690"/>
      <c r="C909" s="94"/>
      <c r="D909" s="94"/>
      <c r="E909" s="94"/>
      <c r="F909" s="94"/>
      <c r="G909" s="94"/>
      <c r="H909" s="691"/>
      <c r="I909" s="691"/>
      <c r="J909" s="691"/>
      <c r="K909" s="691"/>
      <c r="L909" s="691"/>
      <c r="M909" s="691"/>
      <c r="N909" s="691"/>
      <c r="O909" s="691"/>
      <c r="P909" s="691"/>
      <c r="Q909" s="741"/>
      <c r="R909" s="741"/>
      <c r="S909" s="741"/>
      <c r="T909" s="85"/>
      <c r="U909" s="85"/>
      <c r="V909" s="85"/>
      <c r="W909" s="11"/>
      <c r="X909" s="11"/>
      <c r="Y909" s="11"/>
      <c r="Z909" s="11"/>
      <c r="AA909" s="11"/>
      <c r="AB909" s="11"/>
      <c r="AC909" s="11"/>
      <c r="AD909" s="11"/>
      <c r="AE909" s="11"/>
      <c r="AF909" s="11"/>
      <c r="AG909" s="11"/>
      <c r="AH909" s="11"/>
      <c r="AI909" s="11"/>
      <c r="AJ909" s="11"/>
      <c r="AK909" s="11"/>
      <c r="AL909" s="11"/>
      <c r="AM909" s="11"/>
      <c r="AN909" s="11"/>
      <c r="AO909" s="11"/>
    </row>
    <row r="910">
      <c r="A910" s="94"/>
      <c r="B910" s="690"/>
      <c r="C910" s="94"/>
      <c r="D910" s="94"/>
      <c r="E910" s="94"/>
      <c r="F910" s="94"/>
      <c r="G910" s="94"/>
      <c r="H910" s="691"/>
      <c r="I910" s="691"/>
      <c r="J910" s="691"/>
      <c r="K910" s="691"/>
      <c r="L910" s="691"/>
      <c r="M910" s="691"/>
      <c r="N910" s="691"/>
      <c r="O910" s="691"/>
      <c r="P910" s="691"/>
      <c r="Q910" s="741"/>
      <c r="R910" s="741"/>
      <c r="S910" s="741"/>
      <c r="T910" s="85"/>
      <c r="U910" s="85"/>
      <c r="V910" s="85"/>
      <c r="W910" s="11"/>
      <c r="X910" s="11"/>
      <c r="Y910" s="11"/>
      <c r="Z910" s="11"/>
      <c r="AA910" s="11"/>
      <c r="AB910" s="11"/>
      <c r="AC910" s="11"/>
      <c r="AD910" s="11"/>
      <c r="AE910" s="11"/>
      <c r="AF910" s="11"/>
      <c r="AG910" s="11"/>
      <c r="AH910" s="11"/>
      <c r="AI910" s="11"/>
      <c r="AJ910" s="11"/>
      <c r="AK910" s="11"/>
      <c r="AL910" s="11"/>
      <c r="AM910" s="11"/>
      <c r="AN910" s="11"/>
      <c r="AO910" s="11"/>
    </row>
    <row r="911">
      <c r="A911" s="94"/>
      <c r="B911" s="690"/>
      <c r="C911" s="94"/>
      <c r="D911" s="94"/>
      <c r="E911" s="94"/>
      <c r="F911" s="94"/>
      <c r="G911" s="94"/>
      <c r="H911" s="691"/>
      <c r="I911" s="691"/>
      <c r="J911" s="691"/>
      <c r="K911" s="691"/>
      <c r="L911" s="691"/>
      <c r="M911" s="691"/>
      <c r="N911" s="691"/>
      <c r="O911" s="691"/>
      <c r="P911" s="691"/>
      <c r="Q911" s="741"/>
      <c r="R911" s="741"/>
      <c r="S911" s="741"/>
      <c r="T911" s="85"/>
      <c r="U911" s="85"/>
      <c r="V911" s="85"/>
      <c r="W911" s="11"/>
      <c r="X911" s="11"/>
      <c r="Y911" s="11"/>
      <c r="Z911" s="11"/>
      <c r="AA911" s="11"/>
      <c r="AB911" s="11"/>
      <c r="AC911" s="11"/>
      <c r="AD911" s="11"/>
      <c r="AE911" s="11"/>
      <c r="AF911" s="11"/>
      <c r="AG911" s="11"/>
      <c r="AH911" s="11"/>
      <c r="AI911" s="11"/>
      <c r="AJ911" s="11"/>
      <c r="AK911" s="11"/>
      <c r="AL911" s="11"/>
      <c r="AM911" s="11"/>
      <c r="AN911" s="11"/>
      <c r="AO911" s="11"/>
    </row>
    <row r="912">
      <c r="A912" s="94"/>
      <c r="B912" s="690"/>
      <c r="C912" s="94"/>
      <c r="D912" s="94"/>
      <c r="E912" s="94"/>
      <c r="F912" s="94"/>
      <c r="G912" s="94"/>
      <c r="H912" s="691"/>
      <c r="I912" s="691"/>
      <c r="J912" s="691"/>
      <c r="K912" s="691"/>
      <c r="L912" s="691"/>
      <c r="M912" s="691"/>
      <c r="N912" s="691"/>
      <c r="O912" s="691"/>
      <c r="P912" s="691"/>
      <c r="Q912" s="741"/>
      <c r="R912" s="741"/>
      <c r="S912" s="741"/>
      <c r="T912" s="85"/>
      <c r="U912" s="85"/>
      <c r="V912" s="85"/>
      <c r="W912" s="11"/>
      <c r="X912" s="11"/>
      <c r="Y912" s="11"/>
      <c r="Z912" s="11"/>
      <c r="AA912" s="11"/>
      <c r="AB912" s="11"/>
      <c r="AC912" s="11"/>
      <c r="AD912" s="11"/>
      <c r="AE912" s="11"/>
      <c r="AF912" s="11"/>
      <c r="AG912" s="11"/>
      <c r="AH912" s="11"/>
      <c r="AI912" s="11"/>
      <c r="AJ912" s="11"/>
      <c r="AK912" s="11"/>
      <c r="AL912" s="11"/>
      <c r="AM912" s="11"/>
      <c r="AN912" s="11"/>
      <c r="AO912" s="11"/>
    </row>
    <row r="913">
      <c r="A913" s="94"/>
      <c r="B913" s="690"/>
      <c r="C913" s="94"/>
      <c r="D913" s="94"/>
      <c r="E913" s="94"/>
      <c r="F913" s="94"/>
      <c r="G913" s="94"/>
      <c r="H913" s="691"/>
      <c r="I913" s="691"/>
      <c r="J913" s="691"/>
      <c r="K913" s="691"/>
      <c r="L913" s="691"/>
      <c r="M913" s="691"/>
      <c r="N913" s="691"/>
      <c r="O913" s="691"/>
      <c r="P913" s="691"/>
      <c r="Q913" s="741"/>
      <c r="R913" s="741"/>
      <c r="S913" s="741"/>
      <c r="T913" s="85"/>
      <c r="U913" s="85"/>
      <c r="V913" s="85"/>
      <c r="W913" s="11"/>
      <c r="X913" s="11"/>
      <c r="Y913" s="11"/>
      <c r="Z913" s="11"/>
      <c r="AA913" s="11"/>
      <c r="AB913" s="11"/>
      <c r="AC913" s="11"/>
      <c r="AD913" s="11"/>
      <c r="AE913" s="11"/>
      <c r="AF913" s="11"/>
      <c r="AG913" s="11"/>
      <c r="AH913" s="11"/>
      <c r="AI913" s="11"/>
      <c r="AJ913" s="11"/>
      <c r="AK913" s="11"/>
      <c r="AL913" s="11"/>
      <c r="AM913" s="11"/>
      <c r="AN913" s="11"/>
      <c r="AO913" s="11"/>
    </row>
    <row r="914">
      <c r="A914" s="94"/>
      <c r="B914" s="690"/>
      <c r="C914" s="94"/>
      <c r="D914" s="94"/>
      <c r="E914" s="94"/>
      <c r="F914" s="94"/>
      <c r="G914" s="94"/>
      <c r="H914" s="691"/>
      <c r="I914" s="691"/>
      <c r="J914" s="691"/>
      <c r="K914" s="691"/>
      <c r="L914" s="691"/>
      <c r="M914" s="691"/>
      <c r="N914" s="691"/>
      <c r="O914" s="691"/>
      <c r="P914" s="691"/>
      <c r="Q914" s="741"/>
      <c r="R914" s="741"/>
      <c r="S914" s="741"/>
      <c r="T914" s="85"/>
      <c r="U914" s="85"/>
      <c r="V914" s="85"/>
      <c r="W914" s="11"/>
      <c r="X914" s="11"/>
      <c r="Y914" s="11"/>
      <c r="Z914" s="11"/>
      <c r="AA914" s="11"/>
      <c r="AB914" s="11"/>
      <c r="AC914" s="11"/>
      <c r="AD914" s="11"/>
      <c r="AE914" s="11"/>
      <c r="AF914" s="11"/>
      <c r="AG914" s="11"/>
      <c r="AH914" s="11"/>
      <c r="AI914" s="11"/>
      <c r="AJ914" s="11"/>
      <c r="AK914" s="11"/>
      <c r="AL914" s="11"/>
      <c r="AM914" s="11"/>
      <c r="AN914" s="11"/>
      <c r="AO914" s="11"/>
    </row>
    <row r="915">
      <c r="A915" s="94"/>
      <c r="B915" s="690"/>
      <c r="C915" s="94"/>
      <c r="D915" s="94"/>
      <c r="E915" s="94"/>
      <c r="F915" s="94"/>
      <c r="G915" s="94"/>
      <c r="H915" s="691"/>
      <c r="I915" s="691"/>
      <c r="J915" s="691"/>
      <c r="K915" s="691"/>
      <c r="L915" s="691"/>
      <c r="M915" s="691"/>
      <c r="N915" s="691"/>
      <c r="O915" s="691"/>
      <c r="P915" s="691"/>
      <c r="Q915" s="741"/>
      <c r="R915" s="741"/>
      <c r="S915" s="741"/>
      <c r="T915" s="85"/>
      <c r="U915" s="85"/>
      <c r="V915" s="85"/>
      <c r="W915" s="11"/>
      <c r="X915" s="11"/>
      <c r="Y915" s="11"/>
      <c r="Z915" s="11"/>
      <c r="AA915" s="11"/>
      <c r="AB915" s="11"/>
      <c r="AC915" s="11"/>
      <c r="AD915" s="11"/>
      <c r="AE915" s="11"/>
      <c r="AF915" s="11"/>
      <c r="AG915" s="11"/>
      <c r="AH915" s="11"/>
      <c r="AI915" s="11"/>
      <c r="AJ915" s="11"/>
      <c r="AK915" s="11"/>
      <c r="AL915" s="11"/>
      <c r="AM915" s="11"/>
      <c r="AN915" s="11"/>
      <c r="AO915" s="11"/>
    </row>
    <row r="916">
      <c r="A916" s="94"/>
      <c r="B916" s="690"/>
      <c r="C916" s="94"/>
      <c r="D916" s="94"/>
      <c r="E916" s="94"/>
      <c r="F916" s="94"/>
      <c r="G916" s="94"/>
      <c r="H916" s="691"/>
      <c r="I916" s="691"/>
      <c r="J916" s="691"/>
      <c r="K916" s="691"/>
      <c r="L916" s="691"/>
      <c r="M916" s="691"/>
      <c r="N916" s="691"/>
      <c r="O916" s="691"/>
      <c r="P916" s="691"/>
      <c r="Q916" s="741"/>
      <c r="R916" s="741"/>
      <c r="S916" s="741"/>
      <c r="T916" s="85"/>
      <c r="U916" s="85"/>
      <c r="V916" s="85"/>
      <c r="W916" s="11"/>
      <c r="X916" s="11"/>
      <c r="Y916" s="11"/>
      <c r="Z916" s="11"/>
      <c r="AA916" s="11"/>
      <c r="AB916" s="11"/>
      <c r="AC916" s="11"/>
      <c r="AD916" s="11"/>
      <c r="AE916" s="11"/>
      <c r="AF916" s="11"/>
      <c r="AG916" s="11"/>
      <c r="AH916" s="11"/>
      <c r="AI916" s="11"/>
      <c r="AJ916" s="11"/>
      <c r="AK916" s="11"/>
      <c r="AL916" s="11"/>
      <c r="AM916" s="11"/>
      <c r="AN916" s="11"/>
      <c r="AO916" s="11"/>
    </row>
    <row r="917">
      <c r="A917" s="94"/>
      <c r="B917" s="690"/>
      <c r="C917" s="94"/>
      <c r="D917" s="94"/>
      <c r="E917" s="94"/>
      <c r="F917" s="94"/>
      <c r="G917" s="94"/>
      <c r="H917" s="691"/>
      <c r="I917" s="691"/>
      <c r="J917" s="691"/>
      <c r="K917" s="691"/>
      <c r="L917" s="691"/>
      <c r="M917" s="691"/>
      <c r="N917" s="691"/>
      <c r="O917" s="691"/>
      <c r="P917" s="691"/>
      <c r="Q917" s="741"/>
      <c r="R917" s="741"/>
      <c r="S917" s="741"/>
      <c r="T917" s="85"/>
      <c r="U917" s="85"/>
      <c r="V917" s="85"/>
      <c r="W917" s="11"/>
      <c r="X917" s="11"/>
      <c r="Y917" s="11"/>
      <c r="Z917" s="11"/>
      <c r="AA917" s="11"/>
      <c r="AB917" s="11"/>
      <c r="AC917" s="11"/>
      <c r="AD917" s="11"/>
      <c r="AE917" s="11"/>
      <c r="AF917" s="11"/>
      <c r="AG917" s="11"/>
      <c r="AH917" s="11"/>
      <c r="AI917" s="11"/>
      <c r="AJ917" s="11"/>
      <c r="AK917" s="11"/>
      <c r="AL917" s="11"/>
      <c r="AM917" s="11"/>
      <c r="AN917" s="11"/>
      <c r="AO917" s="11"/>
    </row>
    <row r="918">
      <c r="A918" s="94"/>
      <c r="B918" s="690"/>
      <c r="C918" s="94"/>
      <c r="D918" s="94"/>
      <c r="E918" s="94"/>
      <c r="F918" s="94"/>
      <c r="G918" s="94"/>
      <c r="H918" s="691"/>
      <c r="I918" s="691"/>
      <c r="J918" s="691"/>
      <c r="K918" s="691"/>
      <c r="L918" s="691"/>
      <c r="M918" s="691"/>
      <c r="N918" s="691"/>
      <c r="O918" s="691"/>
      <c r="P918" s="691"/>
      <c r="Q918" s="741"/>
      <c r="R918" s="741"/>
      <c r="S918" s="741"/>
      <c r="T918" s="85"/>
      <c r="U918" s="85"/>
      <c r="V918" s="85"/>
      <c r="W918" s="11"/>
      <c r="X918" s="11"/>
      <c r="Y918" s="11"/>
      <c r="Z918" s="11"/>
      <c r="AA918" s="11"/>
      <c r="AB918" s="11"/>
      <c r="AC918" s="11"/>
      <c r="AD918" s="11"/>
      <c r="AE918" s="11"/>
      <c r="AF918" s="11"/>
      <c r="AG918" s="11"/>
      <c r="AH918" s="11"/>
      <c r="AI918" s="11"/>
      <c r="AJ918" s="11"/>
      <c r="AK918" s="11"/>
      <c r="AL918" s="11"/>
      <c r="AM918" s="11"/>
      <c r="AN918" s="11"/>
      <c r="AO918" s="11"/>
    </row>
    <row r="919">
      <c r="A919" s="94"/>
      <c r="B919" s="690"/>
      <c r="C919" s="94"/>
      <c r="D919" s="94"/>
      <c r="E919" s="94"/>
      <c r="F919" s="94"/>
      <c r="G919" s="94"/>
      <c r="H919" s="691"/>
      <c r="I919" s="691"/>
      <c r="J919" s="691"/>
      <c r="K919" s="691"/>
      <c r="L919" s="691"/>
      <c r="M919" s="691"/>
      <c r="N919" s="691"/>
      <c r="O919" s="691"/>
      <c r="P919" s="691"/>
      <c r="Q919" s="741"/>
      <c r="R919" s="741"/>
      <c r="S919" s="741"/>
      <c r="T919" s="85"/>
      <c r="U919" s="85"/>
      <c r="V919" s="85"/>
      <c r="W919" s="11"/>
      <c r="X919" s="11"/>
      <c r="Y919" s="11"/>
      <c r="Z919" s="11"/>
      <c r="AA919" s="11"/>
      <c r="AB919" s="11"/>
      <c r="AC919" s="11"/>
      <c r="AD919" s="11"/>
      <c r="AE919" s="11"/>
      <c r="AF919" s="11"/>
      <c r="AG919" s="11"/>
      <c r="AH919" s="11"/>
      <c r="AI919" s="11"/>
      <c r="AJ919" s="11"/>
      <c r="AK919" s="11"/>
      <c r="AL919" s="11"/>
      <c r="AM919" s="11"/>
      <c r="AN919" s="11"/>
      <c r="AO919" s="11"/>
    </row>
    <row r="920">
      <c r="A920" s="94"/>
      <c r="B920" s="690"/>
      <c r="C920" s="94"/>
      <c r="D920" s="94"/>
      <c r="E920" s="94"/>
      <c r="F920" s="94"/>
      <c r="G920" s="94"/>
      <c r="H920" s="691"/>
      <c r="I920" s="691"/>
      <c r="J920" s="691"/>
      <c r="K920" s="691"/>
      <c r="L920" s="691"/>
      <c r="M920" s="691"/>
      <c r="N920" s="691"/>
      <c r="O920" s="691"/>
      <c r="P920" s="691"/>
      <c r="Q920" s="741"/>
      <c r="R920" s="741"/>
      <c r="S920" s="741"/>
      <c r="T920" s="85"/>
      <c r="U920" s="85"/>
      <c r="V920" s="85"/>
      <c r="W920" s="11"/>
      <c r="X920" s="11"/>
      <c r="Y920" s="11"/>
      <c r="Z920" s="11"/>
      <c r="AA920" s="11"/>
      <c r="AB920" s="11"/>
      <c r="AC920" s="11"/>
      <c r="AD920" s="11"/>
      <c r="AE920" s="11"/>
      <c r="AF920" s="11"/>
      <c r="AG920" s="11"/>
      <c r="AH920" s="11"/>
      <c r="AI920" s="11"/>
      <c r="AJ920" s="11"/>
      <c r="AK920" s="11"/>
      <c r="AL920" s="11"/>
      <c r="AM920" s="11"/>
      <c r="AN920" s="11"/>
      <c r="AO920" s="11"/>
    </row>
    <row r="921">
      <c r="A921" s="94"/>
      <c r="B921" s="690"/>
      <c r="C921" s="94"/>
      <c r="D921" s="94"/>
      <c r="E921" s="94"/>
      <c r="F921" s="94"/>
      <c r="G921" s="94"/>
      <c r="H921" s="691"/>
      <c r="I921" s="691"/>
      <c r="J921" s="691"/>
      <c r="K921" s="691"/>
      <c r="L921" s="691"/>
      <c r="M921" s="691"/>
      <c r="N921" s="691"/>
      <c r="O921" s="691"/>
      <c r="P921" s="691"/>
      <c r="Q921" s="741"/>
      <c r="R921" s="741"/>
      <c r="S921" s="741"/>
      <c r="T921" s="85"/>
      <c r="U921" s="85"/>
      <c r="V921" s="85"/>
      <c r="W921" s="11"/>
      <c r="X921" s="11"/>
      <c r="Y921" s="11"/>
      <c r="Z921" s="11"/>
      <c r="AA921" s="11"/>
      <c r="AB921" s="11"/>
      <c r="AC921" s="11"/>
      <c r="AD921" s="11"/>
      <c r="AE921" s="11"/>
      <c r="AF921" s="11"/>
      <c r="AG921" s="11"/>
      <c r="AH921" s="11"/>
      <c r="AI921" s="11"/>
      <c r="AJ921" s="11"/>
      <c r="AK921" s="11"/>
      <c r="AL921" s="11"/>
      <c r="AM921" s="11"/>
      <c r="AN921" s="11"/>
      <c r="AO921" s="11"/>
    </row>
    <row r="922">
      <c r="A922" s="94"/>
      <c r="B922" s="690"/>
      <c r="C922" s="94"/>
      <c r="D922" s="94"/>
      <c r="E922" s="94"/>
      <c r="F922" s="94"/>
      <c r="G922" s="94"/>
      <c r="H922" s="691"/>
      <c r="I922" s="691"/>
      <c r="J922" s="691"/>
      <c r="K922" s="691"/>
      <c r="L922" s="691"/>
      <c r="M922" s="691"/>
      <c r="N922" s="691"/>
      <c r="O922" s="691"/>
      <c r="P922" s="691"/>
      <c r="Q922" s="741"/>
      <c r="R922" s="741"/>
      <c r="S922" s="741"/>
      <c r="T922" s="85"/>
      <c r="U922" s="85"/>
      <c r="V922" s="85"/>
      <c r="W922" s="11"/>
      <c r="X922" s="11"/>
      <c r="Y922" s="11"/>
      <c r="Z922" s="11"/>
      <c r="AA922" s="11"/>
      <c r="AB922" s="11"/>
      <c r="AC922" s="11"/>
      <c r="AD922" s="11"/>
      <c r="AE922" s="11"/>
      <c r="AF922" s="11"/>
      <c r="AG922" s="11"/>
      <c r="AH922" s="11"/>
      <c r="AI922" s="11"/>
      <c r="AJ922" s="11"/>
      <c r="AK922" s="11"/>
      <c r="AL922" s="11"/>
      <c r="AM922" s="11"/>
      <c r="AN922" s="11"/>
      <c r="AO922" s="11"/>
    </row>
    <row r="923">
      <c r="A923" s="94"/>
      <c r="B923" s="690"/>
      <c r="C923" s="94"/>
      <c r="D923" s="94"/>
      <c r="E923" s="94"/>
      <c r="F923" s="94"/>
      <c r="G923" s="94"/>
      <c r="H923" s="691"/>
      <c r="I923" s="691"/>
      <c r="J923" s="691"/>
      <c r="K923" s="691"/>
      <c r="L923" s="691"/>
      <c r="M923" s="691"/>
      <c r="N923" s="691"/>
      <c r="O923" s="691"/>
      <c r="P923" s="691"/>
      <c r="Q923" s="741"/>
      <c r="R923" s="741"/>
      <c r="S923" s="741"/>
      <c r="T923" s="85"/>
      <c r="U923" s="85"/>
      <c r="V923" s="85"/>
      <c r="W923" s="11"/>
      <c r="X923" s="11"/>
      <c r="Y923" s="11"/>
      <c r="Z923" s="11"/>
      <c r="AA923" s="11"/>
      <c r="AB923" s="11"/>
      <c r="AC923" s="11"/>
      <c r="AD923" s="11"/>
      <c r="AE923" s="11"/>
      <c r="AF923" s="11"/>
      <c r="AG923" s="11"/>
      <c r="AH923" s="11"/>
      <c r="AI923" s="11"/>
      <c r="AJ923" s="11"/>
      <c r="AK923" s="11"/>
      <c r="AL923" s="11"/>
      <c r="AM923" s="11"/>
      <c r="AN923" s="11"/>
      <c r="AO923" s="11"/>
    </row>
    <row r="924">
      <c r="A924" s="94"/>
      <c r="B924" s="690"/>
      <c r="C924" s="94"/>
      <c r="D924" s="94"/>
      <c r="E924" s="94"/>
      <c r="F924" s="94"/>
      <c r="G924" s="94"/>
      <c r="H924" s="691"/>
      <c r="I924" s="691"/>
      <c r="J924" s="691"/>
      <c r="K924" s="691"/>
      <c r="L924" s="691"/>
      <c r="M924" s="691"/>
      <c r="N924" s="691"/>
      <c r="O924" s="691"/>
      <c r="P924" s="691"/>
      <c r="Q924" s="741"/>
      <c r="R924" s="741"/>
      <c r="S924" s="741"/>
      <c r="T924" s="85"/>
      <c r="U924" s="85"/>
      <c r="V924" s="85"/>
      <c r="W924" s="11"/>
      <c r="X924" s="11"/>
      <c r="Y924" s="11"/>
      <c r="Z924" s="11"/>
      <c r="AA924" s="11"/>
      <c r="AB924" s="11"/>
      <c r="AC924" s="11"/>
      <c r="AD924" s="11"/>
      <c r="AE924" s="11"/>
      <c r="AF924" s="11"/>
      <c r="AG924" s="11"/>
      <c r="AH924" s="11"/>
      <c r="AI924" s="11"/>
      <c r="AJ924" s="11"/>
      <c r="AK924" s="11"/>
      <c r="AL924" s="11"/>
      <c r="AM924" s="11"/>
      <c r="AN924" s="11"/>
      <c r="AO924" s="11"/>
    </row>
    <row r="925">
      <c r="A925" s="94"/>
      <c r="B925" s="690"/>
      <c r="C925" s="94"/>
      <c r="D925" s="94"/>
      <c r="E925" s="94"/>
      <c r="F925" s="94"/>
      <c r="G925" s="94"/>
      <c r="H925" s="691"/>
      <c r="I925" s="691"/>
      <c r="J925" s="691"/>
      <c r="K925" s="691"/>
      <c r="L925" s="691"/>
      <c r="M925" s="691"/>
      <c r="N925" s="691"/>
      <c r="O925" s="691"/>
      <c r="P925" s="691"/>
      <c r="Q925" s="741"/>
      <c r="R925" s="741"/>
      <c r="S925" s="741"/>
      <c r="T925" s="85"/>
      <c r="U925" s="85"/>
      <c r="V925" s="85"/>
      <c r="W925" s="11"/>
      <c r="X925" s="11"/>
      <c r="Y925" s="11"/>
      <c r="Z925" s="11"/>
      <c r="AA925" s="11"/>
      <c r="AB925" s="11"/>
      <c r="AC925" s="11"/>
      <c r="AD925" s="11"/>
      <c r="AE925" s="11"/>
      <c r="AF925" s="11"/>
      <c r="AG925" s="11"/>
      <c r="AH925" s="11"/>
      <c r="AI925" s="11"/>
      <c r="AJ925" s="11"/>
      <c r="AK925" s="11"/>
      <c r="AL925" s="11"/>
      <c r="AM925" s="11"/>
      <c r="AN925" s="11"/>
      <c r="AO925" s="11"/>
    </row>
    <row r="926">
      <c r="A926" s="94"/>
      <c r="B926" s="690"/>
      <c r="C926" s="94"/>
      <c r="D926" s="94"/>
      <c r="E926" s="94"/>
      <c r="F926" s="94"/>
      <c r="G926" s="94"/>
      <c r="H926" s="691"/>
      <c r="I926" s="691"/>
      <c r="J926" s="691"/>
      <c r="K926" s="691"/>
      <c r="L926" s="691"/>
      <c r="M926" s="691"/>
      <c r="N926" s="691"/>
      <c r="O926" s="691"/>
      <c r="P926" s="691"/>
      <c r="Q926" s="741"/>
      <c r="R926" s="741"/>
      <c r="S926" s="741"/>
      <c r="T926" s="85"/>
      <c r="U926" s="85"/>
      <c r="V926" s="85"/>
      <c r="W926" s="11"/>
      <c r="X926" s="11"/>
      <c r="Y926" s="11"/>
      <c r="Z926" s="11"/>
      <c r="AA926" s="11"/>
      <c r="AB926" s="11"/>
      <c r="AC926" s="11"/>
      <c r="AD926" s="11"/>
      <c r="AE926" s="11"/>
      <c r="AF926" s="11"/>
      <c r="AG926" s="11"/>
      <c r="AH926" s="11"/>
      <c r="AI926" s="11"/>
      <c r="AJ926" s="11"/>
      <c r="AK926" s="11"/>
      <c r="AL926" s="11"/>
      <c r="AM926" s="11"/>
      <c r="AN926" s="11"/>
      <c r="AO926" s="11"/>
    </row>
    <row r="927">
      <c r="A927" s="94"/>
      <c r="B927" s="690"/>
      <c r="C927" s="94"/>
      <c r="D927" s="94"/>
      <c r="E927" s="94"/>
      <c r="F927" s="94"/>
      <c r="G927" s="94"/>
      <c r="H927" s="691"/>
      <c r="I927" s="691"/>
      <c r="J927" s="691"/>
      <c r="K927" s="691"/>
      <c r="L927" s="691"/>
      <c r="M927" s="691"/>
      <c r="N927" s="691"/>
      <c r="O927" s="691"/>
      <c r="P927" s="691"/>
      <c r="Q927" s="741"/>
      <c r="R927" s="741"/>
      <c r="S927" s="741"/>
      <c r="T927" s="85"/>
      <c r="U927" s="85"/>
      <c r="V927" s="85"/>
      <c r="W927" s="11"/>
      <c r="X927" s="11"/>
      <c r="Y927" s="11"/>
      <c r="Z927" s="11"/>
      <c r="AA927" s="11"/>
      <c r="AB927" s="11"/>
      <c r="AC927" s="11"/>
      <c r="AD927" s="11"/>
      <c r="AE927" s="11"/>
      <c r="AF927" s="11"/>
      <c r="AG927" s="11"/>
      <c r="AH927" s="11"/>
      <c r="AI927" s="11"/>
      <c r="AJ927" s="11"/>
      <c r="AK927" s="11"/>
      <c r="AL927" s="11"/>
      <c r="AM927" s="11"/>
      <c r="AN927" s="11"/>
      <c r="AO927" s="11"/>
    </row>
    <row r="928">
      <c r="A928" s="94"/>
      <c r="B928" s="690"/>
      <c r="C928" s="94"/>
      <c r="D928" s="94"/>
      <c r="E928" s="94"/>
      <c r="F928" s="94"/>
      <c r="G928" s="94"/>
      <c r="H928" s="691"/>
      <c r="I928" s="691"/>
      <c r="J928" s="691"/>
      <c r="K928" s="691"/>
      <c r="L928" s="691"/>
      <c r="M928" s="691"/>
      <c r="N928" s="691"/>
      <c r="O928" s="691"/>
      <c r="P928" s="691"/>
      <c r="Q928" s="741"/>
      <c r="R928" s="741"/>
      <c r="S928" s="741"/>
      <c r="T928" s="85"/>
      <c r="U928" s="85"/>
      <c r="V928" s="85"/>
      <c r="W928" s="11"/>
      <c r="X928" s="11"/>
      <c r="Y928" s="11"/>
      <c r="Z928" s="11"/>
      <c r="AA928" s="11"/>
      <c r="AB928" s="11"/>
      <c r="AC928" s="11"/>
      <c r="AD928" s="11"/>
      <c r="AE928" s="11"/>
      <c r="AF928" s="11"/>
      <c r="AG928" s="11"/>
      <c r="AH928" s="11"/>
      <c r="AI928" s="11"/>
      <c r="AJ928" s="11"/>
      <c r="AK928" s="11"/>
      <c r="AL928" s="11"/>
      <c r="AM928" s="11"/>
      <c r="AN928" s="11"/>
      <c r="AO928" s="11"/>
    </row>
    <row r="929">
      <c r="A929" s="94"/>
      <c r="B929" s="690"/>
      <c r="C929" s="94"/>
      <c r="D929" s="94"/>
      <c r="E929" s="94"/>
      <c r="F929" s="94"/>
      <c r="G929" s="94"/>
      <c r="H929" s="691"/>
      <c r="I929" s="691"/>
      <c r="J929" s="691"/>
      <c r="K929" s="691"/>
      <c r="L929" s="691"/>
      <c r="M929" s="691"/>
      <c r="N929" s="691"/>
      <c r="O929" s="691"/>
      <c r="P929" s="691"/>
      <c r="Q929" s="741"/>
      <c r="R929" s="741"/>
      <c r="S929" s="741"/>
      <c r="T929" s="85"/>
      <c r="U929" s="85"/>
      <c r="V929" s="85"/>
      <c r="W929" s="11"/>
      <c r="X929" s="11"/>
      <c r="Y929" s="11"/>
      <c r="Z929" s="11"/>
      <c r="AA929" s="11"/>
      <c r="AB929" s="11"/>
      <c r="AC929" s="11"/>
      <c r="AD929" s="11"/>
      <c r="AE929" s="11"/>
      <c r="AF929" s="11"/>
      <c r="AG929" s="11"/>
      <c r="AH929" s="11"/>
      <c r="AI929" s="11"/>
      <c r="AJ929" s="11"/>
      <c r="AK929" s="11"/>
      <c r="AL929" s="11"/>
      <c r="AM929" s="11"/>
      <c r="AN929" s="11"/>
      <c r="AO929" s="11"/>
    </row>
    <row r="930">
      <c r="A930" s="94"/>
      <c r="B930" s="690"/>
      <c r="C930" s="94"/>
      <c r="D930" s="94"/>
      <c r="E930" s="94"/>
      <c r="F930" s="94"/>
      <c r="G930" s="94"/>
      <c r="H930" s="691"/>
      <c r="I930" s="691"/>
      <c r="J930" s="691"/>
      <c r="K930" s="691"/>
      <c r="L930" s="691"/>
      <c r="M930" s="691"/>
      <c r="N930" s="691"/>
      <c r="O930" s="691"/>
      <c r="P930" s="691"/>
      <c r="Q930" s="741"/>
      <c r="R930" s="741"/>
      <c r="S930" s="741"/>
      <c r="T930" s="85"/>
      <c r="U930" s="85"/>
      <c r="V930" s="85"/>
      <c r="W930" s="11"/>
      <c r="X930" s="11"/>
      <c r="Y930" s="11"/>
      <c r="Z930" s="11"/>
      <c r="AA930" s="11"/>
      <c r="AB930" s="11"/>
      <c r="AC930" s="11"/>
      <c r="AD930" s="11"/>
      <c r="AE930" s="11"/>
      <c r="AF930" s="11"/>
      <c r="AG930" s="11"/>
      <c r="AH930" s="11"/>
      <c r="AI930" s="11"/>
      <c r="AJ930" s="11"/>
      <c r="AK930" s="11"/>
      <c r="AL930" s="11"/>
      <c r="AM930" s="11"/>
      <c r="AN930" s="11"/>
      <c r="AO930" s="11"/>
    </row>
    <row r="931">
      <c r="A931" s="94"/>
      <c r="B931" s="690"/>
      <c r="C931" s="94"/>
      <c r="D931" s="94"/>
      <c r="E931" s="94"/>
      <c r="F931" s="94"/>
      <c r="G931" s="94"/>
      <c r="H931" s="691"/>
      <c r="I931" s="691"/>
      <c r="J931" s="691"/>
      <c r="K931" s="691"/>
      <c r="L931" s="691"/>
      <c r="M931" s="691"/>
      <c r="N931" s="691"/>
      <c r="O931" s="691"/>
      <c r="P931" s="691"/>
      <c r="Q931" s="741"/>
      <c r="R931" s="741"/>
      <c r="S931" s="741"/>
      <c r="T931" s="85"/>
      <c r="U931" s="85"/>
      <c r="V931" s="85"/>
      <c r="W931" s="11"/>
      <c r="X931" s="11"/>
      <c r="Y931" s="11"/>
      <c r="Z931" s="11"/>
      <c r="AA931" s="11"/>
      <c r="AB931" s="11"/>
      <c r="AC931" s="11"/>
      <c r="AD931" s="11"/>
      <c r="AE931" s="11"/>
      <c r="AF931" s="11"/>
      <c r="AG931" s="11"/>
      <c r="AH931" s="11"/>
      <c r="AI931" s="11"/>
      <c r="AJ931" s="11"/>
      <c r="AK931" s="11"/>
      <c r="AL931" s="11"/>
      <c r="AM931" s="11"/>
      <c r="AN931" s="11"/>
      <c r="AO931" s="11"/>
    </row>
    <row r="932">
      <c r="A932" s="94"/>
      <c r="B932" s="690"/>
      <c r="C932" s="94"/>
      <c r="D932" s="94"/>
      <c r="E932" s="94"/>
      <c r="F932" s="94"/>
      <c r="G932" s="94"/>
      <c r="H932" s="691"/>
      <c r="I932" s="691"/>
      <c r="J932" s="691"/>
      <c r="K932" s="691"/>
      <c r="L932" s="691"/>
      <c r="M932" s="691"/>
      <c r="N932" s="691"/>
      <c r="O932" s="691"/>
      <c r="P932" s="691"/>
      <c r="Q932" s="741"/>
      <c r="R932" s="741"/>
      <c r="S932" s="741"/>
      <c r="T932" s="85"/>
      <c r="U932" s="85"/>
      <c r="V932" s="85"/>
      <c r="W932" s="11"/>
      <c r="X932" s="11"/>
      <c r="Y932" s="11"/>
      <c r="Z932" s="11"/>
      <c r="AA932" s="11"/>
      <c r="AB932" s="11"/>
      <c r="AC932" s="11"/>
      <c r="AD932" s="11"/>
      <c r="AE932" s="11"/>
      <c r="AF932" s="11"/>
      <c r="AG932" s="11"/>
      <c r="AH932" s="11"/>
      <c r="AI932" s="11"/>
      <c r="AJ932" s="11"/>
      <c r="AK932" s="11"/>
      <c r="AL932" s="11"/>
      <c r="AM932" s="11"/>
      <c r="AN932" s="11"/>
      <c r="AO932" s="11"/>
    </row>
    <row r="933">
      <c r="A933" s="94"/>
      <c r="B933" s="690"/>
      <c r="C933" s="94"/>
      <c r="D933" s="94"/>
      <c r="E933" s="94"/>
      <c r="F933" s="94"/>
      <c r="G933" s="94"/>
      <c r="H933" s="691"/>
      <c r="I933" s="691"/>
      <c r="J933" s="691"/>
      <c r="K933" s="691"/>
      <c r="L933" s="691"/>
      <c r="M933" s="691"/>
      <c r="N933" s="691"/>
      <c r="O933" s="691"/>
      <c r="P933" s="691"/>
      <c r="Q933" s="741"/>
      <c r="R933" s="741"/>
      <c r="S933" s="741"/>
      <c r="T933" s="85"/>
      <c r="U933" s="85"/>
      <c r="V933" s="85"/>
      <c r="W933" s="11"/>
      <c r="X933" s="11"/>
      <c r="Y933" s="11"/>
      <c r="Z933" s="11"/>
      <c r="AA933" s="11"/>
      <c r="AB933" s="11"/>
      <c r="AC933" s="11"/>
      <c r="AD933" s="11"/>
      <c r="AE933" s="11"/>
      <c r="AF933" s="11"/>
      <c r="AG933" s="11"/>
      <c r="AH933" s="11"/>
      <c r="AI933" s="11"/>
      <c r="AJ933" s="11"/>
      <c r="AK933" s="11"/>
      <c r="AL933" s="11"/>
      <c r="AM933" s="11"/>
      <c r="AN933" s="11"/>
      <c r="AO933" s="11"/>
    </row>
    <row r="934">
      <c r="A934" s="94"/>
      <c r="B934" s="690"/>
      <c r="C934" s="94"/>
      <c r="D934" s="94"/>
      <c r="E934" s="94"/>
      <c r="F934" s="94"/>
      <c r="G934" s="94"/>
      <c r="H934" s="691"/>
      <c r="I934" s="691"/>
      <c r="J934" s="691"/>
      <c r="K934" s="691"/>
      <c r="L934" s="691"/>
      <c r="M934" s="691"/>
      <c r="N934" s="691"/>
      <c r="O934" s="691"/>
      <c r="P934" s="691"/>
      <c r="Q934" s="741"/>
      <c r="R934" s="741"/>
      <c r="S934" s="741"/>
      <c r="T934" s="85"/>
      <c r="U934" s="85"/>
      <c r="V934" s="85"/>
      <c r="W934" s="11"/>
      <c r="X934" s="11"/>
      <c r="Y934" s="11"/>
      <c r="Z934" s="11"/>
      <c r="AA934" s="11"/>
      <c r="AB934" s="11"/>
      <c r="AC934" s="11"/>
      <c r="AD934" s="11"/>
      <c r="AE934" s="11"/>
      <c r="AF934" s="11"/>
      <c r="AG934" s="11"/>
      <c r="AH934" s="11"/>
      <c r="AI934" s="11"/>
      <c r="AJ934" s="11"/>
      <c r="AK934" s="11"/>
      <c r="AL934" s="11"/>
      <c r="AM934" s="11"/>
      <c r="AN934" s="11"/>
      <c r="AO934" s="11"/>
    </row>
    <row r="935">
      <c r="A935" s="94"/>
      <c r="B935" s="690"/>
      <c r="C935" s="94"/>
      <c r="D935" s="94"/>
      <c r="E935" s="94"/>
      <c r="F935" s="94"/>
      <c r="G935" s="94"/>
      <c r="H935" s="691"/>
      <c r="I935" s="691"/>
      <c r="J935" s="691"/>
      <c r="K935" s="691"/>
      <c r="L935" s="691"/>
      <c r="M935" s="691"/>
      <c r="N935" s="691"/>
      <c r="O935" s="691"/>
      <c r="P935" s="691"/>
      <c r="Q935" s="741"/>
      <c r="R935" s="741"/>
      <c r="S935" s="741"/>
      <c r="T935" s="85"/>
      <c r="U935" s="85"/>
      <c r="V935" s="85"/>
      <c r="W935" s="11"/>
      <c r="X935" s="11"/>
      <c r="Y935" s="11"/>
      <c r="Z935" s="11"/>
      <c r="AA935" s="11"/>
      <c r="AB935" s="11"/>
      <c r="AC935" s="11"/>
      <c r="AD935" s="11"/>
      <c r="AE935" s="11"/>
      <c r="AF935" s="11"/>
      <c r="AG935" s="11"/>
      <c r="AH935" s="11"/>
      <c r="AI935" s="11"/>
      <c r="AJ935" s="11"/>
      <c r="AK935" s="11"/>
      <c r="AL935" s="11"/>
      <c r="AM935" s="11"/>
      <c r="AN935" s="11"/>
      <c r="AO935" s="11"/>
    </row>
    <row r="936">
      <c r="A936" s="94"/>
      <c r="B936" s="690"/>
      <c r="C936" s="94"/>
      <c r="D936" s="94"/>
      <c r="E936" s="94"/>
      <c r="F936" s="94"/>
      <c r="G936" s="94"/>
      <c r="H936" s="691"/>
      <c r="I936" s="691"/>
      <c r="J936" s="691"/>
      <c r="K936" s="691"/>
      <c r="L936" s="691"/>
      <c r="M936" s="691"/>
      <c r="N936" s="691"/>
      <c r="O936" s="691"/>
      <c r="P936" s="691"/>
      <c r="Q936" s="741"/>
      <c r="R936" s="741"/>
      <c r="S936" s="741"/>
      <c r="T936" s="85"/>
      <c r="U936" s="85"/>
      <c r="V936" s="85"/>
      <c r="W936" s="11"/>
      <c r="X936" s="11"/>
      <c r="Y936" s="11"/>
      <c r="Z936" s="11"/>
      <c r="AA936" s="11"/>
      <c r="AB936" s="11"/>
      <c r="AC936" s="11"/>
      <c r="AD936" s="11"/>
      <c r="AE936" s="11"/>
      <c r="AF936" s="11"/>
      <c r="AG936" s="11"/>
      <c r="AH936" s="11"/>
      <c r="AI936" s="11"/>
      <c r="AJ936" s="11"/>
      <c r="AK936" s="11"/>
      <c r="AL936" s="11"/>
      <c r="AM936" s="11"/>
      <c r="AN936" s="11"/>
      <c r="AO936" s="11"/>
    </row>
    <row r="937">
      <c r="A937" s="94"/>
      <c r="B937" s="690"/>
      <c r="C937" s="94"/>
      <c r="D937" s="94"/>
      <c r="E937" s="94"/>
      <c r="F937" s="94"/>
      <c r="G937" s="94"/>
      <c r="H937" s="691"/>
      <c r="I937" s="691"/>
      <c r="J937" s="691"/>
      <c r="K937" s="691"/>
      <c r="L937" s="691"/>
      <c r="M937" s="691"/>
      <c r="N937" s="691"/>
      <c r="O937" s="691"/>
      <c r="P937" s="691"/>
      <c r="Q937" s="741"/>
      <c r="R937" s="741"/>
      <c r="S937" s="741"/>
      <c r="T937" s="85"/>
      <c r="U937" s="85"/>
      <c r="V937" s="85"/>
      <c r="W937" s="11"/>
      <c r="X937" s="11"/>
      <c r="Y937" s="11"/>
      <c r="Z937" s="11"/>
      <c r="AA937" s="11"/>
      <c r="AB937" s="11"/>
      <c r="AC937" s="11"/>
      <c r="AD937" s="11"/>
      <c r="AE937" s="11"/>
      <c r="AF937" s="11"/>
      <c r="AG937" s="11"/>
      <c r="AH937" s="11"/>
      <c r="AI937" s="11"/>
      <c r="AJ937" s="11"/>
      <c r="AK937" s="11"/>
      <c r="AL937" s="11"/>
      <c r="AM937" s="11"/>
      <c r="AN937" s="11"/>
      <c r="AO937" s="11"/>
    </row>
    <row r="938">
      <c r="A938" s="94"/>
      <c r="B938" s="690"/>
      <c r="C938" s="94"/>
      <c r="D938" s="94"/>
      <c r="E938" s="94"/>
      <c r="F938" s="94"/>
      <c r="G938" s="94"/>
      <c r="H938" s="691"/>
      <c r="I938" s="691"/>
      <c r="J938" s="691"/>
      <c r="K938" s="691"/>
      <c r="L938" s="691"/>
      <c r="M938" s="691"/>
      <c r="N938" s="691"/>
      <c r="O938" s="691"/>
      <c r="P938" s="691"/>
      <c r="Q938" s="741"/>
      <c r="R938" s="741"/>
      <c r="S938" s="741"/>
      <c r="T938" s="85"/>
      <c r="U938" s="85"/>
      <c r="V938" s="85"/>
      <c r="W938" s="11"/>
      <c r="X938" s="11"/>
      <c r="Y938" s="11"/>
      <c r="Z938" s="11"/>
      <c r="AA938" s="11"/>
      <c r="AB938" s="11"/>
      <c r="AC938" s="11"/>
      <c r="AD938" s="11"/>
      <c r="AE938" s="11"/>
      <c r="AF938" s="11"/>
      <c r="AG938" s="11"/>
      <c r="AH938" s="11"/>
      <c r="AI938" s="11"/>
      <c r="AJ938" s="11"/>
      <c r="AK938" s="11"/>
      <c r="AL938" s="11"/>
      <c r="AM938" s="11"/>
      <c r="AN938" s="11"/>
      <c r="AO938" s="11"/>
    </row>
    <row r="939">
      <c r="A939" s="94"/>
      <c r="B939" s="690"/>
      <c r="C939" s="94"/>
      <c r="D939" s="94"/>
      <c r="E939" s="94"/>
      <c r="F939" s="94"/>
      <c r="G939" s="94"/>
      <c r="H939" s="691"/>
      <c r="I939" s="691"/>
      <c r="J939" s="691"/>
      <c r="K939" s="691"/>
      <c r="L939" s="691"/>
      <c r="M939" s="691"/>
      <c r="N939" s="691"/>
      <c r="O939" s="691"/>
      <c r="P939" s="691"/>
      <c r="Q939" s="741"/>
      <c r="R939" s="741"/>
      <c r="S939" s="741"/>
      <c r="T939" s="85"/>
      <c r="U939" s="85"/>
      <c r="V939" s="85"/>
      <c r="W939" s="11"/>
      <c r="X939" s="11"/>
      <c r="Y939" s="11"/>
      <c r="Z939" s="11"/>
      <c r="AA939" s="11"/>
      <c r="AB939" s="11"/>
      <c r="AC939" s="11"/>
      <c r="AD939" s="11"/>
      <c r="AE939" s="11"/>
      <c r="AF939" s="11"/>
      <c r="AG939" s="11"/>
      <c r="AH939" s="11"/>
      <c r="AI939" s="11"/>
      <c r="AJ939" s="11"/>
      <c r="AK939" s="11"/>
      <c r="AL939" s="11"/>
      <c r="AM939" s="11"/>
      <c r="AN939" s="11"/>
      <c r="AO939" s="11"/>
    </row>
    <row r="940">
      <c r="A940" s="94"/>
      <c r="B940" s="690"/>
      <c r="C940" s="94"/>
      <c r="D940" s="94"/>
      <c r="E940" s="94"/>
      <c r="F940" s="94"/>
      <c r="G940" s="94"/>
      <c r="H940" s="691"/>
      <c r="I940" s="691"/>
      <c r="J940" s="691"/>
      <c r="K940" s="691"/>
      <c r="L940" s="691"/>
      <c r="M940" s="691"/>
      <c r="N940" s="691"/>
      <c r="O940" s="691"/>
      <c r="P940" s="691"/>
      <c r="Q940" s="741"/>
      <c r="R940" s="741"/>
      <c r="S940" s="741"/>
      <c r="T940" s="85"/>
      <c r="U940" s="85"/>
      <c r="V940" s="85"/>
      <c r="W940" s="11"/>
      <c r="X940" s="11"/>
      <c r="Y940" s="11"/>
      <c r="Z940" s="11"/>
      <c r="AA940" s="11"/>
      <c r="AB940" s="11"/>
      <c r="AC940" s="11"/>
      <c r="AD940" s="11"/>
      <c r="AE940" s="11"/>
      <c r="AF940" s="11"/>
      <c r="AG940" s="11"/>
      <c r="AH940" s="11"/>
      <c r="AI940" s="11"/>
      <c r="AJ940" s="11"/>
      <c r="AK940" s="11"/>
      <c r="AL940" s="11"/>
      <c r="AM940" s="11"/>
      <c r="AN940" s="11"/>
      <c r="AO940" s="11"/>
    </row>
    <row r="941">
      <c r="A941" s="94"/>
      <c r="B941" s="690"/>
      <c r="C941" s="94"/>
      <c r="D941" s="94"/>
      <c r="E941" s="94"/>
      <c r="F941" s="94"/>
      <c r="G941" s="94"/>
      <c r="H941" s="691"/>
      <c r="I941" s="691"/>
      <c r="J941" s="691"/>
      <c r="K941" s="691"/>
      <c r="L941" s="691"/>
      <c r="M941" s="691"/>
      <c r="N941" s="691"/>
      <c r="O941" s="691"/>
      <c r="P941" s="691"/>
      <c r="Q941" s="741"/>
      <c r="R941" s="741"/>
      <c r="S941" s="741"/>
      <c r="T941" s="85"/>
      <c r="U941" s="85"/>
      <c r="V941" s="85"/>
      <c r="W941" s="11"/>
      <c r="X941" s="11"/>
      <c r="Y941" s="11"/>
      <c r="Z941" s="11"/>
      <c r="AA941" s="11"/>
      <c r="AB941" s="11"/>
      <c r="AC941" s="11"/>
      <c r="AD941" s="11"/>
      <c r="AE941" s="11"/>
      <c r="AF941" s="11"/>
      <c r="AG941" s="11"/>
      <c r="AH941" s="11"/>
      <c r="AI941" s="11"/>
      <c r="AJ941" s="11"/>
      <c r="AK941" s="11"/>
      <c r="AL941" s="11"/>
      <c r="AM941" s="11"/>
      <c r="AN941" s="11"/>
      <c r="AO941" s="11"/>
    </row>
    <row r="942">
      <c r="A942" s="94"/>
      <c r="B942" s="690"/>
      <c r="C942" s="94"/>
      <c r="D942" s="94"/>
      <c r="E942" s="94"/>
      <c r="F942" s="94"/>
      <c r="G942" s="94"/>
      <c r="H942" s="691"/>
      <c r="I942" s="691"/>
      <c r="J942" s="691"/>
      <c r="K942" s="691"/>
      <c r="L942" s="691"/>
      <c r="M942" s="691"/>
      <c r="N942" s="691"/>
      <c r="O942" s="691"/>
      <c r="P942" s="691"/>
      <c r="Q942" s="741"/>
      <c r="R942" s="741"/>
      <c r="S942" s="741"/>
      <c r="T942" s="85"/>
      <c r="U942" s="85"/>
      <c r="V942" s="85"/>
      <c r="W942" s="11"/>
      <c r="X942" s="11"/>
      <c r="Y942" s="11"/>
      <c r="Z942" s="11"/>
      <c r="AA942" s="11"/>
      <c r="AB942" s="11"/>
      <c r="AC942" s="11"/>
      <c r="AD942" s="11"/>
      <c r="AE942" s="11"/>
      <c r="AF942" s="11"/>
      <c r="AG942" s="11"/>
      <c r="AH942" s="11"/>
      <c r="AI942" s="11"/>
      <c r="AJ942" s="11"/>
      <c r="AK942" s="11"/>
      <c r="AL942" s="11"/>
      <c r="AM942" s="11"/>
      <c r="AN942" s="11"/>
      <c r="AO942" s="11"/>
    </row>
    <row r="943">
      <c r="A943" s="94"/>
      <c r="B943" s="690"/>
      <c r="C943" s="94"/>
      <c r="D943" s="94"/>
      <c r="E943" s="94"/>
      <c r="F943" s="94"/>
      <c r="G943" s="94"/>
      <c r="H943" s="691"/>
      <c r="I943" s="691"/>
      <c r="J943" s="691"/>
      <c r="K943" s="691"/>
      <c r="L943" s="691"/>
      <c r="M943" s="691"/>
      <c r="N943" s="691"/>
      <c r="O943" s="691"/>
      <c r="P943" s="691"/>
      <c r="Q943" s="741"/>
      <c r="R943" s="741"/>
      <c r="S943" s="741"/>
      <c r="T943" s="85"/>
      <c r="U943" s="85"/>
      <c r="V943" s="85"/>
      <c r="W943" s="11"/>
      <c r="X943" s="11"/>
      <c r="Y943" s="11"/>
      <c r="Z943" s="11"/>
      <c r="AA943" s="11"/>
      <c r="AB943" s="11"/>
      <c r="AC943" s="11"/>
      <c r="AD943" s="11"/>
      <c r="AE943" s="11"/>
      <c r="AF943" s="11"/>
      <c r="AG943" s="11"/>
      <c r="AH943" s="11"/>
      <c r="AI943" s="11"/>
      <c r="AJ943" s="11"/>
      <c r="AK943" s="11"/>
      <c r="AL943" s="11"/>
      <c r="AM943" s="11"/>
      <c r="AN943" s="11"/>
      <c r="AO943" s="11"/>
    </row>
    <row r="944">
      <c r="A944" s="94"/>
      <c r="B944" s="690"/>
      <c r="C944" s="94"/>
      <c r="D944" s="94"/>
      <c r="E944" s="94"/>
      <c r="F944" s="94"/>
      <c r="G944" s="94"/>
      <c r="H944" s="691"/>
      <c r="I944" s="691"/>
      <c r="J944" s="691"/>
      <c r="K944" s="691"/>
      <c r="L944" s="691"/>
      <c r="M944" s="691"/>
      <c r="N944" s="691"/>
      <c r="O944" s="691"/>
      <c r="P944" s="691"/>
      <c r="Q944" s="741"/>
      <c r="R944" s="741"/>
      <c r="S944" s="741"/>
      <c r="T944" s="85"/>
      <c r="U944" s="85"/>
      <c r="V944" s="85"/>
      <c r="W944" s="11"/>
      <c r="X944" s="11"/>
      <c r="Y944" s="11"/>
      <c r="Z944" s="11"/>
      <c r="AA944" s="11"/>
      <c r="AB944" s="11"/>
      <c r="AC944" s="11"/>
      <c r="AD944" s="11"/>
      <c r="AE944" s="11"/>
      <c r="AF944" s="11"/>
      <c r="AG944" s="11"/>
      <c r="AH944" s="11"/>
      <c r="AI944" s="11"/>
      <c r="AJ944" s="11"/>
      <c r="AK944" s="11"/>
      <c r="AL944" s="11"/>
      <c r="AM944" s="11"/>
      <c r="AN944" s="11"/>
      <c r="AO944" s="11"/>
    </row>
    <row r="945">
      <c r="A945" s="94"/>
      <c r="B945" s="690"/>
      <c r="C945" s="94"/>
      <c r="D945" s="94"/>
      <c r="E945" s="94"/>
      <c r="F945" s="94"/>
      <c r="G945" s="94"/>
      <c r="H945" s="691"/>
      <c r="I945" s="691"/>
      <c r="J945" s="691"/>
      <c r="K945" s="691"/>
      <c r="L945" s="691"/>
      <c r="M945" s="691"/>
      <c r="N945" s="691"/>
      <c r="O945" s="691"/>
      <c r="P945" s="691"/>
      <c r="Q945" s="741"/>
      <c r="R945" s="741"/>
      <c r="S945" s="741"/>
      <c r="T945" s="85"/>
      <c r="U945" s="85"/>
      <c r="V945" s="85"/>
      <c r="W945" s="11"/>
      <c r="X945" s="11"/>
      <c r="Y945" s="11"/>
      <c r="Z945" s="11"/>
      <c r="AA945" s="11"/>
      <c r="AB945" s="11"/>
      <c r="AC945" s="11"/>
      <c r="AD945" s="11"/>
      <c r="AE945" s="11"/>
      <c r="AF945" s="11"/>
      <c r="AG945" s="11"/>
      <c r="AH945" s="11"/>
      <c r="AI945" s="11"/>
      <c r="AJ945" s="11"/>
      <c r="AK945" s="11"/>
      <c r="AL945" s="11"/>
      <c r="AM945" s="11"/>
      <c r="AN945" s="11"/>
      <c r="AO945" s="11"/>
    </row>
    <row r="946">
      <c r="A946" s="94"/>
      <c r="B946" s="690"/>
      <c r="C946" s="94"/>
      <c r="D946" s="94"/>
      <c r="E946" s="94"/>
      <c r="F946" s="94"/>
      <c r="G946" s="94"/>
      <c r="H946" s="691"/>
      <c r="I946" s="691"/>
      <c r="J946" s="691"/>
      <c r="K946" s="691"/>
      <c r="L946" s="691"/>
      <c r="M946" s="691"/>
      <c r="N946" s="691"/>
      <c r="O946" s="691"/>
      <c r="P946" s="691"/>
      <c r="Q946" s="741"/>
      <c r="R946" s="741"/>
      <c r="S946" s="741"/>
      <c r="T946" s="85"/>
      <c r="U946" s="85"/>
      <c r="V946" s="85"/>
      <c r="W946" s="11"/>
      <c r="X946" s="11"/>
      <c r="Y946" s="11"/>
      <c r="Z946" s="11"/>
      <c r="AA946" s="11"/>
      <c r="AB946" s="11"/>
      <c r="AC946" s="11"/>
      <c r="AD946" s="11"/>
      <c r="AE946" s="11"/>
      <c r="AF946" s="11"/>
      <c r="AG946" s="11"/>
      <c r="AH946" s="11"/>
      <c r="AI946" s="11"/>
      <c r="AJ946" s="11"/>
      <c r="AK946" s="11"/>
      <c r="AL946" s="11"/>
      <c r="AM946" s="11"/>
      <c r="AN946" s="11"/>
      <c r="AO946" s="11"/>
    </row>
    <row r="947">
      <c r="A947" s="94"/>
      <c r="B947" s="690"/>
      <c r="C947" s="94"/>
      <c r="D947" s="94"/>
      <c r="E947" s="94"/>
      <c r="F947" s="94"/>
      <c r="G947" s="94"/>
      <c r="H947" s="691"/>
      <c r="I947" s="691"/>
      <c r="J947" s="691"/>
      <c r="K947" s="691"/>
      <c r="L947" s="691"/>
      <c r="M947" s="691"/>
      <c r="N947" s="691"/>
      <c r="O947" s="691"/>
      <c r="P947" s="691"/>
      <c r="Q947" s="741"/>
      <c r="R947" s="741"/>
      <c r="S947" s="741"/>
      <c r="T947" s="85"/>
      <c r="U947" s="85"/>
      <c r="V947" s="85"/>
      <c r="W947" s="11"/>
      <c r="X947" s="11"/>
      <c r="Y947" s="11"/>
      <c r="Z947" s="11"/>
      <c r="AA947" s="11"/>
      <c r="AB947" s="11"/>
      <c r="AC947" s="11"/>
      <c r="AD947" s="11"/>
      <c r="AE947" s="11"/>
      <c r="AF947" s="11"/>
      <c r="AG947" s="11"/>
      <c r="AH947" s="11"/>
      <c r="AI947" s="11"/>
      <c r="AJ947" s="11"/>
      <c r="AK947" s="11"/>
      <c r="AL947" s="11"/>
      <c r="AM947" s="11"/>
      <c r="AN947" s="11"/>
      <c r="AO947" s="11"/>
    </row>
    <row r="948">
      <c r="A948" s="94"/>
      <c r="B948" s="690"/>
      <c r="C948" s="94"/>
      <c r="D948" s="94"/>
      <c r="E948" s="94"/>
      <c r="F948" s="94"/>
      <c r="G948" s="94"/>
      <c r="H948" s="691"/>
      <c r="I948" s="691"/>
      <c r="J948" s="691"/>
      <c r="K948" s="691"/>
      <c r="L948" s="691"/>
      <c r="M948" s="691"/>
      <c r="N948" s="691"/>
      <c r="O948" s="691"/>
      <c r="P948" s="691"/>
      <c r="Q948" s="741"/>
      <c r="R948" s="741"/>
      <c r="S948" s="741"/>
      <c r="T948" s="85"/>
      <c r="U948" s="85"/>
      <c r="V948" s="85"/>
      <c r="W948" s="11"/>
      <c r="X948" s="11"/>
      <c r="Y948" s="11"/>
      <c r="Z948" s="11"/>
      <c r="AA948" s="11"/>
      <c r="AB948" s="11"/>
      <c r="AC948" s="11"/>
      <c r="AD948" s="11"/>
      <c r="AE948" s="11"/>
      <c r="AF948" s="11"/>
      <c r="AG948" s="11"/>
      <c r="AH948" s="11"/>
      <c r="AI948" s="11"/>
      <c r="AJ948" s="11"/>
      <c r="AK948" s="11"/>
      <c r="AL948" s="11"/>
      <c r="AM948" s="11"/>
      <c r="AN948" s="11"/>
      <c r="AO948" s="11"/>
    </row>
    <row r="949">
      <c r="A949" s="94"/>
      <c r="B949" s="690"/>
      <c r="C949" s="94"/>
      <c r="D949" s="94"/>
      <c r="E949" s="94"/>
      <c r="F949" s="94"/>
      <c r="G949" s="94"/>
      <c r="H949" s="691"/>
      <c r="I949" s="691"/>
      <c r="J949" s="691"/>
      <c r="K949" s="691"/>
      <c r="L949" s="691"/>
      <c r="M949" s="691"/>
      <c r="N949" s="691"/>
      <c r="O949" s="691"/>
      <c r="P949" s="691"/>
      <c r="Q949" s="741"/>
      <c r="R949" s="741"/>
      <c r="S949" s="741"/>
      <c r="T949" s="85"/>
      <c r="U949" s="85"/>
      <c r="V949" s="85"/>
      <c r="W949" s="11"/>
      <c r="X949" s="11"/>
      <c r="Y949" s="11"/>
      <c r="Z949" s="11"/>
      <c r="AA949" s="11"/>
      <c r="AB949" s="11"/>
      <c r="AC949" s="11"/>
      <c r="AD949" s="11"/>
      <c r="AE949" s="11"/>
      <c r="AF949" s="11"/>
      <c r="AG949" s="11"/>
      <c r="AH949" s="11"/>
      <c r="AI949" s="11"/>
      <c r="AJ949" s="11"/>
      <c r="AK949" s="11"/>
      <c r="AL949" s="11"/>
      <c r="AM949" s="11"/>
      <c r="AN949" s="11"/>
      <c r="AO949" s="11"/>
    </row>
    <row r="950">
      <c r="A950" s="94"/>
      <c r="B950" s="690"/>
      <c r="C950" s="94"/>
      <c r="D950" s="94"/>
      <c r="E950" s="94"/>
      <c r="F950" s="94"/>
      <c r="G950" s="94"/>
      <c r="H950" s="691"/>
      <c r="I950" s="691"/>
      <c r="J950" s="691"/>
      <c r="K950" s="691"/>
      <c r="L950" s="691"/>
      <c r="M950" s="691"/>
      <c r="N950" s="691"/>
      <c r="O950" s="691"/>
      <c r="P950" s="691"/>
      <c r="Q950" s="741"/>
      <c r="R950" s="741"/>
      <c r="S950" s="741"/>
      <c r="T950" s="85"/>
      <c r="U950" s="85"/>
      <c r="V950" s="85"/>
      <c r="W950" s="11"/>
      <c r="X950" s="11"/>
      <c r="Y950" s="11"/>
      <c r="Z950" s="11"/>
      <c r="AA950" s="11"/>
      <c r="AB950" s="11"/>
      <c r="AC950" s="11"/>
      <c r="AD950" s="11"/>
      <c r="AE950" s="11"/>
      <c r="AF950" s="11"/>
      <c r="AG950" s="11"/>
      <c r="AH950" s="11"/>
      <c r="AI950" s="11"/>
      <c r="AJ950" s="11"/>
      <c r="AK950" s="11"/>
      <c r="AL950" s="11"/>
      <c r="AM950" s="11"/>
      <c r="AN950" s="11"/>
      <c r="AO950" s="11"/>
    </row>
    <row r="951">
      <c r="A951" s="94"/>
      <c r="B951" s="690"/>
      <c r="C951" s="94"/>
      <c r="D951" s="94"/>
      <c r="E951" s="94"/>
      <c r="F951" s="94"/>
      <c r="G951" s="94"/>
      <c r="H951" s="691"/>
      <c r="I951" s="691"/>
      <c r="J951" s="691"/>
      <c r="K951" s="691"/>
      <c r="L951" s="691"/>
      <c r="M951" s="691"/>
      <c r="N951" s="691"/>
      <c r="O951" s="691"/>
      <c r="P951" s="691"/>
      <c r="Q951" s="741"/>
      <c r="R951" s="741"/>
      <c r="S951" s="741"/>
      <c r="T951" s="85"/>
      <c r="U951" s="85"/>
      <c r="V951" s="85"/>
      <c r="W951" s="11"/>
      <c r="X951" s="11"/>
      <c r="Y951" s="11"/>
      <c r="Z951" s="11"/>
      <c r="AA951" s="11"/>
      <c r="AB951" s="11"/>
      <c r="AC951" s="11"/>
      <c r="AD951" s="11"/>
      <c r="AE951" s="11"/>
      <c r="AF951" s="11"/>
      <c r="AG951" s="11"/>
      <c r="AH951" s="11"/>
      <c r="AI951" s="11"/>
      <c r="AJ951" s="11"/>
      <c r="AK951" s="11"/>
      <c r="AL951" s="11"/>
      <c r="AM951" s="11"/>
      <c r="AN951" s="11"/>
      <c r="AO951" s="11"/>
    </row>
    <row r="952">
      <c r="A952" s="94"/>
      <c r="B952" s="690"/>
      <c r="C952" s="94"/>
      <c r="D952" s="94"/>
      <c r="E952" s="94"/>
      <c r="F952" s="94"/>
      <c r="G952" s="94"/>
      <c r="H952" s="691"/>
      <c r="I952" s="691"/>
      <c r="J952" s="691"/>
      <c r="K952" s="691"/>
      <c r="L952" s="691"/>
      <c r="M952" s="691"/>
      <c r="N952" s="691"/>
      <c r="O952" s="691"/>
      <c r="P952" s="691"/>
      <c r="Q952" s="741"/>
      <c r="R952" s="741"/>
      <c r="S952" s="741"/>
      <c r="T952" s="85"/>
      <c r="U952" s="85"/>
      <c r="V952" s="85"/>
      <c r="W952" s="11"/>
      <c r="X952" s="11"/>
      <c r="Y952" s="11"/>
      <c r="Z952" s="11"/>
      <c r="AA952" s="11"/>
      <c r="AB952" s="11"/>
      <c r="AC952" s="11"/>
      <c r="AD952" s="11"/>
      <c r="AE952" s="11"/>
      <c r="AF952" s="11"/>
      <c r="AG952" s="11"/>
      <c r="AH952" s="11"/>
      <c r="AI952" s="11"/>
      <c r="AJ952" s="11"/>
      <c r="AK952" s="11"/>
      <c r="AL952" s="11"/>
      <c r="AM952" s="11"/>
      <c r="AN952" s="11"/>
      <c r="AO952" s="11"/>
    </row>
    <row r="953">
      <c r="A953" s="94"/>
      <c r="B953" s="690"/>
      <c r="C953" s="94"/>
      <c r="D953" s="94"/>
      <c r="E953" s="94"/>
      <c r="F953" s="94"/>
      <c r="G953" s="94"/>
      <c r="H953" s="691"/>
      <c r="I953" s="691"/>
      <c r="J953" s="691"/>
      <c r="K953" s="691"/>
      <c r="L953" s="691"/>
      <c r="M953" s="691"/>
      <c r="N953" s="691"/>
      <c r="O953" s="691"/>
      <c r="P953" s="691"/>
      <c r="Q953" s="741"/>
      <c r="R953" s="741"/>
      <c r="S953" s="741"/>
      <c r="T953" s="85"/>
      <c r="U953" s="85"/>
      <c r="V953" s="85"/>
      <c r="W953" s="11"/>
      <c r="X953" s="11"/>
      <c r="Y953" s="11"/>
      <c r="Z953" s="11"/>
      <c r="AA953" s="11"/>
      <c r="AB953" s="11"/>
      <c r="AC953" s="11"/>
      <c r="AD953" s="11"/>
      <c r="AE953" s="11"/>
      <c r="AF953" s="11"/>
      <c r="AG953" s="11"/>
      <c r="AH953" s="11"/>
      <c r="AI953" s="11"/>
      <c r="AJ953" s="11"/>
      <c r="AK953" s="11"/>
      <c r="AL953" s="11"/>
      <c r="AM953" s="11"/>
      <c r="AN953" s="11"/>
      <c r="AO953" s="11"/>
    </row>
    <row r="954">
      <c r="A954" s="94"/>
      <c r="B954" s="690"/>
      <c r="C954" s="94"/>
      <c r="D954" s="94"/>
      <c r="E954" s="94"/>
      <c r="F954" s="94"/>
      <c r="G954" s="94"/>
      <c r="H954" s="691"/>
      <c r="I954" s="691"/>
      <c r="J954" s="691"/>
      <c r="K954" s="691"/>
      <c r="L954" s="691"/>
      <c r="M954" s="691"/>
      <c r="N954" s="691"/>
      <c r="O954" s="691"/>
      <c r="P954" s="691"/>
      <c r="Q954" s="741"/>
      <c r="R954" s="741"/>
      <c r="S954" s="741"/>
      <c r="T954" s="85"/>
      <c r="U954" s="85"/>
      <c r="V954" s="85"/>
      <c r="W954" s="11"/>
      <c r="X954" s="11"/>
      <c r="Y954" s="11"/>
      <c r="Z954" s="11"/>
      <c r="AA954" s="11"/>
      <c r="AB954" s="11"/>
      <c r="AC954" s="11"/>
      <c r="AD954" s="11"/>
      <c r="AE954" s="11"/>
      <c r="AF954" s="11"/>
      <c r="AG954" s="11"/>
      <c r="AH954" s="11"/>
      <c r="AI954" s="11"/>
      <c r="AJ954" s="11"/>
      <c r="AK954" s="11"/>
      <c r="AL954" s="11"/>
      <c r="AM954" s="11"/>
      <c r="AN954" s="11"/>
      <c r="AO954" s="11"/>
    </row>
    <row r="955">
      <c r="A955" s="94"/>
      <c r="B955" s="690"/>
      <c r="C955" s="94"/>
      <c r="D955" s="94"/>
      <c r="E955" s="94"/>
      <c r="F955" s="94"/>
      <c r="G955" s="94"/>
      <c r="H955" s="691"/>
      <c r="I955" s="691"/>
      <c r="J955" s="691"/>
      <c r="K955" s="691"/>
      <c r="L955" s="691"/>
      <c r="M955" s="691"/>
      <c r="N955" s="691"/>
      <c r="O955" s="691"/>
      <c r="P955" s="691"/>
      <c r="Q955" s="741"/>
      <c r="R955" s="741"/>
      <c r="S955" s="741"/>
      <c r="T955" s="85"/>
      <c r="U955" s="85"/>
      <c r="V955" s="85"/>
      <c r="W955" s="11"/>
      <c r="X955" s="11"/>
      <c r="Y955" s="11"/>
      <c r="Z955" s="11"/>
      <c r="AA955" s="11"/>
      <c r="AB955" s="11"/>
      <c r="AC955" s="11"/>
      <c r="AD955" s="11"/>
      <c r="AE955" s="11"/>
      <c r="AF955" s="11"/>
      <c r="AG955" s="11"/>
      <c r="AH955" s="11"/>
      <c r="AI955" s="11"/>
      <c r="AJ955" s="11"/>
      <c r="AK955" s="11"/>
      <c r="AL955" s="11"/>
      <c r="AM955" s="11"/>
      <c r="AN955" s="11"/>
      <c r="AO955" s="11"/>
    </row>
    <row r="956">
      <c r="A956" s="94"/>
      <c r="B956" s="690"/>
      <c r="C956" s="94"/>
      <c r="D956" s="94"/>
      <c r="E956" s="94"/>
      <c r="F956" s="94"/>
      <c r="G956" s="94"/>
      <c r="H956" s="691"/>
      <c r="I956" s="691"/>
      <c r="J956" s="691"/>
      <c r="K956" s="691"/>
      <c r="L956" s="691"/>
      <c r="M956" s="691"/>
      <c r="N956" s="691"/>
      <c r="O956" s="691"/>
      <c r="P956" s="691"/>
      <c r="Q956" s="741"/>
      <c r="R956" s="741"/>
      <c r="S956" s="741"/>
      <c r="T956" s="85"/>
      <c r="U956" s="85"/>
      <c r="V956" s="85"/>
      <c r="W956" s="11"/>
      <c r="X956" s="11"/>
      <c r="Y956" s="11"/>
      <c r="Z956" s="11"/>
      <c r="AA956" s="11"/>
      <c r="AB956" s="11"/>
      <c r="AC956" s="11"/>
      <c r="AD956" s="11"/>
      <c r="AE956" s="11"/>
      <c r="AF956" s="11"/>
      <c r="AG956" s="11"/>
      <c r="AH956" s="11"/>
      <c r="AI956" s="11"/>
      <c r="AJ956" s="11"/>
      <c r="AK956" s="11"/>
      <c r="AL956" s="11"/>
      <c r="AM956" s="11"/>
      <c r="AN956" s="11"/>
      <c r="AO956" s="11"/>
    </row>
    <row r="957">
      <c r="A957" s="94"/>
      <c r="B957" s="690"/>
      <c r="C957" s="94"/>
      <c r="D957" s="94"/>
      <c r="E957" s="94"/>
      <c r="F957" s="94"/>
      <c r="G957" s="94"/>
      <c r="H957" s="691"/>
      <c r="I957" s="691"/>
      <c r="J957" s="691"/>
      <c r="K957" s="691"/>
      <c r="L957" s="691"/>
      <c r="M957" s="691"/>
      <c r="N957" s="691"/>
      <c r="O957" s="691"/>
      <c r="P957" s="691"/>
      <c r="Q957" s="741"/>
      <c r="R957" s="741"/>
      <c r="S957" s="741"/>
      <c r="T957" s="85"/>
      <c r="U957" s="85"/>
      <c r="V957" s="85"/>
      <c r="W957" s="11"/>
      <c r="X957" s="11"/>
      <c r="Y957" s="11"/>
      <c r="Z957" s="11"/>
      <c r="AA957" s="11"/>
      <c r="AB957" s="11"/>
      <c r="AC957" s="11"/>
      <c r="AD957" s="11"/>
      <c r="AE957" s="11"/>
      <c r="AF957" s="11"/>
      <c r="AG957" s="11"/>
      <c r="AH957" s="11"/>
      <c r="AI957" s="11"/>
      <c r="AJ957" s="11"/>
      <c r="AK957" s="11"/>
      <c r="AL957" s="11"/>
      <c r="AM957" s="11"/>
      <c r="AN957" s="11"/>
      <c r="AO957" s="11"/>
    </row>
    <row r="958">
      <c r="A958" s="94"/>
      <c r="B958" s="690"/>
      <c r="C958" s="94"/>
      <c r="D958" s="94"/>
      <c r="E958" s="94"/>
      <c r="F958" s="94"/>
      <c r="G958" s="94"/>
      <c r="H958" s="691"/>
      <c r="I958" s="691"/>
      <c r="J958" s="691"/>
      <c r="K958" s="691"/>
      <c r="L958" s="691"/>
      <c r="M958" s="691"/>
      <c r="N958" s="691"/>
      <c r="O958" s="691"/>
      <c r="P958" s="691"/>
      <c r="Q958" s="741"/>
      <c r="R958" s="741"/>
      <c r="S958" s="741"/>
      <c r="T958" s="85"/>
      <c r="U958" s="85"/>
      <c r="V958" s="85"/>
      <c r="W958" s="11"/>
      <c r="X958" s="11"/>
      <c r="Y958" s="11"/>
      <c r="Z958" s="11"/>
      <c r="AA958" s="11"/>
      <c r="AB958" s="11"/>
      <c r="AC958" s="11"/>
      <c r="AD958" s="11"/>
      <c r="AE958" s="11"/>
      <c r="AF958" s="11"/>
      <c r="AG958" s="11"/>
      <c r="AH958" s="11"/>
      <c r="AI958" s="11"/>
      <c r="AJ958" s="11"/>
      <c r="AK958" s="11"/>
      <c r="AL958" s="11"/>
      <c r="AM958" s="11"/>
      <c r="AN958" s="11"/>
      <c r="AO958" s="11"/>
    </row>
    <row r="959">
      <c r="A959" s="94"/>
      <c r="B959" s="690"/>
      <c r="C959" s="94"/>
      <c r="D959" s="94"/>
      <c r="E959" s="94"/>
      <c r="F959" s="94"/>
      <c r="G959" s="94"/>
      <c r="H959" s="691"/>
      <c r="I959" s="691"/>
      <c r="J959" s="691"/>
      <c r="K959" s="691"/>
      <c r="L959" s="691"/>
      <c r="M959" s="691"/>
      <c r="N959" s="691"/>
      <c r="O959" s="691"/>
      <c r="P959" s="691"/>
      <c r="Q959" s="741"/>
      <c r="R959" s="741"/>
      <c r="S959" s="741"/>
      <c r="T959" s="85"/>
      <c r="U959" s="85"/>
      <c r="V959" s="85"/>
      <c r="W959" s="11"/>
      <c r="X959" s="11"/>
      <c r="Y959" s="11"/>
      <c r="Z959" s="11"/>
      <c r="AA959" s="11"/>
      <c r="AB959" s="11"/>
      <c r="AC959" s="11"/>
      <c r="AD959" s="11"/>
      <c r="AE959" s="11"/>
      <c r="AF959" s="11"/>
      <c r="AG959" s="11"/>
      <c r="AH959" s="11"/>
      <c r="AI959" s="11"/>
      <c r="AJ959" s="11"/>
      <c r="AK959" s="11"/>
      <c r="AL959" s="11"/>
      <c r="AM959" s="11"/>
      <c r="AN959" s="11"/>
      <c r="AO959" s="11"/>
    </row>
    <row r="960">
      <c r="A960" s="94"/>
      <c r="B960" s="690"/>
      <c r="C960" s="94"/>
      <c r="D960" s="94"/>
      <c r="E960" s="94"/>
      <c r="F960" s="94"/>
      <c r="G960" s="94"/>
      <c r="H960" s="691"/>
      <c r="I960" s="691"/>
      <c r="J960" s="691"/>
      <c r="K960" s="691"/>
      <c r="L960" s="691"/>
      <c r="M960" s="691"/>
      <c r="N960" s="691"/>
      <c r="O960" s="691"/>
      <c r="P960" s="691"/>
      <c r="Q960" s="741"/>
      <c r="R960" s="741"/>
      <c r="S960" s="741"/>
      <c r="T960" s="85"/>
      <c r="U960" s="85"/>
      <c r="V960" s="85"/>
      <c r="W960" s="11"/>
      <c r="X960" s="11"/>
      <c r="Y960" s="11"/>
      <c r="Z960" s="11"/>
      <c r="AA960" s="11"/>
      <c r="AB960" s="11"/>
      <c r="AC960" s="11"/>
      <c r="AD960" s="11"/>
      <c r="AE960" s="11"/>
      <c r="AF960" s="11"/>
      <c r="AG960" s="11"/>
      <c r="AH960" s="11"/>
      <c r="AI960" s="11"/>
      <c r="AJ960" s="11"/>
      <c r="AK960" s="11"/>
      <c r="AL960" s="11"/>
      <c r="AM960" s="11"/>
      <c r="AN960" s="11"/>
      <c r="AO960" s="11"/>
    </row>
    <row r="961">
      <c r="A961" s="94"/>
      <c r="B961" s="690"/>
      <c r="C961" s="94"/>
      <c r="D961" s="94"/>
      <c r="E961" s="94"/>
      <c r="F961" s="94"/>
      <c r="G961" s="94"/>
      <c r="H961" s="691"/>
      <c r="I961" s="691"/>
      <c r="J961" s="691"/>
      <c r="K961" s="691"/>
      <c r="L961" s="691"/>
      <c r="M961" s="691"/>
      <c r="N961" s="691"/>
      <c r="O961" s="691"/>
      <c r="P961" s="691"/>
      <c r="Q961" s="741"/>
      <c r="R961" s="741"/>
      <c r="S961" s="741"/>
      <c r="T961" s="85"/>
      <c r="U961" s="85"/>
      <c r="V961" s="85"/>
      <c r="W961" s="11"/>
      <c r="X961" s="11"/>
      <c r="Y961" s="11"/>
      <c r="Z961" s="11"/>
      <c r="AA961" s="11"/>
      <c r="AB961" s="11"/>
      <c r="AC961" s="11"/>
      <c r="AD961" s="11"/>
      <c r="AE961" s="11"/>
      <c r="AF961" s="11"/>
      <c r="AG961" s="11"/>
      <c r="AH961" s="11"/>
      <c r="AI961" s="11"/>
      <c r="AJ961" s="11"/>
      <c r="AK961" s="11"/>
      <c r="AL961" s="11"/>
      <c r="AM961" s="11"/>
      <c r="AN961" s="11"/>
      <c r="AO961" s="11"/>
    </row>
    <row r="962">
      <c r="A962" s="94"/>
      <c r="B962" s="690"/>
      <c r="C962" s="94"/>
      <c r="D962" s="94"/>
      <c r="E962" s="94"/>
      <c r="F962" s="94"/>
      <c r="G962" s="94"/>
      <c r="H962" s="691"/>
      <c r="I962" s="691"/>
      <c r="J962" s="691"/>
      <c r="K962" s="691"/>
      <c r="L962" s="691"/>
      <c r="M962" s="691"/>
      <c r="N962" s="691"/>
      <c r="O962" s="691"/>
      <c r="P962" s="691"/>
      <c r="Q962" s="741"/>
      <c r="R962" s="741"/>
      <c r="S962" s="741"/>
      <c r="T962" s="85"/>
      <c r="U962" s="85"/>
      <c r="V962" s="85"/>
      <c r="W962" s="11"/>
      <c r="X962" s="11"/>
      <c r="Y962" s="11"/>
      <c r="Z962" s="11"/>
      <c r="AA962" s="11"/>
      <c r="AB962" s="11"/>
      <c r="AC962" s="11"/>
      <c r="AD962" s="11"/>
      <c r="AE962" s="11"/>
      <c r="AF962" s="11"/>
      <c r="AG962" s="11"/>
      <c r="AH962" s="11"/>
      <c r="AI962" s="11"/>
      <c r="AJ962" s="11"/>
      <c r="AK962" s="11"/>
      <c r="AL962" s="11"/>
      <c r="AM962" s="11"/>
      <c r="AN962" s="11"/>
      <c r="AO962" s="11"/>
    </row>
    <row r="963">
      <c r="A963" s="94"/>
      <c r="B963" s="690"/>
      <c r="C963" s="94"/>
      <c r="D963" s="94"/>
      <c r="E963" s="94"/>
      <c r="F963" s="94"/>
      <c r="G963" s="94"/>
      <c r="H963" s="691"/>
      <c r="I963" s="691"/>
      <c r="J963" s="691"/>
      <c r="K963" s="691"/>
      <c r="L963" s="691"/>
      <c r="M963" s="691"/>
      <c r="N963" s="691"/>
      <c r="O963" s="691"/>
      <c r="P963" s="691"/>
      <c r="Q963" s="741"/>
      <c r="R963" s="741"/>
      <c r="S963" s="741"/>
      <c r="T963" s="85"/>
      <c r="U963" s="85"/>
      <c r="V963" s="85"/>
      <c r="W963" s="11"/>
      <c r="X963" s="11"/>
      <c r="Y963" s="11"/>
      <c r="Z963" s="11"/>
      <c r="AA963" s="11"/>
      <c r="AB963" s="11"/>
      <c r="AC963" s="11"/>
      <c r="AD963" s="11"/>
      <c r="AE963" s="11"/>
      <c r="AF963" s="11"/>
      <c r="AG963" s="11"/>
      <c r="AH963" s="11"/>
      <c r="AI963" s="11"/>
      <c r="AJ963" s="11"/>
      <c r="AK963" s="11"/>
      <c r="AL963" s="11"/>
      <c r="AM963" s="11"/>
      <c r="AN963" s="11"/>
      <c r="AO963" s="11"/>
    </row>
    <row r="964">
      <c r="A964" s="94"/>
      <c r="B964" s="690"/>
      <c r="C964" s="94"/>
      <c r="D964" s="94"/>
      <c r="E964" s="94"/>
      <c r="F964" s="94"/>
      <c r="G964" s="94"/>
      <c r="H964" s="691"/>
      <c r="I964" s="691"/>
      <c r="J964" s="691"/>
      <c r="K964" s="691"/>
      <c r="L964" s="691"/>
      <c r="M964" s="691"/>
      <c r="N964" s="691"/>
      <c r="O964" s="691"/>
      <c r="P964" s="691"/>
      <c r="Q964" s="741"/>
      <c r="R964" s="741"/>
      <c r="S964" s="741"/>
      <c r="T964" s="85"/>
      <c r="U964" s="85"/>
      <c r="V964" s="85"/>
      <c r="W964" s="11"/>
      <c r="X964" s="11"/>
      <c r="Y964" s="11"/>
      <c r="Z964" s="11"/>
      <c r="AA964" s="11"/>
      <c r="AB964" s="11"/>
      <c r="AC964" s="11"/>
      <c r="AD964" s="11"/>
      <c r="AE964" s="11"/>
      <c r="AF964" s="11"/>
      <c r="AG964" s="11"/>
      <c r="AH964" s="11"/>
      <c r="AI964" s="11"/>
      <c r="AJ964" s="11"/>
      <c r="AK964" s="11"/>
      <c r="AL964" s="11"/>
      <c r="AM964" s="11"/>
      <c r="AN964" s="11"/>
      <c r="AO964" s="11"/>
    </row>
    <row r="965">
      <c r="A965" s="94"/>
      <c r="B965" s="690"/>
      <c r="C965" s="94"/>
      <c r="D965" s="94"/>
      <c r="E965" s="94"/>
      <c r="F965" s="94"/>
      <c r="G965" s="94"/>
      <c r="H965" s="691"/>
      <c r="I965" s="691"/>
      <c r="J965" s="691"/>
      <c r="K965" s="691"/>
      <c r="L965" s="691"/>
      <c r="M965" s="691"/>
      <c r="N965" s="691"/>
      <c r="O965" s="691"/>
      <c r="P965" s="691"/>
      <c r="Q965" s="741"/>
      <c r="R965" s="741"/>
      <c r="S965" s="741"/>
      <c r="T965" s="85"/>
      <c r="U965" s="85"/>
      <c r="V965" s="85"/>
      <c r="W965" s="11"/>
      <c r="X965" s="11"/>
      <c r="Y965" s="11"/>
      <c r="Z965" s="11"/>
      <c r="AA965" s="11"/>
      <c r="AB965" s="11"/>
      <c r="AC965" s="11"/>
      <c r="AD965" s="11"/>
      <c r="AE965" s="11"/>
      <c r="AF965" s="11"/>
      <c r="AG965" s="11"/>
      <c r="AH965" s="11"/>
      <c r="AI965" s="11"/>
      <c r="AJ965" s="11"/>
      <c r="AK965" s="11"/>
      <c r="AL965" s="11"/>
      <c r="AM965" s="11"/>
      <c r="AN965" s="11"/>
      <c r="AO965" s="11"/>
    </row>
    <row r="966">
      <c r="A966" s="94"/>
      <c r="C966" s="94"/>
      <c r="D966" s="94"/>
      <c r="E966" s="94"/>
      <c r="F966" s="94"/>
      <c r="G966" s="94"/>
      <c r="H966" s="691"/>
      <c r="I966" s="691"/>
      <c r="J966" s="691"/>
      <c r="K966" s="691"/>
      <c r="L966" s="691"/>
      <c r="M966" s="691"/>
      <c r="N966" s="691"/>
      <c r="O966" s="691"/>
      <c r="P966" s="691"/>
      <c r="Q966" s="741"/>
      <c r="R966" s="741"/>
      <c r="S966" s="741"/>
      <c r="T966" s="85"/>
      <c r="U966" s="85"/>
      <c r="V966" s="85"/>
      <c r="W966" s="11"/>
      <c r="X966" s="11"/>
      <c r="Y966" s="11"/>
      <c r="Z966" s="11"/>
      <c r="AA966" s="11"/>
      <c r="AB966" s="11"/>
      <c r="AC966" s="11"/>
      <c r="AD966" s="11"/>
      <c r="AE966" s="11"/>
      <c r="AF966" s="11"/>
      <c r="AG966" s="11"/>
      <c r="AH966" s="11"/>
      <c r="AI966" s="11"/>
      <c r="AJ966" s="11"/>
      <c r="AK966" s="11"/>
      <c r="AL966" s="11"/>
      <c r="AM966" s="11"/>
      <c r="AN966" s="11"/>
      <c r="AO966" s="11"/>
    </row>
    <row r="967">
      <c r="A967" s="94"/>
      <c r="C967" s="94"/>
      <c r="D967" s="94"/>
      <c r="E967" s="94"/>
      <c r="F967" s="94"/>
      <c r="G967" s="94"/>
      <c r="H967" s="691"/>
      <c r="I967" s="691"/>
      <c r="J967" s="691"/>
      <c r="K967" s="691"/>
      <c r="L967" s="691"/>
      <c r="M967" s="691"/>
      <c r="N967" s="691"/>
      <c r="O967" s="691"/>
      <c r="P967" s="691"/>
      <c r="Q967" s="741"/>
      <c r="R967" s="741"/>
      <c r="S967" s="741"/>
      <c r="T967" s="85"/>
      <c r="U967" s="85"/>
      <c r="V967" s="85"/>
      <c r="W967" s="11"/>
      <c r="X967" s="11"/>
      <c r="Y967" s="11"/>
      <c r="Z967" s="11"/>
      <c r="AA967" s="11"/>
      <c r="AB967" s="11"/>
      <c r="AC967" s="11"/>
      <c r="AD967" s="11"/>
      <c r="AE967" s="11"/>
      <c r="AF967" s="11"/>
      <c r="AG967" s="11"/>
      <c r="AH967" s="11"/>
      <c r="AI967" s="11"/>
      <c r="AJ967" s="11"/>
      <c r="AK967" s="11"/>
      <c r="AL967" s="11"/>
      <c r="AM967" s="11"/>
      <c r="AN967" s="11"/>
      <c r="AO967" s="11"/>
    </row>
    <row r="968">
      <c r="A968" s="94"/>
      <c r="C968" s="94"/>
      <c r="D968" s="94"/>
      <c r="E968" s="94"/>
      <c r="F968" s="94"/>
      <c r="G968" s="94"/>
      <c r="H968" s="691"/>
      <c r="I968" s="691"/>
      <c r="J968" s="691"/>
      <c r="K968" s="691"/>
      <c r="L968" s="691"/>
      <c r="M968" s="691"/>
      <c r="N968" s="691"/>
      <c r="O968" s="691"/>
      <c r="P968" s="691"/>
      <c r="Q968" s="741"/>
      <c r="R968" s="741"/>
      <c r="S968" s="741"/>
      <c r="T968" s="85"/>
      <c r="U968" s="85"/>
      <c r="V968" s="85"/>
      <c r="W968" s="11"/>
      <c r="X968" s="11"/>
      <c r="Y968" s="11"/>
      <c r="Z968" s="11"/>
      <c r="AA968" s="11"/>
      <c r="AB968" s="11"/>
      <c r="AC968" s="11"/>
      <c r="AD968" s="11"/>
      <c r="AE968" s="11"/>
      <c r="AF968" s="11"/>
      <c r="AG968" s="11"/>
      <c r="AH968" s="11"/>
      <c r="AI968" s="11"/>
      <c r="AJ968" s="11"/>
      <c r="AK968" s="11"/>
      <c r="AL968" s="11"/>
      <c r="AM968" s="11"/>
      <c r="AN968" s="11"/>
      <c r="AO968" s="11"/>
    </row>
    <row r="969">
      <c r="A969" s="94"/>
      <c r="C969" s="94"/>
      <c r="D969" s="94"/>
      <c r="E969" s="94"/>
      <c r="F969" s="94"/>
      <c r="G969" s="94"/>
      <c r="H969" s="691"/>
      <c r="I969" s="691"/>
      <c r="J969" s="691"/>
      <c r="K969" s="691"/>
      <c r="L969" s="691"/>
      <c r="M969" s="691"/>
      <c r="N969" s="691"/>
      <c r="O969" s="691"/>
      <c r="P969" s="691"/>
      <c r="Q969" s="741"/>
      <c r="R969" s="741"/>
      <c r="S969" s="741"/>
      <c r="T969" s="85"/>
      <c r="U969" s="85"/>
      <c r="V969" s="85"/>
      <c r="W969" s="11"/>
      <c r="X969" s="11"/>
      <c r="Y969" s="11"/>
      <c r="Z969" s="11"/>
      <c r="AA969" s="11"/>
      <c r="AB969" s="11"/>
      <c r="AC969" s="11"/>
      <c r="AD969" s="11"/>
      <c r="AE969" s="11"/>
      <c r="AF969" s="11"/>
      <c r="AG969" s="11"/>
      <c r="AH969" s="11"/>
      <c r="AI969" s="11"/>
      <c r="AJ969" s="11"/>
      <c r="AK969" s="11"/>
      <c r="AL969" s="11"/>
      <c r="AM969" s="11"/>
      <c r="AN969" s="11"/>
      <c r="AO969" s="11"/>
    </row>
    <row r="970">
      <c r="A970" s="94"/>
      <c r="C970" s="94"/>
      <c r="D970" s="94"/>
      <c r="E970" s="94"/>
      <c r="F970" s="94"/>
      <c r="G970" s="94"/>
      <c r="H970" s="691"/>
      <c r="I970" s="691"/>
      <c r="J970" s="691"/>
      <c r="K970" s="691"/>
      <c r="L970" s="691"/>
      <c r="M970" s="691"/>
      <c r="N970" s="691"/>
      <c r="O970" s="691"/>
      <c r="P970" s="691"/>
      <c r="Q970" s="741"/>
      <c r="R970" s="741"/>
      <c r="S970" s="741"/>
      <c r="T970" s="85"/>
      <c r="U970" s="85"/>
      <c r="V970" s="85"/>
      <c r="W970" s="11"/>
      <c r="X970" s="11"/>
      <c r="Y970" s="11"/>
      <c r="Z970" s="11"/>
      <c r="AA970" s="11"/>
      <c r="AB970" s="11"/>
      <c r="AC970" s="11"/>
      <c r="AD970" s="11"/>
      <c r="AE970" s="11"/>
      <c r="AF970" s="11"/>
      <c r="AG970" s="11"/>
      <c r="AH970" s="11"/>
      <c r="AI970" s="11"/>
      <c r="AJ970" s="11"/>
      <c r="AK970" s="11"/>
      <c r="AL970" s="11"/>
      <c r="AM970" s="11"/>
      <c r="AN970" s="11"/>
      <c r="AO970" s="11"/>
    </row>
    <row r="971">
      <c r="A971" s="94"/>
      <c r="C971" s="94"/>
      <c r="D971" s="94"/>
      <c r="E971" s="94"/>
      <c r="F971" s="94"/>
      <c r="G971" s="94"/>
      <c r="H971" s="691"/>
      <c r="I971" s="691"/>
      <c r="J971" s="691"/>
      <c r="K971" s="691"/>
      <c r="L971" s="691"/>
      <c r="M971" s="691"/>
      <c r="N971" s="691"/>
      <c r="O971" s="691"/>
      <c r="P971" s="691"/>
      <c r="Q971" s="741"/>
      <c r="R971" s="741"/>
      <c r="S971" s="741"/>
      <c r="T971" s="85"/>
      <c r="U971" s="85"/>
      <c r="V971" s="85"/>
      <c r="W971" s="11"/>
      <c r="X971" s="11"/>
      <c r="Y971" s="11"/>
      <c r="Z971" s="11"/>
      <c r="AA971" s="11"/>
      <c r="AB971" s="11"/>
      <c r="AC971" s="11"/>
      <c r="AD971" s="11"/>
      <c r="AE971" s="11"/>
      <c r="AF971" s="11"/>
      <c r="AG971" s="11"/>
      <c r="AH971" s="11"/>
      <c r="AI971" s="11"/>
      <c r="AJ971" s="11"/>
      <c r="AK971" s="11"/>
      <c r="AL971" s="11"/>
      <c r="AM971" s="11"/>
      <c r="AN971" s="11"/>
      <c r="AO971" s="11"/>
    </row>
    <row r="972">
      <c r="A972" s="94"/>
      <c r="C972" s="94"/>
      <c r="D972" s="94"/>
      <c r="E972" s="94"/>
      <c r="F972" s="94"/>
      <c r="G972" s="94"/>
      <c r="H972" s="691"/>
      <c r="I972" s="691"/>
      <c r="J972" s="691"/>
      <c r="K972" s="691"/>
      <c r="L972" s="691"/>
      <c r="M972" s="691"/>
      <c r="N972" s="691"/>
      <c r="O972" s="691"/>
      <c r="P972" s="691"/>
      <c r="Q972" s="741"/>
      <c r="R972" s="741"/>
      <c r="S972" s="741"/>
      <c r="T972" s="85"/>
      <c r="U972" s="85"/>
      <c r="V972" s="85"/>
      <c r="W972" s="11"/>
      <c r="X972" s="11"/>
      <c r="Y972" s="11"/>
      <c r="Z972" s="11"/>
      <c r="AA972" s="11"/>
      <c r="AB972" s="11"/>
      <c r="AC972" s="11"/>
      <c r="AD972" s="11"/>
      <c r="AE972" s="11"/>
      <c r="AF972" s="11"/>
      <c r="AG972" s="11"/>
      <c r="AH972" s="11"/>
      <c r="AI972" s="11"/>
      <c r="AJ972" s="11"/>
      <c r="AK972" s="11"/>
      <c r="AL972" s="11"/>
      <c r="AM972" s="11"/>
      <c r="AN972" s="11"/>
      <c r="AO972" s="11"/>
    </row>
    <row r="973">
      <c r="A973" s="94"/>
      <c r="C973" s="94"/>
      <c r="D973" s="94"/>
      <c r="E973" s="94"/>
      <c r="F973" s="94"/>
      <c r="G973" s="94"/>
      <c r="H973" s="691"/>
      <c r="I973" s="691"/>
      <c r="J973" s="691"/>
      <c r="K973" s="691"/>
      <c r="L973" s="691"/>
      <c r="M973" s="691"/>
      <c r="N973" s="691"/>
      <c r="O973" s="691"/>
      <c r="P973" s="691"/>
      <c r="Q973" s="741"/>
      <c r="R973" s="741"/>
      <c r="S973" s="741"/>
      <c r="T973" s="85"/>
      <c r="U973" s="85"/>
      <c r="V973" s="85"/>
      <c r="W973" s="11"/>
      <c r="X973" s="11"/>
      <c r="Y973" s="11"/>
      <c r="Z973" s="11"/>
      <c r="AA973" s="11"/>
      <c r="AB973" s="11"/>
      <c r="AC973" s="11"/>
      <c r="AD973" s="11"/>
      <c r="AE973" s="11"/>
      <c r="AF973" s="11"/>
      <c r="AG973" s="11"/>
      <c r="AH973" s="11"/>
      <c r="AI973" s="11"/>
      <c r="AJ973" s="11"/>
      <c r="AK973" s="11"/>
      <c r="AL973" s="11"/>
      <c r="AM973" s="11"/>
      <c r="AN973" s="11"/>
      <c r="AO973" s="11"/>
    </row>
    <row r="974">
      <c r="A974" s="94"/>
      <c r="C974" s="94"/>
      <c r="D974" s="94"/>
      <c r="E974" s="94"/>
      <c r="F974" s="94"/>
      <c r="G974" s="94"/>
      <c r="H974" s="691"/>
      <c r="I974" s="691"/>
      <c r="J974" s="691"/>
      <c r="K974" s="691"/>
      <c r="L974" s="691"/>
      <c r="M974" s="691"/>
      <c r="N974" s="691"/>
      <c r="O974" s="691"/>
      <c r="P974" s="691"/>
      <c r="Q974" s="741"/>
      <c r="R974" s="741"/>
      <c r="S974" s="741"/>
      <c r="T974" s="85"/>
      <c r="U974" s="85"/>
      <c r="V974" s="85"/>
      <c r="W974" s="11"/>
      <c r="X974" s="11"/>
      <c r="Y974" s="11"/>
      <c r="Z974" s="11"/>
      <c r="AA974" s="11"/>
      <c r="AB974" s="11"/>
      <c r="AC974" s="11"/>
      <c r="AD974" s="11"/>
      <c r="AE974" s="11"/>
      <c r="AF974" s="11"/>
      <c r="AG974" s="11"/>
      <c r="AH974" s="11"/>
      <c r="AI974" s="11"/>
      <c r="AJ974" s="11"/>
      <c r="AK974" s="11"/>
      <c r="AL974" s="11"/>
      <c r="AM974" s="11"/>
      <c r="AN974" s="11"/>
      <c r="AO974" s="11"/>
    </row>
    <row r="975">
      <c r="A975" s="94"/>
      <c r="C975" s="94"/>
      <c r="D975" s="94"/>
      <c r="E975" s="94"/>
      <c r="F975" s="94"/>
      <c r="G975" s="94"/>
      <c r="H975" s="691"/>
      <c r="I975" s="691"/>
      <c r="J975" s="691"/>
      <c r="K975" s="691"/>
      <c r="L975" s="691"/>
      <c r="M975" s="691"/>
      <c r="N975" s="691"/>
      <c r="O975" s="691"/>
      <c r="P975" s="691"/>
      <c r="Q975" s="741"/>
      <c r="R975" s="741"/>
      <c r="S975" s="741"/>
      <c r="T975" s="85"/>
      <c r="U975" s="85"/>
      <c r="V975" s="85"/>
      <c r="W975" s="11"/>
      <c r="X975" s="11"/>
      <c r="Y975" s="11"/>
      <c r="Z975" s="11"/>
      <c r="AA975" s="11"/>
      <c r="AB975" s="11"/>
      <c r="AC975" s="11"/>
      <c r="AD975" s="11"/>
      <c r="AE975" s="11"/>
      <c r="AF975" s="11"/>
      <c r="AG975" s="11"/>
      <c r="AH975" s="11"/>
      <c r="AI975" s="11"/>
      <c r="AJ975" s="11"/>
      <c r="AK975" s="11"/>
      <c r="AL975" s="11"/>
      <c r="AM975" s="11"/>
      <c r="AN975" s="11"/>
      <c r="AO975" s="11"/>
    </row>
    <row r="976">
      <c r="A976" s="94"/>
      <c r="C976" s="94"/>
      <c r="D976" s="94"/>
      <c r="E976" s="94"/>
      <c r="F976" s="94"/>
      <c r="G976" s="94"/>
      <c r="H976" s="691"/>
      <c r="I976" s="691"/>
      <c r="J976" s="691"/>
      <c r="K976" s="691"/>
      <c r="L976" s="691"/>
      <c r="M976" s="691"/>
      <c r="N976" s="691"/>
      <c r="O976" s="691"/>
      <c r="P976" s="691"/>
      <c r="Q976" s="741"/>
      <c r="R976" s="741"/>
      <c r="S976" s="741"/>
      <c r="T976" s="85"/>
      <c r="U976" s="85"/>
      <c r="V976" s="85"/>
      <c r="W976" s="11"/>
      <c r="X976" s="11"/>
      <c r="Y976" s="11"/>
      <c r="Z976" s="11"/>
      <c r="AA976" s="11"/>
      <c r="AB976" s="11"/>
      <c r="AC976" s="11"/>
      <c r="AD976" s="11"/>
      <c r="AE976" s="11"/>
      <c r="AF976" s="11"/>
      <c r="AG976" s="11"/>
      <c r="AH976" s="11"/>
      <c r="AI976" s="11"/>
      <c r="AJ976" s="11"/>
      <c r="AK976" s="11"/>
      <c r="AL976" s="11"/>
      <c r="AM976" s="11"/>
      <c r="AN976" s="11"/>
      <c r="AO976" s="11"/>
    </row>
    <row r="977">
      <c r="A977" s="94"/>
      <c r="C977" s="94"/>
      <c r="D977" s="94"/>
      <c r="E977" s="94"/>
      <c r="F977" s="94"/>
      <c r="G977" s="94"/>
      <c r="H977" s="691"/>
      <c r="I977" s="691"/>
      <c r="J977" s="691"/>
      <c r="K977" s="691"/>
      <c r="L977" s="691"/>
      <c r="M977" s="691"/>
      <c r="N977" s="691"/>
      <c r="O977" s="691"/>
      <c r="P977" s="691"/>
      <c r="Q977" s="741"/>
      <c r="R977" s="741"/>
      <c r="S977" s="741"/>
      <c r="T977" s="85"/>
      <c r="U977" s="85"/>
      <c r="V977" s="85"/>
      <c r="W977" s="11"/>
      <c r="X977" s="11"/>
      <c r="Y977" s="11"/>
      <c r="Z977" s="11"/>
      <c r="AA977" s="11"/>
      <c r="AB977" s="11"/>
      <c r="AC977" s="11"/>
      <c r="AD977" s="11"/>
      <c r="AE977" s="11"/>
      <c r="AF977" s="11"/>
      <c r="AG977" s="11"/>
      <c r="AH977" s="11"/>
      <c r="AI977" s="11"/>
      <c r="AJ977" s="11"/>
      <c r="AK977" s="11"/>
      <c r="AL977" s="11"/>
      <c r="AM977" s="11"/>
      <c r="AN977" s="11"/>
      <c r="AO977" s="11"/>
    </row>
    <row r="978">
      <c r="A978" s="94"/>
      <c r="C978" s="94"/>
      <c r="D978" s="94"/>
      <c r="E978" s="94"/>
      <c r="F978" s="94"/>
      <c r="G978" s="94"/>
      <c r="H978" s="691"/>
      <c r="I978" s="691"/>
      <c r="J978" s="691"/>
      <c r="K978" s="691"/>
      <c r="L978" s="691"/>
      <c r="M978" s="691"/>
      <c r="N978" s="691"/>
      <c r="O978" s="691"/>
      <c r="P978" s="691"/>
      <c r="Q978" s="741"/>
      <c r="R978" s="741"/>
      <c r="S978" s="741"/>
      <c r="T978" s="85"/>
      <c r="U978" s="85"/>
      <c r="V978" s="85"/>
      <c r="W978" s="11"/>
      <c r="X978" s="11"/>
      <c r="Y978" s="11"/>
      <c r="Z978" s="11"/>
      <c r="AA978" s="11"/>
      <c r="AB978" s="11"/>
      <c r="AC978" s="11"/>
      <c r="AD978" s="11"/>
      <c r="AE978" s="11"/>
      <c r="AF978" s="11"/>
      <c r="AG978" s="11"/>
      <c r="AH978" s="11"/>
      <c r="AI978" s="11"/>
      <c r="AJ978" s="11"/>
      <c r="AK978" s="11"/>
      <c r="AL978" s="11"/>
      <c r="AM978" s="11"/>
      <c r="AN978" s="11"/>
      <c r="AO978" s="11"/>
    </row>
    <row r="979">
      <c r="A979" s="94"/>
      <c r="C979" s="94"/>
      <c r="D979" s="94"/>
      <c r="E979" s="94"/>
      <c r="F979" s="94"/>
      <c r="G979" s="94"/>
      <c r="H979" s="691"/>
      <c r="I979" s="691"/>
      <c r="J979" s="691"/>
      <c r="K979" s="691"/>
      <c r="L979" s="691"/>
      <c r="M979" s="691"/>
      <c r="N979" s="691"/>
      <c r="O979" s="691"/>
      <c r="P979" s="691"/>
      <c r="Q979" s="741"/>
      <c r="R979" s="741"/>
      <c r="S979" s="741"/>
      <c r="T979" s="85"/>
      <c r="U979" s="85"/>
      <c r="V979" s="85"/>
      <c r="W979" s="11"/>
      <c r="X979" s="11"/>
      <c r="Y979" s="11"/>
      <c r="Z979" s="11"/>
      <c r="AA979" s="11"/>
      <c r="AB979" s="11"/>
      <c r="AC979" s="11"/>
      <c r="AD979" s="11"/>
      <c r="AE979" s="11"/>
      <c r="AF979" s="11"/>
      <c r="AG979" s="11"/>
      <c r="AH979" s="11"/>
      <c r="AI979" s="11"/>
      <c r="AJ979" s="11"/>
      <c r="AK979" s="11"/>
      <c r="AL979" s="11"/>
      <c r="AM979" s="11"/>
      <c r="AN979" s="11"/>
      <c r="AO979" s="11"/>
    </row>
    <row r="980">
      <c r="A980" s="94"/>
      <c r="C980" s="94"/>
      <c r="D980" s="94"/>
      <c r="E980" s="94"/>
      <c r="F980" s="94"/>
      <c r="G980" s="94"/>
      <c r="H980" s="691"/>
      <c r="I980" s="691"/>
      <c r="J980" s="691"/>
      <c r="K980" s="691"/>
      <c r="L980" s="691"/>
      <c r="M980" s="691"/>
      <c r="N980" s="691"/>
      <c r="O980" s="691"/>
      <c r="P980" s="691"/>
      <c r="Q980" s="741"/>
      <c r="R980" s="741"/>
      <c r="S980" s="741"/>
      <c r="T980" s="85"/>
      <c r="U980" s="85"/>
      <c r="V980" s="85"/>
      <c r="W980" s="11"/>
      <c r="X980" s="11"/>
      <c r="Y980" s="11"/>
      <c r="Z980" s="11"/>
      <c r="AA980" s="11"/>
      <c r="AB980" s="11"/>
      <c r="AC980" s="11"/>
      <c r="AD980" s="11"/>
      <c r="AE980" s="11"/>
      <c r="AF980" s="11"/>
      <c r="AG980" s="11"/>
      <c r="AH980" s="11"/>
      <c r="AI980" s="11"/>
      <c r="AJ980" s="11"/>
      <c r="AK980" s="11"/>
      <c r="AL980" s="11"/>
      <c r="AM980" s="11"/>
      <c r="AN980" s="11"/>
      <c r="AO980" s="11"/>
    </row>
    <row r="981">
      <c r="A981" s="85"/>
      <c r="C981" s="94"/>
      <c r="D981" s="94"/>
      <c r="E981" s="94"/>
      <c r="F981" s="94"/>
      <c r="G981" s="89"/>
      <c r="H981" s="89"/>
      <c r="I981" s="691"/>
      <c r="J981" s="89"/>
      <c r="K981" s="691"/>
      <c r="L981" s="691"/>
      <c r="M981" s="691"/>
      <c r="N981" s="691"/>
      <c r="O981" s="691"/>
      <c r="P981" s="691"/>
      <c r="Q981" s="741"/>
      <c r="R981" s="741"/>
      <c r="S981" s="741"/>
      <c r="T981" s="85"/>
      <c r="U981" s="85"/>
      <c r="V981" s="85"/>
      <c r="W981" s="11"/>
      <c r="X981" s="11"/>
      <c r="Y981" s="11"/>
      <c r="Z981" s="11"/>
      <c r="AA981" s="11"/>
      <c r="AB981" s="11"/>
      <c r="AC981" s="11"/>
      <c r="AD981" s="11"/>
      <c r="AE981" s="11"/>
      <c r="AF981" s="11"/>
      <c r="AG981" s="11"/>
      <c r="AH981" s="11"/>
      <c r="AI981" s="11"/>
      <c r="AJ981" s="11"/>
      <c r="AK981" s="11"/>
      <c r="AL981" s="11"/>
      <c r="AM981" s="11"/>
      <c r="AN981" s="11"/>
      <c r="AO981" s="11"/>
    </row>
  </sheetData>
  <conditionalFormatting sqref="Z2:Z5 Z7">
    <cfRule type="colorScale" priority="1">
      <colorScale>
        <cfvo type="min"/>
        <cfvo type="max"/>
        <color rgb="FFFFFFFF"/>
        <color rgb="FFE67C73"/>
      </colorScale>
    </cfRule>
  </conditionalFormatting>
  <conditionalFormatting sqref="G1 G660:G980">
    <cfRule type="containsText" dxfId="5" priority="2" operator="containsText" text="reply">
      <formula>NOT(ISERROR(SEARCH(("reply"),(G1))))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0.75"/>
    <col customWidth="1" min="3" max="4" width="13.13"/>
    <col customWidth="1" min="5" max="5" width="20.5"/>
    <col customWidth="1" min="6" max="6" width="30.0"/>
    <col customWidth="1" min="7" max="7" width="22.25"/>
    <col customWidth="1" min="8" max="8" width="16.63"/>
    <col customWidth="1" min="9" max="10" width="17.38"/>
    <col customWidth="1" min="11" max="11" width="15.63"/>
    <col customWidth="1" min="12" max="12" width="16.5"/>
    <col customWidth="1" min="13" max="14" width="14.88"/>
    <col customWidth="1" min="15" max="15" width="15.5"/>
    <col customWidth="1" min="16" max="21" width="16.88"/>
    <col customWidth="1" min="23" max="23" width="29.75"/>
    <col customWidth="1" min="24" max="24" width="13.0"/>
    <col customWidth="1" min="25" max="25" width="11.5"/>
  </cols>
  <sheetData>
    <row r="1">
      <c r="A1" s="2" t="s">
        <v>151</v>
      </c>
      <c r="B1" s="4" t="s">
        <v>11</v>
      </c>
      <c r="C1" s="2" t="s">
        <v>20</v>
      </c>
      <c r="D1" s="6" t="s">
        <v>23</v>
      </c>
      <c r="E1" s="6" t="s">
        <v>26</v>
      </c>
      <c r="F1" s="6" t="s">
        <v>29</v>
      </c>
      <c r="G1" s="6" t="s">
        <v>31</v>
      </c>
      <c r="H1" s="7" t="s">
        <v>34</v>
      </c>
      <c r="I1" s="8" t="s">
        <v>38</v>
      </c>
      <c r="J1" s="8" t="s">
        <v>41</v>
      </c>
      <c r="K1" s="9" t="s">
        <v>43</v>
      </c>
      <c r="L1" s="9" t="s">
        <v>47</v>
      </c>
      <c r="M1" s="9" t="s">
        <v>50</v>
      </c>
      <c r="N1" s="9" t="s">
        <v>53</v>
      </c>
      <c r="O1" s="9" t="s">
        <v>55</v>
      </c>
      <c r="P1" s="9" t="s">
        <v>58</v>
      </c>
      <c r="Q1" s="9" t="s">
        <v>59</v>
      </c>
      <c r="R1" s="9" t="s">
        <v>60</v>
      </c>
      <c r="S1" s="9" t="s">
        <v>61</v>
      </c>
      <c r="T1" s="9" t="s">
        <v>62</v>
      </c>
      <c r="U1" s="9" t="s">
        <v>63</v>
      </c>
      <c r="V1" s="82"/>
      <c r="W1" s="83" t="s">
        <v>31</v>
      </c>
      <c r="X1" s="84"/>
      <c r="Y1" s="82"/>
      <c r="Z1" s="82"/>
      <c r="AA1" s="82"/>
      <c r="AB1" s="82"/>
      <c r="AC1" s="82"/>
      <c r="AD1" s="82"/>
      <c r="AE1" s="82"/>
      <c r="AF1" s="82"/>
      <c r="AG1" s="82"/>
      <c r="AH1" s="82"/>
      <c r="AI1" s="82"/>
      <c r="AJ1" s="82"/>
      <c r="AK1" s="82"/>
      <c r="AL1" s="82"/>
      <c r="AM1" s="82"/>
      <c r="AN1" s="82"/>
      <c r="AO1" s="82"/>
    </row>
    <row r="2" ht="15.0" customHeight="1">
      <c r="A2" s="85">
        <v>44930.0</v>
      </c>
      <c r="B2" s="86">
        <v>18.0</v>
      </c>
      <c r="C2" s="85">
        <v>44393.0</v>
      </c>
      <c r="D2" s="88" t="s">
        <v>158</v>
      </c>
      <c r="E2" s="89" t="s">
        <v>159</v>
      </c>
      <c r="F2" s="89" t="s">
        <v>160</v>
      </c>
      <c r="G2" s="90" t="s">
        <v>114</v>
      </c>
      <c r="H2" s="89" t="s">
        <v>161</v>
      </c>
      <c r="I2" s="89" t="s">
        <v>125</v>
      </c>
      <c r="J2" s="89" t="s">
        <v>162</v>
      </c>
      <c r="K2" s="89"/>
      <c r="L2" s="85"/>
      <c r="M2" s="85"/>
      <c r="N2" s="85"/>
      <c r="O2" s="89">
        <v>1.0</v>
      </c>
      <c r="P2" s="85"/>
      <c r="Q2" s="85"/>
      <c r="R2" s="85"/>
      <c r="S2" s="85"/>
      <c r="T2" s="85"/>
      <c r="U2" s="85"/>
      <c r="V2" s="89"/>
      <c r="W2" s="91" t="s">
        <v>120</v>
      </c>
      <c r="X2" s="92"/>
      <c r="Y2" s="93" t="str">
        <f>X2/X8</f>
        <v>#DIV/0!</v>
      </c>
      <c r="Z2" s="94"/>
      <c r="AA2" s="94"/>
      <c r="AB2" s="94"/>
      <c r="AC2" s="94"/>
      <c r="AD2" s="94"/>
      <c r="AE2" s="94"/>
      <c r="AF2" s="94"/>
      <c r="AG2" s="94"/>
      <c r="AH2" s="94"/>
      <c r="AI2" s="94"/>
      <c r="AJ2" s="94"/>
      <c r="AK2" s="94"/>
      <c r="AL2" s="94"/>
      <c r="AM2" s="94"/>
      <c r="AN2" s="94"/>
      <c r="AO2" s="94"/>
    </row>
    <row r="3">
      <c r="A3" s="85">
        <v>44930.0</v>
      </c>
      <c r="B3" s="86">
        <v>201.8</v>
      </c>
      <c r="C3" s="85">
        <v>44155.0</v>
      </c>
      <c r="D3" s="89" t="s">
        <v>167</v>
      </c>
      <c r="E3" s="89" t="s">
        <v>168</v>
      </c>
      <c r="F3" s="89" t="s">
        <v>169</v>
      </c>
      <c r="G3" s="90" t="s">
        <v>114</v>
      </c>
      <c r="H3" s="89" t="s">
        <v>170</v>
      </c>
      <c r="I3" s="89" t="s">
        <v>125</v>
      </c>
      <c r="J3" s="89" t="s">
        <v>162</v>
      </c>
      <c r="K3" s="89"/>
      <c r="L3" s="89">
        <v>1.0</v>
      </c>
      <c r="M3" s="85"/>
      <c r="N3" s="89">
        <v>1.0</v>
      </c>
      <c r="O3" s="85"/>
      <c r="P3" s="85"/>
      <c r="Q3" s="85"/>
      <c r="R3" s="85"/>
      <c r="S3" s="85"/>
      <c r="T3" s="85"/>
      <c r="U3" s="85"/>
      <c r="V3" s="89"/>
      <c r="W3" s="91" t="s">
        <v>99</v>
      </c>
      <c r="X3" s="92"/>
      <c r="Y3" s="93" t="str">
        <f>X3/X8</f>
        <v>#DIV/0!</v>
      </c>
      <c r="Z3" s="94"/>
      <c r="AA3" s="94"/>
      <c r="AB3" s="94"/>
      <c r="AC3" s="94"/>
      <c r="AD3" s="94"/>
      <c r="AE3" s="94"/>
      <c r="AF3" s="94"/>
      <c r="AG3" s="94"/>
      <c r="AH3" s="94"/>
      <c r="AI3" s="94"/>
      <c r="AJ3" s="94"/>
      <c r="AK3" s="94"/>
      <c r="AL3" s="94"/>
      <c r="AM3" s="94"/>
      <c r="AN3" s="94"/>
      <c r="AO3" s="94"/>
    </row>
    <row r="4">
      <c r="A4" s="96">
        <v>44927.0</v>
      </c>
      <c r="B4" s="86">
        <v>206.0</v>
      </c>
      <c r="C4" s="85">
        <v>44402.0</v>
      </c>
      <c r="D4" s="98" t="s">
        <v>176</v>
      </c>
      <c r="E4" s="98" t="s">
        <v>177</v>
      </c>
      <c r="F4" s="98" t="s">
        <v>178</v>
      </c>
      <c r="G4" s="100" t="s">
        <v>114</v>
      </c>
      <c r="H4" s="100" t="s">
        <v>161</v>
      </c>
      <c r="I4" s="98" t="s">
        <v>179</v>
      </c>
      <c r="J4" s="98" t="s">
        <v>95</v>
      </c>
      <c r="K4" s="98">
        <v>1.0</v>
      </c>
      <c r="L4" s="101"/>
      <c r="M4" s="101"/>
      <c r="N4" s="101"/>
      <c r="O4" s="101"/>
      <c r="P4" s="101"/>
      <c r="Q4" s="101"/>
      <c r="R4" s="101"/>
      <c r="S4" s="101"/>
      <c r="T4" s="101"/>
      <c r="U4" s="101"/>
      <c r="V4" s="103"/>
      <c r="W4" s="104" t="s">
        <v>181</v>
      </c>
      <c r="X4" s="103"/>
      <c r="Y4" s="105"/>
      <c r="Z4" s="106"/>
      <c r="AA4" s="106"/>
      <c r="AB4" s="106"/>
      <c r="AC4" s="106"/>
      <c r="AD4" s="106"/>
      <c r="AE4" s="106"/>
      <c r="AF4" s="106"/>
      <c r="AG4" s="106"/>
      <c r="AH4" s="106"/>
      <c r="AI4" s="106"/>
      <c r="AJ4" s="106"/>
      <c r="AK4" s="106"/>
      <c r="AL4" s="106"/>
      <c r="AM4" s="106"/>
      <c r="AN4" s="106"/>
      <c r="AO4" s="106"/>
    </row>
    <row r="5">
      <c r="A5" s="108">
        <v>44927.0</v>
      </c>
      <c r="B5" s="86">
        <v>18.0</v>
      </c>
      <c r="C5" s="85">
        <v>44689.0</v>
      </c>
      <c r="D5" s="109" t="s">
        <v>185</v>
      </c>
      <c r="E5" s="110" t="s">
        <v>186</v>
      </c>
      <c r="F5" s="110" t="s">
        <v>187</v>
      </c>
      <c r="G5" s="110" t="s">
        <v>114</v>
      </c>
      <c r="H5" s="111" t="s">
        <v>94</v>
      </c>
      <c r="I5" s="111" t="s">
        <v>94</v>
      </c>
      <c r="J5" s="110" t="s">
        <v>95</v>
      </c>
      <c r="K5" s="112"/>
      <c r="L5" s="110"/>
      <c r="M5" s="112"/>
      <c r="N5" s="112"/>
      <c r="O5" s="113">
        <v>1.0</v>
      </c>
      <c r="P5" s="112"/>
      <c r="Q5" s="112"/>
      <c r="R5" s="112"/>
      <c r="S5" s="112"/>
      <c r="T5" s="112"/>
      <c r="U5" s="112"/>
      <c r="V5" s="114"/>
      <c r="W5" s="115"/>
      <c r="X5" s="114"/>
      <c r="Y5" s="116"/>
      <c r="Z5" s="115"/>
      <c r="AA5" s="115"/>
      <c r="AB5" s="115"/>
      <c r="AC5" s="115"/>
      <c r="AD5" s="115"/>
      <c r="AE5" s="115"/>
      <c r="AF5" s="115"/>
      <c r="AG5" s="115"/>
      <c r="AH5" s="115"/>
      <c r="AI5" s="115"/>
      <c r="AJ5" s="115"/>
      <c r="AK5" s="115"/>
      <c r="AL5" s="115"/>
      <c r="AM5" s="115"/>
      <c r="AN5" s="115"/>
      <c r="AO5" s="115"/>
    </row>
    <row r="6" ht="18.0" customHeight="1">
      <c r="A6" s="108">
        <v>44928.0</v>
      </c>
      <c r="B6" s="86">
        <v>235.81</v>
      </c>
      <c r="C6" s="85">
        <v>44731.0</v>
      </c>
      <c r="D6" s="110" t="s">
        <v>192</v>
      </c>
      <c r="E6" s="110" t="s">
        <v>193</v>
      </c>
      <c r="F6" s="118" t="s">
        <v>194</v>
      </c>
      <c r="G6" s="110" t="s">
        <v>114</v>
      </c>
      <c r="H6" s="110" t="s">
        <v>94</v>
      </c>
      <c r="I6" s="111" t="s">
        <v>196</v>
      </c>
      <c r="J6" s="110" t="s">
        <v>95</v>
      </c>
      <c r="K6" s="113">
        <v>1.0</v>
      </c>
      <c r="L6" s="112"/>
      <c r="M6" s="112"/>
      <c r="N6" s="112"/>
      <c r="O6" s="112"/>
      <c r="P6" s="112"/>
      <c r="Q6" s="112"/>
      <c r="R6" s="112"/>
      <c r="S6" s="112"/>
      <c r="T6" s="112"/>
      <c r="U6" s="112"/>
      <c r="V6" s="114"/>
      <c r="W6" s="115"/>
      <c r="X6" s="114"/>
      <c r="Y6" s="115"/>
      <c r="Z6" s="115"/>
      <c r="AA6" s="115"/>
      <c r="AB6" s="115"/>
      <c r="AC6" s="115"/>
      <c r="AD6" s="115"/>
      <c r="AE6" s="115"/>
      <c r="AF6" s="115"/>
      <c r="AG6" s="115"/>
      <c r="AH6" s="115"/>
      <c r="AI6" s="115"/>
      <c r="AJ6" s="115"/>
      <c r="AK6" s="115"/>
      <c r="AL6" s="115"/>
      <c r="AM6" s="115"/>
      <c r="AN6" s="115"/>
      <c r="AO6" s="115"/>
    </row>
    <row r="7" ht="19.5" customHeight="1">
      <c r="A7" s="119">
        <v>44931.0</v>
      </c>
      <c r="B7" s="24">
        <v>271.1</v>
      </c>
      <c r="C7" s="120">
        <v>44155.0</v>
      </c>
      <c r="D7" s="122" t="s">
        <v>200</v>
      </c>
      <c r="E7" s="122" t="s">
        <v>202</v>
      </c>
      <c r="F7" s="122" t="s">
        <v>203</v>
      </c>
      <c r="G7" s="111" t="s">
        <v>114</v>
      </c>
      <c r="H7" s="122" t="s">
        <v>170</v>
      </c>
      <c r="I7" s="122" t="s">
        <v>125</v>
      </c>
      <c r="J7" s="111" t="s">
        <v>95</v>
      </c>
      <c r="K7" s="123"/>
      <c r="L7" s="122">
        <v>1.0</v>
      </c>
      <c r="M7" s="123"/>
      <c r="N7" s="123"/>
      <c r="O7" s="123"/>
      <c r="P7" s="122">
        <v>1.0</v>
      </c>
      <c r="Q7" s="123"/>
      <c r="R7" s="123"/>
      <c r="S7" s="123"/>
      <c r="T7" s="123"/>
      <c r="U7" s="123"/>
      <c r="V7" s="126"/>
      <c r="W7" s="127"/>
      <c r="X7" s="126"/>
      <c r="Y7" s="128"/>
      <c r="Z7" s="127"/>
      <c r="AA7" s="127"/>
      <c r="AB7" s="127"/>
      <c r="AC7" s="127"/>
      <c r="AD7" s="127"/>
      <c r="AE7" s="127"/>
      <c r="AF7" s="127"/>
      <c r="AG7" s="127"/>
      <c r="AH7" s="127"/>
      <c r="AI7" s="127"/>
      <c r="AJ7" s="127"/>
      <c r="AK7" s="127"/>
      <c r="AL7" s="127"/>
      <c r="AM7" s="127"/>
      <c r="AN7" s="127"/>
      <c r="AO7" s="127"/>
    </row>
    <row r="8" ht="18.75" customHeight="1">
      <c r="A8" s="119">
        <v>44931.0</v>
      </c>
      <c r="B8" s="24">
        <v>357.22</v>
      </c>
      <c r="C8" s="120">
        <v>44680.0</v>
      </c>
      <c r="D8" s="25" t="s">
        <v>208</v>
      </c>
      <c r="E8" s="25" t="s">
        <v>209</v>
      </c>
      <c r="F8" s="25" t="s">
        <v>210</v>
      </c>
      <c r="G8" s="111" t="s">
        <v>114</v>
      </c>
      <c r="H8" s="111" t="s">
        <v>94</v>
      </c>
      <c r="I8" s="111" t="s">
        <v>94</v>
      </c>
      <c r="J8" s="111" t="s">
        <v>95</v>
      </c>
      <c r="K8" s="25"/>
      <c r="L8" s="25">
        <v>1.0</v>
      </c>
      <c r="M8" s="22"/>
      <c r="N8" s="25">
        <v>1.0</v>
      </c>
      <c r="O8" s="25">
        <v>1.0</v>
      </c>
      <c r="P8" s="25">
        <v>1.0</v>
      </c>
      <c r="Q8" s="22"/>
      <c r="R8" s="22"/>
      <c r="S8" s="22"/>
      <c r="T8" s="22"/>
      <c r="U8" s="22"/>
      <c r="V8" s="25"/>
      <c r="W8" s="31" t="s">
        <v>126</v>
      </c>
      <c r="X8" s="54">
        <f>SUM(X2:X7)</f>
        <v>0</v>
      </c>
      <c r="Y8" s="55"/>
      <c r="Z8" s="36"/>
      <c r="AA8" s="36"/>
      <c r="AB8" s="36"/>
      <c r="AC8" s="36"/>
      <c r="AD8" s="36"/>
      <c r="AE8" s="36"/>
      <c r="AF8" s="36"/>
      <c r="AG8" s="36"/>
      <c r="AH8" s="36"/>
      <c r="AI8" s="36"/>
      <c r="AJ8" s="36"/>
      <c r="AK8" s="36"/>
      <c r="AL8" s="36"/>
      <c r="AM8" s="36"/>
      <c r="AN8" s="36"/>
      <c r="AO8" s="36"/>
    </row>
    <row r="9">
      <c r="A9" s="119">
        <v>44931.0</v>
      </c>
      <c r="B9" s="24">
        <v>218.0</v>
      </c>
      <c r="C9" s="120">
        <v>44407.0</v>
      </c>
      <c r="D9" s="25" t="s">
        <v>215</v>
      </c>
      <c r="E9" s="25" t="s">
        <v>216</v>
      </c>
      <c r="F9" s="25" t="s">
        <v>217</v>
      </c>
      <c r="G9" s="111" t="s">
        <v>114</v>
      </c>
      <c r="H9" s="111" t="s">
        <v>94</v>
      </c>
      <c r="I9" s="111" t="s">
        <v>94</v>
      </c>
      <c r="J9" s="111" t="s">
        <v>95</v>
      </c>
      <c r="K9" s="25">
        <v>1.0</v>
      </c>
      <c r="L9" s="25"/>
      <c r="M9" s="25"/>
      <c r="N9" s="22"/>
      <c r="O9" s="22"/>
      <c r="P9" s="25">
        <v>1.0</v>
      </c>
      <c r="Q9" s="22"/>
      <c r="R9" s="22"/>
      <c r="S9" s="22"/>
      <c r="T9" s="22"/>
      <c r="U9" s="22"/>
      <c r="V9" s="25"/>
      <c r="W9" s="31"/>
      <c r="X9" s="31"/>
      <c r="Y9" s="36"/>
      <c r="Z9" s="36"/>
      <c r="AA9" s="36"/>
      <c r="AB9" s="36"/>
      <c r="AC9" s="36"/>
      <c r="AD9" s="36"/>
      <c r="AE9" s="36"/>
      <c r="AF9" s="36"/>
      <c r="AG9" s="36"/>
      <c r="AH9" s="36"/>
      <c r="AI9" s="36"/>
      <c r="AJ9" s="36"/>
      <c r="AK9" s="36"/>
      <c r="AL9" s="36"/>
      <c r="AM9" s="36"/>
      <c r="AN9" s="36"/>
      <c r="AO9" s="36"/>
    </row>
    <row r="10">
      <c r="A10" s="119">
        <v>44931.0</v>
      </c>
      <c r="B10" s="24">
        <v>265.0</v>
      </c>
      <c r="C10" s="120">
        <v>44371.0</v>
      </c>
      <c r="D10" s="25" t="s">
        <v>223</v>
      </c>
      <c r="E10" s="25" t="s">
        <v>224</v>
      </c>
      <c r="F10" s="25" t="s">
        <v>225</v>
      </c>
      <c r="G10" s="111" t="s">
        <v>114</v>
      </c>
      <c r="H10" s="25" t="s">
        <v>161</v>
      </c>
      <c r="I10" s="25" t="s">
        <v>125</v>
      </c>
      <c r="J10" s="111" t="s">
        <v>95</v>
      </c>
      <c r="K10" s="22"/>
      <c r="L10" s="25">
        <v>1.0</v>
      </c>
      <c r="M10" s="22"/>
      <c r="N10" s="25"/>
      <c r="O10" s="22"/>
      <c r="P10" s="25"/>
      <c r="Q10" s="22"/>
      <c r="R10" s="22"/>
      <c r="S10" s="22"/>
      <c r="T10" s="22"/>
      <c r="U10" s="22"/>
      <c r="V10" s="25"/>
      <c r="W10" s="31"/>
      <c r="X10" s="31"/>
      <c r="Y10" s="36"/>
      <c r="Z10" s="36"/>
      <c r="AA10" s="36"/>
      <c r="AB10" s="36"/>
      <c r="AC10" s="36"/>
      <c r="AD10" s="36"/>
      <c r="AE10" s="36"/>
      <c r="AF10" s="36"/>
      <c r="AG10" s="36"/>
      <c r="AH10" s="36"/>
      <c r="AI10" s="36"/>
      <c r="AJ10" s="36"/>
      <c r="AK10" s="36"/>
      <c r="AL10" s="36"/>
      <c r="AM10" s="36"/>
      <c r="AN10" s="36"/>
      <c r="AO10" s="36"/>
    </row>
    <row r="11">
      <c r="A11" s="119">
        <v>44931.0</v>
      </c>
      <c r="B11" s="24">
        <v>255.73</v>
      </c>
      <c r="C11" s="120">
        <v>44872.0</v>
      </c>
      <c r="D11" s="25" t="s">
        <v>230</v>
      </c>
      <c r="E11" s="25" t="s">
        <v>231</v>
      </c>
      <c r="F11" s="25" t="s">
        <v>232</v>
      </c>
      <c r="G11" s="111" t="s">
        <v>114</v>
      </c>
      <c r="H11" s="111" t="s">
        <v>94</v>
      </c>
      <c r="I11" s="111" t="s">
        <v>196</v>
      </c>
      <c r="J11" s="111" t="s">
        <v>95</v>
      </c>
      <c r="K11" s="25">
        <v>1.0</v>
      </c>
      <c r="L11" s="22"/>
      <c r="M11" s="22"/>
      <c r="N11" s="22"/>
      <c r="O11" s="25"/>
      <c r="P11" s="25">
        <v>1.0</v>
      </c>
      <c r="Q11" s="22"/>
      <c r="R11" s="22"/>
      <c r="S11" s="22"/>
      <c r="T11" s="22"/>
      <c r="U11" s="22"/>
      <c r="V11" s="25"/>
      <c r="W11" s="64" t="s">
        <v>174</v>
      </c>
      <c r="X11" s="97">
        <f>Sales!B51</f>
        <v>5451</v>
      </c>
      <c r="Y11" s="64"/>
      <c r="Z11" s="64"/>
      <c r="AA11" s="64"/>
      <c r="AB11" s="64"/>
      <c r="AC11" s="64"/>
      <c r="AD11" s="64"/>
      <c r="AE11" s="64"/>
      <c r="AF11" s="64"/>
      <c r="AG11" s="64"/>
      <c r="AH11" s="64"/>
      <c r="AI11" s="64"/>
      <c r="AJ11" s="64"/>
      <c r="AK11" s="64"/>
      <c r="AL11" s="64"/>
      <c r="AM11" s="64"/>
      <c r="AN11" s="64"/>
      <c r="AO11" s="64"/>
    </row>
    <row r="12">
      <c r="A12" s="119">
        <v>44931.0</v>
      </c>
      <c r="B12" s="24">
        <v>253.45</v>
      </c>
      <c r="C12" s="120">
        <v>44862.0</v>
      </c>
      <c r="D12" s="25" t="s">
        <v>238</v>
      </c>
      <c r="E12" s="25" t="s">
        <v>239</v>
      </c>
      <c r="F12" s="25" t="s">
        <v>240</v>
      </c>
      <c r="G12" s="111" t="s">
        <v>114</v>
      </c>
      <c r="H12" s="111" t="s">
        <v>94</v>
      </c>
      <c r="I12" s="111" t="s">
        <v>196</v>
      </c>
      <c r="J12" s="111" t="s">
        <v>95</v>
      </c>
      <c r="K12" s="25">
        <v>1.0</v>
      </c>
      <c r="L12" s="22"/>
      <c r="M12" s="22"/>
      <c r="N12" s="22"/>
      <c r="O12" s="25"/>
      <c r="P12" s="25">
        <v>1.0</v>
      </c>
      <c r="Q12" s="22"/>
      <c r="R12" s="22"/>
      <c r="S12" s="22"/>
      <c r="T12" s="22"/>
      <c r="U12" s="22"/>
      <c r="V12" s="25"/>
      <c r="W12" s="64" t="s">
        <v>153</v>
      </c>
      <c r="X12" s="80">
        <f>X8/X11</f>
        <v>0</v>
      </c>
      <c r="Y12" s="64"/>
      <c r="Z12" s="64"/>
      <c r="AA12" s="64"/>
      <c r="AB12" s="64"/>
      <c r="AC12" s="64"/>
      <c r="AD12" s="64"/>
      <c r="AE12" s="64"/>
      <c r="AF12" s="64"/>
      <c r="AG12" s="64"/>
      <c r="AH12" s="64"/>
      <c r="AI12" s="64"/>
      <c r="AJ12" s="64"/>
      <c r="AK12" s="64"/>
      <c r="AL12" s="64"/>
      <c r="AM12" s="64"/>
      <c r="AN12" s="64"/>
      <c r="AO12" s="64"/>
    </row>
    <row r="13">
      <c r="A13" s="119">
        <v>44931.0</v>
      </c>
      <c r="B13" s="24">
        <v>287.16</v>
      </c>
      <c r="C13" s="120"/>
      <c r="D13" s="25"/>
      <c r="E13" s="25"/>
      <c r="F13" s="25"/>
      <c r="G13" s="111" t="s">
        <v>114</v>
      </c>
      <c r="H13" s="111" t="s">
        <v>94</v>
      </c>
      <c r="I13" s="111" t="s">
        <v>94</v>
      </c>
      <c r="J13" s="111" t="s">
        <v>95</v>
      </c>
      <c r="K13" s="22"/>
      <c r="L13" s="25">
        <v>1.0</v>
      </c>
      <c r="M13" s="22"/>
      <c r="N13" s="25"/>
      <c r="O13" s="22"/>
      <c r="P13" s="22"/>
      <c r="Q13" s="25"/>
      <c r="R13" s="22"/>
      <c r="S13" s="22"/>
      <c r="T13" s="22"/>
      <c r="U13" s="22"/>
      <c r="V13" s="25"/>
      <c r="W13" s="25"/>
      <c r="X13" s="25"/>
      <c r="Y13" s="25"/>
      <c r="Z13" s="25"/>
      <c r="AA13" s="25"/>
      <c r="AB13" s="25"/>
      <c r="AC13" s="25"/>
      <c r="AD13" s="25"/>
      <c r="AE13" s="25"/>
      <c r="AF13" s="25"/>
      <c r="AG13" s="25"/>
      <c r="AH13" s="25"/>
      <c r="AI13" s="25"/>
      <c r="AJ13" s="25"/>
      <c r="AK13" s="25"/>
      <c r="AL13" s="25"/>
      <c r="AM13" s="64"/>
      <c r="AN13" s="64"/>
      <c r="AO13" s="64"/>
    </row>
    <row r="14">
      <c r="A14" s="143">
        <v>44931.0</v>
      </c>
      <c r="B14" s="144">
        <v>284.0</v>
      </c>
      <c r="C14" s="145">
        <v>44625.0</v>
      </c>
      <c r="D14" s="146" t="s">
        <v>248</v>
      </c>
      <c r="E14" s="146" t="s">
        <v>249</v>
      </c>
      <c r="F14" s="146" t="s">
        <v>250</v>
      </c>
      <c r="G14" s="147" t="s">
        <v>114</v>
      </c>
      <c r="H14" s="147" t="s">
        <v>94</v>
      </c>
      <c r="I14" s="147" t="s">
        <v>196</v>
      </c>
      <c r="J14" s="111" t="s">
        <v>95</v>
      </c>
      <c r="K14" s="22"/>
      <c r="L14" s="25">
        <v>1.0</v>
      </c>
      <c r="M14" s="22"/>
      <c r="N14" s="25"/>
      <c r="O14" s="25"/>
      <c r="P14" s="25"/>
      <c r="Q14" s="22"/>
      <c r="R14" s="22"/>
      <c r="S14" s="22"/>
      <c r="T14" s="22"/>
      <c r="U14" s="22"/>
      <c r="V14" s="25"/>
      <c r="W14" s="25"/>
      <c r="X14" s="25"/>
      <c r="Y14" s="25"/>
      <c r="Z14" s="25"/>
      <c r="AA14" s="25"/>
      <c r="AB14" s="25"/>
      <c r="AC14" s="25"/>
      <c r="AD14" s="25"/>
      <c r="AE14" s="25"/>
      <c r="AF14" s="25"/>
      <c r="AG14" s="25"/>
      <c r="AH14" s="25"/>
      <c r="AI14" s="25"/>
      <c r="AJ14" s="25"/>
      <c r="AK14" s="25"/>
      <c r="AL14" s="25"/>
      <c r="AM14" s="25"/>
      <c r="AN14" s="25"/>
      <c r="AO14" s="25"/>
    </row>
    <row r="15">
      <c r="A15" s="143">
        <v>44931.0</v>
      </c>
      <c r="B15" s="144">
        <v>351.48</v>
      </c>
      <c r="C15" s="145">
        <v>44855.0</v>
      </c>
      <c r="D15" s="151" t="s">
        <v>255</v>
      </c>
      <c r="E15" s="151" t="s">
        <v>257</v>
      </c>
      <c r="F15" s="151" t="s">
        <v>259</v>
      </c>
      <c r="G15" s="147" t="s">
        <v>114</v>
      </c>
      <c r="H15" s="147" t="s">
        <v>94</v>
      </c>
      <c r="I15" s="147" t="s">
        <v>196</v>
      </c>
      <c r="J15" s="111" t="s">
        <v>95</v>
      </c>
      <c r="K15" s="25">
        <v>1.0</v>
      </c>
      <c r="L15" s="25"/>
      <c r="M15" s="25">
        <v>1.0</v>
      </c>
      <c r="N15" s="25">
        <v>1.0</v>
      </c>
      <c r="O15" s="22"/>
      <c r="P15" s="25">
        <v>1.0</v>
      </c>
      <c r="Q15" s="22"/>
      <c r="R15" s="22"/>
      <c r="S15" s="22"/>
      <c r="T15" s="22"/>
      <c r="U15" s="22"/>
      <c r="V15" s="25"/>
      <c r="W15" s="25"/>
      <c r="X15" s="25"/>
      <c r="Y15" s="25"/>
      <c r="Z15" s="25"/>
      <c r="AA15" s="25"/>
      <c r="AB15" s="25"/>
      <c r="AC15" s="25"/>
      <c r="AD15" s="25"/>
      <c r="AE15" s="25"/>
      <c r="AF15" s="25"/>
      <c r="AG15" s="25"/>
      <c r="AH15" s="25"/>
      <c r="AI15" s="25"/>
      <c r="AJ15" s="25"/>
      <c r="AK15" s="25"/>
      <c r="AL15" s="25"/>
      <c r="AM15" s="25"/>
      <c r="AN15" s="25"/>
      <c r="AO15" s="25"/>
    </row>
    <row r="16">
      <c r="A16" s="143">
        <v>44931.0</v>
      </c>
      <c r="B16" s="144">
        <v>314.66</v>
      </c>
      <c r="C16" s="145">
        <v>44855.0</v>
      </c>
      <c r="D16" s="151" t="s">
        <v>265</v>
      </c>
      <c r="E16" s="151" t="s">
        <v>266</v>
      </c>
      <c r="F16" s="151" t="s">
        <v>267</v>
      </c>
      <c r="G16" s="147" t="s">
        <v>114</v>
      </c>
      <c r="H16" s="147" t="s">
        <v>94</v>
      </c>
      <c r="I16" s="147" t="s">
        <v>94</v>
      </c>
      <c r="J16" s="111" t="s">
        <v>95</v>
      </c>
      <c r="K16" s="25">
        <v>1.0</v>
      </c>
      <c r="L16" s="25"/>
      <c r="M16" s="25">
        <v>1.0</v>
      </c>
      <c r="N16" s="22"/>
      <c r="O16" s="22"/>
      <c r="P16" s="25">
        <v>1.0</v>
      </c>
      <c r="Q16" s="22"/>
      <c r="R16" s="22"/>
      <c r="S16" s="22"/>
      <c r="T16" s="22"/>
      <c r="U16" s="22"/>
      <c r="V16" s="25"/>
      <c r="W16" s="25"/>
      <c r="X16" s="25"/>
      <c r="Y16" s="25"/>
      <c r="Z16" s="25"/>
      <c r="AA16" s="25"/>
      <c r="AB16" s="25"/>
      <c r="AC16" s="25"/>
      <c r="AD16" s="25"/>
      <c r="AE16" s="25"/>
      <c r="AF16" s="25"/>
      <c r="AG16" s="25"/>
      <c r="AH16" s="25"/>
      <c r="AI16" s="25"/>
      <c r="AJ16" s="25"/>
      <c r="AK16" s="25"/>
      <c r="AL16" s="25"/>
      <c r="AM16" s="25"/>
      <c r="AN16" s="25"/>
      <c r="AO16" s="25"/>
    </row>
    <row r="17">
      <c r="A17" s="152">
        <v>44932.0</v>
      </c>
      <c r="B17" s="144">
        <v>18.0</v>
      </c>
      <c r="C17" s="152">
        <v>44354.0</v>
      </c>
      <c r="D17" s="151" t="s">
        <v>269</v>
      </c>
      <c r="E17" s="151" t="s">
        <v>270</v>
      </c>
      <c r="F17" s="151" t="s">
        <v>271</v>
      </c>
      <c r="G17" s="146" t="s">
        <v>114</v>
      </c>
      <c r="H17" s="146" t="s">
        <v>94</v>
      </c>
      <c r="I17" s="146" t="s">
        <v>94</v>
      </c>
      <c r="J17" s="89" t="s">
        <v>95</v>
      </c>
      <c r="K17" s="89"/>
      <c r="L17" s="89"/>
      <c r="M17" s="85"/>
      <c r="N17" s="89">
        <v>1.0</v>
      </c>
      <c r="O17" s="85"/>
      <c r="P17" s="85"/>
      <c r="Q17" s="85"/>
      <c r="R17" s="85"/>
      <c r="S17" s="85"/>
      <c r="T17" s="85"/>
      <c r="U17" s="85"/>
      <c r="V17" s="89"/>
      <c r="W17" s="89"/>
      <c r="X17" s="89"/>
      <c r="Y17" s="89"/>
      <c r="Z17" s="89"/>
      <c r="AA17" s="89"/>
      <c r="AB17" s="89"/>
      <c r="AC17" s="89"/>
      <c r="AD17" s="89"/>
      <c r="AE17" s="89"/>
      <c r="AF17" s="89"/>
      <c r="AG17" s="89"/>
      <c r="AH17" s="89"/>
      <c r="AI17" s="89"/>
      <c r="AJ17" s="89"/>
      <c r="AK17" s="89"/>
      <c r="AL17" s="89"/>
      <c r="AM17" s="89"/>
      <c r="AN17" s="89"/>
      <c r="AO17" s="89"/>
    </row>
    <row r="18">
      <c r="A18" s="152">
        <v>44932.0</v>
      </c>
      <c r="B18" s="144">
        <v>330.0</v>
      </c>
      <c r="C18" s="152">
        <v>44639.0</v>
      </c>
      <c r="D18" s="151" t="s">
        <v>279</v>
      </c>
      <c r="E18" s="151" t="s">
        <v>281</v>
      </c>
      <c r="F18" s="151" t="s">
        <v>282</v>
      </c>
      <c r="G18" s="146" t="s">
        <v>114</v>
      </c>
      <c r="H18" s="146" t="s">
        <v>94</v>
      </c>
      <c r="I18" s="146" t="s">
        <v>94</v>
      </c>
      <c r="J18" s="89" t="s">
        <v>95</v>
      </c>
      <c r="K18" s="89"/>
      <c r="L18" s="89">
        <v>1.0</v>
      </c>
      <c r="M18" s="85"/>
      <c r="N18" s="85"/>
      <c r="O18" s="89">
        <v>1.0</v>
      </c>
      <c r="P18" s="85"/>
      <c r="Q18" s="85"/>
      <c r="R18" s="85"/>
      <c r="S18" s="85"/>
      <c r="T18" s="85"/>
      <c r="U18" s="85"/>
      <c r="V18" s="89"/>
      <c r="W18" s="89"/>
      <c r="X18" s="89"/>
      <c r="Y18" s="89"/>
      <c r="Z18" s="89"/>
      <c r="AA18" s="89"/>
      <c r="AB18" s="89"/>
      <c r="AC18" s="89"/>
      <c r="AD18" s="89"/>
      <c r="AE18" s="89"/>
      <c r="AF18" s="89"/>
      <c r="AG18" s="89"/>
      <c r="AH18" s="89"/>
      <c r="AI18" s="89"/>
      <c r="AJ18" s="89"/>
      <c r="AK18" s="89"/>
      <c r="AL18" s="89"/>
      <c r="AM18" s="89"/>
      <c r="AN18" s="89"/>
      <c r="AO18" s="89"/>
    </row>
    <row r="19">
      <c r="A19" s="152">
        <v>44932.0</v>
      </c>
      <c r="B19" s="144">
        <v>230.94</v>
      </c>
      <c r="C19" s="152">
        <v>44853.0</v>
      </c>
      <c r="D19" s="151" t="s">
        <v>286</v>
      </c>
      <c r="E19" s="151" t="s">
        <v>287</v>
      </c>
      <c r="F19" s="151" t="s">
        <v>288</v>
      </c>
      <c r="G19" s="146" t="s">
        <v>114</v>
      </c>
      <c r="H19" s="146" t="s">
        <v>94</v>
      </c>
      <c r="I19" s="146" t="s">
        <v>94</v>
      </c>
      <c r="J19" s="89" t="s">
        <v>95</v>
      </c>
      <c r="K19" s="89">
        <v>1.0</v>
      </c>
      <c r="L19" s="89"/>
      <c r="M19" s="85"/>
      <c r="N19" s="85"/>
      <c r="O19" s="89"/>
      <c r="P19" s="89">
        <v>1.0</v>
      </c>
      <c r="Q19" s="85"/>
      <c r="R19" s="85"/>
      <c r="S19" s="85"/>
      <c r="T19" s="85"/>
      <c r="U19" s="85"/>
      <c r="V19" s="89"/>
      <c r="W19" s="89"/>
      <c r="X19" s="89"/>
      <c r="Y19" s="89"/>
      <c r="Z19" s="89"/>
      <c r="AA19" s="89"/>
      <c r="AB19" s="89"/>
      <c r="AC19" s="89"/>
      <c r="AD19" s="89"/>
      <c r="AE19" s="89"/>
      <c r="AF19" s="89"/>
      <c r="AG19" s="89"/>
      <c r="AH19" s="89"/>
      <c r="AI19" s="89"/>
      <c r="AJ19" s="89"/>
      <c r="AK19" s="89"/>
      <c r="AL19" s="89"/>
      <c r="AM19" s="89"/>
      <c r="AN19" s="89"/>
      <c r="AO19" s="89"/>
    </row>
    <row r="20">
      <c r="A20" s="152">
        <v>44932.0</v>
      </c>
      <c r="B20" s="144">
        <v>248.93</v>
      </c>
      <c r="C20" s="152">
        <v>44877.0</v>
      </c>
      <c r="D20" s="151" t="s">
        <v>293</v>
      </c>
      <c r="E20" s="151" t="s">
        <v>294</v>
      </c>
      <c r="F20" s="151" t="s">
        <v>295</v>
      </c>
      <c r="G20" s="146" t="s">
        <v>114</v>
      </c>
      <c r="H20" s="146" t="s">
        <v>94</v>
      </c>
      <c r="I20" s="146" t="s">
        <v>94</v>
      </c>
      <c r="J20" s="89" t="s">
        <v>95</v>
      </c>
      <c r="K20" s="89">
        <v>1.0</v>
      </c>
      <c r="L20" s="89"/>
      <c r="M20" s="85"/>
      <c r="N20" s="85"/>
      <c r="O20" s="85"/>
      <c r="P20" s="89">
        <v>1.0</v>
      </c>
      <c r="Q20" s="85"/>
      <c r="R20" s="85"/>
      <c r="S20" s="85"/>
      <c r="T20" s="85"/>
      <c r="U20" s="85"/>
      <c r="V20" s="89"/>
      <c r="W20" s="89"/>
      <c r="X20" s="89"/>
      <c r="Y20" s="89"/>
      <c r="Z20" s="89"/>
      <c r="AA20" s="89"/>
      <c r="AB20" s="89"/>
      <c r="AC20" s="89"/>
      <c r="AD20" s="89"/>
      <c r="AE20" s="89"/>
      <c r="AF20" s="89"/>
      <c r="AG20" s="89"/>
      <c r="AH20" s="89"/>
      <c r="AI20" s="89"/>
      <c r="AJ20" s="89"/>
      <c r="AK20" s="89"/>
      <c r="AL20" s="89"/>
      <c r="AM20" s="89"/>
      <c r="AN20" s="89"/>
      <c r="AO20" s="89"/>
    </row>
    <row r="21">
      <c r="A21" s="152">
        <v>44932.0</v>
      </c>
      <c r="B21" s="144">
        <v>233.24</v>
      </c>
      <c r="C21" s="152">
        <v>44860.0</v>
      </c>
      <c r="D21" s="151" t="s">
        <v>299</v>
      </c>
      <c r="E21" s="151" t="s">
        <v>300</v>
      </c>
      <c r="F21" s="151" t="s">
        <v>301</v>
      </c>
      <c r="G21" s="146" t="s">
        <v>114</v>
      </c>
      <c r="H21" s="146" t="s">
        <v>94</v>
      </c>
      <c r="I21" s="146" t="s">
        <v>94</v>
      </c>
      <c r="J21" s="89" t="s">
        <v>95</v>
      </c>
      <c r="K21" s="89">
        <v>1.0</v>
      </c>
      <c r="L21" s="89"/>
      <c r="M21" s="85"/>
      <c r="N21" s="85"/>
      <c r="O21" s="85"/>
      <c r="P21" s="89">
        <v>1.0</v>
      </c>
      <c r="Q21" s="85"/>
      <c r="R21" s="85"/>
      <c r="S21" s="85"/>
      <c r="T21" s="85"/>
      <c r="U21" s="85"/>
      <c r="V21" s="89"/>
      <c r="W21" s="89"/>
      <c r="X21" s="89"/>
      <c r="Y21" s="89"/>
      <c r="Z21" s="89"/>
      <c r="AA21" s="89"/>
      <c r="AB21" s="89"/>
      <c r="AC21" s="89"/>
      <c r="AD21" s="89"/>
      <c r="AE21" s="89"/>
      <c r="AF21" s="89"/>
      <c r="AG21" s="89"/>
      <c r="AH21" s="89"/>
      <c r="AI21" s="89"/>
      <c r="AJ21" s="89"/>
      <c r="AK21" s="89"/>
      <c r="AL21" s="89"/>
      <c r="AM21" s="89"/>
      <c r="AN21" s="89"/>
      <c r="AO21" s="89"/>
    </row>
    <row r="22">
      <c r="A22" s="152">
        <v>44932.0</v>
      </c>
      <c r="B22" s="144">
        <v>319.93</v>
      </c>
      <c r="C22" s="152">
        <v>44877.0</v>
      </c>
      <c r="D22" s="151" t="s">
        <v>306</v>
      </c>
      <c r="E22" s="151" t="s">
        <v>308</v>
      </c>
      <c r="F22" s="151" t="s">
        <v>310</v>
      </c>
      <c r="G22" s="146" t="s">
        <v>114</v>
      </c>
      <c r="H22" s="146" t="s">
        <v>94</v>
      </c>
      <c r="I22" s="146" t="s">
        <v>94</v>
      </c>
      <c r="J22" s="89" t="s">
        <v>95</v>
      </c>
      <c r="K22" s="89"/>
      <c r="L22" s="89">
        <v>1.0</v>
      </c>
      <c r="M22" s="85"/>
      <c r="N22" s="85"/>
      <c r="O22" s="85"/>
      <c r="P22" s="89">
        <v>1.0</v>
      </c>
      <c r="Q22" s="85"/>
      <c r="R22" s="85"/>
      <c r="S22" s="85"/>
      <c r="T22" s="85"/>
      <c r="U22" s="85"/>
      <c r="V22" s="89"/>
      <c r="W22" s="89"/>
      <c r="X22" s="89"/>
      <c r="Y22" s="89"/>
      <c r="Z22" s="89"/>
      <c r="AA22" s="89"/>
      <c r="AB22" s="89"/>
      <c r="AC22" s="89"/>
      <c r="AD22" s="89"/>
      <c r="AE22" s="89"/>
      <c r="AF22" s="89"/>
      <c r="AG22" s="89"/>
      <c r="AH22" s="89"/>
      <c r="AI22" s="89"/>
      <c r="AJ22" s="89"/>
      <c r="AK22" s="89"/>
      <c r="AL22" s="89"/>
      <c r="AM22" s="89"/>
      <c r="AN22" s="89"/>
      <c r="AO22" s="89"/>
    </row>
    <row r="23">
      <c r="A23" s="152">
        <v>44932.0</v>
      </c>
      <c r="B23" s="144">
        <v>279.0</v>
      </c>
      <c r="C23" s="152">
        <v>44698.0</v>
      </c>
      <c r="D23" s="151" t="s">
        <v>315</v>
      </c>
      <c r="E23" s="151" t="s">
        <v>316</v>
      </c>
      <c r="F23" s="151" t="s">
        <v>317</v>
      </c>
      <c r="G23" s="146" t="s">
        <v>114</v>
      </c>
      <c r="H23" s="146" t="s">
        <v>94</v>
      </c>
      <c r="I23" s="146" t="s">
        <v>94</v>
      </c>
      <c r="J23" s="89" t="s">
        <v>95</v>
      </c>
      <c r="K23" s="89"/>
      <c r="L23" s="89">
        <v>1.0</v>
      </c>
      <c r="M23" s="85"/>
      <c r="N23" s="85"/>
      <c r="O23" s="85"/>
      <c r="P23" s="85"/>
      <c r="Q23" s="85"/>
      <c r="R23" s="85"/>
      <c r="S23" s="85"/>
      <c r="T23" s="85"/>
      <c r="U23" s="85"/>
      <c r="V23" s="89"/>
      <c r="W23" s="89"/>
      <c r="X23" s="89"/>
      <c r="Y23" s="89"/>
      <c r="Z23" s="89"/>
      <c r="AA23" s="89"/>
      <c r="AB23" s="89"/>
      <c r="AC23" s="89"/>
      <c r="AD23" s="89"/>
      <c r="AE23" s="89"/>
      <c r="AF23" s="89"/>
      <c r="AG23" s="89"/>
      <c r="AH23" s="89"/>
      <c r="AI23" s="89"/>
      <c r="AJ23" s="89"/>
      <c r="AK23" s="89"/>
      <c r="AL23" s="89"/>
      <c r="AM23" s="89"/>
      <c r="AN23" s="89"/>
      <c r="AO23" s="89"/>
    </row>
    <row r="24" ht="19.5" customHeight="1">
      <c r="A24" s="152">
        <v>44932.0</v>
      </c>
      <c r="B24" s="144">
        <v>197.6</v>
      </c>
      <c r="C24" s="152">
        <v>44170.0</v>
      </c>
      <c r="D24" s="151" t="s">
        <v>321</v>
      </c>
      <c r="E24" s="151" t="s">
        <v>322</v>
      </c>
      <c r="F24" s="151" t="s">
        <v>324</v>
      </c>
      <c r="G24" s="146" t="s">
        <v>114</v>
      </c>
      <c r="H24" s="146" t="s">
        <v>170</v>
      </c>
      <c r="I24" s="146" t="s">
        <v>170</v>
      </c>
      <c r="J24" s="89" t="s">
        <v>95</v>
      </c>
      <c r="K24" s="89">
        <v>1.0</v>
      </c>
      <c r="L24" s="89"/>
      <c r="M24" s="85"/>
      <c r="N24" s="85"/>
      <c r="O24" s="85"/>
      <c r="P24" s="89">
        <v>1.0</v>
      </c>
      <c r="Q24" s="85"/>
      <c r="R24" s="85"/>
      <c r="S24" s="85"/>
      <c r="T24" s="85"/>
      <c r="U24" s="85"/>
      <c r="V24" s="89"/>
      <c r="W24" s="89"/>
      <c r="X24" s="89"/>
      <c r="Y24" s="89"/>
      <c r="Z24" s="89"/>
      <c r="AA24" s="89"/>
      <c r="AB24" s="89"/>
      <c r="AC24" s="89"/>
      <c r="AD24" s="89"/>
      <c r="AE24" s="89"/>
      <c r="AF24" s="89"/>
      <c r="AG24" s="89"/>
      <c r="AH24" s="89"/>
      <c r="AI24" s="89"/>
      <c r="AJ24" s="89"/>
      <c r="AK24" s="89"/>
      <c r="AL24" s="89"/>
      <c r="AM24" s="89"/>
      <c r="AN24" s="89"/>
      <c r="AO24" s="89"/>
    </row>
    <row r="25">
      <c r="A25" s="152">
        <v>44932.0</v>
      </c>
      <c r="B25" s="144">
        <v>299.0</v>
      </c>
      <c r="C25" s="152">
        <v>44890.0</v>
      </c>
      <c r="D25" s="151" t="s">
        <v>329</v>
      </c>
      <c r="E25" s="151" t="s">
        <v>330</v>
      </c>
      <c r="F25" s="151" t="s">
        <v>331</v>
      </c>
      <c r="G25" s="146" t="s">
        <v>114</v>
      </c>
      <c r="H25" s="146" t="s">
        <v>94</v>
      </c>
      <c r="I25" s="146" t="s">
        <v>94</v>
      </c>
      <c r="J25" s="89" t="s">
        <v>95</v>
      </c>
      <c r="K25" s="89">
        <v>1.0</v>
      </c>
      <c r="L25" s="89"/>
      <c r="M25" s="89">
        <v>1.0</v>
      </c>
      <c r="N25" s="85"/>
      <c r="O25" s="85"/>
      <c r="P25" s="89">
        <v>1.0</v>
      </c>
      <c r="Q25" s="85"/>
      <c r="R25" s="85"/>
      <c r="S25" s="85"/>
      <c r="T25" s="85"/>
      <c r="U25" s="85"/>
      <c r="V25" s="89"/>
      <c r="W25" s="89"/>
      <c r="X25" s="89"/>
      <c r="Y25" s="89"/>
      <c r="Z25" s="89"/>
      <c r="AA25" s="89"/>
      <c r="AB25" s="89"/>
      <c r="AC25" s="89"/>
      <c r="AD25" s="89"/>
      <c r="AE25" s="89"/>
      <c r="AF25" s="89"/>
      <c r="AG25" s="89"/>
      <c r="AH25" s="89"/>
      <c r="AI25" s="89"/>
      <c r="AJ25" s="89"/>
      <c r="AK25" s="89"/>
      <c r="AL25" s="89"/>
      <c r="AM25" s="89"/>
      <c r="AN25" s="89"/>
      <c r="AO25" s="89"/>
    </row>
    <row r="26" ht="17.25" customHeight="1">
      <c r="A26" s="156">
        <v>44932.0</v>
      </c>
      <c r="B26" s="144">
        <v>185.3</v>
      </c>
      <c r="C26" s="152">
        <v>44176.0</v>
      </c>
      <c r="D26" s="157" t="s">
        <v>335</v>
      </c>
      <c r="E26" s="158" t="s">
        <v>336</v>
      </c>
      <c r="F26" s="151" t="s">
        <v>338</v>
      </c>
      <c r="G26" s="146" t="s">
        <v>114</v>
      </c>
      <c r="H26" s="146" t="s">
        <v>170</v>
      </c>
      <c r="I26" s="146" t="s">
        <v>170</v>
      </c>
      <c r="J26" s="89" t="s">
        <v>95</v>
      </c>
      <c r="K26" s="89">
        <v>1.0</v>
      </c>
      <c r="L26" s="89"/>
      <c r="M26" s="85"/>
      <c r="N26" s="85"/>
      <c r="O26" s="85"/>
      <c r="P26" s="85"/>
      <c r="Q26" s="85"/>
      <c r="R26" s="85"/>
      <c r="S26" s="85"/>
      <c r="T26" s="85"/>
      <c r="U26" s="85"/>
      <c r="V26" s="89"/>
      <c r="W26" s="89"/>
      <c r="X26" s="89"/>
      <c r="Y26" s="89"/>
      <c r="Z26" s="89"/>
      <c r="AA26" s="89"/>
      <c r="AB26" s="89"/>
      <c r="AC26" s="89"/>
      <c r="AD26" s="89"/>
      <c r="AE26" s="89"/>
      <c r="AF26" s="89"/>
      <c r="AG26" s="89"/>
      <c r="AH26" s="89"/>
      <c r="AI26" s="89"/>
      <c r="AJ26" s="89"/>
      <c r="AK26" s="89"/>
      <c r="AL26" s="89"/>
      <c r="AM26" s="89"/>
      <c r="AN26" s="89"/>
      <c r="AO26" s="89"/>
    </row>
    <row r="27">
      <c r="A27" s="152">
        <v>44932.0</v>
      </c>
      <c r="B27" s="144">
        <v>275.55</v>
      </c>
      <c r="C27" s="152">
        <v>44302.0</v>
      </c>
      <c r="D27" s="151" t="s">
        <v>342</v>
      </c>
      <c r="E27" s="151" t="s">
        <v>343</v>
      </c>
      <c r="F27" s="151" t="s">
        <v>345</v>
      </c>
      <c r="G27" s="146" t="s">
        <v>114</v>
      </c>
      <c r="H27" s="146" t="s">
        <v>94</v>
      </c>
      <c r="I27" s="146" t="s">
        <v>94</v>
      </c>
      <c r="J27" s="89" t="s">
        <v>95</v>
      </c>
      <c r="K27" s="89"/>
      <c r="L27" s="89">
        <v>1.0</v>
      </c>
      <c r="M27" s="85"/>
      <c r="N27" s="85"/>
      <c r="O27" s="85"/>
      <c r="P27" s="85"/>
      <c r="Q27" s="85"/>
      <c r="R27" s="85"/>
      <c r="S27" s="85"/>
      <c r="T27" s="85"/>
      <c r="U27" s="85"/>
      <c r="V27" s="89"/>
      <c r="W27" s="89"/>
      <c r="X27" s="89"/>
      <c r="Y27" s="89"/>
      <c r="Z27" s="89"/>
      <c r="AA27" s="89"/>
      <c r="AB27" s="89"/>
      <c r="AC27" s="89"/>
      <c r="AD27" s="89"/>
      <c r="AE27" s="89"/>
      <c r="AF27" s="89"/>
      <c r="AG27" s="89"/>
      <c r="AH27" s="89"/>
      <c r="AI27" s="89"/>
      <c r="AJ27" s="89"/>
      <c r="AK27" s="89"/>
      <c r="AL27" s="89"/>
      <c r="AM27" s="89"/>
      <c r="AN27" s="89"/>
      <c r="AO27" s="89"/>
    </row>
    <row r="28">
      <c r="A28" s="152">
        <v>44932.0</v>
      </c>
      <c r="B28" s="144">
        <v>301.67</v>
      </c>
      <c r="C28" s="152">
        <v>44721.0</v>
      </c>
      <c r="D28" s="151" t="s">
        <v>349</v>
      </c>
      <c r="E28" s="151" t="s">
        <v>350</v>
      </c>
      <c r="F28" s="151" t="s">
        <v>351</v>
      </c>
      <c r="G28" s="146" t="s">
        <v>114</v>
      </c>
      <c r="H28" s="146" t="s">
        <v>94</v>
      </c>
      <c r="I28" s="146" t="s">
        <v>94</v>
      </c>
      <c r="J28" s="89" t="s">
        <v>95</v>
      </c>
      <c r="K28" s="89" t="s">
        <v>166</v>
      </c>
      <c r="L28" s="89">
        <v>1.0</v>
      </c>
      <c r="M28" s="85"/>
      <c r="N28" s="85"/>
      <c r="O28" s="85"/>
      <c r="P28" s="85"/>
      <c r="Q28" s="85"/>
      <c r="R28" s="85"/>
      <c r="S28" s="85"/>
      <c r="T28" s="85"/>
      <c r="U28" s="85"/>
      <c r="V28" s="89"/>
      <c r="W28" s="89"/>
      <c r="X28" s="89"/>
      <c r="Y28" s="89"/>
      <c r="Z28" s="89"/>
      <c r="AA28" s="89"/>
      <c r="AB28" s="89"/>
      <c r="AC28" s="89"/>
      <c r="AD28" s="89"/>
      <c r="AE28" s="89"/>
      <c r="AF28" s="89"/>
      <c r="AG28" s="89"/>
      <c r="AH28" s="89"/>
      <c r="AI28" s="89"/>
      <c r="AJ28" s="89"/>
      <c r="AK28" s="89"/>
      <c r="AL28" s="89"/>
      <c r="AM28" s="89"/>
      <c r="AN28" s="89"/>
      <c r="AO28" s="89"/>
    </row>
    <row r="29" ht="15.75" customHeight="1">
      <c r="A29" s="152">
        <v>44932.0</v>
      </c>
      <c r="B29" s="159">
        <v>343.19</v>
      </c>
      <c r="C29" s="145">
        <v>44876.0</v>
      </c>
      <c r="D29" s="151" t="s">
        <v>355</v>
      </c>
      <c r="E29" s="151" t="s">
        <v>356</v>
      </c>
      <c r="F29" s="151" t="s">
        <v>357</v>
      </c>
      <c r="G29" s="146" t="s">
        <v>114</v>
      </c>
      <c r="H29" s="146" t="s">
        <v>94</v>
      </c>
      <c r="I29" s="146" t="s">
        <v>94</v>
      </c>
      <c r="J29" s="89" t="s">
        <v>95</v>
      </c>
      <c r="K29" s="89"/>
      <c r="L29" s="89">
        <v>1.0</v>
      </c>
      <c r="M29" s="85"/>
      <c r="N29" s="89">
        <v>1.0</v>
      </c>
      <c r="O29" s="85"/>
      <c r="P29" s="89">
        <v>1.0</v>
      </c>
      <c r="Q29" s="85"/>
      <c r="R29" s="85"/>
      <c r="S29" s="85"/>
      <c r="T29" s="85"/>
      <c r="U29" s="85"/>
      <c r="V29" s="89"/>
      <c r="W29" s="89"/>
      <c r="X29" s="89"/>
      <c r="Y29" s="89"/>
      <c r="Z29" s="89"/>
      <c r="AA29" s="89"/>
      <c r="AB29" s="89"/>
      <c r="AC29" s="89"/>
      <c r="AD29" s="89"/>
      <c r="AE29" s="89"/>
      <c r="AF29" s="89"/>
      <c r="AG29" s="89"/>
      <c r="AH29" s="89"/>
      <c r="AI29" s="89"/>
      <c r="AJ29" s="89"/>
      <c r="AK29" s="89"/>
      <c r="AL29" s="89"/>
      <c r="AM29" s="89"/>
      <c r="AN29" s="89"/>
      <c r="AO29" s="89"/>
    </row>
    <row r="30">
      <c r="A30" s="152">
        <v>44932.0</v>
      </c>
      <c r="B30" s="159">
        <v>290.16</v>
      </c>
      <c r="C30" s="145">
        <v>44680.0</v>
      </c>
      <c r="D30" s="151" t="s">
        <v>362</v>
      </c>
      <c r="E30" s="151" t="s">
        <v>363</v>
      </c>
      <c r="F30" s="151" t="s">
        <v>364</v>
      </c>
      <c r="G30" s="146" t="s">
        <v>114</v>
      </c>
      <c r="H30" s="146" t="s">
        <v>94</v>
      </c>
      <c r="I30" s="146" t="s">
        <v>94</v>
      </c>
      <c r="J30" s="89" t="s">
        <v>95</v>
      </c>
      <c r="K30" s="89"/>
      <c r="L30" s="89">
        <v>1.0</v>
      </c>
      <c r="M30" s="85"/>
      <c r="N30" s="85"/>
      <c r="O30" s="85"/>
      <c r="P30" s="85"/>
      <c r="Q30" s="85"/>
      <c r="R30" s="85"/>
      <c r="S30" s="85"/>
      <c r="T30" s="85"/>
      <c r="U30" s="85"/>
      <c r="V30" s="89"/>
      <c r="W30" s="89"/>
      <c r="X30" s="89"/>
      <c r="Y30" s="89"/>
      <c r="Z30" s="89"/>
      <c r="AA30" s="89"/>
      <c r="AB30" s="89"/>
      <c r="AC30" s="89"/>
      <c r="AD30" s="89"/>
      <c r="AE30" s="89"/>
      <c r="AF30" s="89"/>
      <c r="AG30" s="89"/>
      <c r="AH30" s="89"/>
      <c r="AI30" s="89"/>
      <c r="AJ30" s="89"/>
      <c r="AK30" s="89"/>
      <c r="AL30" s="89"/>
      <c r="AM30" s="89"/>
      <c r="AN30" s="89"/>
      <c r="AO30" s="89"/>
    </row>
    <row r="31">
      <c r="A31" s="152">
        <v>44932.0</v>
      </c>
      <c r="B31" s="159">
        <v>307.83</v>
      </c>
      <c r="C31" s="145">
        <v>44741.0</v>
      </c>
      <c r="D31" s="151" t="s">
        <v>368</v>
      </c>
      <c r="E31" s="151" t="s">
        <v>369</v>
      </c>
      <c r="F31" s="163" t="s">
        <v>370</v>
      </c>
      <c r="G31" s="146" t="s">
        <v>114</v>
      </c>
      <c r="H31" s="146" t="s">
        <v>94</v>
      </c>
      <c r="I31" s="146" t="s">
        <v>94</v>
      </c>
      <c r="J31" s="89" t="s">
        <v>95</v>
      </c>
      <c r="K31" s="89"/>
      <c r="L31" s="89">
        <v>1.0</v>
      </c>
      <c r="M31" s="85"/>
      <c r="N31" s="85"/>
      <c r="O31" s="85"/>
      <c r="P31" s="85"/>
      <c r="Q31" s="85"/>
      <c r="R31" s="85"/>
      <c r="S31" s="85"/>
      <c r="T31" s="85"/>
      <c r="U31" s="85"/>
      <c r="V31" s="89"/>
      <c r="W31" s="89"/>
      <c r="X31" s="89"/>
      <c r="Y31" s="89"/>
      <c r="Z31" s="89"/>
      <c r="AA31" s="89"/>
      <c r="AB31" s="89"/>
      <c r="AC31" s="89"/>
      <c r="AD31" s="89"/>
      <c r="AE31" s="89"/>
      <c r="AF31" s="89"/>
      <c r="AG31" s="89"/>
      <c r="AH31" s="89"/>
      <c r="AI31" s="89"/>
      <c r="AJ31" s="89"/>
      <c r="AK31" s="89"/>
      <c r="AL31" s="89"/>
      <c r="AM31" s="89"/>
      <c r="AN31" s="89"/>
      <c r="AO31" s="89"/>
    </row>
    <row r="32">
      <c r="A32" s="152">
        <v>44932.0</v>
      </c>
      <c r="B32" s="159">
        <v>149.04</v>
      </c>
      <c r="C32" s="145">
        <v>44103.0</v>
      </c>
      <c r="D32" s="151" t="s">
        <v>374</v>
      </c>
      <c r="E32" s="151" t="s">
        <v>375</v>
      </c>
      <c r="F32" s="151" t="s">
        <v>376</v>
      </c>
      <c r="G32" s="146" t="s">
        <v>114</v>
      </c>
      <c r="H32" s="146" t="s">
        <v>170</v>
      </c>
      <c r="I32" s="146" t="s">
        <v>377</v>
      </c>
      <c r="J32" s="89" t="s">
        <v>95</v>
      </c>
      <c r="K32" s="89">
        <v>1.0</v>
      </c>
      <c r="L32" s="89"/>
      <c r="M32" s="85"/>
      <c r="N32" s="85"/>
      <c r="O32" s="85"/>
      <c r="P32" s="85"/>
      <c r="Q32" s="85"/>
      <c r="R32" s="85"/>
      <c r="S32" s="85"/>
      <c r="T32" s="85"/>
      <c r="U32" s="85"/>
      <c r="V32" s="89"/>
      <c r="W32" s="89"/>
      <c r="X32" s="89"/>
      <c r="Y32" s="89"/>
      <c r="Z32" s="89"/>
      <c r="AA32" s="89"/>
      <c r="AB32" s="89"/>
      <c r="AC32" s="89"/>
      <c r="AD32" s="89"/>
      <c r="AE32" s="89"/>
      <c r="AF32" s="89"/>
      <c r="AG32" s="89"/>
      <c r="AH32" s="89"/>
      <c r="AI32" s="89"/>
      <c r="AJ32" s="89"/>
      <c r="AK32" s="89"/>
      <c r="AL32" s="89"/>
      <c r="AM32" s="89"/>
      <c r="AN32" s="89"/>
      <c r="AO32" s="89"/>
    </row>
    <row r="33">
      <c r="A33" s="152">
        <v>44932.0</v>
      </c>
      <c r="B33" s="166">
        <v>242.0</v>
      </c>
      <c r="C33" s="145">
        <v>44371.0</v>
      </c>
      <c r="D33" s="151" t="s">
        <v>381</v>
      </c>
      <c r="E33" s="151" t="s">
        <v>382</v>
      </c>
      <c r="F33" s="163" t="s">
        <v>383</v>
      </c>
      <c r="G33" s="146" t="s">
        <v>114</v>
      </c>
      <c r="H33" s="146" t="s">
        <v>161</v>
      </c>
      <c r="I33" s="146" t="s">
        <v>377</v>
      </c>
      <c r="J33" s="89" t="s">
        <v>95</v>
      </c>
      <c r="K33" s="89">
        <v>1.0</v>
      </c>
      <c r="L33" s="89"/>
      <c r="M33" s="85"/>
      <c r="N33" s="89">
        <v>1.0</v>
      </c>
      <c r="O33" s="89">
        <v>1.0</v>
      </c>
      <c r="P33" s="85"/>
      <c r="Q33" s="85"/>
      <c r="R33" s="85"/>
      <c r="S33" s="85"/>
      <c r="T33" s="85"/>
      <c r="U33" s="85"/>
      <c r="V33" s="89"/>
      <c r="W33" s="89"/>
      <c r="X33" s="89"/>
      <c r="Y33" s="89"/>
      <c r="Z33" s="89"/>
      <c r="AA33" s="89"/>
      <c r="AB33" s="89"/>
      <c r="AC33" s="89"/>
      <c r="AD33" s="89"/>
      <c r="AE33" s="89"/>
      <c r="AF33" s="89"/>
      <c r="AG33" s="89"/>
      <c r="AH33" s="89"/>
      <c r="AI33" s="89"/>
      <c r="AJ33" s="89"/>
      <c r="AK33" s="89"/>
      <c r="AL33" s="89"/>
      <c r="AM33" s="89"/>
      <c r="AN33" s="89"/>
      <c r="AO33" s="89"/>
    </row>
    <row r="34">
      <c r="A34" s="152">
        <v>44933.0</v>
      </c>
      <c r="B34" s="159">
        <v>59.0</v>
      </c>
      <c r="C34" s="145">
        <v>44370.0</v>
      </c>
      <c r="D34" s="151" t="s">
        <v>388</v>
      </c>
      <c r="E34" s="151" t="s">
        <v>389</v>
      </c>
      <c r="F34" s="151" t="s">
        <v>390</v>
      </c>
      <c r="G34" s="146" t="s">
        <v>114</v>
      </c>
      <c r="H34" s="146" t="s">
        <v>94</v>
      </c>
      <c r="I34" s="146" t="s">
        <v>94</v>
      </c>
      <c r="J34" s="89" t="s">
        <v>95</v>
      </c>
      <c r="K34" s="89"/>
      <c r="L34" s="89"/>
      <c r="M34" s="89">
        <v>1.0</v>
      </c>
      <c r="N34" s="85"/>
      <c r="O34" s="85"/>
      <c r="P34" s="85"/>
      <c r="Q34" s="85"/>
      <c r="R34" s="85"/>
      <c r="S34" s="85"/>
      <c r="T34" s="85"/>
      <c r="U34" s="85"/>
      <c r="V34" s="89"/>
      <c r="W34" s="89"/>
      <c r="X34" s="89"/>
      <c r="Y34" s="89"/>
      <c r="Z34" s="89"/>
      <c r="AA34" s="89"/>
      <c r="AB34" s="89"/>
      <c r="AC34" s="89"/>
      <c r="AD34" s="89"/>
      <c r="AE34" s="89"/>
      <c r="AF34" s="89"/>
      <c r="AG34" s="89"/>
      <c r="AH34" s="89"/>
      <c r="AI34" s="89"/>
      <c r="AJ34" s="89"/>
      <c r="AK34" s="89"/>
      <c r="AL34" s="89"/>
      <c r="AM34" s="89"/>
      <c r="AN34" s="89"/>
      <c r="AO34" s="89"/>
    </row>
    <row r="35">
      <c r="A35" s="152">
        <v>44934.0</v>
      </c>
      <c r="B35" s="159">
        <v>23.39</v>
      </c>
      <c r="C35" s="145">
        <v>44893.0</v>
      </c>
      <c r="D35" s="151" t="s">
        <v>394</v>
      </c>
      <c r="E35" s="151" t="s">
        <v>395</v>
      </c>
      <c r="F35" s="151" t="s">
        <v>396</v>
      </c>
      <c r="G35" s="146" t="s">
        <v>114</v>
      </c>
      <c r="H35" s="146" t="s">
        <v>94</v>
      </c>
      <c r="I35" s="146" t="s">
        <v>94</v>
      </c>
      <c r="J35" s="25" t="s">
        <v>95</v>
      </c>
      <c r="K35" s="25"/>
      <c r="L35" s="25"/>
      <c r="M35" s="22"/>
      <c r="N35" s="25">
        <v>1.0</v>
      </c>
      <c r="O35" s="22"/>
      <c r="P35" s="22"/>
      <c r="Q35" s="22"/>
      <c r="R35" s="22"/>
      <c r="S35" s="22"/>
      <c r="T35" s="22"/>
      <c r="U35" s="22"/>
      <c r="V35" s="25"/>
      <c r="W35" s="25"/>
      <c r="X35" s="25"/>
      <c r="Y35" s="25"/>
      <c r="Z35" s="25"/>
      <c r="AA35" s="25"/>
      <c r="AB35" s="25"/>
      <c r="AC35" s="25"/>
      <c r="AD35" s="25"/>
      <c r="AE35" s="25"/>
      <c r="AF35" s="25"/>
      <c r="AG35" s="25"/>
      <c r="AH35" s="25"/>
      <c r="AI35" s="25"/>
      <c r="AJ35" s="25"/>
      <c r="AK35" s="25"/>
      <c r="AL35" s="25"/>
      <c r="AM35" s="25"/>
      <c r="AN35" s="25"/>
      <c r="AO35" s="25"/>
    </row>
    <row r="36" ht="17.25" customHeight="1">
      <c r="A36" s="152">
        <v>44934.0</v>
      </c>
      <c r="B36" s="159">
        <v>333.74</v>
      </c>
      <c r="C36" s="145">
        <v>44861.0</v>
      </c>
      <c r="D36" s="151" t="s">
        <v>400</v>
      </c>
      <c r="E36" s="151" t="s">
        <v>401</v>
      </c>
      <c r="F36" s="151" t="s">
        <v>402</v>
      </c>
      <c r="G36" s="146" t="s">
        <v>114</v>
      </c>
      <c r="H36" s="146" t="s">
        <v>94</v>
      </c>
      <c r="I36" s="146" t="s">
        <v>94</v>
      </c>
      <c r="J36" s="25" t="s">
        <v>95</v>
      </c>
      <c r="K36" s="25"/>
      <c r="L36" s="25">
        <v>1.0</v>
      </c>
      <c r="M36" s="22"/>
      <c r="N36" s="25">
        <v>1.0</v>
      </c>
      <c r="O36" s="22"/>
      <c r="P36" s="25">
        <v>1.0</v>
      </c>
      <c r="Q36" s="22"/>
      <c r="R36" s="22"/>
      <c r="S36" s="22"/>
      <c r="T36" s="22"/>
      <c r="U36" s="22"/>
      <c r="V36" s="25"/>
      <c r="W36" s="25"/>
      <c r="X36" s="25"/>
      <c r="Y36" s="25"/>
      <c r="Z36" s="25"/>
      <c r="AA36" s="25"/>
      <c r="AB36" s="25"/>
      <c r="AC36" s="25"/>
      <c r="AD36" s="25"/>
      <c r="AE36" s="25"/>
      <c r="AF36" s="25"/>
      <c r="AG36" s="25"/>
      <c r="AH36" s="25"/>
      <c r="AI36" s="25"/>
      <c r="AJ36" s="25"/>
      <c r="AK36" s="25"/>
      <c r="AL36" s="25"/>
      <c r="AM36" s="25"/>
      <c r="AN36" s="25"/>
      <c r="AO36" s="25"/>
    </row>
    <row r="37" ht="14.25" customHeight="1">
      <c r="A37" s="152">
        <v>44934.0</v>
      </c>
      <c r="B37" s="159">
        <v>244.17</v>
      </c>
      <c r="C37" s="145">
        <v>44883.0</v>
      </c>
      <c r="D37" s="151" t="s">
        <v>408</v>
      </c>
      <c r="E37" s="151" t="s">
        <v>409</v>
      </c>
      <c r="F37" s="151" t="s">
        <v>410</v>
      </c>
      <c r="G37" s="146" t="s">
        <v>114</v>
      </c>
      <c r="H37" s="146" t="s">
        <v>94</v>
      </c>
      <c r="I37" s="146" t="s">
        <v>94</v>
      </c>
      <c r="J37" s="25" t="s">
        <v>95</v>
      </c>
      <c r="K37" s="25">
        <v>1.0</v>
      </c>
      <c r="L37" s="25"/>
      <c r="M37" s="22"/>
      <c r="N37" s="22"/>
      <c r="O37" s="22"/>
      <c r="P37" s="22"/>
      <c r="Q37" s="22"/>
      <c r="R37" s="22"/>
      <c r="S37" s="22"/>
      <c r="T37" s="22"/>
      <c r="U37" s="22"/>
      <c r="V37" s="25"/>
      <c r="W37" s="25"/>
      <c r="X37" s="25"/>
      <c r="Y37" s="25"/>
      <c r="Z37" s="25"/>
      <c r="AA37" s="25"/>
      <c r="AB37" s="25"/>
      <c r="AC37" s="25"/>
      <c r="AD37" s="25"/>
      <c r="AE37" s="25"/>
      <c r="AF37" s="25"/>
      <c r="AG37" s="25"/>
      <c r="AH37" s="25"/>
      <c r="AI37" s="25"/>
      <c r="AJ37" s="25"/>
      <c r="AK37" s="25"/>
      <c r="AL37" s="25"/>
      <c r="AM37" s="25"/>
      <c r="AN37" s="25"/>
      <c r="AO37" s="25"/>
    </row>
    <row r="38">
      <c r="A38" s="152">
        <v>44934.0</v>
      </c>
      <c r="B38" s="159">
        <v>327.84</v>
      </c>
      <c r="C38" s="145">
        <v>44867.0</v>
      </c>
      <c r="D38" s="151" t="s">
        <v>415</v>
      </c>
      <c r="E38" s="151" t="s">
        <v>416</v>
      </c>
      <c r="F38" s="151" t="s">
        <v>417</v>
      </c>
      <c r="G38" s="146" t="s">
        <v>114</v>
      </c>
      <c r="H38" s="146" t="s">
        <v>94</v>
      </c>
      <c r="I38" s="147" t="s">
        <v>196</v>
      </c>
      <c r="J38" s="25" t="s">
        <v>95</v>
      </c>
      <c r="K38" s="25"/>
      <c r="L38" s="25">
        <v>1.0</v>
      </c>
      <c r="M38" s="22"/>
      <c r="N38" s="22"/>
      <c r="O38" s="22"/>
      <c r="P38" s="22"/>
      <c r="Q38" s="22"/>
      <c r="R38" s="22"/>
      <c r="S38" s="22"/>
      <c r="T38" s="22"/>
      <c r="U38" s="22"/>
      <c r="V38" s="25"/>
      <c r="W38" s="25"/>
      <c r="X38" s="25"/>
      <c r="Y38" s="25"/>
      <c r="Z38" s="25"/>
      <c r="AA38" s="25"/>
      <c r="AB38" s="25"/>
      <c r="AC38" s="25"/>
      <c r="AD38" s="25"/>
      <c r="AE38" s="25"/>
      <c r="AF38" s="25"/>
      <c r="AG38" s="25"/>
      <c r="AH38" s="25"/>
      <c r="AI38" s="25"/>
      <c r="AJ38" s="25"/>
      <c r="AK38" s="25"/>
      <c r="AL38" s="25"/>
      <c r="AM38" s="25"/>
      <c r="AN38" s="25"/>
      <c r="AO38" s="25"/>
    </row>
    <row r="39">
      <c r="A39" s="152">
        <v>44934.0</v>
      </c>
      <c r="B39" s="159">
        <v>201.34</v>
      </c>
      <c r="C39" s="145">
        <v>44764.0</v>
      </c>
      <c r="D39" s="151" t="s">
        <v>422</v>
      </c>
      <c r="E39" s="151" t="s">
        <v>423</v>
      </c>
      <c r="F39" s="151" t="s">
        <v>424</v>
      </c>
      <c r="G39" s="146" t="s">
        <v>114</v>
      </c>
      <c r="H39" s="146" t="s">
        <v>94</v>
      </c>
      <c r="I39" s="146" t="s">
        <v>94</v>
      </c>
      <c r="J39" s="25" t="s">
        <v>95</v>
      </c>
      <c r="K39" s="25"/>
      <c r="L39" s="25"/>
      <c r="M39" s="22"/>
      <c r="N39" s="22"/>
      <c r="O39" s="22"/>
      <c r="P39" s="22"/>
      <c r="Q39" s="22"/>
      <c r="R39" s="22"/>
      <c r="S39" s="22"/>
      <c r="T39" s="22"/>
      <c r="U39" s="22"/>
      <c r="V39" s="25"/>
      <c r="W39" s="25"/>
      <c r="X39" s="25"/>
      <c r="Y39" s="25"/>
      <c r="Z39" s="25"/>
      <c r="AA39" s="25"/>
      <c r="AB39" s="25"/>
      <c r="AC39" s="25"/>
      <c r="AD39" s="25"/>
      <c r="AE39" s="25"/>
      <c r="AF39" s="25"/>
      <c r="AG39" s="25"/>
      <c r="AH39" s="25"/>
      <c r="AI39" s="25"/>
      <c r="AJ39" s="25"/>
      <c r="AK39" s="25"/>
      <c r="AL39" s="25"/>
      <c r="AM39" s="25"/>
      <c r="AN39" s="25"/>
      <c r="AO39" s="25"/>
    </row>
    <row r="40" ht="19.5" customHeight="1">
      <c r="A40" s="152">
        <v>44934.0</v>
      </c>
      <c r="B40" s="159">
        <v>285.78</v>
      </c>
      <c r="C40" s="145">
        <v>44860.0</v>
      </c>
      <c r="D40" s="151" t="s">
        <v>432</v>
      </c>
      <c r="E40" s="151" t="s">
        <v>434</v>
      </c>
      <c r="F40" s="151" t="s">
        <v>435</v>
      </c>
      <c r="G40" s="146" t="s">
        <v>114</v>
      </c>
      <c r="H40" s="146" t="s">
        <v>94</v>
      </c>
      <c r="I40" s="146" t="s">
        <v>436</v>
      </c>
      <c r="J40" s="25" t="s">
        <v>95</v>
      </c>
      <c r="K40" s="25"/>
      <c r="L40" s="25">
        <v>1.0</v>
      </c>
      <c r="M40" s="22"/>
      <c r="N40" s="25">
        <v>1.0</v>
      </c>
      <c r="O40" s="22"/>
      <c r="P40" s="25">
        <v>1.0</v>
      </c>
      <c r="Q40" s="22"/>
      <c r="R40" s="22"/>
      <c r="S40" s="22"/>
      <c r="T40" s="22"/>
      <c r="U40" s="22"/>
      <c r="V40" s="25"/>
      <c r="W40" s="25"/>
      <c r="X40" s="25"/>
      <c r="Y40" s="25"/>
      <c r="Z40" s="25"/>
      <c r="AA40" s="25"/>
      <c r="AB40" s="25"/>
      <c r="AC40" s="25"/>
      <c r="AD40" s="25"/>
      <c r="AE40" s="25"/>
      <c r="AF40" s="25"/>
      <c r="AG40" s="25"/>
      <c r="AH40" s="25"/>
      <c r="AI40" s="25"/>
      <c r="AJ40" s="25"/>
      <c r="AK40" s="25"/>
      <c r="AL40" s="25"/>
      <c r="AM40" s="25"/>
      <c r="AN40" s="25"/>
      <c r="AO40" s="25"/>
    </row>
    <row r="41" ht="15.0" customHeight="1">
      <c r="A41" s="152">
        <v>44934.0</v>
      </c>
      <c r="B41" s="159">
        <v>283.94</v>
      </c>
      <c r="C41" s="145">
        <v>44635.0</v>
      </c>
      <c r="D41" s="151" t="s">
        <v>441</v>
      </c>
      <c r="E41" s="151" t="s">
        <v>442</v>
      </c>
      <c r="F41" s="151" t="s">
        <v>443</v>
      </c>
      <c r="G41" s="146" t="s">
        <v>114</v>
      </c>
      <c r="H41" s="146" t="s">
        <v>94</v>
      </c>
      <c r="I41" s="146" t="s">
        <v>94</v>
      </c>
      <c r="J41" s="25" t="s">
        <v>95</v>
      </c>
      <c r="K41" s="25"/>
      <c r="L41" s="25">
        <v>1.0</v>
      </c>
      <c r="M41" s="22"/>
      <c r="N41" s="22"/>
      <c r="O41" s="22"/>
      <c r="P41" s="22"/>
      <c r="Q41" s="22"/>
      <c r="R41" s="22"/>
      <c r="S41" s="22"/>
      <c r="T41" s="22"/>
      <c r="U41" s="22"/>
      <c r="V41" s="25"/>
      <c r="W41" s="25"/>
      <c r="X41" s="25"/>
      <c r="Y41" s="25"/>
      <c r="Z41" s="25"/>
      <c r="AA41" s="25"/>
      <c r="AB41" s="25"/>
      <c r="AC41" s="25"/>
      <c r="AD41" s="25"/>
      <c r="AE41" s="25"/>
      <c r="AF41" s="25"/>
      <c r="AG41" s="25"/>
      <c r="AH41" s="25"/>
      <c r="AI41" s="25"/>
      <c r="AJ41" s="25"/>
      <c r="AK41" s="25"/>
      <c r="AL41" s="25"/>
      <c r="AM41" s="25"/>
      <c r="AN41" s="25"/>
      <c r="AO41" s="25"/>
    </row>
    <row r="42" ht="19.5" customHeight="1">
      <c r="A42" s="152">
        <v>44934.0</v>
      </c>
      <c r="B42" s="159">
        <v>301.39</v>
      </c>
      <c r="C42" s="145">
        <v>44850.0</v>
      </c>
      <c r="D42" s="151" t="s">
        <v>448</v>
      </c>
      <c r="E42" s="151" t="s">
        <v>449</v>
      </c>
      <c r="F42" s="151" t="s">
        <v>450</v>
      </c>
      <c r="G42" s="146" t="s">
        <v>114</v>
      </c>
      <c r="H42" s="146" t="s">
        <v>94</v>
      </c>
      <c r="I42" s="146" t="s">
        <v>94</v>
      </c>
      <c r="J42" s="25" t="s">
        <v>95</v>
      </c>
      <c r="K42" s="25">
        <v>1.0</v>
      </c>
      <c r="L42" s="25"/>
      <c r="M42" s="25">
        <v>1.0</v>
      </c>
      <c r="N42" s="25">
        <v>1.0</v>
      </c>
      <c r="O42" s="22"/>
      <c r="P42" s="25">
        <v>1.0</v>
      </c>
      <c r="Q42" s="22"/>
      <c r="R42" s="25">
        <v>1.0</v>
      </c>
      <c r="S42" s="22"/>
      <c r="T42" s="22"/>
      <c r="U42" s="22"/>
      <c r="V42" s="25"/>
      <c r="W42" s="25"/>
      <c r="X42" s="25"/>
      <c r="Y42" s="25"/>
      <c r="Z42" s="25"/>
      <c r="AA42" s="25"/>
      <c r="AB42" s="25"/>
      <c r="AC42" s="25"/>
      <c r="AD42" s="25"/>
      <c r="AE42" s="25"/>
      <c r="AF42" s="25"/>
      <c r="AG42" s="25"/>
      <c r="AH42" s="25"/>
      <c r="AI42" s="25"/>
      <c r="AJ42" s="25"/>
      <c r="AK42" s="25"/>
      <c r="AL42" s="25"/>
      <c r="AM42" s="25"/>
      <c r="AN42" s="25"/>
      <c r="AO42" s="25"/>
    </row>
    <row r="43" ht="16.5" customHeight="1">
      <c r="A43" s="152">
        <v>44934.0</v>
      </c>
      <c r="B43" s="182"/>
      <c r="C43" s="145">
        <v>44864.0</v>
      </c>
      <c r="D43" s="151" t="s">
        <v>454</v>
      </c>
      <c r="E43" s="151" t="s">
        <v>455</v>
      </c>
      <c r="F43" s="151" t="s">
        <v>456</v>
      </c>
      <c r="G43" s="146" t="s">
        <v>114</v>
      </c>
      <c r="H43" s="146" t="s">
        <v>94</v>
      </c>
      <c r="I43" s="146" t="s">
        <v>436</v>
      </c>
      <c r="J43" s="25" t="s">
        <v>95</v>
      </c>
      <c r="K43" s="25"/>
      <c r="L43" s="25"/>
      <c r="M43" s="22"/>
      <c r="N43" s="22"/>
      <c r="O43" s="22"/>
      <c r="P43" s="22"/>
      <c r="Q43" s="22"/>
      <c r="R43" s="22"/>
      <c r="S43" s="22"/>
      <c r="T43" s="22"/>
      <c r="U43" s="22"/>
      <c r="V43" s="25"/>
      <c r="W43" s="25"/>
      <c r="X43" s="25"/>
      <c r="Y43" s="25"/>
      <c r="Z43" s="25"/>
      <c r="AA43" s="25"/>
      <c r="AB43" s="25"/>
      <c r="AC43" s="25"/>
      <c r="AD43" s="25"/>
      <c r="AE43" s="25"/>
      <c r="AF43" s="25"/>
      <c r="AG43" s="25"/>
      <c r="AH43" s="25"/>
      <c r="AI43" s="25"/>
      <c r="AJ43" s="25"/>
      <c r="AK43" s="25"/>
      <c r="AL43" s="25"/>
      <c r="AM43" s="25"/>
      <c r="AN43" s="25"/>
      <c r="AO43" s="25"/>
    </row>
    <row r="44">
      <c r="A44" s="152">
        <v>44934.0</v>
      </c>
      <c r="B44" s="159">
        <v>227.65</v>
      </c>
      <c r="C44" s="145">
        <v>44891.0</v>
      </c>
      <c r="D44" s="151" t="s">
        <v>460</v>
      </c>
      <c r="E44" s="151" t="s">
        <v>461</v>
      </c>
      <c r="F44" s="151" t="s">
        <v>462</v>
      </c>
      <c r="G44" s="146" t="s">
        <v>114</v>
      </c>
      <c r="H44" s="146" t="s">
        <v>94</v>
      </c>
      <c r="I44" s="146" t="s">
        <v>94</v>
      </c>
      <c r="J44" s="25" t="s">
        <v>95</v>
      </c>
      <c r="K44" s="25">
        <v>1.0</v>
      </c>
      <c r="L44" s="25"/>
      <c r="M44" s="22"/>
      <c r="N44" s="22"/>
      <c r="O44" s="22"/>
      <c r="P44" s="25"/>
      <c r="Q44" s="22"/>
      <c r="R44" s="22"/>
      <c r="S44" s="22"/>
      <c r="T44" s="22"/>
      <c r="U44" s="22"/>
      <c r="V44" s="25"/>
      <c r="W44" s="25"/>
      <c r="X44" s="25"/>
      <c r="Y44" s="25"/>
      <c r="Z44" s="25"/>
      <c r="AA44" s="25"/>
      <c r="AB44" s="25"/>
      <c r="AC44" s="25"/>
      <c r="AD44" s="25"/>
      <c r="AE44" s="25"/>
      <c r="AF44" s="25"/>
      <c r="AG44" s="25"/>
      <c r="AH44" s="25"/>
      <c r="AI44" s="25"/>
      <c r="AJ44" s="25"/>
      <c r="AK44" s="25"/>
      <c r="AL44" s="25"/>
      <c r="AM44" s="25"/>
      <c r="AN44" s="25"/>
      <c r="AO44" s="25"/>
    </row>
    <row r="45">
      <c r="A45" s="152">
        <v>44934.0</v>
      </c>
      <c r="B45" s="159">
        <v>324.8</v>
      </c>
      <c r="C45" s="184">
        <v>44887.0</v>
      </c>
      <c r="D45" s="185" t="s">
        <v>471</v>
      </c>
      <c r="E45" s="185" t="s">
        <v>472</v>
      </c>
      <c r="F45" s="185" t="s">
        <v>473</v>
      </c>
      <c r="G45" s="146" t="s">
        <v>114</v>
      </c>
      <c r="H45" s="146" t="s">
        <v>94</v>
      </c>
      <c r="I45" s="146" t="s">
        <v>196</v>
      </c>
      <c r="J45" s="25" t="s">
        <v>95</v>
      </c>
      <c r="K45" s="25">
        <v>1.0</v>
      </c>
      <c r="L45" s="25"/>
      <c r="M45" s="25">
        <v>1.0</v>
      </c>
      <c r="N45" s="22"/>
      <c r="O45" s="22"/>
      <c r="P45" s="25">
        <v>1.0</v>
      </c>
      <c r="Q45" s="22"/>
      <c r="R45" s="22"/>
      <c r="S45" s="22"/>
      <c r="T45" s="22"/>
      <c r="U45" s="22"/>
      <c r="V45" s="25"/>
      <c r="W45" s="25"/>
      <c r="X45" s="25"/>
      <c r="Y45" s="25"/>
      <c r="Z45" s="25"/>
      <c r="AA45" s="25"/>
      <c r="AB45" s="25"/>
      <c r="AC45" s="25"/>
      <c r="AD45" s="25"/>
      <c r="AE45" s="25"/>
      <c r="AF45" s="25"/>
      <c r="AG45" s="25"/>
      <c r="AH45" s="25"/>
      <c r="AI45" s="25"/>
      <c r="AJ45" s="25"/>
      <c r="AK45" s="25"/>
      <c r="AL45" s="25"/>
      <c r="AM45" s="25"/>
      <c r="AN45" s="25"/>
      <c r="AO45" s="25"/>
    </row>
    <row r="46">
      <c r="A46" s="152">
        <v>44934.0</v>
      </c>
      <c r="B46" s="159">
        <v>217.0</v>
      </c>
      <c r="C46" s="184">
        <v>44883.0</v>
      </c>
      <c r="D46" s="185" t="s">
        <v>474</v>
      </c>
      <c r="E46" s="185" t="s">
        <v>476</v>
      </c>
      <c r="F46" s="185" t="s">
        <v>478</v>
      </c>
      <c r="G46" s="146" t="s">
        <v>114</v>
      </c>
      <c r="H46" s="146" t="s">
        <v>94</v>
      </c>
      <c r="I46" s="146" t="s">
        <v>94</v>
      </c>
      <c r="J46" s="25" t="s">
        <v>95</v>
      </c>
      <c r="K46" s="25">
        <v>1.0</v>
      </c>
      <c r="L46" s="25"/>
      <c r="M46" s="22"/>
      <c r="N46" s="25">
        <v>1.0</v>
      </c>
      <c r="O46" s="22"/>
      <c r="P46" s="22"/>
      <c r="Q46" s="22"/>
      <c r="R46" s="22"/>
      <c r="S46" s="22"/>
      <c r="T46" s="22"/>
      <c r="U46" s="22"/>
      <c r="V46" s="25"/>
      <c r="W46" s="25"/>
      <c r="X46" s="25"/>
      <c r="Y46" s="25"/>
      <c r="Z46" s="25"/>
      <c r="AA46" s="25"/>
      <c r="AB46" s="25"/>
      <c r="AC46" s="25"/>
      <c r="AD46" s="25"/>
      <c r="AE46" s="25"/>
      <c r="AF46" s="25"/>
      <c r="AG46" s="25"/>
      <c r="AH46" s="25"/>
      <c r="AI46" s="25"/>
      <c r="AJ46" s="25"/>
      <c r="AK46" s="25"/>
      <c r="AL46" s="25"/>
      <c r="AM46" s="25"/>
      <c r="AN46" s="25"/>
      <c r="AO46" s="25"/>
    </row>
    <row r="47">
      <c r="A47" s="152">
        <v>44934.0</v>
      </c>
      <c r="B47" s="187">
        <v>505.0</v>
      </c>
      <c r="C47" s="188">
        <v>44389.0</v>
      </c>
      <c r="D47" s="185" t="s">
        <v>483</v>
      </c>
      <c r="E47" s="189" t="s">
        <v>484</v>
      </c>
      <c r="F47" s="185" t="s">
        <v>485</v>
      </c>
      <c r="G47" s="146" t="s">
        <v>114</v>
      </c>
      <c r="H47" s="146" t="s">
        <v>94</v>
      </c>
      <c r="I47" s="146" t="s">
        <v>486</v>
      </c>
      <c r="J47" s="25" t="s">
        <v>95</v>
      </c>
      <c r="K47" s="25"/>
      <c r="L47" s="25">
        <v>2.0</v>
      </c>
      <c r="M47" s="22"/>
      <c r="N47" s="25">
        <v>1.0</v>
      </c>
      <c r="O47" s="22"/>
      <c r="P47" s="22"/>
      <c r="Q47" s="22"/>
      <c r="R47" s="22"/>
      <c r="S47" s="22"/>
      <c r="T47" s="22"/>
      <c r="U47" s="22"/>
      <c r="V47" s="25"/>
      <c r="W47" s="25"/>
      <c r="X47" s="25"/>
      <c r="Y47" s="25"/>
      <c r="Z47" s="25"/>
      <c r="AA47" s="25"/>
      <c r="AB47" s="25"/>
      <c r="AC47" s="25"/>
      <c r="AD47" s="25"/>
      <c r="AE47" s="25"/>
      <c r="AF47" s="25"/>
      <c r="AG47" s="25"/>
      <c r="AH47" s="25"/>
      <c r="AI47" s="25"/>
      <c r="AJ47" s="25"/>
      <c r="AK47" s="25"/>
      <c r="AL47" s="25"/>
      <c r="AM47" s="25"/>
      <c r="AN47" s="25"/>
      <c r="AO47" s="25"/>
    </row>
    <row r="48">
      <c r="A48" s="152">
        <v>44934.0</v>
      </c>
      <c r="B48" s="187">
        <v>265.0</v>
      </c>
      <c r="C48" s="184">
        <v>44393.0</v>
      </c>
      <c r="D48" s="185" t="s">
        <v>490</v>
      </c>
      <c r="E48" s="189" t="s">
        <v>491</v>
      </c>
      <c r="F48" s="189" t="s">
        <v>492</v>
      </c>
      <c r="G48" s="146" t="s">
        <v>114</v>
      </c>
      <c r="H48" s="146" t="s">
        <v>94</v>
      </c>
      <c r="I48" s="146" t="s">
        <v>486</v>
      </c>
      <c r="J48" s="25" t="s">
        <v>95</v>
      </c>
      <c r="K48" s="25"/>
      <c r="L48" s="25">
        <v>1.0</v>
      </c>
      <c r="M48" s="22"/>
      <c r="N48" s="22"/>
      <c r="O48" s="22"/>
      <c r="P48" s="22"/>
      <c r="Q48" s="22"/>
      <c r="R48" s="22"/>
      <c r="S48" s="22"/>
      <c r="T48" s="22"/>
      <c r="U48" s="22"/>
      <c r="V48" s="25"/>
      <c r="W48" s="25"/>
      <c r="X48" s="25"/>
      <c r="Y48" s="25"/>
      <c r="Z48" s="25"/>
      <c r="AA48" s="25"/>
      <c r="AB48" s="25"/>
      <c r="AC48" s="25"/>
      <c r="AD48" s="25"/>
      <c r="AE48" s="25"/>
      <c r="AF48" s="25"/>
      <c r="AG48" s="25"/>
      <c r="AH48" s="25"/>
      <c r="AI48" s="25"/>
      <c r="AJ48" s="25"/>
      <c r="AK48" s="25"/>
      <c r="AL48" s="25"/>
      <c r="AM48" s="25"/>
      <c r="AN48" s="25"/>
      <c r="AO48" s="25"/>
    </row>
    <row r="49">
      <c r="A49" s="152">
        <v>44934.0</v>
      </c>
      <c r="B49" s="187">
        <v>200.5</v>
      </c>
      <c r="C49" s="184">
        <v>44102.0</v>
      </c>
      <c r="D49" s="185" t="s">
        <v>496</v>
      </c>
      <c r="E49" s="189" t="s">
        <v>497</v>
      </c>
      <c r="F49" s="189" t="s">
        <v>498</v>
      </c>
      <c r="G49" s="146" t="s">
        <v>114</v>
      </c>
      <c r="H49" s="146" t="s">
        <v>170</v>
      </c>
      <c r="I49" s="146" t="s">
        <v>125</v>
      </c>
      <c r="J49" s="25" t="s">
        <v>95</v>
      </c>
      <c r="K49" s="25">
        <v>1.0</v>
      </c>
      <c r="L49" s="25"/>
      <c r="M49" s="22"/>
      <c r="N49" s="22"/>
      <c r="O49" s="25">
        <v>1.0</v>
      </c>
      <c r="P49" s="25">
        <v>1.0</v>
      </c>
      <c r="Q49" s="22"/>
      <c r="R49" s="22"/>
      <c r="S49" s="22"/>
      <c r="T49" s="22"/>
      <c r="U49" s="22"/>
      <c r="V49" s="25"/>
      <c r="W49" s="25"/>
      <c r="X49" s="25"/>
      <c r="Y49" s="25"/>
      <c r="Z49" s="25"/>
      <c r="AA49" s="25"/>
      <c r="AB49" s="25"/>
      <c r="AC49" s="25"/>
      <c r="AD49" s="25"/>
      <c r="AE49" s="25"/>
      <c r="AF49" s="25"/>
      <c r="AG49" s="25"/>
      <c r="AH49" s="25"/>
      <c r="AI49" s="25"/>
      <c r="AJ49" s="25"/>
      <c r="AK49" s="25"/>
      <c r="AL49" s="25"/>
      <c r="AM49" s="25"/>
      <c r="AN49" s="25"/>
      <c r="AO49" s="25"/>
    </row>
    <row r="50">
      <c r="A50" s="152">
        <v>44934.0</v>
      </c>
      <c r="B50" s="187">
        <v>277.8</v>
      </c>
      <c r="C50" s="184">
        <v>44105.0</v>
      </c>
      <c r="D50" s="185" t="s">
        <v>502</v>
      </c>
      <c r="E50" s="189" t="s">
        <v>503</v>
      </c>
      <c r="F50" s="189" t="s">
        <v>504</v>
      </c>
      <c r="G50" s="146" t="s">
        <v>114</v>
      </c>
      <c r="H50" s="146" t="s">
        <v>170</v>
      </c>
      <c r="I50" s="146" t="s">
        <v>170</v>
      </c>
      <c r="J50" s="25" t="s">
        <v>95</v>
      </c>
      <c r="K50" s="25"/>
      <c r="L50" s="25">
        <v>1.0</v>
      </c>
      <c r="M50" s="22"/>
      <c r="N50" s="25">
        <v>1.0</v>
      </c>
      <c r="O50" s="22"/>
      <c r="P50" s="25">
        <v>1.0</v>
      </c>
      <c r="Q50" s="22"/>
      <c r="R50" s="22"/>
      <c r="S50" s="22"/>
      <c r="T50" s="22"/>
      <c r="U50" s="22"/>
      <c r="V50" s="25"/>
      <c r="W50" s="25"/>
      <c r="X50" s="25"/>
      <c r="Y50" s="25"/>
      <c r="Z50" s="25"/>
      <c r="AA50" s="25"/>
      <c r="AB50" s="25"/>
      <c r="AC50" s="25"/>
      <c r="AD50" s="25"/>
      <c r="AE50" s="25"/>
      <c r="AF50" s="25"/>
      <c r="AG50" s="25"/>
      <c r="AH50" s="25"/>
      <c r="AI50" s="25"/>
      <c r="AJ50" s="25"/>
      <c r="AK50" s="25"/>
      <c r="AL50" s="25"/>
      <c r="AM50" s="25"/>
      <c r="AN50" s="25"/>
      <c r="AO50" s="25"/>
    </row>
    <row r="51">
      <c r="A51" s="152">
        <v>44936.0</v>
      </c>
      <c r="B51" s="159">
        <v>212.0</v>
      </c>
      <c r="C51" s="184">
        <v>44371.0</v>
      </c>
      <c r="D51" s="185" t="s">
        <v>508</v>
      </c>
      <c r="E51" s="185" t="s">
        <v>509</v>
      </c>
      <c r="F51" s="185" t="s">
        <v>512</v>
      </c>
      <c r="G51" s="146" t="s">
        <v>114</v>
      </c>
      <c r="H51" s="146" t="s">
        <v>161</v>
      </c>
      <c r="I51" s="146" t="s">
        <v>125</v>
      </c>
      <c r="J51" s="89" t="s">
        <v>95</v>
      </c>
      <c r="K51" s="89"/>
      <c r="L51" s="89">
        <v>1.0</v>
      </c>
      <c r="M51" s="85"/>
      <c r="N51" s="85"/>
      <c r="O51" s="85"/>
      <c r="P51" s="85"/>
      <c r="Q51" s="85"/>
      <c r="R51" s="85"/>
      <c r="S51" s="85"/>
      <c r="T51" s="85"/>
      <c r="U51" s="85"/>
      <c r="V51" s="89"/>
      <c r="W51" s="89"/>
      <c r="X51" s="89"/>
      <c r="Y51" s="89"/>
      <c r="Z51" s="89"/>
      <c r="AA51" s="89"/>
      <c r="AB51" s="89"/>
      <c r="AC51" s="89"/>
      <c r="AD51" s="89"/>
      <c r="AE51" s="89"/>
      <c r="AF51" s="89"/>
      <c r="AG51" s="89"/>
      <c r="AH51" s="89"/>
      <c r="AI51" s="89"/>
      <c r="AJ51" s="89"/>
      <c r="AK51" s="89"/>
      <c r="AL51" s="89"/>
      <c r="AM51" s="89"/>
      <c r="AN51" s="89"/>
      <c r="AO51" s="89"/>
    </row>
    <row r="52">
      <c r="A52" s="152">
        <v>44936.0</v>
      </c>
      <c r="B52" s="159">
        <v>283.0</v>
      </c>
      <c r="C52" s="184">
        <v>44376.0</v>
      </c>
      <c r="D52" s="185" t="s">
        <v>518</v>
      </c>
      <c r="E52" s="185" t="s">
        <v>520</v>
      </c>
      <c r="F52" s="185" t="s">
        <v>522</v>
      </c>
      <c r="G52" s="146" t="s">
        <v>114</v>
      </c>
      <c r="H52" s="146" t="s">
        <v>94</v>
      </c>
      <c r="I52" s="146" t="s">
        <v>125</v>
      </c>
      <c r="J52" s="89" t="s">
        <v>95</v>
      </c>
      <c r="K52" s="89"/>
      <c r="L52" s="89">
        <v>1.0</v>
      </c>
      <c r="M52" s="85"/>
      <c r="N52" s="85"/>
      <c r="O52" s="89">
        <v>1.0</v>
      </c>
      <c r="P52" s="85"/>
      <c r="Q52" s="85"/>
      <c r="R52" s="85"/>
      <c r="S52" s="85"/>
      <c r="T52" s="85"/>
      <c r="U52" s="85"/>
      <c r="V52" s="89"/>
      <c r="W52" s="89"/>
      <c r="X52" s="89"/>
      <c r="Y52" s="89"/>
      <c r="Z52" s="89"/>
      <c r="AA52" s="89"/>
      <c r="AB52" s="89"/>
      <c r="AC52" s="89"/>
      <c r="AD52" s="89"/>
      <c r="AE52" s="89"/>
      <c r="AF52" s="89"/>
      <c r="AG52" s="89"/>
      <c r="AH52" s="89"/>
      <c r="AI52" s="89"/>
      <c r="AJ52" s="89"/>
      <c r="AK52" s="89"/>
      <c r="AL52" s="89"/>
      <c r="AM52" s="89"/>
      <c r="AN52" s="89"/>
      <c r="AO52" s="89"/>
    </row>
    <row r="53">
      <c r="A53" s="152">
        <v>44936.0</v>
      </c>
      <c r="B53" s="187">
        <v>333.56</v>
      </c>
      <c r="C53" s="188">
        <v>44701.0</v>
      </c>
      <c r="D53" s="146" t="s">
        <v>526</v>
      </c>
      <c r="E53" s="189" t="s">
        <v>527</v>
      </c>
      <c r="F53" s="189" t="s">
        <v>528</v>
      </c>
      <c r="G53" s="146" t="s">
        <v>114</v>
      </c>
      <c r="H53" s="146" t="s">
        <v>94</v>
      </c>
      <c r="I53" s="196" t="s">
        <v>125</v>
      </c>
      <c r="J53" s="89" t="s">
        <v>95</v>
      </c>
      <c r="K53" s="89"/>
      <c r="L53" s="89">
        <v>1.0</v>
      </c>
      <c r="M53" s="85"/>
      <c r="N53" s="85"/>
      <c r="O53" s="89">
        <v>1.0</v>
      </c>
      <c r="P53" s="85"/>
      <c r="Q53" s="85"/>
      <c r="R53" s="85"/>
      <c r="S53" s="85"/>
      <c r="T53" s="85"/>
      <c r="U53" s="85"/>
      <c r="V53" s="89"/>
      <c r="W53" s="89"/>
      <c r="X53" s="89"/>
      <c r="Y53" s="89"/>
      <c r="Z53" s="89"/>
      <c r="AA53" s="89"/>
      <c r="AB53" s="89"/>
      <c r="AC53" s="89"/>
      <c r="AD53" s="89"/>
      <c r="AE53" s="89"/>
      <c r="AF53" s="89"/>
      <c r="AG53" s="89"/>
      <c r="AH53" s="89"/>
      <c r="AI53" s="89"/>
      <c r="AJ53" s="89"/>
      <c r="AK53" s="89"/>
      <c r="AL53" s="89"/>
      <c r="AM53" s="89"/>
      <c r="AN53" s="89"/>
      <c r="AO53" s="89"/>
    </row>
    <row r="54">
      <c r="A54" s="152">
        <v>44937.0</v>
      </c>
      <c r="B54" s="159">
        <v>315.14</v>
      </c>
      <c r="C54" s="184">
        <v>44892.0</v>
      </c>
      <c r="D54" s="185" t="s">
        <v>531</v>
      </c>
      <c r="E54" s="185" t="s">
        <v>532</v>
      </c>
      <c r="F54" s="185" t="s">
        <v>533</v>
      </c>
      <c r="G54" s="146"/>
      <c r="H54" s="146" t="s">
        <v>94</v>
      </c>
      <c r="I54" s="146"/>
      <c r="J54" s="89" t="s">
        <v>95</v>
      </c>
      <c r="K54" s="89">
        <v>1.0</v>
      </c>
      <c r="L54" s="89"/>
      <c r="M54" s="89">
        <v>1.0</v>
      </c>
      <c r="N54" s="85"/>
      <c r="O54" s="85"/>
      <c r="P54" s="89">
        <v>1.0</v>
      </c>
      <c r="Q54" s="85"/>
      <c r="R54" s="85"/>
      <c r="S54" s="85"/>
      <c r="T54" s="85"/>
      <c r="U54" s="85"/>
      <c r="V54" s="89"/>
      <c r="W54" s="89"/>
      <c r="X54" s="89"/>
      <c r="Y54" s="89"/>
      <c r="Z54" s="89"/>
      <c r="AA54" s="89"/>
      <c r="AB54" s="89"/>
      <c r="AC54" s="89"/>
      <c r="AD54" s="89"/>
      <c r="AE54" s="89"/>
      <c r="AF54" s="89"/>
      <c r="AG54" s="89"/>
      <c r="AH54" s="89"/>
      <c r="AI54" s="89"/>
      <c r="AJ54" s="89"/>
      <c r="AK54" s="89"/>
      <c r="AL54" s="89"/>
      <c r="AM54" s="89"/>
      <c r="AN54" s="89"/>
      <c r="AO54" s="89"/>
    </row>
    <row r="55">
      <c r="A55" s="152">
        <v>44938.0</v>
      </c>
      <c r="B55" s="166">
        <v>317.18</v>
      </c>
      <c r="C55" s="145">
        <v>44696.0</v>
      </c>
      <c r="D55" s="151" t="s">
        <v>537</v>
      </c>
      <c r="E55" s="151" t="s">
        <v>538</v>
      </c>
      <c r="F55" s="163" t="s">
        <v>539</v>
      </c>
      <c r="G55" s="146" t="s">
        <v>110</v>
      </c>
      <c r="H55" s="146" t="s">
        <v>94</v>
      </c>
      <c r="I55" s="146" t="s">
        <v>94</v>
      </c>
      <c r="J55" s="89" t="s">
        <v>95</v>
      </c>
      <c r="K55" s="89"/>
      <c r="L55" s="89">
        <v>1.0</v>
      </c>
      <c r="M55" s="85"/>
      <c r="N55" s="85"/>
      <c r="O55" s="85"/>
      <c r="P55" s="85"/>
      <c r="Q55" s="85"/>
      <c r="R55" s="85"/>
      <c r="S55" s="85"/>
      <c r="T55" s="85"/>
      <c r="U55" s="85"/>
      <c r="V55" s="89"/>
      <c r="W55" s="89"/>
      <c r="X55" s="89"/>
      <c r="Y55" s="89"/>
      <c r="Z55" s="89"/>
      <c r="AA55" s="89"/>
      <c r="AB55" s="89"/>
      <c r="AC55" s="89"/>
      <c r="AD55" s="89"/>
      <c r="AE55" s="89"/>
      <c r="AF55" s="89"/>
      <c r="AG55" s="89"/>
      <c r="AH55" s="89"/>
      <c r="AI55" s="89"/>
      <c r="AJ55" s="89"/>
      <c r="AK55" s="89"/>
      <c r="AL55" s="89"/>
      <c r="AM55" s="89"/>
      <c r="AN55" s="89"/>
      <c r="AO55" s="89"/>
    </row>
    <row r="56">
      <c r="A56" s="156">
        <v>44938.0</v>
      </c>
      <c r="B56" s="198">
        <v>323.0</v>
      </c>
      <c r="C56" s="199">
        <v>44882.0</v>
      </c>
      <c r="D56" s="158" t="s">
        <v>543</v>
      </c>
      <c r="E56" s="158" t="s">
        <v>544</v>
      </c>
      <c r="F56" s="158" t="s">
        <v>545</v>
      </c>
      <c r="G56" s="151" t="s">
        <v>114</v>
      </c>
      <c r="H56" s="151" t="s">
        <v>94</v>
      </c>
      <c r="I56" s="151" t="s">
        <v>94</v>
      </c>
      <c r="J56" s="200" t="s">
        <v>95</v>
      </c>
      <c r="K56" s="200">
        <v>1.0</v>
      </c>
      <c r="L56" s="98"/>
      <c r="M56" s="200">
        <v>1.0</v>
      </c>
      <c r="N56" s="200">
        <v>1.0</v>
      </c>
      <c r="O56" s="101"/>
      <c r="P56" s="200">
        <v>1.0</v>
      </c>
      <c r="Q56" s="201"/>
      <c r="R56" s="201"/>
      <c r="S56" s="201"/>
      <c r="T56" s="201"/>
      <c r="U56" s="201"/>
      <c r="V56" s="201"/>
      <c r="W56" s="201"/>
      <c r="X56" s="103"/>
      <c r="Y56" s="103"/>
      <c r="Z56" s="103"/>
      <c r="AA56" s="103"/>
      <c r="AB56" s="103"/>
      <c r="AC56" s="103"/>
      <c r="AD56" s="103"/>
      <c r="AE56" s="103"/>
      <c r="AF56" s="103"/>
      <c r="AG56" s="103"/>
      <c r="AH56" s="103"/>
      <c r="AI56" s="103"/>
      <c r="AJ56" s="103"/>
      <c r="AK56" s="103"/>
      <c r="AL56" s="103"/>
      <c r="AM56" s="103"/>
      <c r="AN56" s="103"/>
      <c r="AO56" s="103"/>
    </row>
    <row r="57">
      <c r="A57" s="203">
        <v>44939.0</v>
      </c>
      <c r="B57" s="204">
        <v>24.0</v>
      </c>
      <c r="C57" s="205">
        <v>44807.0</v>
      </c>
      <c r="D57" s="206" t="s">
        <v>549</v>
      </c>
      <c r="E57" s="206" t="s">
        <v>550</v>
      </c>
      <c r="F57" s="206" t="s">
        <v>551</v>
      </c>
      <c r="G57" s="207" t="s">
        <v>181</v>
      </c>
      <c r="H57" s="207" t="s">
        <v>94</v>
      </c>
      <c r="I57" s="207" t="s">
        <v>94</v>
      </c>
      <c r="J57" s="25" t="s">
        <v>328</v>
      </c>
      <c r="K57" s="25"/>
      <c r="L57" s="25"/>
      <c r="M57" s="22"/>
      <c r="N57" s="22"/>
      <c r="O57" s="25">
        <v>1.0</v>
      </c>
      <c r="P57" s="22"/>
      <c r="Q57" s="22"/>
      <c r="R57" s="22"/>
      <c r="S57" s="22"/>
      <c r="T57" s="22"/>
      <c r="U57" s="22"/>
      <c r="V57" s="25"/>
      <c r="W57" s="25"/>
      <c r="X57" s="25"/>
      <c r="Y57" s="25"/>
      <c r="Z57" s="25"/>
      <c r="AA57" s="25"/>
      <c r="AB57" s="25"/>
      <c r="AC57" s="25"/>
      <c r="AD57" s="25"/>
      <c r="AE57" s="25"/>
      <c r="AF57" s="25"/>
      <c r="AG57" s="25"/>
      <c r="AH57" s="25"/>
      <c r="AI57" s="25"/>
      <c r="AJ57" s="25"/>
      <c r="AK57" s="25"/>
      <c r="AL57" s="25"/>
      <c r="AM57" s="25"/>
      <c r="AN57" s="25"/>
      <c r="AO57" s="25"/>
    </row>
    <row r="58" ht="18.75" customHeight="1">
      <c r="A58" s="203">
        <v>44939.0</v>
      </c>
      <c r="B58" s="208">
        <v>244.46</v>
      </c>
      <c r="C58" s="205">
        <v>44886.0</v>
      </c>
      <c r="D58" s="206" t="s">
        <v>555</v>
      </c>
      <c r="E58" s="206" t="s">
        <v>556</v>
      </c>
      <c r="F58" s="206" t="s">
        <v>557</v>
      </c>
      <c r="G58" s="207" t="s">
        <v>114</v>
      </c>
      <c r="H58" s="207" t="s">
        <v>94</v>
      </c>
      <c r="I58" s="207" t="s">
        <v>94</v>
      </c>
      <c r="J58" s="25" t="s">
        <v>95</v>
      </c>
      <c r="K58" s="25">
        <v>1.0</v>
      </c>
      <c r="L58" s="25"/>
      <c r="M58" s="22"/>
      <c r="N58" s="22"/>
      <c r="O58" s="22"/>
      <c r="P58" s="25">
        <v>1.0</v>
      </c>
      <c r="Q58" s="22"/>
      <c r="R58" s="22"/>
      <c r="S58" s="22"/>
      <c r="T58" s="22"/>
      <c r="U58" s="22"/>
      <c r="V58" s="25"/>
      <c r="W58" s="25"/>
      <c r="X58" s="25"/>
      <c r="Y58" s="25"/>
      <c r="Z58" s="25"/>
      <c r="AA58" s="25"/>
      <c r="AB58" s="25"/>
      <c r="AC58" s="25"/>
      <c r="AD58" s="25"/>
      <c r="AE58" s="25"/>
      <c r="AF58" s="25"/>
      <c r="AG58" s="25"/>
      <c r="AH58" s="25"/>
      <c r="AI58" s="25"/>
      <c r="AJ58" s="25"/>
      <c r="AK58" s="25"/>
      <c r="AL58" s="25"/>
      <c r="AM58" s="25"/>
      <c r="AN58" s="25"/>
      <c r="AO58" s="25"/>
    </row>
    <row r="59">
      <c r="A59" s="209">
        <v>44939.0</v>
      </c>
      <c r="B59" s="210">
        <v>334.28</v>
      </c>
      <c r="C59" s="211">
        <v>44678.0</v>
      </c>
      <c r="D59" s="212" t="s">
        <v>561</v>
      </c>
      <c r="E59" s="212" t="s">
        <v>562</v>
      </c>
      <c r="F59" s="213" t="s">
        <v>563</v>
      </c>
      <c r="G59" s="212" t="s">
        <v>114</v>
      </c>
      <c r="H59" s="207" t="s">
        <v>94</v>
      </c>
      <c r="I59" s="207" t="s">
        <v>196</v>
      </c>
      <c r="J59" s="25" t="s">
        <v>95</v>
      </c>
      <c r="K59" s="25">
        <v>1.0</v>
      </c>
      <c r="L59" s="22"/>
      <c r="M59" s="25">
        <v>1.0</v>
      </c>
      <c r="N59" s="22"/>
      <c r="O59" s="25">
        <v>1.0</v>
      </c>
      <c r="P59" s="25"/>
      <c r="Q59" s="22"/>
      <c r="R59" s="22"/>
      <c r="S59" s="22"/>
      <c r="T59" s="22"/>
      <c r="U59" s="22"/>
      <c r="V59" s="25"/>
      <c r="W59" s="25"/>
      <c r="X59" s="25"/>
      <c r="Y59" s="25"/>
      <c r="Z59" s="25"/>
      <c r="AA59" s="25"/>
      <c r="AB59" s="25"/>
      <c r="AC59" s="25"/>
      <c r="AD59" s="25"/>
      <c r="AE59" s="25"/>
      <c r="AF59" s="25"/>
      <c r="AG59" s="25"/>
      <c r="AH59" s="25"/>
      <c r="AI59" s="25"/>
      <c r="AJ59" s="25"/>
      <c r="AK59" s="25"/>
      <c r="AL59" s="25"/>
      <c r="AM59" s="25"/>
      <c r="AN59" s="25"/>
      <c r="AO59" s="25"/>
    </row>
    <row r="60">
      <c r="A60" s="209">
        <v>44939.0</v>
      </c>
      <c r="B60" s="214">
        <v>287.93</v>
      </c>
      <c r="C60" s="203">
        <v>44850.0</v>
      </c>
      <c r="D60" s="207" t="s">
        <v>567</v>
      </c>
      <c r="E60" s="215" t="s">
        <v>568</v>
      </c>
      <c r="F60" s="215" t="s">
        <v>569</v>
      </c>
      <c r="G60" s="207" t="s">
        <v>114</v>
      </c>
      <c r="H60" s="207" t="s">
        <v>94</v>
      </c>
      <c r="I60" s="207" t="s">
        <v>179</v>
      </c>
      <c r="J60" s="25" t="s">
        <v>95</v>
      </c>
      <c r="K60" s="25">
        <v>1.0</v>
      </c>
      <c r="L60" s="22"/>
      <c r="M60" s="25">
        <v>1.0</v>
      </c>
      <c r="N60" s="25"/>
      <c r="O60" s="22"/>
      <c r="P60" s="25">
        <v>1.0</v>
      </c>
      <c r="Q60" s="25">
        <v>1.0</v>
      </c>
      <c r="R60" s="25">
        <v>1.0</v>
      </c>
      <c r="S60" s="22"/>
      <c r="T60" s="22"/>
      <c r="U60" s="22"/>
      <c r="V60" s="25"/>
      <c r="W60" s="25"/>
      <c r="X60" s="25"/>
      <c r="Y60" s="25"/>
      <c r="Z60" s="25"/>
      <c r="AA60" s="25"/>
      <c r="AB60" s="25"/>
      <c r="AC60" s="25"/>
      <c r="AD60" s="25"/>
      <c r="AE60" s="25"/>
      <c r="AF60" s="25"/>
      <c r="AG60" s="25"/>
      <c r="AH60" s="25"/>
      <c r="AI60" s="25"/>
      <c r="AJ60" s="25"/>
      <c r="AK60" s="25"/>
      <c r="AL60" s="25"/>
      <c r="AM60" s="25"/>
      <c r="AN60" s="25"/>
      <c r="AO60" s="25"/>
    </row>
    <row r="61">
      <c r="A61" s="209">
        <v>44939.0</v>
      </c>
      <c r="B61" s="214">
        <v>212.18</v>
      </c>
      <c r="C61" s="203">
        <v>44892.0</v>
      </c>
      <c r="D61" s="207" t="s">
        <v>575</v>
      </c>
      <c r="E61" s="207" t="s">
        <v>576</v>
      </c>
      <c r="F61" s="215" t="s">
        <v>577</v>
      </c>
      <c r="G61" s="207" t="s">
        <v>114</v>
      </c>
      <c r="H61" s="207" t="s">
        <v>94</v>
      </c>
      <c r="I61" s="207" t="s">
        <v>94</v>
      </c>
      <c r="J61" s="25" t="s">
        <v>95</v>
      </c>
      <c r="K61" s="25">
        <v>1.0</v>
      </c>
      <c r="L61" s="22"/>
      <c r="M61" s="22"/>
      <c r="N61" s="22"/>
      <c r="O61" s="22"/>
      <c r="P61" s="25">
        <v>1.0</v>
      </c>
      <c r="Q61" s="22"/>
      <c r="R61" s="22"/>
      <c r="S61" s="22"/>
      <c r="T61" s="22"/>
      <c r="U61" s="22"/>
      <c r="V61" s="25"/>
      <c r="W61" s="25"/>
      <c r="X61" s="25"/>
      <c r="Y61" s="25"/>
      <c r="Z61" s="25"/>
      <c r="AA61" s="25"/>
      <c r="AB61" s="25"/>
      <c r="AC61" s="25"/>
      <c r="AD61" s="25"/>
      <c r="AE61" s="25"/>
      <c r="AF61" s="25"/>
      <c r="AG61" s="25"/>
      <c r="AH61" s="25"/>
      <c r="AI61" s="25"/>
      <c r="AJ61" s="25"/>
      <c r="AK61" s="25"/>
      <c r="AL61" s="25"/>
      <c r="AM61" s="25"/>
      <c r="AN61" s="25"/>
      <c r="AO61" s="25"/>
    </row>
    <row r="62">
      <c r="A62" s="209">
        <v>44939.0</v>
      </c>
      <c r="B62" s="208">
        <v>206.0</v>
      </c>
      <c r="C62" s="203">
        <v>44463.0</v>
      </c>
      <c r="D62" s="219" t="s">
        <v>581</v>
      </c>
      <c r="E62" s="207" t="s">
        <v>582</v>
      </c>
      <c r="F62" s="215" t="s">
        <v>583</v>
      </c>
      <c r="G62" s="207" t="s">
        <v>114</v>
      </c>
      <c r="H62" s="207" t="s">
        <v>94</v>
      </c>
      <c r="I62" s="207" t="s">
        <v>125</v>
      </c>
      <c r="J62" s="25" t="s">
        <v>95</v>
      </c>
      <c r="K62" s="25">
        <v>1.0</v>
      </c>
      <c r="L62" s="25"/>
      <c r="M62" s="22"/>
      <c r="N62" s="25"/>
      <c r="O62" s="25"/>
      <c r="P62" s="25"/>
      <c r="Q62" s="22"/>
      <c r="R62" s="22"/>
      <c r="S62" s="22"/>
      <c r="T62" s="22"/>
      <c r="U62" s="22"/>
      <c r="V62" s="25"/>
      <c r="W62" s="25"/>
      <c r="X62" s="25"/>
      <c r="Y62" s="25"/>
      <c r="Z62" s="25"/>
      <c r="AA62" s="25"/>
      <c r="AB62" s="25"/>
      <c r="AC62" s="25"/>
      <c r="AD62" s="25"/>
      <c r="AE62" s="25"/>
      <c r="AF62" s="25"/>
      <c r="AG62" s="25"/>
      <c r="AH62" s="25"/>
      <c r="AI62" s="25"/>
      <c r="AJ62" s="25"/>
      <c r="AK62" s="25"/>
      <c r="AL62" s="25"/>
      <c r="AM62" s="25"/>
      <c r="AN62" s="25"/>
      <c r="AO62" s="25"/>
    </row>
    <row r="63">
      <c r="A63" s="220">
        <v>44940.0</v>
      </c>
      <c r="B63" s="221">
        <v>252.48</v>
      </c>
      <c r="C63" s="220">
        <v>44891.0</v>
      </c>
      <c r="D63" s="222" t="s">
        <v>585</v>
      </c>
      <c r="E63" s="222" t="s">
        <v>586</v>
      </c>
      <c r="F63" s="222" t="s">
        <v>587</v>
      </c>
      <c r="G63" s="222" t="s">
        <v>114</v>
      </c>
      <c r="H63" s="222" t="s">
        <v>94</v>
      </c>
      <c r="I63" s="222" t="s">
        <v>94</v>
      </c>
      <c r="J63" s="223" t="s">
        <v>95</v>
      </c>
      <c r="K63" s="223">
        <v>1.0</v>
      </c>
      <c r="L63" s="223"/>
      <c r="M63" s="224"/>
      <c r="N63" s="224"/>
      <c r="O63" s="224"/>
      <c r="P63" s="223">
        <v>1.0</v>
      </c>
      <c r="Q63" s="224"/>
      <c r="R63" s="224"/>
      <c r="S63" s="224"/>
      <c r="T63" s="224"/>
      <c r="U63" s="224"/>
      <c r="V63" s="223"/>
      <c r="W63" s="223"/>
      <c r="X63" s="223"/>
      <c r="Y63" s="223"/>
      <c r="Z63" s="223"/>
      <c r="AA63" s="223"/>
      <c r="AB63" s="223"/>
      <c r="AC63" s="223"/>
      <c r="AD63" s="223"/>
      <c r="AE63" s="223"/>
      <c r="AF63" s="223"/>
      <c r="AG63" s="223"/>
      <c r="AH63" s="223"/>
      <c r="AI63" s="223"/>
      <c r="AJ63" s="223"/>
      <c r="AK63" s="223"/>
      <c r="AL63" s="223"/>
      <c r="AM63" s="223"/>
      <c r="AN63" s="223"/>
      <c r="AO63" s="223"/>
    </row>
    <row r="64">
      <c r="A64" s="203">
        <v>44940.0</v>
      </c>
      <c r="B64" s="208">
        <v>248.78</v>
      </c>
      <c r="C64" s="203">
        <v>44866.0</v>
      </c>
      <c r="D64" s="207" t="s">
        <v>591</v>
      </c>
      <c r="E64" s="207" t="s">
        <v>592</v>
      </c>
      <c r="F64" s="207" t="s">
        <v>593</v>
      </c>
      <c r="G64" s="207" t="s">
        <v>114</v>
      </c>
      <c r="H64" s="207" t="s">
        <v>94</v>
      </c>
      <c r="I64" s="207" t="s">
        <v>594</v>
      </c>
      <c r="J64" s="25" t="s">
        <v>95</v>
      </c>
      <c r="K64" s="25">
        <v>1.0</v>
      </c>
      <c r="L64" s="22"/>
      <c r="M64" s="22"/>
      <c r="N64" s="22"/>
      <c r="O64" s="22"/>
      <c r="P64" s="25"/>
      <c r="Q64" s="22"/>
      <c r="R64" s="22"/>
      <c r="S64" s="22"/>
      <c r="T64" s="22"/>
      <c r="U64" s="22"/>
      <c r="V64" s="25"/>
      <c r="W64" s="25"/>
      <c r="X64" s="25"/>
      <c r="Y64" s="25"/>
      <c r="Z64" s="25"/>
      <c r="AA64" s="25"/>
      <c r="AB64" s="25"/>
      <c r="AC64" s="25"/>
      <c r="AD64" s="25"/>
      <c r="AE64" s="25"/>
      <c r="AF64" s="25"/>
      <c r="AG64" s="25"/>
      <c r="AH64" s="25"/>
      <c r="AI64" s="25"/>
      <c r="AJ64" s="25"/>
      <c r="AK64" s="25"/>
      <c r="AL64" s="25"/>
      <c r="AM64" s="25"/>
      <c r="AN64" s="25"/>
      <c r="AO64" s="25"/>
    </row>
    <row r="65">
      <c r="A65" s="220">
        <v>44940.0</v>
      </c>
      <c r="B65" s="221">
        <v>327.46</v>
      </c>
      <c r="C65" s="220">
        <v>44682.0</v>
      </c>
      <c r="D65" s="222" t="s">
        <v>598</v>
      </c>
      <c r="E65" s="222" t="s">
        <v>599</v>
      </c>
      <c r="F65" s="222" t="s">
        <v>600</v>
      </c>
      <c r="G65" s="222" t="s">
        <v>114</v>
      </c>
      <c r="H65" s="222" t="s">
        <v>94</v>
      </c>
      <c r="I65" s="222" t="s">
        <v>125</v>
      </c>
      <c r="J65" s="223" t="s">
        <v>95</v>
      </c>
      <c r="K65" s="223"/>
      <c r="L65" s="223">
        <v>1.0</v>
      </c>
      <c r="M65" s="224"/>
      <c r="N65" s="223">
        <v>1.0</v>
      </c>
      <c r="O65" s="224"/>
      <c r="P65" s="223"/>
      <c r="Q65" s="224"/>
      <c r="R65" s="224"/>
      <c r="S65" s="224"/>
      <c r="T65" s="224"/>
      <c r="U65" s="224"/>
      <c r="V65" s="223"/>
      <c r="W65" s="223"/>
      <c r="X65" s="223"/>
      <c r="Y65" s="223"/>
      <c r="Z65" s="223"/>
      <c r="AA65" s="223"/>
      <c r="AB65" s="223"/>
      <c r="AC65" s="223"/>
      <c r="AD65" s="223"/>
      <c r="AE65" s="223"/>
      <c r="AF65" s="223"/>
      <c r="AG65" s="223"/>
      <c r="AH65" s="223"/>
      <c r="AI65" s="223"/>
      <c r="AJ65" s="223"/>
      <c r="AK65" s="223"/>
      <c r="AL65" s="223"/>
      <c r="AM65" s="223"/>
      <c r="AN65" s="223"/>
      <c r="AO65" s="223"/>
    </row>
    <row r="66">
      <c r="A66" s="220">
        <v>44940.0</v>
      </c>
      <c r="B66" s="221">
        <v>206.0</v>
      </c>
      <c r="C66" s="220">
        <v>44398.0</v>
      </c>
      <c r="D66" s="222" t="s">
        <v>601</v>
      </c>
      <c r="E66" s="222" t="s">
        <v>602</v>
      </c>
      <c r="F66" s="222" t="s">
        <v>604</v>
      </c>
      <c r="G66" s="222" t="s">
        <v>114</v>
      </c>
      <c r="H66" s="222" t="s">
        <v>94</v>
      </c>
      <c r="I66" s="222" t="s">
        <v>94</v>
      </c>
      <c r="J66" s="223" t="s">
        <v>95</v>
      </c>
      <c r="K66" s="223">
        <v>1.0</v>
      </c>
      <c r="L66" s="223"/>
      <c r="M66" s="224"/>
      <c r="N66" s="223"/>
      <c r="O66" s="224"/>
      <c r="P66" s="223"/>
      <c r="Q66" s="224"/>
      <c r="R66" s="224"/>
      <c r="S66" s="224"/>
      <c r="T66" s="224"/>
      <c r="U66" s="224"/>
      <c r="V66" s="223"/>
      <c r="W66" s="223"/>
      <c r="X66" s="223"/>
      <c r="Y66" s="223"/>
      <c r="Z66" s="223"/>
      <c r="AA66" s="223"/>
      <c r="AB66" s="223"/>
      <c r="AC66" s="223"/>
      <c r="AD66" s="223"/>
      <c r="AE66" s="223"/>
      <c r="AF66" s="223"/>
      <c r="AG66" s="223"/>
      <c r="AH66" s="223"/>
      <c r="AI66" s="223"/>
      <c r="AJ66" s="223"/>
      <c r="AK66" s="223"/>
      <c r="AL66" s="223"/>
      <c r="AM66" s="223"/>
      <c r="AN66" s="223"/>
      <c r="AO66" s="223"/>
    </row>
    <row r="67">
      <c r="A67" s="220">
        <v>44940.0</v>
      </c>
      <c r="B67" s="221">
        <v>234.0</v>
      </c>
      <c r="C67" s="220">
        <v>44860.0</v>
      </c>
      <c r="D67" s="226" t="s">
        <v>607</v>
      </c>
      <c r="E67" s="222" t="s">
        <v>609</v>
      </c>
      <c r="F67" s="222" t="s">
        <v>612</v>
      </c>
      <c r="G67" s="222" t="s">
        <v>114</v>
      </c>
      <c r="H67" s="222" t="s">
        <v>94</v>
      </c>
      <c r="I67" s="222" t="s">
        <v>196</v>
      </c>
      <c r="J67" s="223" t="s">
        <v>95</v>
      </c>
      <c r="K67" s="223">
        <v>1.0</v>
      </c>
      <c r="L67" s="224"/>
      <c r="M67" s="224"/>
      <c r="N67" s="224"/>
      <c r="O67" s="224"/>
      <c r="P67" s="223">
        <v>1.0</v>
      </c>
      <c r="Q67" s="224"/>
      <c r="R67" s="224"/>
      <c r="S67" s="224"/>
      <c r="T67" s="224"/>
      <c r="U67" s="224"/>
      <c r="V67" s="223"/>
      <c r="W67" s="223"/>
      <c r="X67" s="223"/>
      <c r="Y67" s="223"/>
      <c r="Z67" s="223"/>
      <c r="AA67" s="223"/>
      <c r="AB67" s="223"/>
      <c r="AC67" s="223"/>
      <c r="AD67" s="223"/>
      <c r="AE67" s="223"/>
      <c r="AF67" s="223"/>
      <c r="AG67" s="223"/>
      <c r="AH67" s="223"/>
      <c r="AI67" s="223"/>
      <c r="AJ67" s="223"/>
      <c r="AK67" s="223"/>
      <c r="AL67" s="223"/>
      <c r="AM67" s="223"/>
      <c r="AN67" s="223"/>
      <c r="AO67" s="223"/>
    </row>
    <row r="68">
      <c r="A68" s="220">
        <v>44940.0</v>
      </c>
      <c r="B68" s="221">
        <v>206.0</v>
      </c>
      <c r="C68" s="220">
        <v>44394.0</v>
      </c>
      <c r="D68" s="222" t="s">
        <v>628</v>
      </c>
      <c r="E68" s="222" t="s">
        <v>629</v>
      </c>
      <c r="F68" s="222" t="s">
        <v>630</v>
      </c>
      <c r="G68" s="222" t="s">
        <v>114</v>
      </c>
      <c r="H68" s="222" t="s">
        <v>94</v>
      </c>
      <c r="I68" s="222" t="s">
        <v>94</v>
      </c>
      <c r="J68" s="223" t="s">
        <v>95</v>
      </c>
      <c r="K68" s="223">
        <v>1.0</v>
      </c>
      <c r="L68" s="223"/>
      <c r="M68" s="224"/>
      <c r="N68" s="223"/>
      <c r="O68" s="224"/>
      <c r="P68" s="223"/>
      <c r="Q68" s="224"/>
      <c r="R68" s="224"/>
      <c r="S68" s="224"/>
      <c r="T68" s="224"/>
      <c r="U68" s="224"/>
      <c r="V68" s="223"/>
      <c r="W68" s="223"/>
      <c r="X68" s="223"/>
      <c r="Y68" s="223"/>
      <c r="Z68" s="223"/>
      <c r="AA68" s="223"/>
      <c r="AB68" s="223"/>
      <c r="AC68" s="223"/>
      <c r="AD68" s="223"/>
      <c r="AE68" s="223"/>
      <c r="AF68" s="223"/>
      <c r="AG68" s="223"/>
      <c r="AH68" s="223"/>
      <c r="AI68" s="223"/>
      <c r="AJ68" s="223"/>
      <c r="AK68" s="223"/>
      <c r="AL68" s="223"/>
      <c r="AM68" s="223"/>
      <c r="AN68" s="223"/>
      <c r="AO68" s="223"/>
    </row>
    <row r="69">
      <c r="A69" s="220">
        <v>44940.0</v>
      </c>
      <c r="B69" s="221">
        <v>229.0</v>
      </c>
      <c r="C69" s="220">
        <v>44890.0</v>
      </c>
      <c r="D69" s="222" t="s">
        <v>632</v>
      </c>
      <c r="E69" s="222" t="s">
        <v>634</v>
      </c>
      <c r="F69" s="222" t="s">
        <v>636</v>
      </c>
      <c r="G69" s="222" t="s">
        <v>114</v>
      </c>
      <c r="H69" s="222" t="s">
        <v>94</v>
      </c>
      <c r="I69" s="222" t="s">
        <v>94</v>
      </c>
      <c r="J69" s="223" t="s">
        <v>95</v>
      </c>
      <c r="K69" s="223">
        <v>1.0</v>
      </c>
      <c r="L69" s="223"/>
      <c r="M69" s="224"/>
      <c r="N69" s="224"/>
      <c r="O69" s="224"/>
      <c r="P69" s="223">
        <v>1.0</v>
      </c>
      <c r="Q69" s="224"/>
      <c r="R69" s="224"/>
      <c r="S69" s="224"/>
      <c r="T69" s="224"/>
      <c r="U69" s="224"/>
      <c r="V69" s="223"/>
      <c r="W69" s="223"/>
      <c r="X69" s="223"/>
      <c r="Y69" s="223"/>
      <c r="Z69" s="223"/>
      <c r="AA69" s="223"/>
      <c r="AB69" s="223"/>
      <c r="AC69" s="223"/>
      <c r="AD69" s="223"/>
      <c r="AE69" s="223"/>
      <c r="AF69" s="223"/>
      <c r="AG69" s="223"/>
      <c r="AH69" s="223"/>
      <c r="AI69" s="223"/>
      <c r="AJ69" s="223"/>
      <c r="AK69" s="223"/>
      <c r="AL69" s="223"/>
      <c r="AM69" s="223"/>
      <c r="AN69" s="223"/>
      <c r="AO69" s="223"/>
    </row>
    <row r="70" ht="17.25" customHeight="1">
      <c r="A70" s="220">
        <v>44940.0</v>
      </c>
      <c r="B70" s="221">
        <v>286.88</v>
      </c>
      <c r="C70" s="220">
        <v>44859.0</v>
      </c>
      <c r="D70" s="222" t="s">
        <v>637</v>
      </c>
      <c r="E70" s="222" t="s">
        <v>638</v>
      </c>
      <c r="F70" s="222" t="s">
        <v>639</v>
      </c>
      <c r="G70" s="222" t="s">
        <v>114</v>
      </c>
      <c r="H70" s="222" t="s">
        <v>94</v>
      </c>
      <c r="I70" s="222" t="s">
        <v>94</v>
      </c>
      <c r="J70" s="223" t="s">
        <v>95</v>
      </c>
      <c r="K70" s="223">
        <v>1.0</v>
      </c>
      <c r="L70" s="224"/>
      <c r="M70" s="224"/>
      <c r="N70" s="223">
        <v>1.0</v>
      </c>
      <c r="O70" s="224"/>
      <c r="P70" s="223">
        <v>1.0</v>
      </c>
      <c r="Q70" s="223">
        <v>1.0</v>
      </c>
      <c r="R70" s="224"/>
      <c r="S70" s="224"/>
      <c r="T70" s="224"/>
      <c r="U70" s="224"/>
      <c r="V70" s="223"/>
      <c r="W70" s="223"/>
      <c r="X70" s="223"/>
      <c r="Y70" s="223"/>
      <c r="Z70" s="223"/>
      <c r="AA70" s="223"/>
      <c r="AB70" s="223"/>
      <c r="AC70" s="223"/>
      <c r="AD70" s="223"/>
      <c r="AE70" s="223"/>
      <c r="AF70" s="223"/>
      <c r="AG70" s="223"/>
      <c r="AH70" s="223"/>
      <c r="AI70" s="223"/>
      <c r="AJ70" s="223"/>
      <c r="AK70" s="223"/>
      <c r="AL70" s="223"/>
      <c r="AM70" s="223"/>
      <c r="AN70" s="223"/>
      <c r="AO70" s="223"/>
    </row>
    <row r="71">
      <c r="A71" s="220">
        <v>44940.0</v>
      </c>
      <c r="B71" s="221">
        <v>223.63</v>
      </c>
      <c r="C71" s="220">
        <v>44680.0</v>
      </c>
      <c r="D71" s="222" t="s">
        <v>643</v>
      </c>
      <c r="E71" s="222" t="s">
        <v>644</v>
      </c>
      <c r="F71" s="222" t="s">
        <v>645</v>
      </c>
      <c r="G71" s="222" t="s">
        <v>114</v>
      </c>
      <c r="H71" s="222" t="s">
        <v>94</v>
      </c>
      <c r="I71" s="222" t="s">
        <v>94</v>
      </c>
      <c r="J71" s="223" t="s">
        <v>95</v>
      </c>
      <c r="K71" s="223">
        <v>1.0</v>
      </c>
      <c r="L71" s="224"/>
      <c r="M71" s="224"/>
      <c r="N71" s="224"/>
      <c r="O71" s="224"/>
      <c r="P71" s="223"/>
      <c r="Q71" s="224"/>
      <c r="R71" s="224"/>
      <c r="S71" s="224"/>
      <c r="T71" s="224"/>
      <c r="U71" s="224"/>
      <c r="V71" s="223"/>
      <c r="W71" s="223"/>
      <c r="X71" s="223"/>
      <c r="Y71" s="223"/>
      <c r="Z71" s="223"/>
      <c r="AA71" s="223"/>
      <c r="AB71" s="223"/>
      <c r="AC71" s="223"/>
      <c r="AD71" s="223"/>
      <c r="AE71" s="223"/>
      <c r="AF71" s="223"/>
      <c r="AG71" s="223"/>
      <c r="AH71" s="223"/>
      <c r="AI71" s="223"/>
      <c r="AJ71" s="223"/>
      <c r="AK71" s="223"/>
      <c r="AL71" s="223"/>
      <c r="AM71" s="223"/>
      <c r="AN71" s="223"/>
      <c r="AO71" s="223"/>
    </row>
    <row r="72" ht="15.75" customHeight="1">
      <c r="A72" s="220">
        <v>44940.0</v>
      </c>
      <c r="B72" s="221">
        <v>199.0</v>
      </c>
      <c r="C72" s="220">
        <v>44519.0</v>
      </c>
      <c r="D72" s="222" t="s">
        <v>649</v>
      </c>
      <c r="E72" s="222" t="s">
        <v>650</v>
      </c>
      <c r="F72" s="222" t="s">
        <v>651</v>
      </c>
      <c r="G72" s="222" t="s">
        <v>114</v>
      </c>
      <c r="H72" s="222" t="s">
        <v>94</v>
      </c>
      <c r="I72" s="222" t="s">
        <v>94</v>
      </c>
      <c r="J72" s="223" t="s">
        <v>95</v>
      </c>
      <c r="K72" s="223">
        <v>1.0</v>
      </c>
      <c r="L72" s="223"/>
      <c r="M72" s="224"/>
      <c r="N72" s="224"/>
      <c r="O72" s="224"/>
      <c r="P72" s="223"/>
      <c r="Q72" s="224"/>
      <c r="R72" s="224"/>
      <c r="S72" s="224"/>
      <c r="T72" s="224"/>
      <c r="U72" s="224"/>
      <c r="V72" s="223"/>
      <c r="W72" s="223"/>
      <c r="X72" s="223"/>
      <c r="Y72" s="223"/>
      <c r="Z72" s="223"/>
      <c r="AA72" s="223"/>
      <c r="AB72" s="223"/>
      <c r="AC72" s="223"/>
      <c r="AD72" s="223"/>
      <c r="AE72" s="223"/>
      <c r="AF72" s="223"/>
      <c r="AG72" s="223"/>
      <c r="AH72" s="223"/>
      <c r="AI72" s="223"/>
      <c r="AJ72" s="223"/>
      <c r="AK72" s="223"/>
      <c r="AL72" s="223"/>
      <c r="AM72" s="223"/>
      <c r="AN72" s="223"/>
      <c r="AO72" s="223"/>
    </row>
    <row r="73" ht="18.0" customHeight="1">
      <c r="A73" s="220">
        <v>44940.0</v>
      </c>
      <c r="B73" s="237">
        <v>305.81</v>
      </c>
      <c r="C73" s="224">
        <v>44865.0</v>
      </c>
      <c r="D73" s="223" t="s">
        <v>658</v>
      </c>
      <c r="E73" s="223" t="s">
        <v>659</v>
      </c>
      <c r="F73" s="223" t="s">
        <v>660</v>
      </c>
      <c r="G73" s="222" t="s">
        <v>114</v>
      </c>
      <c r="H73" s="222" t="s">
        <v>94</v>
      </c>
      <c r="I73" s="222" t="s">
        <v>94</v>
      </c>
      <c r="J73" s="223" t="s">
        <v>95</v>
      </c>
      <c r="K73" s="223">
        <v>1.0</v>
      </c>
      <c r="L73" s="223"/>
      <c r="M73" s="223">
        <v>1.0</v>
      </c>
      <c r="N73" s="224"/>
      <c r="O73" s="224"/>
      <c r="P73" s="223">
        <v>1.0</v>
      </c>
      <c r="Q73" s="224"/>
      <c r="R73" s="224"/>
      <c r="S73" s="224"/>
      <c r="T73" s="224"/>
      <c r="U73" s="224"/>
      <c r="V73" s="223"/>
      <c r="W73" s="223"/>
      <c r="X73" s="223"/>
      <c r="Y73" s="223"/>
      <c r="Z73" s="223"/>
      <c r="AA73" s="223"/>
      <c r="AB73" s="223"/>
      <c r="AC73" s="223"/>
      <c r="AD73" s="223"/>
      <c r="AE73" s="223"/>
      <c r="AF73" s="223"/>
      <c r="AG73" s="223"/>
      <c r="AH73" s="223"/>
      <c r="AI73" s="223"/>
      <c r="AJ73" s="223"/>
      <c r="AK73" s="223"/>
      <c r="AL73" s="223"/>
      <c r="AM73" s="223"/>
      <c r="AN73" s="223"/>
      <c r="AO73" s="223"/>
    </row>
    <row r="74">
      <c r="A74" s="220">
        <v>44940.0</v>
      </c>
      <c r="B74" s="237">
        <v>242.93</v>
      </c>
      <c r="C74" s="224">
        <v>44888.0</v>
      </c>
      <c r="D74" s="223" t="s">
        <v>665</v>
      </c>
      <c r="E74" s="223" t="s">
        <v>666</v>
      </c>
      <c r="F74" s="223" t="s">
        <v>667</v>
      </c>
      <c r="G74" s="222" t="s">
        <v>114</v>
      </c>
      <c r="H74" s="222" t="s">
        <v>94</v>
      </c>
      <c r="I74" s="222" t="s">
        <v>94</v>
      </c>
      <c r="J74" s="223" t="s">
        <v>95</v>
      </c>
      <c r="K74" s="223">
        <v>1.0</v>
      </c>
      <c r="L74" s="224"/>
      <c r="M74" s="223"/>
      <c r="N74" s="223"/>
      <c r="O74" s="224"/>
      <c r="P74" s="223">
        <v>1.0</v>
      </c>
      <c r="Q74" s="224"/>
      <c r="R74" s="224"/>
      <c r="S74" s="224"/>
      <c r="T74" s="224"/>
      <c r="U74" s="224"/>
      <c r="V74" s="223"/>
      <c r="W74" s="223"/>
      <c r="X74" s="223"/>
      <c r="Y74" s="223"/>
      <c r="Z74" s="223"/>
      <c r="AA74" s="223"/>
      <c r="AB74" s="223"/>
      <c r="AC74" s="223"/>
      <c r="AD74" s="223"/>
      <c r="AE74" s="223"/>
      <c r="AF74" s="223"/>
      <c r="AG74" s="223"/>
      <c r="AH74" s="223"/>
      <c r="AI74" s="223"/>
      <c r="AJ74" s="223"/>
      <c r="AK74" s="223"/>
      <c r="AL74" s="223"/>
      <c r="AM74" s="223"/>
      <c r="AN74" s="223"/>
      <c r="AO74" s="223"/>
    </row>
    <row r="75">
      <c r="A75" s="220">
        <v>44940.0</v>
      </c>
      <c r="B75" s="237">
        <v>233.51</v>
      </c>
      <c r="C75" s="224">
        <v>44869.0</v>
      </c>
      <c r="D75" s="223" t="s">
        <v>675</v>
      </c>
      <c r="E75" s="223" t="s">
        <v>676</v>
      </c>
      <c r="F75" s="223" t="s">
        <v>677</v>
      </c>
      <c r="G75" s="222" t="s">
        <v>114</v>
      </c>
      <c r="H75" s="222" t="s">
        <v>94</v>
      </c>
      <c r="I75" s="222" t="s">
        <v>94</v>
      </c>
      <c r="J75" s="223" t="s">
        <v>95</v>
      </c>
      <c r="K75" s="223">
        <v>1.0</v>
      </c>
      <c r="L75" s="224"/>
      <c r="M75" s="224"/>
      <c r="N75" s="223"/>
      <c r="O75" s="224"/>
      <c r="P75" s="223">
        <v>1.0</v>
      </c>
      <c r="Q75" s="224"/>
      <c r="R75" s="224"/>
      <c r="S75" s="224"/>
      <c r="T75" s="224"/>
      <c r="U75" s="224"/>
      <c r="V75" s="223"/>
      <c r="W75" s="223"/>
      <c r="X75" s="223"/>
      <c r="Y75" s="223"/>
      <c r="Z75" s="223"/>
      <c r="AA75" s="223"/>
      <c r="AB75" s="223"/>
      <c r="AC75" s="223"/>
      <c r="AD75" s="223"/>
      <c r="AE75" s="223"/>
      <c r="AF75" s="223"/>
      <c r="AG75" s="223"/>
      <c r="AH75" s="223"/>
      <c r="AI75" s="223"/>
      <c r="AJ75" s="223"/>
      <c r="AK75" s="223"/>
      <c r="AL75" s="223"/>
      <c r="AM75" s="223"/>
      <c r="AN75" s="223"/>
      <c r="AO75" s="223"/>
    </row>
    <row r="76">
      <c r="A76" s="220">
        <v>44940.0</v>
      </c>
      <c r="B76" s="237">
        <v>245.03</v>
      </c>
      <c r="C76" s="224">
        <v>44888.0</v>
      </c>
      <c r="D76" s="223" t="s">
        <v>683</v>
      </c>
      <c r="E76" s="223" t="s">
        <v>684</v>
      </c>
      <c r="F76" s="223" t="s">
        <v>685</v>
      </c>
      <c r="G76" s="222" t="s">
        <v>114</v>
      </c>
      <c r="H76" s="222" t="s">
        <v>94</v>
      </c>
      <c r="I76" s="222" t="s">
        <v>94</v>
      </c>
      <c r="J76" s="223" t="s">
        <v>95</v>
      </c>
      <c r="K76" s="223">
        <v>1.0</v>
      </c>
      <c r="L76" s="223"/>
      <c r="M76" s="224"/>
      <c r="N76" s="223"/>
      <c r="O76" s="224"/>
      <c r="P76" s="223">
        <v>1.0</v>
      </c>
      <c r="Q76" s="224"/>
      <c r="R76" s="224"/>
      <c r="S76" s="224"/>
      <c r="T76" s="224"/>
      <c r="U76" s="224"/>
      <c r="V76" s="223"/>
      <c r="W76" s="223"/>
      <c r="X76" s="223"/>
      <c r="Y76" s="223"/>
      <c r="Z76" s="223"/>
      <c r="AA76" s="223"/>
      <c r="AB76" s="223"/>
      <c r="AC76" s="223"/>
      <c r="AD76" s="223"/>
      <c r="AE76" s="223"/>
      <c r="AF76" s="223"/>
      <c r="AG76" s="223"/>
      <c r="AH76" s="223"/>
      <c r="AI76" s="223"/>
      <c r="AJ76" s="223"/>
      <c r="AK76" s="223"/>
      <c r="AL76" s="223"/>
      <c r="AM76" s="223"/>
      <c r="AN76" s="223"/>
      <c r="AO76" s="223"/>
    </row>
    <row r="77">
      <c r="A77" s="224">
        <v>44940.0</v>
      </c>
      <c r="B77" s="237">
        <v>242.74</v>
      </c>
      <c r="C77" s="224">
        <v>44891.0</v>
      </c>
      <c r="D77" s="244" t="s">
        <v>691</v>
      </c>
      <c r="E77" s="223" t="s">
        <v>692</v>
      </c>
      <c r="F77" s="223" t="s">
        <v>693</v>
      </c>
      <c r="G77" s="222" t="s">
        <v>114</v>
      </c>
      <c r="H77" s="223" t="s">
        <v>94</v>
      </c>
      <c r="I77" s="223" t="s">
        <v>94</v>
      </c>
      <c r="J77" s="223" t="s">
        <v>95</v>
      </c>
      <c r="K77" s="223">
        <v>1.0</v>
      </c>
      <c r="L77" s="223"/>
      <c r="M77" s="224"/>
      <c r="N77" s="223"/>
      <c r="O77" s="224"/>
      <c r="P77" s="223"/>
      <c r="Q77" s="224"/>
      <c r="R77" s="224"/>
      <c r="S77" s="224"/>
      <c r="T77" s="224"/>
      <c r="U77" s="224"/>
      <c r="V77" s="223"/>
      <c r="W77" s="223"/>
      <c r="X77" s="223"/>
      <c r="Y77" s="223"/>
      <c r="Z77" s="223"/>
      <c r="AA77" s="223"/>
      <c r="AB77" s="223"/>
      <c r="AC77" s="223"/>
      <c r="AD77" s="223"/>
      <c r="AE77" s="223"/>
      <c r="AF77" s="223"/>
      <c r="AG77" s="223"/>
      <c r="AH77" s="223"/>
      <c r="AI77" s="223"/>
      <c r="AJ77" s="223"/>
      <c r="AK77" s="223"/>
      <c r="AL77" s="223"/>
      <c r="AM77" s="223"/>
      <c r="AN77" s="223"/>
      <c r="AO77" s="223"/>
    </row>
    <row r="78">
      <c r="A78" s="224">
        <v>44940.0</v>
      </c>
      <c r="B78" s="237">
        <v>245.4</v>
      </c>
      <c r="C78" s="224">
        <v>44210.0</v>
      </c>
      <c r="D78" s="223" t="s">
        <v>698</v>
      </c>
      <c r="E78" s="223" t="s">
        <v>699</v>
      </c>
      <c r="F78" s="223" t="s">
        <v>700</v>
      </c>
      <c r="G78" s="222" t="s">
        <v>114</v>
      </c>
      <c r="H78" s="223" t="s">
        <v>170</v>
      </c>
      <c r="I78" s="223" t="s">
        <v>170</v>
      </c>
      <c r="J78" s="223" t="s">
        <v>95</v>
      </c>
      <c r="K78" s="224"/>
      <c r="L78" s="223">
        <v>1.0</v>
      </c>
      <c r="M78" s="224"/>
      <c r="N78" s="223"/>
      <c r="O78" s="224"/>
      <c r="P78" s="223"/>
      <c r="Q78" s="224"/>
      <c r="R78" s="224"/>
      <c r="S78" s="224"/>
      <c r="T78" s="224"/>
      <c r="U78" s="224"/>
      <c r="V78" s="223"/>
      <c r="W78" s="223"/>
      <c r="X78" s="223"/>
      <c r="Y78" s="223"/>
      <c r="Z78" s="223"/>
      <c r="AA78" s="223"/>
      <c r="AB78" s="223"/>
      <c r="AC78" s="223"/>
      <c r="AD78" s="223"/>
      <c r="AE78" s="223"/>
      <c r="AF78" s="223"/>
      <c r="AG78" s="223"/>
      <c r="AH78" s="223"/>
      <c r="AI78" s="223"/>
      <c r="AJ78" s="223"/>
      <c r="AK78" s="223"/>
      <c r="AL78" s="223"/>
      <c r="AM78" s="223"/>
      <c r="AN78" s="223"/>
      <c r="AO78" s="223"/>
    </row>
    <row r="79">
      <c r="A79" s="224">
        <v>44940.0</v>
      </c>
      <c r="B79" s="251">
        <v>297.0</v>
      </c>
      <c r="C79" s="224">
        <v>44610.0</v>
      </c>
      <c r="D79" s="223" t="s">
        <v>708</v>
      </c>
      <c r="E79" s="252" t="s">
        <v>709</v>
      </c>
      <c r="F79" s="223" t="s">
        <v>710</v>
      </c>
      <c r="G79" s="223" t="s">
        <v>114</v>
      </c>
      <c r="H79" s="223" t="s">
        <v>94</v>
      </c>
      <c r="I79" s="223" t="s">
        <v>94</v>
      </c>
      <c r="J79" s="223" t="s">
        <v>95</v>
      </c>
      <c r="K79" s="224"/>
      <c r="L79" s="223">
        <v>1.0</v>
      </c>
      <c r="M79" s="224"/>
      <c r="N79" s="223">
        <v>1.0</v>
      </c>
      <c r="O79" s="224"/>
      <c r="P79" s="223"/>
      <c r="Q79" s="224"/>
      <c r="R79" s="224"/>
      <c r="S79" s="224"/>
      <c r="T79" s="224"/>
      <c r="U79" s="224"/>
      <c r="V79" s="223"/>
      <c r="W79" s="223"/>
      <c r="X79" s="223"/>
      <c r="Y79" s="223"/>
      <c r="Z79" s="223"/>
      <c r="AA79" s="223"/>
      <c r="AB79" s="223"/>
      <c r="AC79" s="223"/>
      <c r="AD79" s="223"/>
      <c r="AE79" s="223"/>
      <c r="AF79" s="223"/>
      <c r="AG79" s="223"/>
      <c r="AH79" s="223"/>
      <c r="AI79" s="223"/>
      <c r="AJ79" s="223"/>
      <c r="AK79" s="223"/>
      <c r="AL79" s="223"/>
      <c r="AM79" s="223"/>
      <c r="AN79" s="223"/>
      <c r="AO79" s="223"/>
    </row>
    <row r="80">
      <c r="A80" s="224">
        <v>44940.0</v>
      </c>
      <c r="B80" s="237">
        <v>242.74</v>
      </c>
      <c r="C80" s="224">
        <v>44878.0</v>
      </c>
      <c r="D80" s="223" t="s">
        <v>715</v>
      </c>
      <c r="E80" s="223" t="s">
        <v>716</v>
      </c>
      <c r="F80" s="223" t="s">
        <v>717</v>
      </c>
      <c r="G80" s="223" t="s">
        <v>114</v>
      </c>
      <c r="H80" s="223" t="s">
        <v>94</v>
      </c>
      <c r="I80" s="223" t="s">
        <v>94</v>
      </c>
      <c r="J80" s="223" t="s">
        <v>95</v>
      </c>
      <c r="K80" s="223">
        <v>1.0</v>
      </c>
      <c r="L80" s="224"/>
      <c r="M80" s="224"/>
      <c r="N80" s="224"/>
      <c r="O80" s="224"/>
      <c r="P80" s="223"/>
      <c r="Q80" s="224"/>
      <c r="R80" s="224"/>
      <c r="S80" s="224"/>
      <c r="T80" s="224"/>
      <c r="U80" s="224"/>
      <c r="V80" s="223"/>
      <c r="W80" s="223"/>
      <c r="X80" s="254"/>
      <c r="Y80" s="254"/>
      <c r="Z80" s="254"/>
      <c r="AA80" s="254"/>
      <c r="AB80" s="254"/>
      <c r="AC80" s="254"/>
      <c r="AD80" s="254"/>
      <c r="AE80" s="254"/>
      <c r="AF80" s="254"/>
      <c r="AG80" s="254"/>
      <c r="AH80" s="254"/>
      <c r="AI80" s="254"/>
      <c r="AJ80" s="254"/>
      <c r="AK80" s="254"/>
      <c r="AL80" s="254"/>
      <c r="AM80" s="254"/>
      <c r="AN80" s="254"/>
      <c r="AO80" s="254"/>
    </row>
    <row r="81">
      <c r="A81" s="224">
        <v>44940.0</v>
      </c>
      <c r="B81" s="237">
        <v>241.68</v>
      </c>
      <c r="C81" s="224">
        <v>44886.0</v>
      </c>
      <c r="D81" s="223" t="s">
        <v>721</v>
      </c>
      <c r="E81" s="223" t="s">
        <v>722</v>
      </c>
      <c r="F81" s="252" t="s">
        <v>723</v>
      </c>
      <c r="G81" s="223" t="s">
        <v>114</v>
      </c>
      <c r="H81" s="223" t="s">
        <v>94</v>
      </c>
      <c r="I81" s="223" t="s">
        <v>94</v>
      </c>
      <c r="J81" s="223" t="s">
        <v>95</v>
      </c>
      <c r="K81" s="223">
        <v>1.0</v>
      </c>
      <c r="L81" s="223"/>
      <c r="M81" s="224"/>
      <c r="N81" s="223">
        <v>1.0</v>
      </c>
      <c r="O81" s="224"/>
      <c r="P81" s="223">
        <v>1.0</v>
      </c>
      <c r="Q81" s="224"/>
      <c r="R81" s="224"/>
      <c r="S81" s="224"/>
      <c r="T81" s="224"/>
      <c r="U81" s="224"/>
      <c r="V81" s="223"/>
      <c r="W81" s="223"/>
      <c r="X81" s="223"/>
      <c r="Y81" s="223"/>
      <c r="Z81" s="223"/>
      <c r="AA81" s="223"/>
      <c r="AB81" s="223"/>
      <c r="AC81" s="223"/>
      <c r="AD81" s="223"/>
      <c r="AE81" s="223"/>
      <c r="AF81" s="223"/>
      <c r="AG81" s="223"/>
      <c r="AH81" s="223"/>
      <c r="AI81" s="223"/>
      <c r="AJ81" s="223"/>
      <c r="AK81" s="223"/>
      <c r="AL81" s="223"/>
      <c r="AM81" s="223"/>
      <c r="AN81" s="223"/>
      <c r="AO81" s="223"/>
    </row>
    <row r="82">
      <c r="A82" s="224">
        <v>44940.0</v>
      </c>
      <c r="B82" s="237">
        <v>206.0</v>
      </c>
      <c r="C82" s="224">
        <v>44388.0</v>
      </c>
      <c r="D82" s="223" t="s">
        <v>728</v>
      </c>
      <c r="E82" s="223" t="s">
        <v>729</v>
      </c>
      <c r="F82" s="223" t="s">
        <v>730</v>
      </c>
      <c r="G82" s="223" t="s">
        <v>114</v>
      </c>
      <c r="H82" s="223" t="s">
        <v>486</v>
      </c>
      <c r="I82" s="223" t="s">
        <v>94</v>
      </c>
      <c r="J82" s="223" t="s">
        <v>95</v>
      </c>
      <c r="K82" s="223">
        <v>1.0</v>
      </c>
      <c r="L82" s="224"/>
      <c r="M82" s="223">
        <v>1.0</v>
      </c>
      <c r="N82" s="224"/>
      <c r="O82" s="224"/>
      <c r="P82" s="224"/>
      <c r="Q82" s="224"/>
      <c r="R82" s="224"/>
      <c r="S82" s="224"/>
      <c r="T82" s="224"/>
      <c r="U82" s="224"/>
      <c r="V82" s="223"/>
      <c r="W82" s="223"/>
      <c r="X82" s="223"/>
      <c r="Y82" s="223"/>
      <c r="Z82" s="223"/>
      <c r="AA82" s="223"/>
      <c r="AB82" s="223"/>
      <c r="AC82" s="223"/>
      <c r="AD82" s="223"/>
      <c r="AE82" s="223"/>
      <c r="AF82" s="223"/>
      <c r="AG82" s="223"/>
      <c r="AH82" s="223"/>
      <c r="AI82" s="223"/>
      <c r="AJ82" s="223"/>
      <c r="AK82" s="223"/>
      <c r="AL82" s="223"/>
      <c r="AM82" s="223"/>
      <c r="AN82" s="223"/>
      <c r="AO82" s="223"/>
    </row>
    <row r="83">
      <c r="A83" s="224">
        <v>44940.0</v>
      </c>
      <c r="B83" s="258">
        <v>32.63</v>
      </c>
      <c r="C83" s="224">
        <v>44893.0</v>
      </c>
      <c r="D83" s="223" t="s">
        <v>734</v>
      </c>
      <c r="E83" s="223" t="s">
        <v>735</v>
      </c>
      <c r="F83" s="223" t="s">
        <v>736</v>
      </c>
      <c r="G83" s="223" t="s">
        <v>114</v>
      </c>
      <c r="H83" s="223" t="s">
        <v>94</v>
      </c>
      <c r="I83" s="223" t="s">
        <v>94</v>
      </c>
      <c r="J83" s="223" t="s">
        <v>95</v>
      </c>
      <c r="K83" s="224"/>
      <c r="L83" s="223"/>
      <c r="M83" s="224"/>
      <c r="N83" s="224"/>
      <c r="O83" s="223"/>
      <c r="P83" s="224"/>
      <c r="Q83" s="224"/>
      <c r="R83" s="224"/>
      <c r="S83" s="224"/>
      <c r="T83" s="224"/>
      <c r="U83" s="224"/>
      <c r="V83" s="223"/>
      <c r="W83" s="223"/>
      <c r="X83" s="223"/>
      <c r="Y83" s="223"/>
      <c r="Z83" s="223"/>
      <c r="AA83" s="223"/>
      <c r="AB83" s="223"/>
      <c r="AC83" s="223"/>
      <c r="AD83" s="223"/>
      <c r="AE83" s="223"/>
      <c r="AF83" s="223"/>
      <c r="AG83" s="223"/>
      <c r="AH83" s="223"/>
      <c r="AI83" s="223"/>
      <c r="AJ83" s="223"/>
      <c r="AK83" s="223"/>
      <c r="AL83" s="223"/>
      <c r="AM83" s="223"/>
      <c r="AN83" s="223"/>
      <c r="AO83" s="223"/>
    </row>
    <row r="84">
      <c r="A84" s="224">
        <v>44940.0</v>
      </c>
      <c r="B84" s="237">
        <v>244.7</v>
      </c>
      <c r="C84" s="224">
        <v>44103.0</v>
      </c>
      <c r="D84" s="223" t="s">
        <v>740</v>
      </c>
      <c r="E84" s="224" t="s">
        <v>741</v>
      </c>
      <c r="F84" s="224" t="s">
        <v>742</v>
      </c>
      <c r="G84" s="223" t="s">
        <v>114</v>
      </c>
      <c r="H84" s="223" t="s">
        <v>170</v>
      </c>
      <c r="I84" s="223" t="s">
        <v>125</v>
      </c>
      <c r="J84" s="223" t="s">
        <v>95</v>
      </c>
      <c r="K84" s="224"/>
      <c r="L84" s="223">
        <v>1.0</v>
      </c>
      <c r="M84" s="224"/>
      <c r="N84" s="224"/>
      <c r="O84" s="224"/>
      <c r="P84" s="223"/>
      <c r="Q84" s="224"/>
      <c r="R84" s="224"/>
      <c r="S84" s="224"/>
      <c r="T84" s="224"/>
      <c r="U84" s="224"/>
      <c r="V84" s="223"/>
      <c r="W84" s="223"/>
      <c r="X84" s="223"/>
      <c r="Y84" s="223"/>
      <c r="Z84" s="223"/>
      <c r="AA84" s="223"/>
      <c r="AB84" s="223"/>
      <c r="AC84" s="223"/>
      <c r="AD84" s="223"/>
      <c r="AE84" s="223"/>
      <c r="AF84" s="223"/>
      <c r="AG84" s="223"/>
      <c r="AH84" s="223"/>
      <c r="AI84" s="223"/>
      <c r="AJ84" s="223"/>
      <c r="AK84" s="223"/>
      <c r="AL84" s="223"/>
      <c r="AM84" s="223"/>
      <c r="AN84" s="223"/>
      <c r="AO84" s="223"/>
    </row>
    <row r="85">
      <c r="A85" s="224">
        <v>44940.0</v>
      </c>
      <c r="B85" s="259">
        <v>206.0</v>
      </c>
      <c r="C85" s="224">
        <v>44432.0</v>
      </c>
      <c r="D85" s="223" t="s">
        <v>746</v>
      </c>
      <c r="E85" s="252" t="s">
        <v>747</v>
      </c>
      <c r="F85" s="252" t="s">
        <v>748</v>
      </c>
      <c r="G85" s="223" t="s">
        <v>114</v>
      </c>
      <c r="H85" s="223" t="s">
        <v>94</v>
      </c>
      <c r="I85" s="223" t="s">
        <v>486</v>
      </c>
      <c r="J85" s="223" t="s">
        <v>95</v>
      </c>
      <c r="K85" s="223">
        <v>1.0</v>
      </c>
      <c r="L85" s="224"/>
      <c r="M85" s="224"/>
      <c r="N85" s="224"/>
      <c r="O85" s="224"/>
      <c r="P85" s="224"/>
      <c r="Q85" s="224"/>
      <c r="R85" s="224"/>
      <c r="S85" s="224"/>
      <c r="T85" s="224"/>
      <c r="U85" s="224"/>
      <c r="V85" s="223"/>
      <c r="W85" s="223"/>
      <c r="X85" s="223"/>
      <c r="Y85" s="223"/>
      <c r="Z85" s="223"/>
      <c r="AA85" s="223"/>
      <c r="AB85" s="223"/>
      <c r="AC85" s="223"/>
      <c r="AD85" s="223"/>
      <c r="AE85" s="223"/>
      <c r="AF85" s="223"/>
      <c r="AG85" s="223"/>
      <c r="AH85" s="223"/>
      <c r="AI85" s="223"/>
      <c r="AJ85" s="223"/>
      <c r="AK85" s="223"/>
      <c r="AL85" s="223"/>
      <c r="AM85" s="223"/>
      <c r="AN85" s="223"/>
      <c r="AO85" s="223"/>
    </row>
    <row r="86">
      <c r="A86" s="224">
        <v>44940.0</v>
      </c>
      <c r="B86" s="260">
        <v>283.0</v>
      </c>
      <c r="C86" s="261">
        <v>44708.0</v>
      </c>
      <c r="D86" s="261" t="s">
        <v>752</v>
      </c>
      <c r="E86" s="263" t="s">
        <v>754</v>
      </c>
      <c r="F86" s="263" t="s">
        <v>755</v>
      </c>
      <c r="G86" s="263" t="s">
        <v>114</v>
      </c>
      <c r="H86" s="263" t="s">
        <v>94</v>
      </c>
      <c r="I86" s="263" t="s">
        <v>125</v>
      </c>
      <c r="J86" s="263" t="s">
        <v>95</v>
      </c>
      <c r="K86" s="261"/>
      <c r="L86" s="264">
        <v>1.0</v>
      </c>
      <c r="M86" s="224"/>
      <c r="N86" s="224"/>
      <c r="O86" s="223"/>
      <c r="P86" s="224"/>
      <c r="Q86" s="224"/>
      <c r="R86" s="224"/>
      <c r="S86" s="224"/>
      <c r="T86" s="224"/>
      <c r="U86" s="224"/>
      <c r="V86" s="223"/>
      <c r="W86" s="223"/>
      <c r="X86" s="223"/>
      <c r="Y86" s="223"/>
      <c r="Z86" s="223"/>
      <c r="AA86" s="223"/>
      <c r="AB86" s="223"/>
      <c r="AC86" s="223"/>
      <c r="AD86" s="223"/>
      <c r="AE86" s="223"/>
      <c r="AF86" s="223"/>
      <c r="AG86" s="223"/>
      <c r="AH86" s="223"/>
      <c r="AI86" s="223"/>
      <c r="AJ86" s="223"/>
      <c r="AK86" s="223"/>
      <c r="AL86" s="223"/>
      <c r="AM86" s="223"/>
      <c r="AN86" s="223"/>
      <c r="AO86" s="223"/>
    </row>
    <row r="87">
      <c r="A87" s="224">
        <v>44940.0</v>
      </c>
      <c r="B87" s="265">
        <v>487.0</v>
      </c>
      <c r="C87" s="266">
        <v>44371.0</v>
      </c>
      <c r="D87" s="267" t="s">
        <v>757</v>
      </c>
      <c r="E87" s="267" t="s">
        <v>758</v>
      </c>
      <c r="F87" s="268" t="s">
        <v>759</v>
      </c>
      <c r="G87" s="267" t="s">
        <v>114</v>
      </c>
      <c r="H87" s="267" t="s">
        <v>161</v>
      </c>
      <c r="I87" s="267" t="s">
        <v>125</v>
      </c>
      <c r="J87" s="266" t="s">
        <v>95</v>
      </c>
      <c r="K87" s="266"/>
      <c r="L87" s="269">
        <v>2.0</v>
      </c>
      <c r="M87" s="224"/>
      <c r="N87" s="224"/>
      <c r="O87" s="224"/>
      <c r="P87" s="224"/>
      <c r="Q87" s="224"/>
      <c r="R87" s="224"/>
      <c r="S87" s="224"/>
      <c r="T87" s="224"/>
      <c r="U87" s="224"/>
      <c r="V87" s="223"/>
      <c r="W87" s="223"/>
      <c r="X87" s="223"/>
      <c r="Y87" s="223"/>
      <c r="Z87" s="223"/>
      <c r="AA87" s="223"/>
      <c r="AB87" s="223"/>
      <c r="AC87" s="223"/>
      <c r="AD87" s="223"/>
      <c r="AE87" s="223"/>
      <c r="AF87" s="223"/>
      <c r="AG87" s="223"/>
      <c r="AH87" s="223"/>
      <c r="AI87" s="223"/>
      <c r="AJ87" s="223"/>
      <c r="AK87" s="223"/>
      <c r="AL87" s="223"/>
      <c r="AM87" s="223"/>
      <c r="AN87" s="223"/>
      <c r="AO87" s="223"/>
    </row>
    <row r="88">
      <c r="A88" s="224">
        <v>44940.0</v>
      </c>
      <c r="B88" s="270">
        <v>253.0</v>
      </c>
      <c r="C88" s="224">
        <v>44892.0</v>
      </c>
      <c r="D88" s="223" t="s">
        <v>760</v>
      </c>
      <c r="E88" s="252" t="s">
        <v>761</v>
      </c>
      <c r="F88" s="252" t="s">
        <v>761</v>
      </c>
      <c r="G88" s="223" t="s">
        <v>114</v>
      </c>
      <c r="H88" s="223" t="s">
        <v>94</v>
      </c>
      <c r="I88" s="223" t="s">
        <v>94</v>
      </c>
      <c r="J88" s="223" t="s">
        <v>95</v>
      </c>
      <c r="K88" s="223">
        <v>1.0</v>
      </c>
      <c r="L88" s="224"/>
      <c r="M88" s="224"/>
      <c r="N88" s="223">
        <v>1.0</v>
      </c>
      <c r="O88" s="224"/>
      <c r="P88" s="223">
        <v>1.0</v>
      </c>
      <c r="Q88" s="224"/>
      <c r="R88" s="224"/>
      <c r="S88" s="224"/>
      <c r="T88" s="224"/>
      <c r="U88" s="224"/>
      <c r="V88" s="223"/>
      <c r="W88" s="223"/>
      <c r="X88" s="223"/>
      <c r="Y88" s="223"/>
      <c r="Z88" s="223"/>
      <c r="AA88" s="223"/>
      <c r="AB88" s="223"/>
      <c r="AC88" s="223"/>
      <c r="AD88" s="223"/>
      <c r="AE88" s="223"/>
      <c r="AF88" s="223"/>
      <c r="AG88" s="223"/>
      <c r="AH88" s="223"/>
      <c r="AI88" s="223"/>
      <c r="AJ88" s="223"/>
      <c r="AK88" s="223"/>
      <c r="AL88" s="223"/>
      <c r="AM88" s="223"/>
      <c r="AN88" s="223"/>
      <c r="AO88" s="223"/>
    </row>
    <row r="89" ht="20.25" customHeight="1">
      <c r="A89" s="224">
        <v>44940.0</v>
      </c>
      <c r="B89" s="237">
        <v>325.54</v>
      </c>
      <c r="C89" s="224">
        <v>44887.0</v>
      </c>
      <c r="D89" s="223" t="s">
        <v>766</v>
      </c>
      <c r="E89" s="223" t="s">
        <v>767</v>
      </c>
      <c r="F89" s="223" t="s">
        <v>768</v>
      </c>
      <c r="G89" s="223" t="s">
        <v>114</v>
      </c>
      <c r="H89" s="223" t="s">
        <v>94</v>
      </c>
      <c r="I89" s="223" t="s">
        <v>94</v>
      </c>
      <c r="J89" s="223" t="s">
        <v>95</v>
      </c>
      <c r="K89" s="223">
        <v>1.0</v>
      </c>
      <c r="L89" s="224"/>
      <c r="M89" s="223">
        <v>1.0</v>
      </c>
      <c r="N89" s="223"/>
      <c r="O89" s="224"/>
      <c r="P89" s="224"/>
      <c r="Q89" s="224"/>
      <c r="R89" s="224"/>
      <c r="S89" s="224"/>
      <c r="T89" s="224"/>
      <c r="U89" s="224"/>
      <c r="V89" s="223"/>
      <c r="W89" s="223"/>
      <c r="X89" s="223"/>
      <c r="Y89" s="223"/>
      <c r="Z89" s="223"/>
      <c r="AA89" s="223"/>
      <c r="AB89" s="223"/>
      <c r="AC89" s="223"/>
      <c r="AD89" s="223"/>
      <c r="AE89" s="223"/>
      <c r="AF89" s="223"/>
      <c r="AG89" s="223"/>
      <c r="AH89" s="223"/>
      <c r="AI89" s="223"/>
      <c r="AJ89" s="223"/>
      <c r="AK89" s="223"/>
      <c r="AL89" s="223"/>
      <c r="AM89" s="223"/>
      <c r="AN89" s="223"/>
      <c r="AO89" s="223"/>
    </row>
    <row r="90">
      <c r="A90" s="224">
        <v>44940.0</v>
      </c>
      <c r="B90" s="237">
        <v>125.5</v>
      </c>
      <c r="C90" s="224">
        <v>44054.0</v>
      </c>
      <c r="D90" s="223" t="s">
        <v>774</v>
      </c>
      <c r="E90" s="275" t="s">
        <v>775</v>
      </c>
      <c r="F90" s="223" t="s">
        <v>776</v>
      </c>
      <c r="G90" s="223" t="s">
        <v>114</v>
      </c>
      <c r="H90" s="223" t="s">
        <v>170</v>
      </c>
      <c r="I90" s="223" t="s">
        <v>125</v>
      </c>
      <c r="J90" s="223" t="s">
        <v>95</v>
      </c>
      <c r="K90" s="223">
        <v>1.0</v>
      </c>
      <c r="L90" s="224"/>
      <c r="M90" s="224"/>
      <c r="N90" s="224"/>
      <c r="O90" s="224"/>
      <c r="P90" s="224"/>
      <c r="Q90" s="224"/>
      <c r="R90" s="224"/>
      <c r="S90" s="224"/>
      <c r="T90" s="224"/>
      <c r="U90" s="224"/>
      <c r="V90" s="223"/>
      <c r="W90" s="223"/>
      <c r="X90" s="223"/>
      <c r="Y90" s="223"/>
      <c r="Z90" s="223"/>
      <c r="AA90" s="223"/>
      <c r="AB90" s="223"/>
      <c r="AC90" s="223"/>
      <c r="AD90" s="223"/>
      <c r="AE90" s="223"/>
      <c r="AF90" s="223"/>
      <c r="AG90" s="223"/>
      <c r="AH90" s="223"/>
      <c r="AI90" s="223"/>
      <c r="AJ90" s="223"/>
      <c r="AK90" s="223"/>
      <c r="AL90" s="223"/>
      <c r="AM90" s="223"/>
      <c r="AN90" s="223"/>
      <c r="AO90" s="223"/>
    </row>
    <row r="91">
      <c r="A91" s="85">
        <v>44941.0</v>
      </c>
      <c r="B91" s="208">
        <v>307.7</v>
      </c>
      <c r="C91" s="85">
        <v>44631.0</v>
      </c>
      <c r="D91" s="89" t="s">
        <v>782</v>
      </c>
      <c r="E91" s="89" t="s">
        <v>783</v>
      </c>
      <c r="F91" s="89" t="s">
        <v>784</v>
      </c>
      <c r="G91" s="89" t="s">
        <v>114</v>
      </c>
      <c r="H91" s="89" t="s">
        <v>170</v>
      </c>
      <c r="I91" s="89" t="s">
        <v>486</v>
      </c>
      <c r="J91" s="89" t="s">
        <v>95</v>
      </c>
      <c r="K91" s="89"/>
      <c r="L91" s="89">
        <v>1.0</v>
      </c>
      <c r="M91" s="85"/>
      <c r="N91" s="89">
        <v>1.0</v>
      </c>
      <c r="O91" s="85"/>
      <c r="P91" s="85"/>
      <c r="Q91" s="85"/>
      <c r="R91" s="85"/>
      <c r="S91" s="85"/>
      <c r="T91" s="85"/>
      <c r="U91" s="85"/>
      <c r="V91" s="89"/>
      <c r="W91" s="89"/>
      <c r="X91" s="89"/>
      <c r="Y91" s="89"/>
      <c r="Z91" s="89"/>
      <c r="AA91" s="89"/>
      <c r="AB91" s="89"/>
      <c r="AC91" s="89"/>
      <c r="AD91" s="89"/>
      <c r="AE91" s="89"/>
      <c r="AF91" s="89"/>
      <c r="AG91" s="89"/>
      <c r="AH91" s="89"/>
      <c r="AI91" s="89"/>
      <c r="AJ91" s="89"/>
      <c r="AK91" s="89"/>
      <c r="AL91" s="89"/>
      <c r="AM91" s="89"/>
      <c r="AN91" s="89"/>
      <c r="AO91" s="89"/>
    </row>
    <row r="92">
      <c r="A92" s="85">
        <v>44941.0</v>
      </c>
      <c r="B92" s="279">
        <v>323.21</v>
      </c>
      <c r="C92" s="280">
        <v>44671.0</v>
      </c>
      <c r="D92" s="281" t="s">
        <v>789</v>
      </c>
      <c r="E92" s="130" t="s">
        <v>790</v>
      </c>
      <c r="F92" s="107" t="s">
        <v>791</v>
      </c>
      <c r="G92" s="89" t="s">
        <v>114</v>
      </c>
      <c r="H92" s="89" t="s">
        <v>94</v>
      </c>
      <c r="I92" s="89" t="s">
        <v>94</v>
      </c>
      <c r="J92" s="89" t="s">
        <v>95</v>
      </c>
      <c r="K92" s="89"/>
      <c r="L92" s="89">
        <v>1.0</v>
      </c>
      <c r="M92" s="85"/>
      <c r="N92" s="85"/>
      <c r="O92" s="85"/>
      <c r="P92" s="89">
        <v>1.0</v>
      </c>
      <c r="Q92" s="85"/>
      <c r="R92" s="85"/>
      <c r="S92" s="85"/>
      <c r="T92" s="85"/>
      <c r="U92" s="85"/>
      <c r="V92" s="89"/>
      <c r="W92" s="89"/>
      <c r="X92" s="89"/>
      <c r="Y92" s="89"/>
      <c r="Z92" s="89"/>
      <c r="AA92" s="89"/>
      <c r="AB92" s="89"/>
      <c r="AC92" s="89"/>
      <c r="AD92" s="89"/>
      <c r="AE92" s="89"/>
      <c r="AF92" s="89"/>
      <c r="AG92" s="89"/>
      <c r="AH92" s="89"/>
      <c r="AI92" s="89"/>
      <c r="AJ92" s="89"/>
      <c r="AK92" s="89"/>
      <c r="AL92" s="89"/>
      <c r="AM92" s="89"/>
      <c r="AN92" s="89"/>
      <c r="AO92" s="89"/>
    </row>
    <row r="93">
      <c r="A93" s="85">
        <v>44941.0</v>
      </c>
      <c r="B93" s="283">
        <v>308.58</v>
      </c>
      <c r="C93" s="152">
        <v>44673.0</v>
      </c>
      <c r="D93" s="281" t="s">
        <v>795</v>
      </c>
      <c r="E93" s="107" t="s">
        <v>797</v>
      </c>
      <c r="F93" s="130" t="s">
        <v>798</v>
      </c>
      <c r="G93" s="89" t="s">
        <v>114</v>
      </c>
      <c r="H93" s="89" t="s">
        <v>94</v>
      </c>
      <c r="I93" s="89" t="s">
        <v>94</v>
      </c>
      <c r="J93" s="89" t="s">
        <v>95</v>
      </c>
      <c r="K93" s="89"/>
      <c r="L93" s="89">
        <v>1.0</v>
      </c>
      <c r="M93" s="89"/>
      <c r="N93" s="85"/>
      <c r="O93" s="89">
        <v>1.0</v>
      </c>
      <c r="P93" s="89"/>
      <c r="Q93" s="85"/>
      <c r="R93" s="85"/>
      <c r="S93" s="85"/>
      <c r="T93" s="85"/>
      <c r="U93" s="85"/>
      <c r="V93" s="89"/>
      <c r="W93" s="89"/>
      <c r="X93" s="89"/>
      <c r="Y93" s="89"/>
      <c r="Z93" s="89"/>
      <c r="AA93" s="89"/>
      <c r="AB93" s="89"/>
      <c r="AC93" s="89"/>
      <c r="AD93" s="89"/>
      <c r="AE93" s="89"/>
      <c r="AF93" s="89"/>
      <c r="AG93" s="89"/>
      <c r="AH93" s="89"/>
      <c r="AI93" s="89"/>
      <c r="AJ93" s="89"/>
      <c r="AK93" s="89"/>
      <c r="AL93" s="89"/>
      <c r="AM93" s="89"/>
      <c r="AN93" s="89"/>
      <c r="AO93" s="89"/>
    </row>
    <row r="94">
      <c r="A94" s="85">
        <v>44941.0</v>
      </c>
      <c r="B94" s="279">
        <v>295.0</v>
      </c>
      <c r="C94" s="85">
        <v>44371.0</v>
      </c>
      <c r="D94" s="288" t="s">
        <v>802</v>
      </c>
      <c r="E94" s="89" t="s">
        <v>805</v>
      </c>
      <c r="F94" s="89" t="s">
        <v>807</v>
      </c>
      <c r="G94" s="89" t="s">
        <v>114</v>
      </c>
      <c r="H94" s="89" t="s">
        <v>161</v>
      </c>
      <c r="I94" s="89" t="s">
        <v>125</v>
      </c>
      <c r="J94" s="89" t="s">
        <v>95</v>
      </c>
      <c r="K94" s="85"/>
      <c r="L94" s="89">
        <v>1.0</v>
      </c>
      <c r="M94" s="85"/>
      <c r="N94" s="85"/>
      <c r="O94" s="89">
        <v>1.0</v>
      </c>
      <c r="P94" s="89">
        <v>1.0</v>
      </c>
      <c r="Q94" s="85"/>
      <c r="R94" s="85"/>
      <c r="S94" s="85"/>
      <c r="T94" s="85"/>
      <c r="U94" s="85"/>
      <c r="V94" s="89"/>
      <c r="W94" s="89"/>
      <c r="X94" s="89"/>
      <c r="Y94" s="89"/>
      <c r="Z94" s="89"/>
      <c r="AA94" s="89"/>
      <c r="AB94" s="89"/>
      <c r="AC94" s="89"/>
      <c r="AD94" s="89"/>
      <c r="AE94" s="89"/>
      <c r="AF94" s="89"/>
      <c r="AG94" s="89"/>
      <c r="AH94" s="89"/>
      <c r="AI94" s="89"/>
      <c r="AJ94" s="89"/>
      <c r="AK94" s="89"/>
      <c r="AL94" s="89"/>
      <c r="AM94" s="89"/>
      <c r="AN94" s="89"/>
      <c r="AO94" s="89"/>
    </row>
    <row r="95">
      <c r="A95" s="85">
        <v>44941.0</v>
      </c>
      <c r="B95" s="293">
        <v>325.91</v>
      </c>
      <c r="C95" s="85">
        <v>44882.0</v>
      </c>
      <c r="D95" s="89" t="s">
        <v>812</v>
      </c>
      <c r="E95" s="89" t="s">
        <v>813</v>
      </c>
      <c r="F95" s="89" t="s">
        <v>814</v>
      </c>
      <c r="G95" s="89" t="s">
        <v>114</v>
      </c>
      <c r="H95" s="89" t="s">
        <v>94</v>
      </c>
      <c r="I95" s="89" t="s">
        <v>94</v>
      </c>
      <c r="J95" s="89" t="s">
        <v>95</v>
      </c>
      <c r="K95" s="89">
        <v>1.0</v>
      </c>
      <c r="L95" s="89"/>
      <c r="M95" s="89">
        <v>1.0</v>
      </c>
      <c r="N95" s="89"/>
      <c r="O95" s="89"/>
      <c r="P95" s="85"/>
      <c r="Q95" s="85"/>
      <c r="R95" s="85"/>
      <c r="S95" s="85"/>
      <c r="T95" s="85"/>
      <c r="U95" s="85"/>
      <c r="V95" s="89"/>
      <c r="W95" s="89"/>
      <c r="X95" s="89"/>
      <c r="Y95" s="89"/>
      <c r="Z95" s="89"/>
      <c r="AA95" s="89"/>
      <c r="AB95" s="89"/>
      <c r="AC95" s="89"/>
      <c r="AD95" s="89"/>
      <c r="AE95" s="89"/>
      <c r="AF95" s="89"/>
      <c r="AG95" s="89"/>
      <c r="AH95" s="89"/>
      <c r="AI95" s="89"/>
      <c r="AJ95" s="89"/>
      <c r="AK95" s="89"/>
      <c r="AL95" s="89"/>
      <c r="AM95" s="89"/>
      <c r="AN95" s="89"/>
      <c r="AO95" s="89"/>
    </row>
    <row r="96">
      <c r="A96" s="85">
        <v>44941.0</v>
      </c>
      <c r="B96" s="294">
        <v>343.27</v>
      </c>
      <c r="C96" s="85">
        <v>44637.0</v>
      </c>
      <c r="D96" s="89" t="s">
        <v>819</v>
      </c>
      <c r="E96" s="130" t="s">
        <v>820</v>
      </c>
      <c r="F96" s="89" t="s">
        <v>821</v>
      </c>
      <c r="G96" s="89" t="s">
        <v>114</v>
      </c>
      <c r="H96" s="89" t="s">
        <v>94</v>
      </c>
      <c r="I96" s="89" t="s">
        <v>125</v>
      </c>
      <c r="J96" s="89" t="s">
        <v>95</v>
      </c>
      <c r="K96" s="89"/>
      <c r="L96" s="89">
        <v>1.0</v>
      </c>
      <c r="M96" s="85"/>
      <c r="N96" s="89">
        <v>1.0</v>
      </c>
      <c r="O96" s="89">
        <v>1.0</v>
      </c>
      <c r="P96" s="89">
        <v>1.0</v>
      </c>
      <c r="Q96" s="85"/>
      <c r="R96" s="85"/>
      <c r="S96" s="85"/>
      <c r="T96" s="85"/>
      <c r="U96" s="85"/>
      <c r="V96" s="89"/>
      <c r="W96" s="89"/>
      <c r="X96" s="89"/>
      <c r="Y96" s="89"/>
      <c r="Z96" s="89"/>
      <c r="AA96" s="89"/>
      <c r="AB96" s="89"/>
      <c r="AC96" s="89"/>
      <c r="AD96" s="89"/>
      <c r="AE96" s="89"/>
      <c r="AF96" s="89"/>
      <c r="AG96" s="89"/>
      <c r="AH96" s="89"/>
      <c r="AI96" s="89"/>
      <c r="AJ96" s="89"/>
      <c r="AK96" s="89"/>
      <c r="AL96" s="89"/>
      <c r="AM96" s="89"/>
      <c r="AN96" s="89"/>
      <c r="AO96" s="89"/>
    </row>
    <row r="97">
      <c r="A97" s="85">
        <v>44942.0</v>
      </c>
      <c r="B97" s="148">
        <v>314.82</v>
      </c>
      <c r="C97" s="85">
        <v>44688.0</v>
      </c>
      <c r="D97" s="89" t="s">
        <v>827</v>
      </c>
      <c r="E97" s="89" t="s">
        <v>828</v>
      </c>
      <c r="F97" s="89" t="s">
        <v>829</v>
      </c>
      <c r="G97" s="89" t="s">
        <v>114</v>
      </c>
      <c r="H97" s="89" t="s">
        <v>94</v>
      </c>
      <c r="I97" s="89" t="s">
        <v>179</v>
      </c>
      <c r="J97" s="89" t="s">
        <v>95</v>
      </c>
      <c r="K97" s="89"/>
      <c r="L97" s="89">
        <v>1.0</v>
      </c>
      <c r="M97" s="89"/>
      <c r="N97" s="89">
        <v>1.0</v>
      </c>
      <c r="O97" s="85"/>
      <c r="P97" s="85"/>
      <c r="Q97" s="85"/>
      <c r="R97" s="85"/>
      <c r="S97" s="85"/>
      <c r="T97" s="85"/>
      <c r="U97" s="85"/>
      <c r="V97" s="89"/>
      <c r="W97" s="89"/>
      <c r="X97" s="89"/>
      <c r="Y97" s="89"/>
      <c r="Z97" s="89"/>
      <c r="AA97" s="89"/>
      <c r="AB97" s="89"/>
      <c r="AC97" s="89"/>
      <c r="AD97" s="89"/>
      <c r="AE97" s="89"/>
      <c r="AF97" s="89"/>
      <c r="AG97" s="89"/>
      <c r="AH97" s="89"/>
      <c r="AI97" s="89"/>
      <c r="AJ97" s="89"/>
      <c r="AK97" s="89"/>
      <c r="AL97" s="89"/>
      <c r="AM97" s="89"/>
      <c r="AN97" s="89"/>
      <c r="AO97" s="89"/>
    </row>
    <row r="98">
      <c r="A98" s="85">
        <v>44942.0</v>
      </c>
      <c r="B98" s="86">
        <v>315.71</v>
      </c>
      <c r="C98" s="85">
        <v>44882.0</v>
      </c>
      <c r="D98" s="89" t="s">
        <v>835</v>
      </c>
      <c r="E98" s="130" t="s">
        <v>836</v>
      </c>
      <c r="F98" s="89" t="s">
        <v>837</v>
      </c>
      <c r="G98" s="89" t="s">
        <v>114</v>
      </c>
      <c r="H98" s="89" t="s">
        <v>94</v>
      </c>
      <c r="I98" s="89" t="s">
        <v>94</v>
      </c>
      <c r="J98" s="89" t="s">
        <v>95</v>
      </c>
      <c r="K98" s="89">
        <v>1.0</v>
      </c>
      <c r="L98" s="85"/>
      <c r="M98" s="89">
        <v>1.0</v>
      </c>
      <c r="N98" s="89">
        <v>1.0</v>
      </c>
      <c r="O98" s="85"/>
      <c r="P98" s="89">
        <v>1.0</v>
      </c>
      <c r="Q98" s="85"/>
      <c r="R98" s="85"/>
      <c r="S98" s="85"/>
      <c r="T98" s="85"/>
      <c r="U98" s="85"/>
      <c r="V98" s="89"/>
      <c r="W98" s="89"/>
      <c r="X98" s="89"/>
      <c r="Y98" s="89"/>
      <c r="Z98" s="89"/>
      <c r="AA98" s="89"/>
      <c r="AB98" s="89"/>
      <c r="AC98" s="89"/>
      <c r="AD98" s="89"/>
      <c r="AE98" s="89"/>
      <c r="AF98" s="89"/>
      <c r="AG98" s="89"/>
      <c r="AH98" s="89"/>
      <c r="AI98" s="89"/>
      <c r="AJ98" s="89"/>
      <c r="AK98" s="89"/>
      <c r="AL98" s="89"/>
      <c r="AM98" s="89"/>
      <c r="AN98" s="89"/>
      <c r="AO98" s="89"/>
    </row>
    <row r="99">
      <c r="A99" s="85">
        <v>44942.0</v>
      </c>
      <c r="B99" s="86">
        <v>296.42</v>
      </c>
      <c r="C99" s="85">
        <v>44563.0</v>
      </c>
      <c r="D99" s="89" t="s">
        <v>842</v>
      </c>
      <c r="E99" s="130" t="s">
        <v>843</v>
      </c>
      <c r="F99" s="194" t="s">
        <v>844</v>
      </c>
      <c r="G99" s="89" t="s">
        <v>114</v>
      </c>
      <c r="H99" s="89" t="s">
        <v>94</v>
      </c>
      <c r="I99" s="89" t="s">
        <v>94</v>
      </c>
      <c r="J99" s="89" t="s">
        <v>95</v>
      </c>
      <c r="K99" s="89">
        <v>1.0</v>
      </c>
      <c r="L99" s="89"/>
      <c r="M99" s="89">
        <v>1.0</v>
      </c>
      <c r="N99" s="85"/>
      <c r="O99" s="85"/>
      <c r="P99" s="85"/>
      <c r="Q99" s="85"/>
      <c r="R99" s="85"/>
      <c r="S99" s="85"/>
      <c r="T99" s="85"/>
      <c r="U99" s="85"/>
      <c r="V99" s="89"/>
      <c r="W99" s="89"/>
      <c r="X99" s="89"/>
      <c r="Y99" s="89"/>
      <c r="Z99" s="89"/>
      <c r="AA99" s="89"/>
      <c r="AB99" s="89"/>
      <c r="AC99" s="89"/>
      <c r="AD99" s="89"/>
      <c r="AE99" s="89"/>
      <c r="AF99" s="89"/>
      <c r="AG99" s="89"/>
      <c r="AH99" s="89"/>
      <c r="AI99" s="89"/>
      <c r="AJ99" s="89"/>
      <c r="AK99" s="89"/>
      <c r="AL99" s="89"/>
      <c r="AM99" s="89"/>
      <c r="AN99" s="89"/>
      <c r="AO99" s="89"/>
    </row>
    <row r="100" ht="19.5" customHeight="1">
      <c r="A100" s="85">
        <v>44942.0</v>
      </c>
      <c r="B100" s="86">
        <v>259.86</v>
      </c>
      <c r="C100" s="85">
        <v>44610.0</v>
      </c>
      <c r="D100" s="89" t="s">
        <v>852</v>
      </c>
      <c r="E100" s="89" t="s">
        <v>853</v>
      </c>
      <c r="F100" s="194" t="s">
        <v>854</v>
      </c>
      <c r="G100" s="89" t="s">
        <v>114</v>
      </c>
      <c r="H100" s="89" t="s">
        <v>94</v>
      </c>
      <c r="I100" s="89" t="s">
        <v>196</v>
      </c>
      <c r="J100" s="89" t="s">
        <v>95</v>
      </c>
      <c r="K100" s="89">
        <v>1.0</v>
      </c>
      <c r="L100" s="89"/>
      <c r="M100" s="85"/>
      <c r="N100" s="85"/>
      <c r="O100" s="85"/>
      <c r="P100" s="89">
        <v>1.0</v>
      </c>
      <c r="Q100" s="85"/>
      <c r="R100" s="85"/>
      <c r="S100" s="85"/>
      <c r="T100" s="85"/>
      <c r="U100" s="85"/>
      <c r="V100" s="89"/>
      <c r="W100" s="89"/>
      <c r="X100" s="89"/>
      <c r="Y100" s="89"/>
      <c r="Z100" s="89"/>
      <c r="AA100" s="89"/>
      <c r="AB100" s="89"/>
      <c r="AC100" s="89"/>
      <c r="AD100" s="89"/>
      <c r="AE100" s="89"/>
      <c r="AF100" s="89"/>
      <c r="AG100" s="89"/>
      <c r="AH100" s="89"/>
      <c r="AI100" s="89"/>
      <c r="AJ100" s="89"/>
      <c r="AK100" s="89"/>
      <c r="AL100" s="89"/>
      <c r="AM100" s="89"/>
      <c r="AN100" s="89"/>
      <c r="AO100" s="89"/>
    </row>
    <row r="101">
      <c r="A101" s="85">
        <v>44942.0</v>
      </c>
      <c r="B101" s="148">
        <v>367.67</v>
      </c>
      <c r="C101" s="85">
        <v>44862.0</v>
      </c>
      <c r="D101" s="89" t="s">
        <v>858</v>
      </c>
      <c r="E101" s="130" t="s">
        <v>859</v>
      </c>
      <c r="F101" s="194" t="s">
        <v>860</v>
      </c>
      <c r="G101" s="89" t="s">
        <v>114</v>
      </c>
      <c r="H101" s="89" t="s">
        <v>94</v>
      </c>
      <c r="I101" s="89" t="s">
        <v>94</v>
      </c>
      <c r="J101" s="89" t="s">
        <v>95</v>
      </c>
      <c r="K101" s="89">
        <v>1.0</v>
      </c>
      <c r="L101" s="89"/>
      <c r="M101" s="89">
        <v>1.0</v>
      </c>
      <c r="N101" s="89">
        <v>1.0</v>
      </c>
      <c r="O101" s="85"/>
      <c r="P101" s="89">
        <v>1.0</v>
      </c>
      <c r="Q101" s="89">
        <v>1.0</v>
      </c>
      <c r="R101" s="85"/>
      <c r="S101" s="85"/>
      <c r="T101" s="85"/>
      <c r="U101" s="85"/>
      <c r="V101" s="89"/>
      <c r="W101" s="89"/>
      <c r="X101" s="89"/>
      <c r="Y101" s="89"/>
      <c r="Z101" s="89"/>
      <c r="AA101" s="89"/>
      <c r="AB101" s="89"/>
      <c r="AC101" s="89"/>
      <c r="AD101" s="89"/>
      <c r="AE101" s="89"/>
      <c r="AF101" s="89"/>
      <c r="AG101" s="89"/>
      <c r="AH101" s="89"/>
      <c r="AI101" s="89"/>
      <c r="AJ101" s="89"/>
      <c r="AK101" s="89"/>
      <c r="AL101" s="89"/>
      <c r="AM101" s="89"/>
      <c r="AN101" s="89"/>
      <c r="AO101" s="89"/>
    </row>
    <row r="102">
      <c r="A102" s="85">
        <v>44942.0</v>
      </c>
      <c r="B102" s="148">
        <v>224.0</v>
      </c>
      <c r="C102" s="85">
        <v>44371.0</v>
      </c>
      <c r="D102" s="89" t="s">
        <v>865</v>
      </c>
      <c r="E102" s="130" t="s">
        <v>866</v>
      </c>
      <c r="F102" s="194" t="s">
        <v>867</v>
      </c>
      <c r="G102" s="89" t="s">
        <v>114</v>
      </c>
      <c r="H102" s="89" t="s">
        <v>161</v>
      </c>
      <c r="I102" s="89" t="s">
        <v>125</v>
      </c>
      <c r="J102" s="89" t="s">
        <v>95</v>
      </c>
      <c r="K102" s="89">
        <v>1.0</v>
      </c>
      <c r="L102" s="85"/>
      <c r="M102" s="85"/>
      <c r="N102" s="89">
        <v>1.0</v>
      </c>
      <c r="O102" s="85"/>
      <c r="P102" s="89"/>
      <c r="Q102" s="85"/>
      <c r="R102" s="85"/>
      <c r="S102" s="85"/>
      <c r="T102" s="85"/>
      <c r="U102" s="85"/>
      <c r="V102" s="89"/>
      <c r="W102" s="89"/>
      <c r="X102" s="89"/>
      <c r="Y102" s="89"/>
      <c r="Z102" s="89"/>
      <c r="AA102" s="89"/>
      <c r="AB102" s="89"/>
      <c r="AC102" s="89"/>
      <c r="AD102" s="89"/>
      <c r="AE102" s="89"/>
      <c r="AF102" s="89"/>
      <c r="AG102" s="89"/>
      <c r="AH102" s="89"/>
      <c r="AI102" s="89"/>
      <c r="AJ102" s="89"/>
      <c r="AK102" s="89"/>
      <c r="AL102" s="89"/>
      <c r="AM102" s="89"/>
      <c r="AN102" s="89"/>
      <c r="AO102" s="89"/>
    </row>
    <row r="103">
      <c r="A103" s="85">
        <v>44942.0</v>
      </c>
      <c r="B103" s="86">
        <v>224.16</v>
      </c>
      <c r="C103" s="85">
        <v>44682.0</v>
      </c>
      <c r="D103" s="89" t="s">
        <v>872</v>
      </c>
      <c r="E103" s="89" t="s">
        <v>873</v>
      </c>
      <c r="F103" s="89" t="s">
        <v>874</v>
      </c>
      <c r="G103" s="89" t="s">
        <v>114</v>
      </c>
      <c r="H103" s="89" t="s">
        <v>94</v>
      </c>
      <c r="I103" s="89" t="s">
        <v>125</v>
      </c>
      <c r="J103" s="89" t="s">
        <v>95</v>
      </c>
      <c r="K103" s="89">
        <v>1.0</v>
      </c>
      <c r="L103" s="85"/>
      <c r="M103" s="85"/>
      <c r="N103" s="85"/>
      <c r="O103" s="85"/>
      <c r="P103" s="89"/>
      <c r="Q103" s="85"/>
      <c r="R103" s="85"/>
      <c r="S103" s="85"/>
      <c r="T103" s="85"/>
      <c r="U103" s="85"/>
      <c r="V103" s="89"/>
      <c r="W103" s="89"/>
      <c r="X103" s="89"/>
      <c r="Y103" s="89"/>
      <c r="Z103" s="89"/>
      <c r="AA103" s="89"/>
      <c r="AB103" s="89"/>
      <c r="AC103" s="89"/>
      <c r="AD103" s="89"/>
      <c r="AE103" s="89"/>
      <c r="AF103" s="89"/>
      <c r="AG103" s="89"/>
      <c r="AH103" s="89"/>
      <c r="AI103" s="89"/>
      <c r="AJ103" s="89"/>
      <c r="AK103" s="89"/>
      <c r="AL103" s="89"/>
      <c r="AM103" s="89"/>
      <c r="AN103" s="89"/>
      <c r="AO103" s="89"/>
    </row>
    <row r="104">
      <c r="A104" s="85">
        <v>44942.0</v>
      </c>
      <c r="B104" s="86">
        <v>86.4</v>
      </c>
      <c r="C104" s="85">
        <v>44929.0</v>
      </c>
      <c r="D104" s="89" t="s">
        <v>878</v>
      </c>
      <c r="E104" s="89" t="s">
        <v>879</v>
      </c>
      <c r="F104" s="89" t="s">
        <v>880</v>
      </c>
      <c r="G104" s="89" t="s">
        <v>114</v>
      </c>
      <c r="H104" s="89" t="s">
        <v>94</v>
      </c>
      <c r="I104" s="89" t="s">
        <v>94</v>
      </c>
      <c r="J104" s="89" t="s">
        <v>95</v>
      </c>
      <c r="K104" s="85"/>
      <c r="L104" s="89"/>
      <c r="M104" s="89">
        <v>1.0</v>
      </c>
      <c r="N104" s="89"/>
      <c r="O104" s="85"/>
      <c r="P104" s="85"/>
      <c r="Q104" s="85"/>
      <c r="R104" s="85"/>
      <c r="S104" s="85"/>
      <c r="T104" s="85"/>
      <c r="U104" s="85"/>
      <c r="V104" s="89"/>
      <c r="W104" s="89"/>
      <c r="X104" s="89"/>
      <c r="Y104" s="89"/>
      <c r="Z104" s="89"/>
      <c r="AA104" s="89"/>
      <c r="AB104" s="89"/>
      <c r="AC104" s="89"/>
      <c r="AD104" s="89"/>
      <c r="AE104" s="89"/>
      <c r="AF104" s="89"/>
      <c r="AG104" s="89"/>
      <c r="AH104" s="89"/>
      <c r="AI104" s="89"/>
      <c r="AJ104" s="89"/>
      <c r="AK104" s="89"/>
      <c r="AL104" s="89"/>
      <c r="AM104" s="89"/>
      <c r="AN104" s="89"/>
      <c r="AO104" s="89"/>
    </row>
    <row r="105">
      <c r="A105" s="85">
        <v>44942.0</v>
      </c>
      <c r="B105" s="148">
        <v>242.74</v>
      </c>
      <c r="C105" s="85">
        <v>44890.0</v>
      </c>
      <c r="D105" s="89" t="s">
        <v>884</v>
      </c>
      <c r="E105" s="130" t="s">
        <v>885</v>
      </c>
      <c r="F105" s="194" t="s">
        <v>886</v>
      </c>
      <c r="G105" s="89" t="s">
        <v>114</v>
      </c>
      <c r="H105" s="89" t="s">
        <v>94</v>
      </c>
      <c r="I105" s="89" t="s">
        <v>94</v>
      </c>
      <c r="J105" s="89" t="s">
        <v>95</v>
      </c>
      <c r="K105" s="89">
        <v>1.0</v>
      </c>
      <c r="L105" s="85"/>
      <c r="M105" s="85"/>
      <c r="N105" s="89"/>
      <c r="O105" s="85"/>
      <c r="P105" s="89">
        <v>1.0</v>
      </c>
      <c r="Q105" s="85"/>
      <c r="R105" s="85"/>
      <c r="S105" s="85"/>
      <c r="T105" s="85"/>
      <c r="U105" s="85"/>
      <c r="V105" s="89"/>
      <c r="W105" s="89"/>
      <c r="X105" s="89"/>
      <c r="Y105" s="89"/>
      <c r="Z105" s="89"/>
      <c r="AA105" s="89"/>
      <c r="AB105" s="89"/>
      <c r="AC105" s="89"/>
      <c r="AD105" s="89"/>
      <c r="AE105" s="89"/>
      <c r="AF105" s="89"/>
      <c r="AG105" s="89"/>
      <c r="AH105" s="89"/>
      <c r="AI105" s="89"/>
      <c r="AJ105" s="89"/>
      <c r="AK105" s="89"/>
      <c r="AL105" s="89"/>
      <c r="AM105" s="89"/>
      <c r="AN105" s="89"/>
      <c r="AO105" s="89"/>
    </row>
    <row r="106">
      <c r="A106" s="85">
        <v>44942.0</v>
      </c>
      <c r="B106" s="86">
        <v>263.0</v>
      </c>
      <c r="C106" s="85">
        <v>44649.0</v>
      </c>
      <c r="D106" s="89" t="s">
        <v>892</v>
      </c>
      <c r="E106" s="89" t="s">
        <v>893</v>
      </c>
      <c r="F106" s="89" t="s">
        <v>894</v>
      </c>
      <c r="G106" s="89" t="s">
        <v>114</v>
      </c>
      <c r="H106" s="89" t="s">
        <v>94</v>
      </c>
      <c r="I106" s="89" t="s">
        <v>125</v>
      </c>
      <c r="J106" s="89" t="s">
        <v>95</v>
      </c>
      <c r="K106" s="85"/>
      <c r="L106" s="89"/>
      <c r="M106" s="85"/>
      <c r="N106" s="89"/>
      <c r="O106" s="85"/>
      <c r="P106" s="89"/>
      <c r="Q106" s="85"/>
      <c r="R106" s="85"/>
      <c r="S106" s="85"/>
      <c r="T106" s="85"/>
      <c r="U106" s="85"/>
      <c r="V106" s="89"/>
      <c r="W106" s="89"/>
      <c r="X106" s="89"/>
      <c r="Y106" s="89"/>
      <c r="Z106" s="89"/>
      <c r="AA106" s="89"/>
      <c r="AB106" s="89"/>
      <c r="AC106" s="89"/>
      <c r="AD106" s="89"/>
      <c r="AE106" s="89"/>
      <c r="AF106" s="89"/>
      <c r="AG106" s="89"/>
      <c r="AH106" s="89"/>
      <c r="AI106" s="89"/>
      <c r="AJ106" s="89"/>
      <c r="AK106" s="89"/>
      <c r="AL106" s="89"/>
      <c r="AM106" s="89"/>
      <c r="AN106" s="89"/>
      <c r="AO106" s="89"/>
    </row>
    <row r="107">
      <c r="A107" s="85">
        <v>44943.0</v>
      </c>
      <c r="B107" s="86">
        <v>83.85</v>
      </c>
      <c r="C107" s="85">
        <v>44884.0</v>
      </c>
      <c r="D107" s="89" t="s">
        <v>898</v>
      </c>
      <c r="E107" s="89" t="s">
        <v>899</v>
      </c>
      <c r="F107" s="89" t="s">
        <v>900</v>
      </c>
      <c r="G107" s="89" t="s">
        <v>114</v>
      </c>
      <c r="H107" s="89" t="s">
        <v>94</v>
      </c>
      <c r="I107" s="89" t="s">
        <v>94</v>
      </c>
      <c r="J107" s="89" t="s">
        <v>95</v>
      </c>
      <c r="K107" s="85"/>
      <c r="L107" s="89"/>
      <c r="M107" s="89">
        <v>1.0</v>
      </c>
      <c r="N107" s="89"/>
      <c r="O107" s="85"/>
      <c r="P107" s="85"/>
      <c r="Q107" s="85"/>
      <c r="R107" s="85"/>
      <c r="S107" s="85"/>
      <c r="T107" s="85"/>
      <c r="U107" s="85"/>
      <c r="V107" s="89"/>
      <c r="W107" s="89"/>
      <c r="X107" s="89"/>
      <c r="Y107" s="89"/>
      <c r="Z107" s="89"/>
      <c r="AA107" s="89"/>
      <c r="AB107" s="89"/>
      <c r="AC107" s="89"/>
      <c r="AD107" s="89"/>
      <c r="AE107" s="89"/>
      <c r="AF107" s="89"/>
      <c r="AG107" s="89"/>
      <c r="AH107" s="89"/>
      <c r="AI107" s="89"/>
      <c r="AJ107" s="89"/>
      <c r="AK107" s="89"/>
      <c r="AL107" s="89"/>
      <c r="AM107" s="89"/>
      <c r="AN107" s="89"/>
      <c r="AO107" s="89"/>
    </row>
    <row r="108">
      <c r="A108" s="85">
        <v>44943.0</v>
      </c>
      <c r="B108" s="86">
        <v>297.0</v>
      </c>
      <c r="C108" s="85">
        <v>44677.0</v>
      </c>
      <c r="D108" s="1" t="s">
        <v>904</v>
      </c>
      <c r="E108" s="89" t="s">
        <v>905</v>
      </c>
      <c r="F108" s="89" t="s">
        <v>906</v>
      </c>
      <c r="G108" s="89" t="s">
        <v>114</v>
      </c>
      <c r="H108" s="89" t="s">
        <v>94</v>
      </c>
      <c r="I108" s="89" t="s">
        <v>94</v>
      </c>
      <c r="J108" s="89" t="s">
        <v>95</v>
      </c>
      <c r="K108" s="89">
        <v>1.0</v>
      </c>
      <c r="L108" s="89"/>
      <c r="M108" s="89">
        <v>1.0</v>
      </c>
      <c r="N108" s="89"/>
      <c r="O108" s="89">
        <v>1.0</v>
      </c>
      <c r="P108" s="89"/>
      <c r="Q108" s="85"/>
      <c r="R108" s="85"/>
      <c r="S108" s="85"/>
      <c r="T108" s="85"/>
      <c r="U108" s="85"/>
      <c r="V108" s="89"/>
      <c r="W108" s="89"/>
      <c r="X108" s="89"/>
      <c r="Y108" s="89"/>
      <c r="Z108" s="89"/>
      <c r="AA108" s="89"/>
      <c r="AB108" s="89"/>
      <c r="AC108" s="89"/>
      <c r="AD108" s="89"/>
      <c r="AE108" s="89"/>
      <c r="AF108" s="89"/>
      <c r="AG108" s="89"/>
      <c r="AH108" s="89"/>
      <c r="AI108" s="89"/>
      <c r="AJ108" s="89"/>
      <c r="AK108" s="89"/>
      <c r="AL108" s="89"/>
      <c r="AM108" s="89"/>
      <c r="AN108" s="89"/>
      <c r="AO108" s="89"/>
    </row>
    <row r="109">
      <c r="A109" s="85">
        <v>44943.0</v>
      </c>
      <c r="B109" s="86">
        <v>232.14</v>
      </c>
      <c r="C109" s="85">
        <v>44867.0</v>
      </c>
      <c r="D109" s="89" t="s">
        <v>911</v>
      </c>
      <c r="E109" s="89" t="s">
        <v>912</v>
      </c>
      <c r="F109" s="89" t="s">
        <v>913</v>
      </c>
      <c r="G109" s="89" t="s">
        <v>114</v>
      </c>
      <c r="H109" s="89" t="s">
        <v>94</v>
      </c>
      <c r="I109" s="89" t="s">
        <v>94</v>
      </c>
      <c r="J109" s="89" t="s">
        <v>95</v>
      </c>
      <c r="K109" s="89">
        <v>1.0</v>
      </c>
      <c r="L109" s="89"/>
      <c r="M109" s="85"/>
      <c r="N109" s="85"/>
      <c r="O109" s="89"/>
      <c r="P109" s="85"/>
      <c r="Q109" s="85"/>
      <c r="R109" s="85"/>
      <c r="S109" s="85"/>
      <c r="T109" s="85"/>
      <c r="U109" s="85"/>
      <c r="V109" s="89"/>
      <c r="W109" s="89"/>
      <c r="X109" s="89"/>
      <c r="Y109" s="89"/>
      <c r="Z109" s="89"/>
      <c r="AA109" s="89"/>
      <c r="AB109" s="89"/>
      <c r="AC109" s="89"/>
      <c r="AD109" s="89"/>
      <c r="AE109" s="89"/>
      <c r="AF109" s="89"/>
      <c r="AG109" s="89"/>
      <c r="AH109" s="89"/>
      <c r="AI109" s="89"/>
      <c r="AJ109" s="89"/>
      <c r="AK109" s="89"/>
      <c r="AL109" s="89"/>
      <c r="AM109" s="89"/>
      <c r="AN109" s="89"/>
      <c r="AO109" s="89"/>
    </row>
    <row r="110">
      <c r="A110" s="85">
        <v>44943.0</v>
      </c>
      <c r="B110" s="1">
        <v>325.42</v>
      </c>
      <c r="C110" s="85">
        <v>44757.0</v>
      </c>
      <c r="D110" s="1" t="s">
        <v>918</v>
      </c>
      <c r="E110" s="89" t="s">
        <v>919</v>
      </c>
      <c r="F110" s="89" t="s">
        <v>920</v>
      </c>
      <c r="G110" s="89" t="s">
        <v>114</v>
      </c>
      <c r="H110" s="89" t="s">
        <v>94</v>
      </c>
      <c r="I110" s="89" t="s">
        <v>94</v>
      </c>
      <c r="J110" s="89" t="s">
        <v>95</v>
      </c>
      <c r="K110" s="89">
        <v>1.0</v>
      </c>
      <c r="L110" s="89"/>
      <c r="M110" s="89">
        <v>1.0</v>
      </c>
      <c r="N110" s="89">
        <v>1.0</v>
      </c>
      <c r="O110" s="85"/>
      <c r="P110" s="89"/>
      <c r="Q110" s="85"/>
      <c r="R110" s="85"/>
      <c r="S110" s="85"/>
      <c r="T110" s="85"/>
      <c r="U110" s="85"/>
      <c r="V110" s="89"/>
      <c r="W110" s="89"/>
      <c r="X110" s="89"/>
      <c r="Y110" s="89"/>
      <c r="Z110" s="89"/>
      <c r="AA110" s="89"/>
      <c r="AB110" s="89"/>
      <c r="AC110" s="89"/>
      <c r="AD110" s="89"/>
      <c r="AE110" s="89"/>
      <c r="AF110" s="89"/>
      <c r="AG110" s="89"/>
      <c r="AH110" s="89"/>
      <c r="AI110" s="89"/>
      <c r="AJ110" s="89"/>
      <c r="AK110" s="89"/>
      <c r="AL110" s="89"/>
      <c r="AM110" s="89"/>
      <c r="AN110" s="89"/>
      <c r="AO110" s="89"/>
    </row>
    <row r="111" ht="20.25" customHeight="1">
      <c r="A111" s="85">
        <v>44943.0</v>
      </c>
      <c r="B111" s="86">
        <v>86.02</v>
      </c>
      <c r="C111" s="85">
        <v>44894.0</v>
      </c>
      <c r="D111" s="89" t="s">
        <v>924</v>
      </c>
      <c r="E111" s="89" t="s">
        <v>925</v>
      </c>
      <c r="F111" s="89" t="s">
        <v>926</v>
      </c>
      <c r="G111" s="89" t="s">
        <v>114</v>
      </c>
      <c r="H111" s="89" t="s">
        <v>94</v>
      </c>
      <c r="I111" s="89" t="s">
        <v>94</v>
      </c>
      <c r="J111" s="89" t="s">
        <v>95</v>
      </c>
      <c r="K111" s="85"/>
      <c r="L111" s="89"/>
      <c r="M111" s="89">
        <v>1.0</v>
      </c>
      <c r="N111" s="85"/>
      <c r="O111" s="85"/>
      <c r="P111" s="89"/>
      <c r="Q111" s="85"/>
      <c r="R111" s="85"/>
      <c r="S111" s="85"/>
      <c r="T111" s="85"/>
      <c r="U111" s="85"/>
      <c r="V111" s="89"/>
      <c r="W111" s="89"/>
      <c r="X111" s="89"/>
      <c r="Y111" s="89"/>
      <c r="Z111" s="89"/>
      <c r="AA111" s="89"/>
      <c r="AB111" s="89"/>
      <c r="AC111" s="89"/>
      <c r="AD111" s="89"/>
      <c r="AE111" s="89"/>
      <c r="AF111" s="89"/>
      <c r="AG111" s="89"/>
      <c r="AH111" s="89"/>
      <c r="AI111" s="89"/>
      <c r="AJ111" s="89"/>
      <c r="AK111" s="89"/>
      <c r="AL111" s="89"/>
      <c r="AM111" s="89"/>
      <c r="AN111" s="89"/>
      <c r="AO111" s="89"/>
    </row>
    <row r="112">
      <c r="A112" s="85">
        <v>44943.0</v>
      </c>
      <c r="B112" s="333">
        <v>321.53</v>
      </c>
      <c r="C112" s="85">
        <v>44872.0</v>
      </c>
      <c r="D112" s="89" t="s">
        <v>934</v>
      </c>
      <c r="E112" s="89" t="s">
        <v>935</v>
      </c>
      <c r="F112" s="89" t="s">
        <v>936</v>
      </c>
      <c r="G112" s="89" t="s">
        <v>114</v>
      </c>
      <c r="H112" s="89" t="s">
        <v>94</v>
      </c>
      <c r="I112" s="89" t="s">
        <v>94</v>
      </c>
      <c r="J112" s="89" t="s">
        <v>95</v>
      </c>
      <c r="K112" s="89"/>
      <c r="L112" s="89">
        <v>1.0</v>
      </c>
      <c r="M112" s="85"/>
      <c r="N112" s="89"/>
      <c r="O112" s="85"/>
      <c r="P112" s="89">
        <v>1.0</v>
      </c>
      <c r="Q112" s="85"/>
      <c r="R112" s="85"/>
      <c r="S112" s="85"/>
      <c r="T112" s="85"/>
      <c r="U112" s="85"/>
      <c r="V112" s="89"/>
      <c r="W112" s="89"/>
      <c r="X112" s="89"/>
      <c r="Y112" s="89"/>
      <c r="Z112" s="89"/>
      <c r="AA112" s="89"/>
      <c r="AB112" s="89"/>
      <c r="AC112" s="89"/>
      <c r="AD112" s="89"/>
      <c r="AE112" s="89"/>
      <c r="AF112" s="89"/>
      <c r="AG112" s="89"/>
      <c r="AH112" s="89"/>
      <c r="AI112" s="89"/>
      <c r="AJ112" s="89"/>
      <c r="AK112" s="89"/>
      <c r="AL112" s="89"/>
      <c r="AM112" s="89"/>
      <c r="AN112" s="89"/>
      <c r="AO112" s="89"/>
    </row>
    <row r="113">
      <c r="A113" s="85">
        <v>44943.0</v>
      </c>
      <c r="B113" s="86">
        <v>353.03</v>
      </c>
      <c r="C113" s="85">
        <v>44873.0</v>
      </c>
      <c r="D113" s="89" t="s">
        <v>942</v>
      </c>
      <c r="E113" s="89" t="s">
        <v>943</v>
      </c>
      <c r="F113" s="89" t="s">
        <v>944</v>
      </c>
      <c r="G113" s="89" t="s">
        <v>114</v>
      </c>
      <c r="H113" s="89" t="s">
        <v>94</v>
      </c>
      <c r="I113" s="89" t="s">
        <v>94</v>
      </c>
      <c r="J113" s="89" t="s">
        <v>95</v>
      </c>
      <c r="K113" s="89"/>
      <c r="L113" s="89">
        <v>1.0</v>
      </c>
      <c r="M113" s="85"/>
      <c r="N113" s="89">
        <v>1.0</v>
      </c>
      <c r="O113" s="85"/>
      <c r="P113" s="89">
        <v>1.0</v>
      </c>
      <c r="Q113" s="85"/>
      <c r="R113" s="85"/>
      <c r="S113" s="85"/>
      <c r="T113" s="85"/>
      <c r="U113" s="85"/>
      <c r="V113" s="89"/>
      <c r="W113" s="89"/>
      <c r="X113" s="89"/>
      <c r="Y113" s="89"/>
      <c r="Z113" s="89"/>
      <c r="AA113" s="89"/>
      <c r="AB113" s="89"/>
      <c r="AC113" s="89"/>
      <c r="AD113" s="89"/>
      <c r="AE113" s="89"/>
      <c r="AF113" s="89"/>
      <c r="AG113" s="89"/>
      <c r="AH113" s="89"/>
      <c r="AI113" s="89"/>
      <c r="AJ113" s="89"/>
      <c r="AK113" s="89"/>
      <c r="AL113" s="89"/>
      <c r="AM113" s="89"/>
      <c r="AN113" s="89"/>
      <c r="AO113" s="89"/>
    </row>
    <row r="114">
      <c r="A114" s="85">
        <v>44943.0</v>
      </c>
      <c r="B114" s="339">
        <v>309.96</v>
      </c>
      <c r="C114" s="85">
        <v>44858.0</v>
      </c>
      <c r="D114" s="89" t="s">
        <v>949</v>
      </c>
      <c r="E114" s="89" t="s">
        <v>950</v>
      </c>
      <c r="F114" s="89" t="s">
        <v>951</v>
      </c>
      <c r="G114" s="89" t="s">
        <v>114</v>
      </c>
      <c r="H114" s="89" t="s">
        <v>94</v>
      </c>
      <c r="I114" s="89" t="s">
        <v>94</v>
      </c>
      <c r="J114" s="89" t="s">
        <v>95</v>
      </c>
      <c r="K114" s="85"/>
      <c r="L114" s="89">
        <v>1.0</v>
      </c>
      <c r="M114" s="85"/>
      <c r="N114" s="85"/>
      <c r="O114" s="85"/>
      <c r="P114" s="89">
        <v>1.0</v>
      </c>
      <c r="Q114" s="85"/>
      <c r="R114" s="85"/>
      <c r="S114" s="85"/>
      <c r="T114" s="85"/>
      <c r="U114" s="85"/>
      <c r="V114" s="89"/>
      <c r="W114" s="89"/>
      <c r="X114" s="89"/>
      <c r="Y114" s="89"/>
      <c r="Z114" s="89"/>
      <c r="AA114" s="89"/>
      <c r="AB114" s="89"/>
      <c r="AC114" s="89"/>
      <c r="AD114" s="89"/>
      <c r="AE114" s="89"/>
      <c r="AF114" s="89"/>
      <c r="AG114" s="89"/>
      <c r="AH114" s="89"/>
      <c r="AI114" s="89"/>
      <c r="AJ114" s="89"/>
      <c r="AK114" s="89"/>
      <c r="AL114" s="89"/>
      <c r="AM114" s="89"/>
      <c r="AN114" s="89"/>
      <c r="AO114" s="89"/>
    </row>
    <row r="115">
      <c r="A115" s="85">
        <v>44943.0</v>
      </c>
      <c r="B115" s="86">
        <v>299.93</v>
      </c>
      <c r="C115" s="85">
        <v>44687.0</v>
      </c>
      <c r="D115" s="89" t="s">
        <v>952</v>
      </c>
      <c r="E115" s="89" t="s">
        <v>953</v>
      </c>
      <c r="F115" s="89" t="s">
        <v>954</v>
      </c>
      <c r="G115" s="89" t="s">
        <v>114</v>
      </c>
      <c r="H115" s="89" t="s">
        <v>94</v>
      </c>
      <c r="I115" s="89" t="s">
        <v>955</v>
      </c>
      <c r="J115" s="89" t="s">
        <v>95</v>
      </c>
      <c r="K115" s="89"/>
      <c r="L115" s="89">
        <v>1.0</v>
      </c>
      <c r="M115" s="85"/>
      <c r="N115" s="89"/>
      <c r="O115" s="85"/>
      <c r="P115" s="85"/>
      <c r="Q115" s="85"/>
      <c r="R115" s="85"/>
      <c r="S115" s="85"/>
      <c r="T115" s="85"/>
      <c r="U115" s="85"/>
      <c r="V115" s="89"/>
      <c r="W115" s="89"/>
      <c r="X115" s="89"/>
      <c r="Y115" s="89"/>
      <c r="Z115" s="89"/>
      <c r="AA115" s="89"/>
      <c r="AB115" s="89"/>
      <c r="AC115" s="89"/>
      <c r="AD115" s="89"/>
      <c r="AE115" s="89"/>
      <c r="AF115" s="89"/>
      <c r="AG115" s="89"/>
      <c r="AH115" s="89"/>
      <c r="AI115" s="89"/>
      <c r="AJ115" s="89"/>
      <c r="AK115" s="89"/>
      <c r="AL115" s="89"/>
      <c r="AM115" s="89"/>
      <c r="AN115" s="89"/>
      <c r="AO115" s="89"/>
    </row>
    <row r="116">
      <c r="A116" s="85">
        <v>44943.0</v>
      </c>
      <c r="B116" s="86">
        <v>306.34</v>
      </c>
      <c r="C116" s="85">
        <v>44848.0</v>
      </c>
      <c r="D116" s="89" t="s">
        <v>960</v>
      </c>
      <c r="E116" s="89" t="s">
        <v>961</v>
      </c>
      <c r="F116" s="89" t="s">
        <v>962</v>
      </c>
      <c r="G116" s="89" t="s">
        <v>114</v>
      </c>
      <c r="H116" s="89" t="s">
        <v>94</v>
      </c>
      <c r="I116" s="89" t="s">
        <v>94</v>
      </c>
      <c r="J116" s="89" t="s">
        <v>95</v>
      </c>
      <c r="K116" s="89">
        <v>1.0</v>
      </c>
      <c r="L116" s="89"/>
      <c r="M116" s="89">
        <v>1.0</v>
      </c>
      <c r="N116" s="89"/>
      <c r="O116" s="85"/>
      <c r="P116" s="89">
        <v>1.0</v>
      </c>
      <c r="Q116" s="85"/>
      <c r="R116" s="85"/>
      <c r="S116" s="85"/>
      <c r="T116" s="85"/>
      <c r="U116" s="85"/>
      <c r="V116" s="89"/>
      <c r="W116" s="89"/>
      <c r="X116" s="89"/>
      <c r="Y116" s="89"/>
      <c r="Z116" s="89"/>
      <c r="AA116" s="89"/>
      <c r="AB116" s="89"/>
      <c r="AC116" s="89"/>
      <c r="AD116" s="89"/>
      <c r="AE116" s="89"/>
      <c r="AF116" s="89"/>
      <c r="AG116" s="89"/>
      <c r="AH116" s="89"/>
      <c r="AI116" s="89"/>
      <c r="AJ116" s="89"/>
      <c r="AK116" s="89"/>
      <c r="AL116" s="89"/>
      <c r="AM116" s="89"/>
      <c r="AN116" s="89"/>
      <c r="AO116" s="89"/>
    </row>
    <row r="117">
      <c r="A117" s="85">
        <v>44943.0</v>
      </c>
      <c r="B117" s="348">
        <v>24.0</v>
      </c>
      <c r="C117" s="85">
        <v>44881.0</v>
      </c>
      <c r="D117" s="89" t="s">
        <v>966</v>
      </c>
      <c r="E117" s="89" t="s">
        <v>967</v>
      </c>
      <c r="F117" s="89" t="s">
        <v>968</v>
      </c>
      <c r="G117" s="89" t="s">
        <v>114</v>
      </c>
      <c r="H117" s="89" t="s">
        <v>94</v>
      </c>
      <c r="I117" s="89" t="s">
        <v>94</v>
      </c>
      <c r="J117" s="89" t="s">
        <v>95</v>
      </c>
      <c r="K117" s="85"/>
      <c r="L117" s="89"/>
      <c r="M117" s="85"/>
      <c r="N117" s="89">
        <v>1.0</v>
      </c>
      <c r="O117" s="85"/>
      <c r="P117" s="89">
        <v>1.0</v>
      </c>
      <c r="Q117" s="85"/>
      <c r="R117" s="85"/>
      <c r="S117" s="85"/>
      <c r="T117" s="85"/>
      <c r="U117" s="85"/>
      <c r="V117" s="89"/>
      <c r="W117" s="89"/>
      <c r="X117" s="89"/>
      <c r="Y117" s="89"/>
      <c r="Z117" s="89"/>
      <c r="AA117" s="89"/>
      <c r="AB117" s="89"/>
      <c r="AC117" s="89"/>
      <c r="AD117" s="89"/>
      <c r="AE117" s="89"/>
      <c r="AF117" s="89"/>
      <c r="AG117" s="89"/>
      <c r="AH117" s="89"/>
      <c r="AI117" s="89"/>
      <c r="AJ117" s="89"/>
      <c r="AK117" s="89"/>
      <c r="AL117" s="89"/>
      <c r="AM117" s="89"/>
      <c r="AN117" s="89"/>
      <c r="AO117" s="89"/>
    </row>
    <row r="118">
      <c r="A118" s="85">
        <v>44943.0</v>
      </c>
      <c r="B118" s="350">
        <v>242.74</v>
      </c>
      <c r="C118" s="85">
        <v>44891.0</v>
      </c>
      <c r="D118" s="89" t="s">
        <v>972</v>
      </c>
      <c r="E118" s="89" t="s">
        <v>973</v>
      </c>
      <c r="F118" s="89" t="s">
        <v>974</v>
      </c>
      <c r="G118" s="89" t="s">
        <v>114</v>
      </c>
      <c r="H118" s="89" t="s">
        <v>94</v>
      </c>
      <c r="I118" s="89" t="s">
        <v>94</v>
      </c>
      <c r="J118" s="89" t="s">
        <v>95</v>
      </c>
      <c r="K118" s="89">
        <v>1.0</v>
      </c>
      <c r="L118" s="85"/>
      <c r="M118" s="85"/>
      <c r="N118" s="85"/>
      <c r="O118" s="85"/>
      <c r="P118" s="89">
        <v>1.0</v>
      </c>
      <c r="Q118" s="85"/>
      <c r="R118" s="85"/>
      <c r="S118" s="85"/>
      <c r="T118" s="85"/>
      <c r="U118" s="85"/>
      <c r="V118" s="89"/>
      <c r="W118" s="89"/>
      <c r="X118" s="89"/>
      <c r="Y118" s="89"/>
      <c r="Z118" s="89"/>
      <c r="AA118" s="89"/>
      <c r="AB118" s="89"/>
      <c r="AC118" s="89"/>
      <c r="AD118" s="89"/>
      <c r="AE118" s="89"/>
      <c r="AF118" s="89"/>
      <c r="AG118" s="89"/>
      <c r="AH118" s="89"/>
      <c r="AI118" s="89"/>
      <c r="AJ118" s="89"/>
      <c r="AK118" s="89"/>
      <c r="AL118" s="89"/>
      <c r="AM118" s="89"/>
      <c r="AN118" s="89"/>
      <c r="AO118" s="89"/>
    </row>
    <row r="119">
      <c r="A119" s="85">
        <v>44943.0</v>
      </c>
      <c r="B119" s="86">
        <v>231.44</v>
      </c>
      <c r="C119" s="85">
        <v>44842.0</v>
      </c>
      <c r="D119" s="89" t="s">
        <v>978</v>
      </c>
      <c r="E119" s="89" t="s">
        <v>979</v>
      </c>
      <c r="F119" s="89" t="s">
        <v>980</v>
      </c>
      <c r="G119" s="89" t="s">
        <v>114</v>
      </c>
      <c r="H119" s="89" t="s">
        <v>94</v>
      </c>
      <c r="I119" s="89" t="s">
        <v>94</v>
      </c>
      <c r="J119" s="89" t="s">
        <v>95</v>
      </c>
      <c r="K119" s="89">
        <v>1.0</v>
      </c>
      <c r="L119" s="85"/>
      <c r="M119" s="85"/>
      <c r="N119" s="85"/>
      <c r="O119" s="85"/>
      <c r="P119" s="89"/>
      <c r="Q119" s="85"/>
      <c r="R119" s="85"/>
      <c r="S119" s="85"/>
      <c r="T119" s="85"/>
      <c r="U119" s="85"/>
      <c r="V119" s="89"/>
      <c r="W119" s="89"/>
      <c r="X119" s="89"/>
      <c r="Y119" s="89"/>
      <c r="Z119" s="89"/>
      <c r="AA119" s="89"/>
      <c r="AB119" s="89"/>
      <c r="AC119" s="89"/>
      <c r="AD119" s="89"/>
      <c r="AE119" s="89"/>
      <c r="AF119" s="89"/>
      <c r="AG119" s="89"/>
      <c r="AH119" s="89"/>
      <c r="AI119" s="89"/>
      <c r="AJ119" s="89"/>
      <c r="AK119" s="89"/>
      <c r="AL119" s="89"/>
      <c r="AM119" s="89"/>
      <c r="AN119" s="89"/>
      <c r="AO119" s="89"/>
    </row>
    <row r="120">
      <c r="A120" s="85">
        <v>44943.0</v>
      </c>
      <c r="B120" s="351">
        <v>214.92</v>
      </c>
      <c r="C120" s="85">
        <v>44891.0</v>
      </c>
      <c r="D120" s="89" t="s">
        <v>985</v>
      </c>
      <c r="E120" s="89" t="s">
        <v>986</v>
      </c>
      <c r="F120" s="89" t="s">
        <v>987</v>
      </c>
      <c r="G120" s="89" t="s">
        <v>114</v>
      </c>
      <c r="H120" s="89" t="s">
        <v>94</v>
      </c>
      <c r="I120" s="89" t="s">
        <v>94</v>
      </c>
      <c r="J120" s="89" t="s">
        <v>95</v>
      </c>
      <c r="K120" s="89">
        <v>1.0</v>
      </c>
      <c r="L120" s="89"/>
      <c r="M120" s="85"/>
      <c r="N120" s="89"/>
      <c r="O120" s="85"/>
      <c r="P120" s="89">
        <v>1.0</v>
      </c>
      <c r="Q120" s="85"/>
      <c r="R120" s="85"/>
      <c r="S120" s="85"/>
      <c r="T120" s="85"/>
      <c r="U120" s="85"/>
      <c r="V120" s="89"/>
      <c r="W120" s="89"/>
      <c r="X120" s="89"/>
      <c r="Y120" s="89"/>
      <c r="Z120" s="89"/>
      <c r="AA120" s="89"/>
      <c r="AB120" s="89"/>
      <c r="AC120" s="89"/>
      <c r="AD120" s="89"/>
      <c r="AE120" s="89"/>
      <c r="AF120" s="89"/>
      <c r="AG120" s="89"/>
      <c r="AH120" s="89"/>
      <c r="AI120" s="89"/>
      <c r="AJ120" s="89"/>
      <c r="AK120" s="89"/>
      <c r="AL120" s="89"/>
      <c r="AM120" s="89"/>
      <c r="AN120" s="89"/>
      <c r="AO120" s="89"/>
    </row>
    <row r="121">
      <c r="A121" s="85">
        <v>44943.0</v>
      </c>
      <c r="B121" s="86">
        <v>342.38</v>
      </c>
      <c r="C121" s="85">
        <v>44893.0</v>
      </c>
      <c r="D121" s="89" t="s">
        <v>991</v>
      </c>
      <c r="E121" s="89" t="s">
        <v>992</v>
      </c>
      <c r="F121" s="89" t="s">
        <v>993</v>
      </c>
      <c r="G121" s="89" t="s">
        <v>114</v>
      </c>
      <c r="H121" s="89" t="s">
        <v>94</v>
      </c>
      <c r="I121" s="89" t="s">
        <v>94</v>
      </c>
      <c r="J121" s="89" t="s">
        <v>95</v>
      </c>
      <c r="K121" s="89">
        <v>1.0</v>
      </c>
      <c r="L121" s="89"/>
      <c r="M121" s="89">
        <v>1.0</v>
      </c>
      <c r="N121" s="89">
        <v>1.0</v>
      </c>
      <c r="O121" s="85"/>
      <c r="P121" s="89">
        <v>1.0</v>
      </c>
      <c r="Q121" s="85"/>
      <c r="R121" s="85"/>
      <c r="S121" s="85"/>
      <c r="T121" s="85"/>
      <c r="U121" s="85"/>
      <c r="V121" s="89"/>
      <c r="W121" s="89"/>
      <c r="X121" s="89"/>
      <c r="Y121" s="89"/>
      <c r="Z121" s="89"/>
      <c r="AA121" s="89"/>
      <c r="AB121" s="89"/>
      <c r="AC121" s="89"/>
      <c r="AD121" s="89"/>
      <c r="AE121" s="89"/>
      <c r="AF121" s="89"/>
      <c r="AG121" s="89"/>
      <c r="AH121" s="89"/>
      <c r="AI121" s="89"/>
      <c r="AJ121" s="89"/>
      <c r="AK121" s="89"/>
      <c r="AL121" s="89"/>
      <c r="AM121" s="89"/>
      <c r="AN121" s="89"/>
      <c r="AO121" s="89"/>
    </row>
    <row r="122">
      <c r="A122" s="231">
        <v>44943.0</v>
      </c>
      <c r="B122" s="232">
        <v>313.57</v>
      </c>
      <c r="C122" s="231">
        <v>44864.0</v>
      </c>
      <c r="D122" s="233" t="s">
        <v>1000</v>
      </c>
      <c r="E122" s="233" t="s">
        <v>1001</v>
      </c>
      <c r="F122" s="233" t="s">
        <v>1003</v>
      </c>
      <c r="G122" s="233" t="s">
        <v>114</v>
      </c>
      <c r="H122" s="233" t="s">
        <v>94</v>
      </c>
      <c r="I122" s="233" t="s">
        <v>1006</v>
      </c>
      <c r="J122" s="233" t="s">
        <v>95</v>
      </c>
      <c r="K122" s="233">
        <v>1.0</v>
      </c>
      <c r="L122" s="231"/>
      <c r="M122" s="233">
        <v>1.0</v>
      </c>
      <c r="N122" s="231"/>
      <c r="O122" s="231"/>
      <c r="P122" s="233">
        <v>1.0</v>
      </c>
      <c r="Q122" s="231"/>
      <c r="R122" s="231"/>
      <c r="S122" s="231"/>
      <c r="T122" s="231"/>
      <c r="U122" s="231"/>
      <c r="V122" s="233"/>
      <c r="W122" s="233"/>
      <c r="X122" s="233"/>
      <c r="Y122" s="233"/>
      <c r="Z122" s="233"/>
      <c r="AA122" s="233"/>
      <c r="AB122" s="233"/>
      <c r="AC122" s="233"/>
      <c r="AD122" s="233"/>
      <c r="AE122" s="233"/>
      <c r="AF122" s="233"/>
      <c r="AG122" s="233"/>
      <c r="AH122" s="233"/>
      <c r="AI122" s="233"/>
      <c r="AJ122" s="233"/>
      <c r="AK122" s="233"/>
      <c r="AL122" s="233"/>
      <c r="AM122" s="233"/>
      <c r="AN122" s="233"/>
      <c r="AO122" s="233"/>
    </row>
    <row r="123">
      <c r="A123" s="85">
        <v>44943.0</v>
      </c>
      <c r="B123" s="293">
        <v>344.83</v>
      </c>
      <c r="C123" s="85">
        <v>44886.0</v>
      </c>
      <c r="D123" s="89" t="s">
        <v>1007</v>
      </c>
      <c r="E123" s="89" t="s">
        <v>1009</v>
      </c>
      <c r="F123" s="89" t="s">
        <v>1011</v>
      </c>
      <c r="G123" s="89" t="s">
        <v>114</v>
      </c>
      <c r="H123" s="89" t="s">
        <v>94</v>
      </c>
      <c r="I123" s="89" t="s">
        <v>94</v>
      </c>
      <c r="J123" s="89" t="s">
        <v>95</v>
      </c>
      <c r="K123" s="89">
        <v>1.0</v>
      </c>
      <c r="L123" s="89"/>
      <c r="M123" s="89">
        <v>1.0</v>
      </c>
      <c r="N123" s="89">
        <v>1.0</v>
      </c>
      <c r="O123" s="85"/>
      <c r="P123" s="89">
        <v>1.0</v>
      </c>
      <c r="Q123" s="85"/>
      <c r="R123" s="85"/>
      <c r="S123" s="85"/>
      <c r="T123" s="85"/>
      <c r="U123" s="85"/>
      <c r="V123" s="89"/>
      <c r="W123" s="89"/>
      <c r="X123" s="89"/>
      <c r="Y123" s="89"/>
      <c r="Z123" s="89"/>
      <c r="AA123" s="89"/>
      <c r="AB123" s="89"/>
      <c r="AC123" s="89"/>
      <c r="AD123" s="89"/>
      <c r="AE123" s="89"/>
      <c r="AF123" s="89"/>
      <c r="AG123" s="89"/>
      <c r="AH123" s="89"/>
      <c r="AI123" s="89"/>
      <c r="AJ123" s="89"/>
      <c r="AK123" s="89"/>
      <c r="AL123" s="89"/>
      <c r="AM123" s="89"/>
      <c r="AN123" s="89"/>
      <c r="AO123" s="89"/>
    </row>
    <row r="124">
      <c r="A124" s="85">
        <v>44943.0</v>
      </c>
      <c r="B124" s="86">
        <v>316.94</v>
      </c>
      <c r="C124" s="85">
        <v>44876.0</v>
      </c>
      <c r="D124" s="89" t="s">
        <v>1016</v>
      </c>
      <c r="E124" s="89" t="s">
        <v>1017</v>
      </c>
      <c r="F124" s="89" t="s">
        <v>1018</v>
      </c>
      <c r="G124" s="89" t="s">
        <v>114</v>
      </c>
      <c r="H124" s="89" t="s">
        <v>94</v>
      </c>
      <c r="I124" s="89" t="s">
        <v>94</v>
      </c>
      <c r="J124" s="89" t="s">
        <v>95</v>
      </c>
      <c r="K124" s="89"/>
      <c r="L124" s="89">
        <v>1.0</v>
      </c>
      <c r="M124" s="85"/>
      <c r="N124" s="85"/>
      <c r="O124" s="85"/>
      <c r="P124" s="89">
        <v>1.0</v>
      </c>
      <c r="Q124" s="85"/>
      <c r="R124" s="85"/>
      <c r="S124" s="85"/>
      <c r="T124" s="85"/>
      <c r="U124" s="85"/>
      <c r="V124" s="89"/>
      <c r="W124" s="89"/>
      <c r="X124" s="89"/>
      <c r="Y124" s="89"/>
      <c r="Z124" s="89"/>
      <c r="AA124" s="89"/>
      <c r="AB124" s="89"/>
      <c r="AC124" s="89"/>
      <c r="AD124" s="89"/>
      <c r="AE124" s="89"/>
      <c r="AF124" s="89"/>
      <c r="AG124" s="89"/>
      <c r="AH124" s="89"/>
      <c r="AI124" s="89"/>
      <c r="AJ124" s="89"/>
      <c r="AK124" s="89"/>
      <c r="AL124" s="89"/>
      <c r="AM124" s="89"/>
      <c r="AN124" s="89"/>
      <c r="AO124" s="89"/>
    </row>
    <row r="125">
      <c r="A125" s="85">
        <v>44943.0</v>
      </c>
      <c r="B125" s="86">
        <v>357.2</v>
      </c>
      <c r="C125" s="85">
        <v>44869.0</v>
      </c>
      <c r="D125" s="89" t="s">
        <v>1023</v>
      </c>
      <c r="E125" s="89" t="s">
        <v>1024</v>
      </c>
      <c r="F125" s="89" t="s">
        <v>1025</v>
      </c>
      <c r="G125" s="89" t="s">
        <v>114</v>
      </c>
      <c r="H125" s="89" t="s">
        <v>94</v>
      </c>
      <c r="I125" s="89" t="s">
        <v>94</v>
      </c>
      <c r="J125" s="89" t="s">
        <v>95</v>
      </c>
      <c r="K125" s="89"/>
      <c r="L125" s="89">
        <v>1.0</v>
      </c>
      <c r="M125" s="85"/>
      <c r="N125" s="89">
        <v>1.0</v>
      </c>
      <c r="O125" s="85"/>
      <c r="P125" s="89">
        <v>1.0</v>
      </c>
      <c r="Q125" s="89">
        <v>1.0</v>
      </c>
      <c r="R125" s="85"/>
      <c r="S125" s="85"/>
      <c r="T125" s="85"/>
      <c r="U125" s="85"/>
      <c r="V125" s="89"/>
      <c r="W125" s="89"/>
      <c r="X125" s="89"/>
      <c r="Y125" s="89"/>
      <c r="Z125" s="89"/>
      <c r="AA125" s="89"/>
      <c r="AB125" s="89"/>
      <c r="AC125" s="89"/>
      <c r="AD125" s="89"/>
      <c r="AE125" s="89"/>
      <c r="AF125" s="89"/>
      <c r="AG125" s="89"/>
      <c r="AH125" s="89"/>
      <c r="AI125" s="89"/>
      <c r="AJ125" s="89"/>
      <c r="AK125" s="89"/>
      <c r="AL125" s="89"/>
      <c r="AM125" s="89"/>
      <c r="AN125" s="89"/>
      <c r="AO125" s="89"/>
    </row>
    <row r="126">
      <c r="A126" s="85">
        <v>44943.0</v>
      </c>
      <c r="B126" s="86">
        <v>341.31</v>
      </c>
      <c r="C126" s="85">
        <v>44873.0</v>
      </c>
      <c r="D126" s="89" t="s">
        <v>1029</v>
      </c>
      <c r="E126" s="89" t="s">
        <v>1030</v>
      </c>
      <c r="F126" s="89" t="s">
        <v>1031</v>
      </c>
      <c r="G126" s="89" t="s">
        <v>114</v>
      </c>
      <c r="H126" s="89" t="s">
        <v>94</v>
      </c>
      <c r="I126" s="89" t="s">
        <v>94</v>
      </c>
      <c r="J126" s="89" t="s">
        <v>95</v>
      </c>
      <c r="K126" s="85"/>
      <c r="L126" s="89">
        <v>1.0</v>
      </c>
      <c r="M126" s="85"/>
      <c r="N126" s="89">
        <v>1.0</v>
      </c>
      <c r="O126" s="85"/>
      <c r="P126" s="89">
        <v>1.0</v>
      </c>
      <c r="Q126" s="85"/>
      <c r="R126" s="85"/>
      <c r="S126" s="85"/>
      <c r="T126" s="85"/>
      <c r="U126" s="85"/>
      <c r="V126" s="89"/>
      <c r="W126" s="89"/>
      <c r="X126" s="89"/>
      <c r="Y126" s="89"/>
      <c r="Z126" s="89"/>
      <c r="AA126" s="89"/>
      <c r="AB126" s="89"/>
      <c r="AC126" s="89"/>
      <c r="AD126" s="89"/>
      <c r="AE126" s="89"/>
      <c r="AF126" s="89"/>
      <c r="AG126" s="89"/>
      <c r="AH126" s="89"/>
      <c r="AI126" s="89"/>
      <c r="AJ126" s="89"/>
      <c r="AK126" s="89"/>
      <c r="AL126" s="89"/>
      <c r="AM126" s="89"/>
      <c r="AN126" s="89"/>
      <c r="AO126" s="89"/>
    </row>
    <row r="127">
      <c r="A127" s="85">
        <v>44943.0</v>
      </c>
      <c r="B127" s="333">
        <v>233.51</v>
      </c>
      <c r="C127" s="85">
        <v>44858.0</v>
      </c>
      <c r="D127" s="89" t="s">
        <v>1037</v>
      </c>
      <c r="E127" s="89" t="s">
        <v>1039</v>
      </c>
      <c r="F127" s="89" t="s">
        <v>1040</v>
      </c>
      <c r="G127" s="89" t="s">
        <v>114</v>
      </c>
      <c r="H127" s="89" t="s">
        <v>94</v>
      </c>
      <c r="I127" s="89" t="s">
        <v>94</v>
      </c>
      <c r="J127" s="89" t="s">
        <v>95</v>
      </c>
      <c r="K127" s="89">
        <v>1.0</v>
      </c>
      <c r="L127" s="85"/>
      <c r="M127" s="85"/>
      <c r="N127" s="85"/>
      <c r="O127" s="85"/>
      <c r="P127" s="89">
        <v>1.0</v>
      </c>
      <c r="Q127" s="85"/>
      <c r="R127" s="85"/>
      <c r="S127" s="85"/>
      <c r="T127" s="85"/>
      <c r="U127" s="85"/>
      <c r="V127" s="89"/>
      <c r="W127" s="89"/>
      <c r="X127" s="89"/>
      <c r="Y127" s="89"/>
      <c r="Z127" s="89"/>
      <c r="AA127" s="89"/>
      <c r="AB127" s="89"/>
      <c r="AC127" s="89"/>
      <c r="AD127" s="89"/>
      <c r="AE127" s="89"/>
      <c r="AF127" s="89"/>
      <c r="AG127" s="89"/>
      <c r="AH127" s="89"/>
      <c r="AI127" s="89"/>
      <c r="AJ127" s="89"/>
      <c r="AK127" s="89"/>
      <c r="AL127" s="89"/>
      <c r="AM127" s="89"/>
      <c r="AN127" s="89"/>
      <c r="AO127" s="89"/>
    </row>
    <row r="128">
      <c r="A128" s="85">
        <v>44943.0</v>
      </c>
      <c r="B128" s="86">
        <v>340.58</v>
      </c>
      <c r="C128" s="85">
        <v>44892.0</v>
      </c>
      <c r="D128" s="89" t="s">
        <v>1044</v>
      </c>
      <c r="E128" s="89" t="s">
        <v>1045</v>
      </c>
      <c r="F128" s="89" t="s">
        <v>1046</v>
      </c>
      <c r="G128" s="89" t="s">
        <v>114</v>
      </c>
      <c r="H128" s="89" t="s">
        <v>94</v>
      </c>
      <c r="I128" s="89" t="s">
        <v>94</v>
      </c>
      <c r="J128" s="89" t="s">
        <v>95</v>
      </c>
      <c r="K128" s="89">
        <v>1.0</v>
      </c>
      <c r="L128" s="89"/>
      <c r="M128" s="89">
        <v>1.0</v>
      </c>
      <c r="N128" s="89">
        <v>1.0</v>
      </c>
      <c r="O128" s="85"/>
      <c r="P128" s="89">
        <v>1.0</v>
      </c>
      <c r="Q128" s="85"/>
      <c r="R128" s="85"/>
      <c r="S128" s="85"/>
      <c r="T128" s="85"/>
      <c r="U128" s="85"/>
      <c r="V128" s="89"/>
      <c r="W128" s="89"/>
      <c r="X128" s="89"/>
      <c r="Y128" s="89"/>
      <c r="Z128" s="89"/>
      <c r="AA128" s="89"/>
      <c r="AB128" s="89"/>
      <c r="AC128" s="89"/>
      <c r="AD128" s="89"/>
      <c r="AE128" s="89"/>
      <c r="AF128" s="89"/>
      <c r="AG128" s="89"/>
      <c r="AH128" s="89"/>
      <c r="AI128" s="89"/>
      <c r="AJ128" s="89"/>
      <c r="AK128" s="89"/>
      <c r="AL128" s="89"/>
      <c r="AM128" s="89"/>
      <c r="AN128" s="89"/>
      <c r="AO128" s="89"/>
    </row>
    <row r="129">
      <c r="A129" s="85">
        <v>44943.0</v>
      </c>
      <c r="B129" s="293">
        <v>283.0</v>
      </c>
      <c r="C129" s="85">
        <v>44367.0</v>
      </c>
      <c r="D129" s="1" t="s">
        <v>1050</v>
      </c>
      <c r="E129" s="89" t="s">
        <v>1051</v>
      </c>
      <c r="F129" s="89" t="s">
        <v>1052</v>
      </c>
      <c r="G129" s="89" t="s">
        <v>114</v>
      </c>
      <c r="H129" s="89" t="s">
        <v>94</v>
      </c>
      <c r="I129" s="89" t="s">
        <v>125</v>
      </c>
      <c r="J129" s="89" t="s">
        <v>95</v>
      </c>
      <c r="K129" s="89">
        <v>1.0</v>
      </c>
      <c r="L129" s="85"/>
      <c r="M129" s="89">
        <v>1.0</v>
      </c>
      <c r="N129" s="89">
        <v>1.0</v>
      </c>
      <c r="O129" s="85"/>
      <c r="P129" s="89"/>
      <c r="Q129" s="85"/>
      <c r="R129" s="85"/>
      <c r="S129" s="85"/>
      <c r="T129" s="85"/>
      <c r="U129" s="85"/>
      <c r="V129" s="89"/>
      <c r="W129" s="89"/>
      <c r="X129" s="89"/>
      <c r="Y129" s="89"/>
      <c r="Z129" s="89"/>
      <c r="AA129" s="89"/>
      <c r="AB129" s="89"/>
      <c r="AC129" s="89"/>
      <c r="AD129" s="89"/>
      <c r="AE129" s="89"/>
      <c r="AF129" s="89"/>
      <c r="AG129" s="89"/>
      <c r="AH129" s="89"/>
      <c r="AI129" s="89"/>
      <c r="AJ129" s="89"/>
      <c r="AK129" s="89"/>
      <c r="AL129" s="89"/>
      <c r="AM129" s="89"/>
      <c r="AN129" s="89"/>
      <c r="AO129" s="89"/>
    </row>
    <row r="130">
      <c r="A130" s="85">
        <v>44943.0</v>
      </c>
      <c r="B130" s="86">
        <v>245.61</v>
      </c>
      <c r="C130" s="85">
        <v>44894.0</v>
      </c>
      <c r="D130" s="89" t="s">
        <v>1056</v>
      </c>
      <c r="E130" s="89" t="s">
        <v>1057</v>
      </c>
      <c r="F130" s="89" t="s">
        <v>1058</v>
      </c>
      <c r="G130" s="89" t="s">
        <v>114</v>
      </c>
      <c r="H130" s="89" t="s">
        <v>94</v>
      </c>
      <c r="I130" s="89" t="s">
        <v>94</v>
      </c>
      <c r="J130" s="89" t="s">
        <v>95</v>
      </c>
      <c r="K130" s="89">
        <v>1.0</v>
      </c>
      <c r="L130" s="89"/>
      <c r="M130" s="85"/>
      <c r="N130" s="85"/>
      <c r="O130" s="85"/>
      <c r="P130" s="89">
        <v>1.0</v>
      </c>
      <c r="Q130" s="85"/>
      <c r="R130" s="85"/>
      <c r="S130" s="85"/>
      <c r="T130" s="85"/>
      <c r="U130" s="85"/>
      <c r="V130" s="89"/>
      <c r="W130" s="89"/>
      <c r="X130" s="89"/>
      <c r="Y130" s="89"/>
      <c r="Z130" s="89"/>
      <c r="AA130" s="89"/>
      <c r="AB130" s="89"/>
      <c r="AC130" s="89"/>
      <c r="AD130" s="89"/>
      <c r="AE130" s="89"/>
      <c r="AF130" s="89"/>
      <c r="AG130" s="89"/>
      <c r="AH130" s="89"/>
      <c r="AI130" s="89"/>
      <c r="AJ130" s="89"/>
      <c r="AK130" s="89"/>
      <c r="AL130" s="89"/>
      <c r="AM130" s="89"/>
      <c r="AN130" s="89"/>
      <c r="AO130" s="89"/>
    </row>
    <row r="131">
      <c r="A131" s="85">
        <v>44943.0</v>
      </c>
      <c r="B131" s="86">
        <v>241.44</v>
      </c>
      <c r="C131" s="85">
        <v>44888.0</v>
      </c>
      <c r="D131" s="89" t="s">
        <v>1062</v>
      </c>
      <c r="E131" s="89" t="s">
        <v>1063</v>
      </c>
      <c r="F131" s="89" t="s">
        <v>1064</v>
      </c>
      <c r="G131" s="89" t="s">
        <v>114</v>
      </c>
      <c r="H131" s="89" t="s">
        <v>94</v>
      </c>
      <c r="I131" s="89" t="s">
        <v>94</v>
      </c>
      <c r="J131" s="89" t="s">
        <v>95</v>
      </c>
      <c r="K131" s="89">
        <v>1.0</v>
      </c>
      <c r="L131" s="85"/>
      <c r="M131" s="85"/>
      <c r="N131" s="85"/>
      <c r="O131" s="85"/>
      <c r="P131" s="89">
        <v>1.0</v>
      </c>
      <c r="Q131" s="89"/>
      <c r="R131" s="85"/>
      <c r="S131" s="85"/>
      <c r="T131" s="85"/>
      <c r="U131" s="85"/>
      <c r="V131" s="89"/>
      <c r="W131" s="89"/>
      <c r="X131" s="89"/>
      <c r="Y131" s="89"/>
      <c r="Z131" s="89"/>
      <c r="AA131" s="89"/>
      <c r="AB131" s="89"/>
      <c r="AC131" s="89"/>
      <c r="AD131" s="89"/>
      <c r="AE131" s="89"/>
      <c r="AF131" s="89"/>
      <c r="AG131" s="89"/>
      <c r="AH131" s="89"/>
      <c r="AI131" s="89"/>
      <c r="AJ131" s="89"/>
      <c r="AK131" s="89"/>
      <c r="AL131" s="89"/>
      <c r="AM131" s="89"/>
      <c r="AN131" s="89"/>
      <c r="AO131" s="89"/>
    </row>
    <row r="132">
      <c r="A132" s="85">
        <v>44943.0</v>
      </c>
      <c r="B132" s="333">
        <v>267.05</v>
      </c>
      <c r="C132" s="85">
        <v>44890.0</v>
      </c>
      <c r="D132" s="89" t="s">
        <v>1068</v>
      </c>
      <c r="E132" s="89" t="s">
        <v>1069</v>
      </c>
      <c r="F132" s="89" t="s">
        <v>1070</v>
      </c>
      <c r="G132" s="89" t="s">
        <v>114</v>
      </c>
      <c r="H132" s="89" t="s">
        <v>94</v>
      </c>
      <c r="I132" s="89" t="s">
        <v>94</v>
      </c>
      <c r="J132" s="89" t="s">
        <v>95</v>
      </c>
      <c r="K132" s="89">
        <v>1.0</v>
      </c>
      <c r="L132" s="89"/>
      <c r="M132" s="89">
        <v>1.0</v>
      </c>
      <c r="N132" s="85"/>
      <c r="O132" s="85"/>
      <c r="P132" s="89"/>
      <c r="Q132" s="85"/>
      <c r="R132" s="85"/>
      <c r="S132" s="85"/>
      <c r="T132" s="85"/>
      <c r="U132" s="85"/>
      <c r="V132" s="89"/>
      <c r="W132" s="89"/>
      <c r="X132" s="89"/>
      <c r="Y132" s="89"/>
      <c r="Z132" s="89"/>
      <c r="AA132" s="89"/>
      <c r="AB132" s="89"/>
      <c r="AC132" s="89"/>
      <c r="AD132" s="89"/>
      <c r="AE132" s="89"/>
      <c r="AF132" s="89"/>
      <c r="AG132" s="89"/>
      <c r="AH132" s="89"/>
      <c r="AI132" s="89"/>
      <c r="AJ132" s="89"/>
      <c r="AK132" s="89"/>
      <c r="AL132" s="89"/>
      <c r="AM132" s="89"/>
      <c r="AN132" s="89"/>
      <c r="AO132" s="89"/>
    </row>
    <row r="133">
      <c r="A133" s="85">
        <v>44943.0</v>
      </c>
      <c r="B133" s="86">
        <v>191.0</v>
      </c>
      <c r="C133" s="85">
        <v>44392.0</v>
      </c>
      <c r="D133" s="355" t="s">
        <v>1077</v>
      </c>
      <c r="E133" s="89" t="s">
        <v>1078</v>
      </c>
      <c r="F133" s="89" t="s">
        <v>1079</v>
      </c>
      <c r="G133" s="89" t="s">
        <v>114</v>
      </c>
      <c r="H133" s="89" t="s">
        <v>94</v>
      </c>
      <c r="I133" s="89" t="s">
        <v>94</v>
      </c>
      <c r="J133" s="89" t="s">
        <v>95</v>
      </c>
      <c r="K133" s="89">
        <v>1.0</v>
      </c>
      <c r="L133" s="89"/>
      <c r="M133" s="85"/>
      <c r="N133" s="89"/>
      <c r="O133" s="85"/>
      <c r="P133" s="89"/>
      <c r="Q133" s="89"/>
      <c r="R133" s="85"/>
      <c r="S133" s="85"/>
      <c r="T133" s="85"/>
      <c r="U133" s="85"/>
      <c r="V133" s="89"/>
      <c r="W133" s="89"/>
      <c r="X133" s="89"/>
      <c r="Y133" s="89"/>
      <c r="Z133" s="89"/>
      <c r="AA133" s="89"/>
      <c r="AB133" s="89"/>
      <c r="AC133" s="89"/>
      <c r="AD133" s="89"/>
      <c r="AE133" s="89"/>
      <c r="AF133" s="89"/>
      <c r="AG133" s="89"/>
      <c r="AH133" s="89"/>
      <c r="AI133" s="89"/>
      <c r="AJ133" s="89"/>
      <c r="AK133" s="89"/>
      <c r="AL133" s="89"/>
      <c r="AM133" s="89"/>
      <c r="AN133" s="89"/>
      <c r="AO133" s="89"/>
    </row>
    <row r="134">
      <c r="A134" s="85">
        <v>44943.0</v>
      </c>
      <c r="B134" s="86">
        <v>358.45</v>
      </c>
      <c r="C134" s="85">
        <v>44866.0</v>
      </c>
      <c r="D134" s="89" t="s">
        <v>1083</v>
      </c>
      <c r="E134" s="89" t="s">
        <v>1084</v>
      </c>
      <c r="F134" s="89" t="s">
        <v>1085</v>
      </c>
      <c r="G134" s="89" t="s">
        <v>114</v>
      </c>
      <c r="H134" s="89" t="s">
        <v>94</v>
      </c>
      <c r="I134" s="89" t="s">
        <v>94</v>
      </c>
      <c r="J134" s="89" t="s">
        <v>95</v>
      </c>
      <c r="K134" s="89"/>
      <c r="L134" s="89">
        <v>1.0</v>
      </c>
      <c r="M134" s="89"/>
      <c r="N134" s="89">
        <v>1.0</v>
      </c>
      <c r="O134" s="85"/>
      <c r="P134" s="89">
        <v>1.0</v>
      </c>
      <c r="Q134" s="89">
        <v>1.0</v>
      </c>
      <c r="R134" s="85"/>
      <c r="S134" s="85"/>
      <c r="T134" s="85"/>
      <c r="U134" s="85"/>
      <c r="V134" s="89"/>
      <c r="W134" s="89"/>
      <c r="X134" s="89"/>
      <c r="Y134" s="89"/>
      <c r="Z134" s="89"/>
      <c r="AA134" s="89"/>
      <c r="AB134" s="89"/>
      <c r="AC134" s="89"/>
      <c r="AD134" s="89"/>
      <c r="AE134" s="89"/>
      <c r="AF134" s="89"/>
      <c r="AG134" s="89"/>
      <c r="AH134" s="89"/>
      <c r="AI134" s="89"/>
      <c r="AJ134" s="89"/>
      <c r="AK134" s="89"/>
      <c r="AL134" s="89"/>
      <c r="AM134" s="89"/>
      <c r="AN134" s="89"/>
      <c r="AO134" s="89"/>
    </row>
    <row r="135">
      <c r="A135" s="85">
        <v>44943.0</v>
      </c>
      <c r="B135" s="333">
        <v>235.43</v>
      </c>
      <c r="C135" s="85">
        <v>44859.0</v>
      </c>
      <c r="D135" s="89" t="s">
        <v>1089</v>
      </c>
      <c r="E135" s="89" t="s">
        <v>1090</v>
      </c>
      <c r="F135" s="89" t="s">
        <v>1091</v>
      </c>
      <c r="G135" s="89" t="s">
        <v>114</v>
      </c>
      <c r="H135" s="89" t="s">
        <v>94</v>
      </c>
      <c r="I135" s="89" t="s">
        <v>94</v>
      </c>
      <c r="J135" s="89" t="s">
        <v>95</v>
      </c>
      <c r="K135" s="89">
        <v>1.0</v>
      </c>
      <c r="L135" s="85"/>
      <c r="M135" s="85"/>
      <c r="N135" s="85"/>
      <c r="O135" s="85"/>
      <c r="P135" s="89">
        <v>1.0</v>
      </c>
      <c r="Q135" s="85"/>
      <c r="R135" s="85"/>
      <c r="S135" s="85"/>
      <c r="T135" s="85"/>
      <c r="U135" s="85"/>
      <c r="V135" s="89"/>
      <c r="W135" s="89"/>
      <c r="X135" s="89"/>
      <c r="Y135" s="89"/>
      <c r="Z135" s="89"/>
      <c r="AA135" s="89"/>
      <c r="AB135" s="89"/>
      <c r="AC135" s="89"/>
      <c r="AD135" s="89"/>
      <c r="AE135" s="89"/>
      <c r="AF135" s="89"/>
      <c r="AG135" s="89"/>
      <c r="AH135" s="89"/>
      <c r="AI135" s="89"/>
      <c r="AJ135" s="89"/>
      <c r="AK135" s="89"/>
      <c r="AL135" s="89"/>
      <c r="AM135" s="89"/>
      <c r="AN135" s="89"/>
      <c r="AO135" s="89"/>
    </row>
    <row r="136">
      <c r="A136" s="85">
        <v>44943.0</v>
      </c>
      <c r="B136" s="86">
        <v>329.12</v>
      </c>
      <c r="C136" s="85">
        <v>44858.0</v>
      </c>
      <c r="D136" s="89" t="s">
        <v>1095</v>
      </c>
      <c r="E136" s="89" t="s">
        <v>1096</v>
      </c>
      <c r="F136" s="89" t="s">
        <v>1097</v>
      </c>
      <c r="G136" s="89" t="s">
        <v>114</v>
      </c>
      <c r="H136" s="89" t="s">
        <v>94</v>
      </c>
      <c r="I136" s="89" t="s">
        <v>94</v>
      </c>
      <c r="J136" s="89" t="s">
        <v>95</v>
      </c>
      <c r="K136" s="85"/>
      <c r="L136" s="89">
        <v>1.0</v>
      </c>
      <c r="M136" s="85"/>
      <c r="N136" s="89">
        <v>1.0</v>
      </c>
      <c r="O136" s="85"/>
      <c r="P136" s="89">
        <v>1.0</v>
      </c>
      <c r="Q136" s="85"/>
      <c r="R136" s="85"/>
      <c r="S136" s="85"/>
      <c r="T136" s="85"/>
      <c r="U136" s="85"/>
      <c r="V136" s="89"/>
      <c r="W136" s="89"/>
      <c r="X136" s="89"/>
      <c r="Y136" s="89"/>
      <c r="Z136" s="89"/>
      <c r="AA136" s="89"/>
      <c r="AB136" s="89"/>
      <c r="AC136" s="89"/>
      <c r="AD136" s="89"/>
      <c r="AE136" s="89"/>
      <c r="AF136" s="89"/>
      <c r="AG136" s="89"/>
      <c r="AH136" s="89"/>
      <c r="AI136" s="89"/>
      <c r="AJ136" s="89"/>
      <c r="AK136" s="89"/>
      <c r="AL136" s="89"/>
      <c r="AM136" s="89"/>
      <c r="AN136" s="89"/>
      <c r="AO136" s="89"/>
    </row>
    <row r="137">
      <c r="A137" s="85">
        <v>44943.0</v>
      </c>
      <c r="B137" s="86">
        <v>321.45</v>
      </c>
      <c r="C137" s="85">
        <v>44887.0</v>
      </c>
      <c r="D137" s="89" t="s">
        <v>1101</v>
      </c>
      <c r="E137" s="89" t="s">
        <v>1102</v>
      </c>
      <c r="F137" s="89" t="s">
        <v>1103</v>
      </c>
      <c r="G137" s="89" t="s">
        <v>114</v>
      </c>
      <c r="H137" s="89" t="s">
        <v>94</v>
      </c>
      <c r="I137" s="89" t="s">
        <v>94</v>
      </c>
      <c r="J137" s="89" t="s">
        <v>95</v>
      </c>
      <c r="K137" s="89">
        <v>1.0</v>
      </c>
      <c r="L137" s="85"/>
      <c r="M137" s="89">
        <v>1.0</v>
      </c>
      <c r="N137" s="85"/>
      <c r="O137" s="85"/>
      <c r="P137" s="89">
        <v>1.0</v>
      </c>
      <c r="Q137" s="85"/>
      <c r="R137" s="85"/>
      <c r="S137" s="85"/>
      <c r="T137" s="85"/>
      <c r="U137" s="85"/>
      <c r="V137" s="89"/>
      <c r="W137" s="89"/>
      <c r="X137" s="89"/>
      <c r="Y137" s="89"/>
      <c r="Z137" s="89"/>
      <c r="AA137" s="89"/>
      <c r="AB137" s="89"/>
      <c r="AC137" s="89"/>
      <c r="AD137" s="89"/>
      <c r="AE137" s="89"/>
      <c r="AF137" s="89"/>
      <c r="AG137" s="89"/>
      <c r="AH137" s="89"/>
      <c r="AI137" s="89"/>
      <c r="AJ137" s="89"/>
      <c r="AK137" s="89"/>
      <c r="AL137" s="89"/>
      <c r="AM137" s="89"/>
      <c r="AN137" s="89"/>
      <c r="AO137" s="89"/>
    </row>
    <row r="138">
      <c r="A138" s="85">
        <v>44943.0</v>
      </c>
      <c r="B138" s="86">
        <v>243.32</v>
      </c>
      <c r="C138" s="85">
        <v>44883.0</v>
      </c>
      <c r="D138" s="89" t="s">
        <v>1107</v>
      </c>
      <c r="E138" s="89" t="s">
        <v>1108</v>
      </c>
      <c r="F138" s="89" t="s">
        <v>1109</v>
      </c>
      <c r="G138" s="89" t="s">
        <v>114</v>
      </c>
      <c r="H138" s="89" t="s">
        <v>94</v>
      </c>
      <c r="I138" s="89" t="s">
        <v>94</v>
      </c>
      <c r="J138" s="89" t="s">
        <v>95</v>
      </c>
      <c r="K138" s="89">
        <v>1.0</v>
      </c>
      <c r="L138" s="89"/>
      <c r="M138" s="85"/>
      <c r="N138" s="85"/>
      <c r="O138" s="85"/>
      <c r="P138" s="89">
        <v>1.0</v>
      </c>
      <c r="Q138" s="85"/>
      <c r="R138" s="85"/>
      <c r="S138" s="85"/>
      <c r="T138" s="85"/>
      <c r="U138" s="85"/>
      <c r="V138" s="89"/>
      <c r="W138" s="89"/>
      <c r="X138" s="89"/>
      <c r="Y138" s="89"/>
      <c r="Z138" s="89"/>
      <c r="AA138" s="89"/>
      <c r="AB138" s="89"/>
      <c r="AC138" s="89"/>
      <c r="AD138" s="89"/>
      <c r="AE138" s="89"/>
      <c r="AF138" s="89"/>
      <c r="AG138" s="89"/>
      <c r="AH138" s="89"/>
      <c r="AI138" s="89"/>
      <c r="AJ138" s="89"/>
      <c r="AK138" s="89"/>
      <c r="AL138" s="89"/>
      <c r="AM138" s="89"/>
      <c r="AN138" s="89"/>
      <c r="AO138" s="89"/>
    </row>
    <row r="139">
      <c r="A139" s="22">
        <v>44943.0</v>
      </c>
      <c r="B139" s="361">
        <v>305.1</v>
      </c>
      <c r="C139" s="22">
        <v>44569.0</v>
      </c>
      <c r="D139" s="25" t="s">
        <v>1113</v>
      </c>
      <c r="E139" s="25" t="s">
        <v>1114</v>
      </c>
      <c r="F139" s="25" t="s">
        <v>1115</v>
      </c>
      <c r="G139" s="25" t="s">
        <v>114</v>
      </c>
      <c r="H139" s="25" t="s">
        <v>94</v>
      </c>
      <c r="I139" s="25" t="s">
        <v>125</v>
      </c>
      <c r="J139" s="25" t="s">
        <v>95</v>
      </c>
      <c r="K139" s="25">
        <v>1.0</v>
      </c>
      <c r="L139" s="25"/>
      <c r="M139" s="25">
        <v>1.0</v>
      </c>
      <c r="N139" s="22"/>
      <c r="O139" s="22"/>
      <c r="P139" s="25"/>
      <c r="Q139" s="22"/>
      <c r="R139" s="22"/>
      <c r="S139" s="22"/>
      <c r="T139" s="22"/>
      <c r="U139" s="22"/>
      <c r="V139" s="25"/>
      <c r="W139" s="25"/>
      <c r="X139" s="25"/>
      <c r="Y139" s="25"/>
      <c r="Z139" s="25"/>
      <c r="AA139" s="25"/>
      <c r="AB139" s="25"/>
      <c r="AC139" s="25"/>
      <c r="AD139" s="25"/>
      <c r="AE139" s="25"/>
      <c r="AF139" s="25"/>
      <c r="AG139" s="25"/>
      <c r="AH139" s="25"/>
      <c r="AI139" s="25"/>
      <c r="AJ139" s="25"/>
      <c r="AK139" s="25"/>
      <c r="AL139" s="25"/>
      <c r="AM139" s="25"/>
      <c r="AN139" s="25"/>
      <c r="AO139" s="25"/>
    </row>
    <row r="140">
      <c r="A140" s="85">
        <v>44578.0</v>
      </c>
      <c r="B140" s="86">
        <v>323.54</v>
      </c>
      <c r="C140" s="85">
        <v>44877.0</v>
      </c>
      <c r="D140" s="1" t="s">
        <v>1119</v>
      </c>
      <c r="E140" s="89" t="s">
        <v>1120</v>
      </c>
      <c r="F140" s="89" t="s">
        <v>1122</v>
      </c>
      <c r="G140" s="89" t="s">
        <v>114</v>
      </c>
      <c r="H140" s="89" t="s">
        <v>94</v>
      </c>
      <c r="I140" s="89" t="s">
        <v>94</v>
      </c>
      <c r="J140" s="89" t="s">
        <v>95</v>
      </c>
      <c r="K140" s="89">
        <v>1.0</v>
      </c>
      <c r="L140" s="89"/>
      <c r="M140" s="89">
        <v>1.0</v>
      </c>
      <c r="N140" s="85"/>
      <c r="O140" s="85"/>
      <c r="P140" s="89">
        <v>1.0</v>
      </c>
      <c r="Q140" s="85"/>
      <c r="R140" s="85"/>
      <c r="S140" s="85"/>
      <c r="T140" s="85"/>
      <c r="U140" s="85"/>
      <c r="V140" s="89"/>
      <c r="W140" s="89"/>
      <c r="X140" s="89"/>
      <c r="Y140" s="89"/>
      <c r="Z140" s="89"/>
      <c r="AA140" s="89"/>
      <c r="AB140" s="89"/>
      <c r="AC140" s="89"/>
      <c r="AD140" s="89"/>
      <c r="AE140" s="89"/>
      <c r="AF140" s="89"/>
      <c r="AG140" s="89"/>
      <c r="AH140" s="89"/>
      <c r="AI140" s="89"/>
      <c r="AJ140" s="89"/>
      <c r="AK140" s="89"/>
      <c r="AL140" s="89"/>
      <c r="AM140" s="89"/>
      <c r="AN140" s="89"/>
      <c r="AO140" s="89"/>
    </row>
    <row r="141">
      <c r="A141" s="85">
        <v>44578.0</v>
      </c>
      <c r="B141" s="86">
        <v>200.1</v>
      </c>
      <c r="C141" s="85">
        <v>44104.0</v>
      </c>
      <c r="D141" s="370" t="s">
        <v>1125</v>
      </c>
      <c r="E141" s="89" t="s">
        <v>1126</v>
      </c>
      <c r="F141" s="89" t="s">
        <v>1127</v>
      </c>
      <c r="G141" s="89" t="s">
        <v>114</v>
      </c>
      <c r="H141" s="89" t="s">
        <v>170</v>
      </c>
      <c r="I141" s="89" t="s">
        <v>170</v>
      </c>
      <c r="J141" s="89" t="s">
        <v>95</v>
      </c>
      <c r="K141" s="89">
        <v>1.0</v>
      </c>
      <c r="L141" s="89"/>
      <c r="M141" s="85"/>
      <c r="N141" s="85"/>
      <c r="O141" s="85"/>
      <c r="P141" s="89"/>
      <c r="Q141" s="89"/>
      <c r="R141" s="85"/>
      <c r="S141" s="85"/>
      <c r="T141" s="85"/>
      <c r="U141" s="85"/>
      <c r="V141" s="89"/>
      <c r="W141" s="89"/>
      <c r="X141" s="89"/>
      <c r="Y141" s="89"/>
      <c r="Z141" s="89"/>
      <c r="AA141" s="89"/>
      <c r="AB141" s="89"/>
      <c r="AC141" s="89"/>
      <c r="AD141" s="89"/>
      <c r="AE141" s="89"/>
      <c r="AF141" s="89"/>
      <c r="AG141" s="89"/>
      <c r="AH141" s="89"/>
      <c r="AI141" s="89"/>
      <c r="AJ141" s="89"/>
      <c r="AK141" s="89"/>
      <c r="AL141" s="89"/>
      <c r="AM141" s="89"/>
      <c r="AN141" s="89"/>
      <c r="AO141" s="89"/>
    </row>
    <row r="142">
      <c r="A142" s="85">
        <v>44578.0</v>
      </c>
      <c r="B142" s="333">
        <v>334.7</v>
      </c>
      <c r="C142" s="85">
        <v>44705.0</v>
      </c>
      <c r="D142" s="89" t="s">
        <v>1133</v>
      </c>
      <c r="E142" s="89" t="s">
        <v>1134</v>
      </c>
      <c r="F142" s="89" t="s">
        <v>1135</v>
      </c>
      <c r="G142" s="89" t="s">
        <v>114</v>
      </c>
      <c r="H142" s="89" t="s">
        <v>94</v>
      </c>
      <c r="I142" s="89" t="s">
        <v>94</v>
      </c>
      <c r="J142" s="89" t="s">
        <v>95</v>
      </c>
      <c r="K142" s="89"/>
      <c r="L142" s="89">
        <v>1.0</v>
      </c>
      <c r="M142" s="85"/>
      <c r="N142" s="89">
        <v>1.0</v>
      </c>
      <c r="O142" s="89">
        <v>1.0</v>
      </c>
      <c r="P142" s="89"/>
      <c r="Q142" s="85"/>
      <c r="R142" s="85"/>
      <c r="S142" s="85"/>
      <c r="T142" s="85"/>
      <c r="U142" s="85"/>
      <c r="V142" s="89"/>
      <c r="W142" s="89"/>
      <c r="X142" s="89"/>
      <c r="Y142" s="89"/>
      <c r="Z142" s="89"/>
      <c r="AA142" s="89"/>
      <c r="AB142" s="89"/>
      <c r="AC142" s="89"/>
      <c r="AD142" s="89"/>
      <c r="AE142" s="89"/>
      <c r="AF142" s="89"/>
      <c r="AG142" s="89"/>
      <c r="AH142" s="89"/>
      <c r="AI142" s="89"/>
      <c r="AJ142" s="89"/>
      <c r="AK142" s="89"/>
      <c r="AL142" s="89"/>
      <c r="AM142" s="89"/>
      <c r="AN142" s="89"/>
      <c r="AO142" s="89"/>
    </row>
    <row r="143">
      <c r="A143" s="85">
        <v>44578.0</v>
      </c>
      <c r="B143" s="293" t="s">
        <v>1141</v>
      </c>
      <c r="C143" s="85">
        <v>44395.0</v>
      </c>
      <c r="D143" s="89" t="s">
        <v>1145</v>
      </c>
      <c r="E143" s="89" t="s">
        <v>1146</v>
      </c>
      <c r="F143" s="89" t="s">
        <v>1147</v>
      </c>
      <c r="G143" s="89" t="s">
        <v>114</v>
      </c>
      <c r="H143" s="89" t="s">
        <v>94</v>
      </c>
      <c r="I143" s="89" t="s">
        <v>125</v>
      </c>
      <c r="J143" s="89" t="s">
        <v>95</v>
      </c>
      <c r="K143" s="89"/>
      <c r="L143" s="89">
        <v>1.0</v>
      </c>
      <c r="M143" s="85"/>
      <c r="N143" s="89">
        <v>1.0</v>
      </c>
      <c r="O143" s="85"/>
      <c r="P143" s="89"/>
      <c r="Q143" s="85"/>
      <c r="R143" s="85"/>
      <c r="S143" s="85"/>
      <c r="T143" s="85"/>
      <c r="U143" s="85"/>
      <c r="V143" s="89"/>
      <c r="W143" s="89"/>
      <c r="X143" s="89"/>
      <c r="Y143" s="89"/>
      <c r="Z143" s="89"/>
      <c r="AA143" s="89"/>
      <c r="AB143" s="89"/>
      <c r="AC143" s="89"/>
      <c r="AD143" s="89"/>
      <c r="AE143" s="89"/>
      <c r="AF143" s="89"/>
      <c r="AG143" s="89"/>
      <c r="AH143" s="89"/>
      <c r="AI143" s="89"/>
      <c r="AJ143" s="89"/>
      <c r="AK143" s="89"/>
      <c r="AL143" s="89"/>
      <c r="AM143" s="89"/>
      <c r="AN143" s="89"/>
      <c r="AO143" s="89"/>
    </row>
    <row r="144">
      <c r="A144" s="85">
        <v>44578.0</v>
      </c>
      <c r="B144" s="333">
        <v>315.81</v>
      </c>
      <c r="C144" s="85">
        <v>44871.0</v>
      </c>
      <c r="D144" s="89" t="s">
        <v>1152</v>
      </c>
      <c r="E144" s="89" t="s">
        <v>1153</v>
      </c>
      <c r="F144" s="89" t="s">
        <v>1154</v>
      </c>
      <c r="G144" s="89" t="s">
        <v>114</v>
      </c>
      <c r="H144" s="89" t="s">
        <v>94</v>
      </c>
      <c r="I144" s="89" t="s">
        <v>94</v>
      </c>
      <c r="J144" s="89" t="s">
        <v>95</v>
      </c>
      <c r="K144" s="85"/>
      <c r="L144" s="89">
        <v>1.0</v>
      </c>
      <c r="M144" s="85"/>
      <c r="N144" s="85"/>
      <c r="O144" s="85"/>
      <c r="P144" s="89">
        <v>1.0</v>
      </c>
      <c r="Q144" s="85"/>
      <c r="R144" s="85"/>
      <c r="S144" s="85"/>
      <c r="T144" s="85"/>
      <c r="U144" s="85"/>
      <c r="V144" s="89"/>
      <c r="W144" s="89"/>
      <c r="X144" s="89"/>
      <c r="Y144" s="89"/>
      <c r="Z144" s="89"/>
      <c r="AA144" s="89"/>
      <c r="AB144" s="89"/>
      <c r="AC144" s="89"/>
      <c r="AD144" s="89"/>
      <c r="AE144" s="89"/>
      <c r="AF144" s="89"/>
      <c r="AG144" s="89"/>
      <c r="AH144" s="89"/>
      <c r="AI144" s="89"/>
      <c r="AJ144" s="89"/>
      <c r="AK144" s="89"/>
      <c r="AL144" s="89"/>
      <c r="AM144" s="89"/>
      <c r="AN144" s="89"/>
      <c r="AO144" s="89"/>
    </row>
    <row r="145">
      <c r="A145" s="85">
        <v>44578.0</v>
      </c>
      <c r="B145" s="86">
        <v>38.26</v>
      </c>
      <c r="C145" s="85">
        <v>44600.0</v>
      </c>
      <c r="D145" s="370" t="s">
        <v>1160</v>
      </c>
      <c r="E145" s="89" t="s">
        <v>1161</v>
      </c>
      <c r="F145" s="89" t="s">
        <v>1162</v>
      </c>
      <c r="G145" s="89" t="s">
        <v>114</v>
      </c>
      <c r="H145" s="89" t="s">
        <v>94</v>
      </c>
      <c r="I145" s="89" t="s">
        <v>125</v>
      </c>
      <c r="J145" s="89" t="s">
        <v>95</v>
      </c>
      <c r="K145" s="85"/>
      <c r="L145" s="89"/>
      <c r="M145" s="85"/>
      <c r="N145" s="89">
        <v>1.0</v>
      </c>
      <c r="O145" s="89">
        <v>1.0</v>
      </c>
      <c r="P145" s="89"/>
      <c r="Q145" s="89"/>
      <c r="R145" s="85"/>
      <c r="S145" s="85"/>
      <c r="T145" s="85"/>
      <c r="U145" s="85"/>
      <c r="V145" s="89"/>
      <c r="W145" s="89"/>
      <c r="X145" s="89"/>
      <c r="Y145" s="89"/>
      <c r="Z145" s="89"/>
      <c r="AA145" s="89"/>
      <c r="AB145" s="89"/>
      <c r="AC145" s="89"/>
      <c r="AD145" s="89"/>
      <c r="AE145" s="89"/>
      <c r="AF145" s="89"/>
      <c r="AG145" s="89"/>
      <c r="AH145" s="89"/>
      <c r="AI145" s="89"/>
      <c r="AJ145" s="89"/>
      <c r="AK145" s="89"/>
      <c r="AL145" s="89"/>
      <c r="AM145" s="89"/>
      <c r="AN145" s="89"/>
      <c r="AO145" s="89"/>
    </row>
    <row r="146">
      <c r="A146" s="85">
        <v>44943.0</v>
      </c>
      <c r="B146" s="86">
        <v>317.7</v>
      </c>
      <c r="C146" s="85">
        <v>44890.0</v>
      </c>
      <c r="D146" s="89" t="s">
        <v>1167</v>
      </c>
      <c r="E146" s="89" t="s">
        <v>1168</v>
      </c>
      <c r="F146" s="89" t="s">
        <v>1169</v>
      </c>
      <c r="G146" s="89" t="s">
        <v>114</v>
      </c>
      <c r="H146" s="89" t="s">
        <v>94</v>
      </c>
      <c r="I146" s="89" t="s">
        <v>94</v>
      </c>
      <c r="J146" s="89" t="s">
        <v>95</v>
      </c>
      <c r="K146" s="89">
        <v>1.0</v>
      </c>
      <c r="L146" s="89"/>
      <c r="M146" s="89">
        <v>1.0</v>
      </c>
      <c r="N146" s="85"/>
      <c r="O146" s="85"/>
      <c r="P146" s="89">
        <v>1.0</v>
      </c>
      <c r="Q146" s="89"/>
      <c r="R146" s="85"/>
      <c r="S146" s="85"/>
      <c r="T146" s="85"/>
      <c r="U146" s="85"/>
      <c r="V146" s="89"/>
      <c r="W146" s="89"/>
      <c r="X146" s="89"/>
      <c r="Y146" s="89"/>
      <c r="Z146" s="89"/>
      <c r="AA146" s="89"/>
      <c r="AB146" s="89"/>
      <c r="AC146" s="89"/>
      <c r="AD146" s="89"/>
      <c r="AE146" s="89"/>
      <c r="AF146" s="89"/>
      <c r="AG146" s="89"/>
      <c r="AH146" s="89"/>
      <c r="AI146" s="89"/>
      <c r="AJ146" s="89"/>
      <c r="AK146" s="89"/>
      <c r="AL146" s="89"/>
      <c r="AM146" s="89"/>
      <c r="AN146" s="89"/>
      <c r="AO146" s="89"/>
    </row>
    <row r="147">
      <c r="A147" s="85">
        <v>44943.0</v>
      </c>
      <c r="B147" s="86">
        <v>298.92</v>
      </c>
      <c r="C147" s="85">
        <v>44687.0</v>
      </c>
      <c r="D147" s="89" t="s">
        <v>1174</v>
      </c>
      <c r="E147" s="89" t="s">
        <v>1175</v>
      </c>
      <c r="F147" s="89" t="s">
        <v>1176</v>
      </c>
      <c r="G147" s="89" t="s">
        <v>114</v>
      </c>
      <c r="H147" s="89" t="s">
        <v>94</v>
      </c>
      <c r="I147" s="89" t="s">
        <v>94</v>
      </c>
      <c r="J147" s="89" t="s">
        <v>95</v>
      </c>
      <c r="K147" s="85"/>
      <c r="L147" s="89">
        <v>1.0</v>
      </c>
      <c r="M147" s="85"/>
      <c r="N147" s="85"/>
      <c r="O147" s="85"/>
      <c r="P147" s="89"/>
      <c r="Q147" s="85"/>
      <c r="R147" s="85"/>
      <c r="S147" s="85"/>
      <c r="T147" s="85"/>
      <c r="U147" s="85"/>
      <c r="V147" s="89"/>
      <c r="W147" s="89"/>
      <c r="X147" s="89"/>
      <c r="Y147" s="89"/>
      <c r="Z147" s="89"/>
      <c r="AA147" s="89"/>
      <c r="AB147" s="89"/>
      <c r="AC147" s="89"/>
      <c r="AD147" s="89"/>
      <c r="AE147" s="89"/>
      <c r="AF147" s="89"/>
      <c r="AG147" s="89"/>
      <c r="AH147" s="89"/>
      <c r="AI147" s="89"/>
      <c r="AJ147" s="89"/>
      <c r="AK147" s="89"/>
      <c r="AL147" s="89"/>
      <c r="AM147" s="89"/>
      <c r="AN147" s="89"/>
      <c r="AO147" s="89"/>
    </row>
    <row r="148">
      <c r="A148" s="85">
        <v>44578.0</v>
      </c>
      <c r="B148" s="86">
        <v>308.51</v>
      </c>
      <c r="C148" s="85">
        <v>44671.0</v>
      </c>
      <c r="D148" s="89" t="s">
        <v>1182</v>
      </c>
      <c r="E148" s="89" t="s">
        <v>1183</v>
      </c>
      <c r="F148" s="89" t="s">
        <v>1185</v>
      </c>
      <c r="G148" s="89" t="s">
        <v>114</v>
      </c>
      <c r="H148" s="89" t="s">
        <v>94</v>
      </c>
      <c r="I148" s="89" t="s">
        <v>94</v>
      </c>
      <c r="J148" s="89" t="s">
        <v>95</v>
      </c>
      <c r="K148" s="85"/>
      <c r="L148" s="89">
        <v>1.0</v>
      </c>
      <c r="M148" s="85"/>
      <c r="N148" s="85"/>
      <c r="O148" s="85"/>
      <c r="P148" s="89"/>
      <c r="Q148" s="85"/>
      <c r="R148" s="85"/>
      <c r="S148" s="85"/>
      <c r="T148" s="85"/>
      <c r="U148" s="85"/>
      <c r="V148" s="89"/>
      <c r="W148" s="89"/>
      <c r="X148" s="89"/>
      <c r="Y148" s="89"/>
      <c r="Z148" s="89"/>
      <c r="AA148" s="89"/>
      <c r="AB148" s="89"/>
      <c r="AC148" s="89"/>
      <c r="AD148" s="89"/>
      <c r="AE148" s="89"/>
      <c r="AF148" s="89"/>
      <c r="AG148" s="89"/>
      <c r="AH148" s="89"/>
      <c r="AI148" s="89"/>
      <c r="AJ148" s="89"/>
      <c r="AK148" s="89"/>
      <c r="AL148" s="89"/>
      <c r="AM148" s="89"/>
      <c r="AN148" s="89"/>
      <c r="AO148" s="89"/>
    </row>
    <row r="149">
      <c r="A149" s="85">
        <v>44943.0</v>
      </c>
      <c r="B149" s="293">
        <v>232.14</v>
      </c>
      <c r="C149" s="85">
        <v>44863.0</v>
      </c>
      <c r="D149" s="370" t="s">
        <v>1190</v>
      </c>
      <c r="E149" s="89" t="s">
        <v>1191</v>
      </c>
      <c r="F149" s="89" t="s">
        <v>1192</v>
      </c>
      <c r="G149" s="89" t="s">
        <v>114</v>
      </c>
      <c r="H149" s="89" t="s">
        <v>94</v>
      </c>
      <c r="I149" s="89" t="s">
        <v>94</v>
      </c>
      <c r="J149" s="89" t="s">
        <v>95</v>
      </c>
      <c r="K149" s="89">
        <v>1.0</v>
      </c>
      <c r="L149" s="89"/>
      <c r="M149" s="85"/>
      <c r="N149" s="85"/>
      <c r="O149" s="85"/>
      <c r="P149" s="89"/>
      <c r="Q149" s="85"/>
      <c r="R149" s="85"/>
      <c r="S149" s="85"/>
      <c r="T149" s="85"/>
      <c r="U149" s="85"/>
      <c r="V149" s="89"/>
      <c r="W149" s="89"/>
      <c r="X149" s="89"/>
      <c r="Y149" s="89"/>
      <c r="Z149" s="89"/>
      <c r="AA149" s="89"/>
      <c r="AB149" s="89"/>
      <c r="AC149" s="89"/>
      <c r="AD149" s="89"/>
      <c r="AE149" s="89"/>
      <c r="AF149" s="89"/>
      <c r="AG149" s="89"/>
      <c r="AH149" s="89"/>
      <c r="AI149" s="89"/>
      <c r="AJ149" s="89"/>
      <c r="AK149" s="89"/>
      <c r="AL149" s="89"/>
      <c r="AM149" s="89"/>
      <c r="AN149" s="89"/>
      <c r="AO149" s="89"/>
    </row>
    <row r="150">
      <c r="A150" s="85"/>
      <c r="B150" s="86">
        <v>74.2</v>
      </c>
      <c r="C150" s="85">
        <v>44863.0</v>
      </c>
      <c r="D150" s="370" t="s">
        <v>1190</v>
      </c>
      <c r="E150" s="89" t="s">
        <v>1191</v>
      </c>
      <c r="F150" s="89" t="s">
        <v>1192</v>
      </c>
      <c r="G150" s="89" t="s">
        <v>114</v>
      </c>
      <c r="H150" s="89" t="s">
        <v>94</v>
      </c>
      <c r="I150" s="89" t="s">
        <v>94</v>
      </c>
      <c r="J150" s="89" t="s">
        <v>95</v>
      </c>
      <c r="K150" s="85"/>
      <c r="L150" s="89"/>
      <c r="M150" s="89">
        <v>1.0</v>
      </c>
      <c r="N150" s="85"/>
      <c r="O150" s="85"/>
      <c r="P150" s="89"/>
      <c r="Q150" s="85"/>
      <c r="R150" s="85"/>
      <c r="S150" s="85"/>
      <c r="T150" s="85"/>
      <c r="U150" s="85"/>
      <c r="V150" s="89"/>
      <c r="W150" s="89"/>
      <c r="X150" s="89"/>
      <c r="Y150" s="89"/>
      <c r="Z150" s="89"/>
      <c r="AA150" s="89"/>
      <c r="AB150" s="89"/>
      <c r="AC150" s="89"/>
      <c r="AD150" s="89"/>
      <c r="AE150" s="89"/>
      <c r="AF150" s="89"/>
      <c r="AG150" s="89"/>
      <c r="AH150" s="89"/>
      <c r="AI150" s="89"/>
      <c r="AJ150" s="89"/>
      <c r="AK150" s="89"/>
      <c r="AL150" s="89"/>
      <c r="AM150" s="89"/>
      <c r="AN150" s="89"/>
      <c r="AO150" s="89"/>
    </row>
    <row r="151">
      <c r="A151" s="85">
        <v>44943.0</v>
      </c>
      <c r="B151" s="86">
        <v>311.54</v>
      </c>
      <c r="C151" s="85">
        <v>44866.0</v>
      </c>
      <c r="D151" s="89" t="s">
        <v>1200</v>
      </c>
      <c r="E151" s="89" t="s">
        <v>1201</v>
      </c>
      <c r="F151" s="89" t="s">
        <v>1202</v>
      </c>
      <c r="G151" s="89" t="s">
        <v>114</v>
      </c>
      <c r="H151" s="89" t="s">
        <v>94</v>
      </c>
      <c r="I151" s="89" t="s">
        <v>94</v>
      </c>
      <c r="J151" s="89" t="s">
        <v>95</v>
      </c>
      <c r="K151" s="85"/>
      <c r="L151" s="89"/>
      <c r="M151" s="85"/>
      <c r="N151" s="85"/>
      <c r="O151" s="85"/>
      <c r="P151" s="89"/>
      <c r="Q151" s="85"/>
      <c r="R151" s="85"/>
      <c r="S151" s="85"/>
      <c r="T151" s="85"/>
      <c r="U151" s="85"/>
      <c r="V151" s="89"/>
      <c r="W151" s="89"/>
      <c r="X151" s="89"/>
      <c r="Y151" s="89"/>
      <c r="Z151" s="89"/>
      <c r="AA151" s="89"/>
      <c r="AB151" s="89"/>
      <c r="AC151" s="89"/>
      <c r="AD151" s="89"/>
      <c r="AE151" s="89"/>
      <c r="AF151" s="89"/>
      <c r="AG151" s="89"/>
      <c r="AH151" s="89"/>
      <c r="AI151" s="89"/>
      <c r="AJ151" s="89"/>
      <c r="AK151" s="89"/>
      <c r="AL151" s="89"/>
      <c r="AM151" s="89"/>
      <c r="AN151" s="89"/>
      <c r="AO151" s="89"/>
    </row>
    <row r="152">
      <c r="A152" s="85">
        <v>44578.0</v>
      </c>
      <c r="B152" s="293">
        <v>211.94</v>
      </c>
      <c r="C152" s="85">
        <v>44877.0</v>
      </c>
      <c r="D152" s="89" t="s">
        <v>1207</v>
      </c>
      <c r="E152" s="89" t="s">
        <v>1209</v>
      </c>
      <c r="F152" s="89" t="s">
        <v>1210</v>
      </c>
      <c r="G152" s="89" t="s">
        <v>114</v>
      </c>
      <c r="H152" s="89" t="s">
        <v>94</v>
      </c>
      <c r="I152" s="89" t="s">
        <v>94</v>
      </c>
      <c r="J152" s="89" t="s">
        <v>95</v>
      </c>
      <c r="K152" s="89">
        <v>1.0</v>
      </c>
      <c r="L152" s="85"/>
      <c r="M152" s="85"/>
      <c r="N152" s="85"/>
      <c r="O152" s="85"/>
      <c r="P152" s="89"/>
      <c r="Q152" s="85"/>
      <c r="R152" s="85"/>
      <c r="S152" s="85"/>
      <c r="T152" s="85"/>
      <c r="U152" s="85"/>
      <c r="V152" s="89"/>
      <c r="W152" s="89"/>
      <c r="X152" s="89"/>
      <c r="Y152" s="89"/>
      <c r="Z152" s="89"/>
      <c r="AA152" s="89"/>
      <c r="AB152" s="89"/>
      <c r="AC152" s="89"/>
      <c r="AD152" s="89"/>
      <c r="AE152" s="89"/>
      <c r="AF152" s="89"/>
      <c r="AG152" s="89"/>
      <c r="AH152" s="89"/>
      <c r="AI152" s="89"/>
      <c r="AJ152" s="89"/>
      <c r="AK152" s="89"/>
      <c r="AL152" s="89"/>
      <c r="AM152" s="89"/>
      <c r="AN152" s="89"/>
      <c r="AO152" s="89"/>
    </row>
    <row r="153">
      <c r="A153" s="85">
        <v>44943.0</v>
      </c>
      <c r="B153" s="86">
        <v>309.23</v>
      </c>
      <c r="C153" s="85">
        <v>44861.0</v>
      </c>
      <c r="D153" s="89" t="s">
        <v>1215</v>
      </c>
      <c r="E153" s="89" t="s">
        <v>1216</v>
      </c>
      <c r="F153" s="89" t="s">
        <v>1217</v>
      </c>
      <c r="G153" s="89" t="s">
        <v>114</v>
      </c>
      <c r="H153" s="89" t="s">
        <v>94</v>
      </c>
      <c r="I153" s="89" t="s">
        <v>94</v>
      </c>
      <c r="J153" s="89" t="s">
        <v>95</v>
      </c>
      <c r="K153" s="85"/>
      <c r="L153" s="89">
        <v>1.0</v>
      </c>
      <c r="M153" s="85"/>
      <c r="N153" s="85"/>
      <c r="O153" s="85"/>
      <c r="P153" s="89">
        <v>1.0</v>
      </c>
      <c r="Q153" s="85"/>
      <c r="R153" s="85"/>
      <c r="S153" s="85"/>
      <c r="T153" s="85"/>
      <c r="U153" s="85"/>
      <c r="V153" s="89"/>
      <c r="W153" s="89"/>
      <c r="X153" s="89"/>
      <c r="Y153" s="89"/>
      <c r="Z153" s="89"/>
      <c r="AA153" s="89"/>
      <c r="AB153" s="89"/>
      <c r="AC153" s="89"/>
      <c r="AD153" s="89"/>
      <c r="AE153" s="89"/>
      <c r="AF153" s="89"/>
      <c r="AG153" s="89"/>
      <c r="AH153" s="89"/>
      <c r="AI153" s="89"/>
      <c r="AJ153" s="89"/>
      <c r="AK153" s="89"/>
      <c r="AL153" s="89"/>
      <c r="AM153" s="89"/>
      <c r="AN153" s="89"/>
      <c r="AO153" s="89"/>
    </row>
    <row r="154">
      <c r="A154" s="85">
        <v>44943.0</v>
      </c>
      <c r="B154" s="86">
        <v>267.0</v>
      </c>
      <c r="C154" s="85">
        <v>44364.0</v>
      </c>
      <c r="D154" s="89" t="s">
        <v>1224</v>
      </c>
      <c r="E154" s="89" t="s">
        <v>1225</v>
      </c>
      <c r="F154" s="89" t="s">
        <v>1226</v>
      </c>
      <c r="G154" s="89" t="s">
        <v>114</v>
      </c>
      <c r="H154" s="89" t="s">
        <v>94</v>
      </c>
      <c r="I154" s="89" t="s">
        <v>94</v>
      </c>
      <c r="J154" s="89" t="s">
        <v>95</v>
      </c>
      <c r="K154" s="85"/>
      <c r="L154" s="89">
        <v>1.0</v>
      </c>
      <c r="M154" s="85"/>
      <c r="N154" s="85"/>
      <c r="O154" s="85"/>
      <c r="P154" s="89">
        <v>1.0</v>
      </c>
      <c r="Q154" s="85"/>
      <c r="R154" s="85"/>
      <c r="S154" s="85"/>
      <c r="T154" s="85"/>
      <c r="U154" s="85"/>
      <c r="V154" s="89"/>
      <c r="W154" s="89"/>
      <c r="X154" s="89"/>
      <c r="Y154" s="89"/>
      <c r="Z154" s="89"/>
      <c r="AA154" s="89"/>
      <c r="AB154" s="89"/>
      <c r="AC154" s="89"/>
      <c r="AD154" s="89"/>
      <c r="AE154" s="89"/>
      <c r="AF154" s="89"/>
      <c r="AG154" s="89"/>
      <c r="AH154" s="89"/>
      <c r="AI154" s="89"/>
      <c r="AJ154" s="89"/>
      <c r="AK154" s="89"/>
      <c r="AL154" s="89"/>
      <c r="AM154" s="89"/>
      <c r="AN154" s="89"/>
      <c r="AO154" s="89"/>
    </row>
    <row r="155">
      <c r="A155" s="85">
        <v>44578.0</v>
      </c>
      <c r="B155" s="86">
        <v>232.14</v>
      </c>
      <c r="C155" s="85">
        <v>44858.0</v>
      </c>
      <c r="D155" s="89" t="s">
        <v>1232</v>
      </c>
      <c r="E155" s="89" t="s">
        <v>1233</v>
      </c>
      <c r="F155" s="89" t="s">
        <v>1234</v>
      </c>
      <c r="G155" s="89" t="s">
        <v>114</v>
      </c>
      <c r="H155" s="89" t="s">
        <v>94</v>
      </c>
      <c r="I155" s="89" t="s">
        <v>94</v>
      </c>
      <c r="J155" s="89" t="s">
        <v>95</v>
      </c>
      <c r="K155" s="89">
        <v>1.0</v>
      </c>
      <c r="L155" s="89"/>
      <c r="M155" s="85"/>
      <c r="N155" s="85"/>
      <c r="O155" s="85"/>
      <c r="P155" s="89">
        <v>1.0</v>
      </c>
      <c r="Q155" s="85"/>
      <c r="R155" s="85"/>
      <c r="S155" s="85"/>
      <c r="T155" s="85"/>
      <c r="U155" s="85"/>
      <c r="V155" s="89"/>
      <c r="W155" s="89"/>
      <c r="X155" s="89"/>
      <c r="Y155" s="89"/>
      <c r="Z155" s="89"/>
      <c r="AA155" s="89"/>
      <c r="AB155" s="89"/>
      <c r="AC155" s="89"/>
      <c r="AD155" s="89"/>
      <c r="AE155" s="89"/>
      <c r="AF155" s="89"/>
      <c r="AG155" s="89"/>
      <c r="AH155" s="89"/>
      <c r="AI155" s="89"/>
      <c r="AJ155" s="89"/>
      <c r="AK155" s="89"/>
      <c r="AL155" s="89"/>
      <c r="AM155" s="89"/>
      <c r="AN155" s="89"/>
      <c r="AO155" s="89"/>
    </row>
    <row r="156">
      <c r="A156" s="85">
        <v>44943.0</v>
      </c>
      <c r="B156" s="86">
        <v>265.0</v>
      </c>
      <c r="C156" s="85">
        <v>44362.0</v>
      </c>
      <c r="D156" s="370" t="s">
        <v>1239</v>
      </c>
      <c r="E156" s="89" t="s">
        <v>1240</v>
      </c>
      <c r="F156" s="89" t="s">
        <v>1241</v>
      </c>
      <c r="G156" s="89" t="s">
        <v>114</v>
      </c>
      <c r="H156" s="89" t="s">
        <v>94</v>
      </c>
      <c r="I156" s="89" t="s">
        <v>94</v>
      </c>
      <c r="J156" s="89" t="s">
        <v>95</v>
      </c>
      <c r="K156" s="89">
        <v>1.0</v>
      </c>
      <c r="L156" s="85"/>
      <c r="M156" s="89">
        <v>1.0</v>
      </c>
      <c r="N156" s="89"/>
      <c r="O156" s="85"/>
      <c r="P156" s="89"/>
      <c r="Q156" s="85"/>
      <c r="R156" s="85"/>
      <c r="S156" s="85"/>
      <c r="T156" s="85"/>
      <c r="U156" s="85"/>
      <c r="V156" s="89"/>
      <c r="W156" s="89"/>
      <c r="X156" s="89"/>
      <c r="Y156" s="89"/>
      <c r="Z156" s="89"/>
      <c r="AA156" s="89"/>
      <c r="AB156" s="89"/>
      <c r="AC156" s="89"/>
      <c r="AD156" s="89"/>
      <c r="AE156" s="89"/>
      <c r="AF156" s="89"/>
      <c r="AG156" s="89"/>
      <c r="AH156" s="89"/>
      <c r="AI156" s="89"/>
      <c r="AJ156" s="89"/>
      <c r="AK156" s="89"/>
      <c r="AL156" s="89"/>
      <c r="AM156" s="89"/>
      <c r="AN156" s="89"/>
      <c r="AO156" s="89"/>
    </row>
    <row r="157">
      <c r="A157" s="85">
        <v>44943.0</v>
      </c>
      <c r="B157" s="86">
        <v>265.0</v>
      </c>
      <c r="C157" s="85">
        <v>44403.0</v>
      </c>
      <c r="D157" s="89" t="s">
        <v>1245</v>
      </c>
      <c r="E157" s="89" t="s">
        <v>1246</v>
      </c>
      <c r="F157" s="89" t="s">
        <v>1247</v>
      </c>
      <c r="G157" s="89" t="s">
        <v>114</v>
      </c>
      <c r="H157" s="89" t="s">
        <v>94</v>
      </c>
      <c r="I157" s="89" t="s">
        <v>94</v>
      </c>
      <c r="J157" s="89" t="s">
        <v>95</v>
      </c>
      <c r="K157" s="89">
        <v>1.0</v>
      </c>
      <c r="L157" s="89"/>
      <c r="M157" s="89">
        <v>1.0</v>
      </c>
      <c r="N157" s="89"/>
      <c r="O157" s="85"/>
      <c r="P157" s="85"/>
      <c r="Q157" s="85"/>
      <c r="R157" s="85"/>
      <c r="S157" s="85"/>
      <c r="T157" s="85"/>
      <c r="U157" s="85"/>
      <c r="V157" s="89"/>
      <c r="W157" s="89"/>
      <c r="X157" s="89"/>
      <c r="Y157" s="89"/>
      <c r="Z157" s="89"/>
      <c r="AA157" s="89"/>
      <c r="AB157" s="89"/>
      <c r="AC157" s="89"/>
      <c r="AD157" s="89"/>
      <c r="AE157" s="89"/>
      <c r="AF157" s="89"/>
      <c r="AG157" s="89"/>
      <c r="AH157" s="89"/>
      <c r="AI157" s="89"/>
      <c r="AJ157" s="89"/>
      <c r="AK157" s="89"/>
      <c r="AL157" s="89"/>
      <c r="AM157" s="89"/>
      <c r="AN157" s="89"/>
      <c r="AO157" s="89"/>
    </row>
    <row r="158">
      <c r="A158" s="85">
        <v>44943.0</v>
      </c>
      <c r="B158" s="86">
        <v>372.18</v>
      </c>
      <c r="C158" s="85">
        <v>44892.0</v>
      </c>
      <c r="D158" s="89" t="s">
        <v>1251</v>
      </c>
      <c r="E158" s="1" t="s">
        <v>1252</v>
      </c>
      <c r="F158" s="89" t="s">
        <v>1253</v>
      </c>
      <c r="G158" s="89" t="s">
        <v>114</v>
      </c>
      <c r="H158" s="89" t="s">
        <v>94</v>
      </c>
      <c r="I158" s="89" t="s">
        <v>94</v>
      </c>
      <c r="J158" s="89" t="s">
        <v>95</v>
      </c>
      <c r="K158" s="89">
        <v>1.0</v>
      </c>
      <c r="L158" s="89"/>
      <c r="M158" s="89">
        <v>1.0</v>
      </c>
      <c r="N158" s="89">
        <v>1.0</v>
      </c>
      <c r="O158" s="85"/>
      <c r="P158" s="89">
        <v>1.0</v>
      </c>
      <c r="Q158" s="85"/>
      <c r="R158" s="85"/>
      <c r="S158" s="85"/>
      <c r="T158" s="85"/>
      <c r="U158" s="85"/>
      <c r="V158" s="89"/>
      <c r="W158" s="89"/>
      <c r="X158" s="89"/>
      <c r="Y158" s="89"/>
      <c r="Z158" s="89"/>
      <c r="AA158" s="89"/>
      <c r="AB158" s="89"/>
      <c r="AC158" s="89"/>
      <c r="AD158" s="89"/>
      <c r="AE158" s="89"/>
      <c r="AF158" s="89"/>
      <c r="AG158" s="89"/>
      <c r="AH158" s="89"/>
      <c r="AI158" s="89"/>
      <c r="AJ158" s="89"/>
      <c r="AK158" s="89"/>
      <c r="AL158" s="89"/>
      <c r="AM158" s="89"/>
      <c r="AN158" s="89"/>
      <c r="AO158" s="89"/>
    </row>
    <row r="159">
      <c r="A159" s="85">
        <v>44578.0</v>
      </c>
      <c r="B159" s="86">
        <v>299.0</v>
      </c>
      <c r="C159" s="85">
        <v>44886.0</v>
      </c>
      <c r="D159" s="89" t="s">
        <v>1258</v>
      </c>
      <c r="E159" s="89" t="s">
        <v>1259</v>
      </c>
      <c r="F159" s="89" t="s">
        <v>1260</v>
      </c>
      <c r="G159" s="89" t="s">
        <v>114</v>
      </c>
      <c r="H159" s="89" t="s">
        <v>94</v>
      </c>
      <c r="I159" s="89" t="s">
        <v>94</v>
      </c>
      <c r="J159" s="89" t="s">
        <v>95</v>
      </c>
      <c r="K159" s="89">
        <v>1.0</v>
      </c>
      <c r="L159" s="85"/>
      <c r="M159" s="89">
        <v>1.0</v>
      </c>
      <c r="N159" s="85"/>
      <c r="O159" s="85"/>
      <c r="P159" s="89"/>
      <c r="Q159" s="85"/>
      <c r="R159" s="85"/>
      <c r="S159" s="85"/>
      <c r="T159" s="85"/>
      <c r="U159" s="85"/>
      <c r="V159" s="89"/>
      <c r="W159" s="89"/>
      <c r="X159" s="89"/>
      <c r="Y159" s="89"/>
      <c r="Z159" s="89"/>
      <c r="AA159" s="89"/>
      <c r="AB159" s="89"/>
      <c r="AC159" s="89"/>
      <c r="AD159" s="89"/>
      <c r="AE159" s="89"/>
      <c r="AF159" s="89"/>
      <c r="AG159" s="89"/>
      <c r="AH159" s="89"/>
      <c r="AI159" s="89"/>
      <c r="AJ159" s="89"/>
      <c r="AK159" s="89"/>
      <c r="AL159" s="89"/>
      <c r="AM159" s="89"/>
      <c r="AN159" s="89"/>
      <c r="AO159" s="89"/>
    </row>
    <row r="160">
      <c r="A160" s="85">
        <v>44943.0</v>
      </c>
      <c r="B160" s="86">
        <v>51.04</v>
      </c>
      <c r="C160" s="85">
        <v>44727.0</v>
      </c>
      <c r="D160" s="89" t="s">
        <v>1265</v>
      </c>
      <c r="E160" s="89" t="s">
        <v>1266</v>
      </c>
      <c r="F160" s="89" t="s">
        <v>1267</v>
      </c>
      <c r="G160" s="89" t="s">
        <v>114</v>
      </c>
      <c r="H160" s="89" t="s">
        <v>94</v>
      </c>
      <c r="I160" s="89" t="s">
        <v>94</v>
      </c>
      <c r="J160" s="89" t="s">
        <v>95</v>
      </c>
      <c r="K160" s="89"/>
      <c r="L160" s="85"/>
      <c r="M160" s="85"/>
      <c r="N160" s="89">
        <v>1.0</v>
      </c>
      <c r="O160" s="89">
        <v>1.0</v>
      </c>
      <c r="P160" s="89">
        <v>1.0</v>
      </c>
      <c r="Q160" s="85"/>
      <c r="R160" s="85"/>
      <c r="S160" s="85"/>
      <c r="T160" s="85"/>
      <c r="U160" s="85"/>
      <c r="V160" s="89"/>
      <c r="W160" s="89"/>
      <c r="X160" s="89"/>
      <c r="Y160" s="89"/>
      <c r="Z160" s="89"/>
      <c r="AA160" s="89"/>
      <c r="AB160" s="89"/>
      <c r="AC160" s="89"/>
      <c r="AD160" s="89"/>
      <c r="AE160" s="89"/>
      <c r="AF160" s="89"/>
      <c r="AG160" s="89"/>
      <c r="AH160" s="89"/>
      <c r="AI160" s="89"/>
      <c r="AJ160" s="89"/>
      <c r="AK160" s="89"/>
      <c r="AL160" s="89"/>
      <c r="AM160" s="89"/>
      <c r="AN160" s="89"/>
      <c r="AO160" s="89"/>
    </row>
    <row r="161">
      <c r="A161" s="85">
        <v>44943.0</v>
      </c>
      <c r="B161" s="86">
        <v>232.14</v>
      </c>
      <c r="C161" s="85">
        <v>44573.0</v>
      </c>
      <c r="D161" s="89" t="s">
        <v>1268</v>
      </c>
      <c r="E161" s="89" t="s">
        <v>1270</v>
      </c>
      <c r="F161" s="89" t="s">
        <v>1272</v>
      </c>
      <c r="G161" s="89" t="s">
        <v>114</v>
      </c>
      <c r="H161" s="89" t="s">
        <v>94</v>
      </c>
      <c r="I161" s="89" t="s">
        <v>94</v>
      </c>
      <c r="J161" s="89" t="s">
        <v>95</v>
      </c>
      <c r="K161" s="89">
        <v>1.0</v>
      </c>
      <c r="L161" s="85"/>
      <c r="M161" s="85"/>
      <c r="N161" s="89"/>
      <c r="O161" s="85"/>
      <c r="P161" s="85"/>
      <c r="Q161" s="85"/>
      <c r="R161" s="85"/>
      <c r="S161" s="85"/>
      <c r="T161" s="85"/>
      <c r="U161" s="85"/>
      <c r="V161" s="89"/>
      <c r="W161" s="89"/>
      <c r="X161" s="89"/>
      <c r="Y161" s="89"/>
      <c r="Z161" s="89"/>
      <c r="AA161" s="89"/>
      <c r="AB161" s="89"/>
      <c r="AC161" s="89"/>
      <c r="AD161" s="89"/>
      <c r="AE161" s="89"/>
      <c r="AF161" s="89"/>
      <c r="AG161" s="89"/>
      <c r="AH161" s="89"/>
      <c r="AI161" s="89"/>
      <c r="AJ161" s="89"/>
      <c r="AK161" s="89"/>
      <c r="AL161" s="89"/>
      <c r="AM161" s="89"/>
      <c r="AN161" s="89"/>
      <c r="AO161" s="89"/>
    </row>
    <row r="162" ht="15.0" customHeight="1">
      <c r="A162" s="85">
        <v>44943.0</v>
      </c>
      <c r="B162" s="86">
        <v>243.32</v>
      </c>
      <c r="C162" s="85">
        <v>44893.0</v>
      </c>
      <c r="D162" s="89" t="s">
        <v>1277</v>
      </c>
      <c r="E162" s="89" t="s">
        <v>1278</v>
      </c>
      <c r="F162" s="89" t="s">
        <v>1279</v>
      </c>
      <c r="G162" s="89" t="s">
        <v>114</v>
      </c>
      <c r="H162" s="89" t="s">
        <v>94</v>
      </c>
      <c r="I162" s="89" t="s">
        <v>125</v>
      </c>
      <c r="J162" s="89" t="s">
        <v>95</v>
      </c>
      <c r="K162" s="89">
        <v>1.0</v>
      </c>
      <c r="L162" s="89"/>
      <c r="M162" s="85"/>
      <c r="N162" s="89"/>
      <c r="O162" s="85"/>
      <c r="P162" s="89"/>
      <c r="Q162" s="89"/>
      <c r="R162" s="85"/>
      <c r="S162" s="85"/>
      <c r="T162" s="85"/>
      <c r="U162" s="85"/>
      <c r="V162" s="89"/>
      <c r="W162" s="89"/>
      <c r="X162" s="89"/>
      <c r="Y162" s="89"/>
      <c r="Z162" s="89"/>
      <c r="AA162" s="89"/>
      <c r="AB162" s="89"/>
      <c r="AC162" s="89"/>
      <c r="AD162" s="89"/>
      <c r="AE162" s="89"/>
      <c r="AF162" s="89"/>
      <c r="AG162" s="89"/>
      <c r="AH162" s="89"/>
      <c r="AI162" s="89"/>
      <c r="AJ162" s="89"/>
      <c r="AK162" s="89"/>
      <c r="AL162" s="89"/>
      <c r="AM162" s="89"/>
      <c r="AN162" s="89"/>
      <c r="AO162" s="89"/>
    </row>
    <row r="163" ht="15.0" customHeight="1">
      <c r="A163" s="85">
        <v>44943.0</v>
      </c>
      <c r="B163" s="86">
        <v>318.62</v>
      </c>
      <c r="C163" s="85">
        <v>44663.0</v>
      </c>
      <c r="D163" s="89" t="s">
        <v>1283</v>
      </c>
      <c r="E163" s="89" t="s">
        <v>1284</v>
      </c>
      <c r="F163" s="89" t="s">
        <v>1285</v>
      </c>
      <c r="G163" s="89" t="s">
        <v>114</v>
      </c>
      <c r="H163" s="89" t="s">
        <v>94</v>
      </c>
      <c r="I163" s="89" t="s">
        <v>94</v>
      </c>
      <c r="J163" s="89" t="s">
        <v>95</v>
      </c>
      <c r="K163" s="89"/>
      <c r="L163" s="89">
        <v>1.0</v>
      </c>
      <c r="M163" s="85"/>
      <c r="N163" s="85"/>
      <c r="O163" s="85"/>
      <c r="P163" s="89"/>
      <c r="Q163" s="85"/>
      <c r="R163" s="85"/>
      <c r="S163" s="85"/>
      <c r="T163" s="85"/>
      <c r="U163" s="85"/>
      <c r="V163" s="89"/>
      <c r="W163" s="89"/>
      <c r="X163" s="89"/>
      <c r="Y163" s="89"/>
      <c r="Z163" s="89"/>
      <c r="AA163" s="89"/>
      <c r="AB163" s="89"/>
      <c r="AC163" s="89"/>
      <c r="AD163" s="89"/>
      <c r="AE163" s="89"/>
      <c r="AF163" s="89"/>
      <c r="AG163" s="89"/>
      <c r="AH163" s="89"/>
      <c r="AI163" s="89"/>
      <c r="AJ163" s="89"/>
      <c r="AK163" s="89"/>
      <c r="AL163" s="89"/>
      <c r="AM163" s="89"/>
      <c r="AN163" s="89"/>
      <c r="AO163" s="89"/>
    </row>
    <row r="164" ht="15.0" customHeight="1">
      <c r="A164" s="85">
        <v>44578.0</v>
      </c>
      <c r="B164" s="86">
        <v>317.99</v>
      </c>
      <c r="C164" s="85">
        <v>44883.0</v>
      </c>
      <c r="D164" s="413" t="s">
        <v>1292</v>
      </c>
      <c r="E164" s="89" t="s">
        <v>1293</v>
      </c>
      <c r="F164" s="89" t="s">
        <v>1294</v>
      </c>
      <c r="G164" s="89" t="s">
        <v>114</v>
      </c>
      <c r="H164" s="89" t="s">
        <v>94</v>
      </c>
      <c r="I164" s="89" t="s">
        <v>94</v>
      </c>
      <c r="J164" s="89" t="s">
        <v>95</v>
      </c>
      <c r="K164" s="89">
        <v>1.0</v>
      </c>
      <c r="L164" s="89"/>
      <c r="M164" s="89">
        <v>1.0</v>
      </c>
      <c r="N164" s="85"/>
      <c r="O164" s="85"/>
      <c r="P164" s="89">
        <v>1.0</v>
      </c>
      <c r="Q164" s="85"/>
      <c r="R164" s="85"/>
      <c r="S164" s="85"/>
      <c r="T164" s="85"/>
      <c r="U164" s="85"/>
      <c r="V164" s="89"/>
      <c r="W164" s="89"/>
      <c r="X164" s="89"/>
      <c r="Y164" s="89"/>
      <c r="Z164" s="89"/>
      <c r="AA164" s="89"/>
      <c r="AB164" s="89"/>
      <c r="AC164" s="89"/>
      <c r="AD164" s="89"/>
      <c r="AE164" s="89"/>
      <c r="AF164" s="89"/>
      <c r="AG164" s="89"/>
      <c r="AH164" s="89"/>
      <c r="AI164" s="89"/>
      <c r="AJ164" s="89"/>
      <c r="AK164" s="89"/>
      <c r="AL164" s="89"/>
      <c r="AM164" s="89"/>
      <c r="AN164" s="89"/>
      <c r="AO164" s="89"/>
    </row>
    <row r="165">
      <c r="A165" s="85">
        <v>44943.0</v>
      </c>
      <c r="B165" s="86">
        <v>220.34</v>
      </c>
      <c r="C165" s="85">
        <v>44676.0</v>
      </c>
      <c r="D165" s="89" t="s">
        <v>1298</v>
      </c>
      <c r="E165" s="89" t="s">
        <v>1299</v>
      </c>
      <c r="F165" s="89" t="s">
        <v>1300</v>
      </c>
      <c r="G165" s="89" t="s">
        <v>114</v>
      </c>
      <c r="H165" s="89" t="s">
        <v>94</v>
      </c>
      <c r="I165" s="89" t="s">
        <v>94</v>
      </c>
      <c r="J165" s="89" t="s">
        <v>95</v>
      </c>
      <c r="K165" s="89">
        <v>1.0</v>
      </c>
      <c r="L165" s="85"/>
      <c r="M165" s="85"/>
      <c r="N165" s="85"/>
      <c r="O165" s="85"/>
      <c r="P165" s="89"/>
      <c r="Q165" s="85"/>
      <c r="R165" s="85"/>
      <c r="S165" s="85"/>
      <c r="T165" s="85"/>
      <c r="U165" s="85"/>
      <c r="V165" s="89"/>
      <c r="W165" s="89"/>
      <c r="X165" s="89"/>
      <c r="Y165" s="89"/>
      <c r="Z165" s="89"/>
      <c r="AA165" s="89"/>
      <c r="AB165" s="89"/>
      <c r="AC165" s="89"/>
      <c r="AD165" s="89"/>
      <c r="AE165" s="89"/>
      <c r="AF165" s="89"/>
      <c r="AG165" s="89"/>
      <c r="AH165" s="89"/>
      <c r="AI165" s="89"/>
      <c r="AJ165" s="89"/>
      <c r="AK165" s="89"/>
      <c r="AL165" s="89"/>
      <c r="AM165" s="89"/>
      <c r="AN165" s="89"/>
      <c r="AO165" s="89"/>
    </row>
    <row r="166" ht="16.5" customHeight="1">
      <c r="A166" s="85">
        <v>44943.0</v>
      </c>
      <c r="B166" s="86">
        <v>242.93</v>
      </c>
      <c r="C166" s="85">
        <v>44888.0</v>
      </c>
      <c r="D166" s="89" t="s">
        <v>1307</v>
      </c>
      <c r="E166" s="89" t="s">
        <v>1308</v>
      </c>
      <c r="F166" s="89" t="s">
        <v>1309</v>
      </c>
      <c r="G166" s="89" t="s">
        <v>114</v>
      </c>
      <c r="H166" s="89" t="s">
        <v>94</v>
      </c>
      <c r="I166" s="89" t="s">
        <v>1310</v>
      </c>
      <c r="J166" s="89" t="s">
        <v>95</v>
      </c>
      <c r="K166" s="89">
        <v>1.0</v>
      </c>
      <c r="L166" s="89"/>
      <c r="M166" s="85"/>
      <c r="N166" s="89"/>
      <c r="O166" s="85"/>
      <c r="P166" s="89">
        <v>1.0</v>
      </c>
      <c r="Q166" s="89"/>
      <c r="R166" s="85"/>
      <c r="S166" s="85"/>
      <c r="T166" s="85"/>
      <c r="U166" s="85"/>
      <c r="V166" s="89"/>
      <c r="W166" s="89"/>
      <c r="X166" s="89"/>
      <c r="Y166" s="89"/>
      <c r="Z166" s="89"/>
      <c r="AA166" s="89"/>
      <c r="AB166" s="89"/>
      <c r="AC166" s="89"/>
      <c r="AD166" s="89"/>
      <c r="AE166" s="89"/>
      <c r="AF166" s="89"/>
      <c r="AG166" s="89"/>
      <c r="AH166" s="89"/>
      <c r="AI166" s="89"/>
      <c r="AJ166" s="89"/>
      <c r="AK166" s="89"/>
      <c r="AL166" s="89"/>
      <c r="AM166" s="89"/>
      <c r="AN166" s="89"/>
      <c r="AO166" s="89"/>
    </row>
    <row r="167">
      <c r="A167" s="85">
        <v>44943.0</v>
      </c>
      <c r="B167" s="86">
        <v>237.08</v>
      </c>
      <c r="C167" s="85">
        <v>44864.0</v>
      </c>
      <c r="D167" s="89" t="s">
        <v>1314</v>
      </c>
      <c r="E167" s="89" t="s">
        <v>1315</v>
      </c>
      <c r="F167" s="89" t="s">
        <v>1316</v>
      </c>
      <c r="G167" s="89" t="s">
        <v>114</v>
      </c>
      <c r="H167" s="89" t="s">
        <v>94</v>
      </c>
      <c r="I167" s="89" t="s">
        <v>1310</v>
      </c>
      <c r="J167" s="89" t="s">
        <v>95</v>
      </c>
      <c r="K167" s="89">
        <v>1.0</v>
      </c>
      <c r="L167" s="89"/>
      <c r="M167" s="85"/>
      <c r="N167" s="85"/>
      <c r="O167" s="85"/>
      <c r="P167" s="89">
        <v>1.0</v>
      </c>
      <c r="Q167" s="85"/>
      <c r="R167" s="85"/>
      <c r="S167" s="85"/>
      <c r="T167" s="85"/>
      <c r="U167" s="85"/>
      <c r="V167" s="89"/>
      <c r="W167" s="89"/>
      <c r="X167" s="89"/>
      <c r="Y167" s="89"/>
      <c r="Z167" s="89"/>
      <c r="AA167" s="89"/>
      <c r="AB167" s="89"/>
      <c r="AC167" s="89"/>
      <c r="AD167" s="89"/>
      <c r="AE167" s="89"/>
      <c r="AF167" s="89"/>
      <c r="AG167" s="89"/>
      <c r="AH167" s="89"/>
      <c r="AI167" s="89"/>
      <c r="AJ167" s="89"/>
      <c r="AK167" s="89"/>
      <c r="AL167" s="89"/>
      <c r="AM167" s="89"/>
      <c r="AN167" s="89"/>
      <c r="AO167" s="89"/>
    </row>
    <row r="168">
      <c r="A168" s="85">
        <v>44943.0</v>
      </c>
      <c r="B168" s="86">
        <v>242.74</v>
      </c>
      <c r="C168" s="85">
        <v>44890.0</v>
      </c>
      <c r="D168" s="89" t="s">
        <v>1320</v>
      </c>
      <c r="E168" s="89" t="s">
        <v>1321</v>
      </c>
      <c r="F168" s="89" t="s">
        <v>1322</v>
      </c>
      <c r="G168" s="89" t="s">
        <v>114</v>
      </c>
      <c r="H168" s="89" t="s">
        <v>94</v>
      </c>
      <c r="I168" s="89" t="s">
        <v>94</v>
      </c>
      <c r="J168" s="89" t="s">
        <v>95</v>
      </c>
      <c r="K168" s="89">
        <v>1.0</v>
      </c>
      <c r="L168" s="89"/>
      <c r="M168" s="85"/>
      <c r="N168" s="85"/>
      <c r="O168" s="85"/>
      <c r="P168" s="89">
        <v>1.0</v>
      </c>
      <c r="Q168" s="85"/>
      <c r="R168" s="85"/>
      <c r="S168" s="85"/>
      <c r="T168" s="85"/>
      <c r="U168" s="85"/>
      <c r="V168" s="89"/>
      <c r="W168" s="89"/>
      <c r="X168" s="89"/>
      <c r="Y168" s="89"/>
      <c r="Z168" s="89"/>
      <c r="AA168" s="89"/>
      <c r="AB168" s="89"/>
      <c r="AC168" s="89"/>
      <c r="AD168" s="89"/>
      <c r="AE168" s="89"/>
      <c r="AF168" s="89"/>
      <c r="AG168" s="89"/>
      <c r="AH168" s="89"/>
      <c r="AI168" s="89"/>
      <c r="AJ168" s="89"/>
      <c r="AK168" s="89"/>
      <c r="AL168" s="89"/>
      <c r="AM168" s="89"/>
      <c r="AN168" s="89"/>
      <c r="AO168" s="89"/>
    </row>
    <row r="169">
      <c r="A169" s="85">
        <v>44943.0</v>
      </c>
      <c r="B169" s="86">
        <v>314.15</v>
      </c>
      <c r="C169" s="85">
        <v>44714.0</v>
      </c>
      <c r="D169" s="89" t="s">
        <v>1329</v>
      </c>
      <c r="E169" s="89" t="s">
        <v>1330</v>
      </c>
      <c r="F169" s="89" t="s">
        <v>1331</v>
      </c>
      <c r="G169" s="89" t="s">
        <v>114</v>
      </c>
      <c r="H169" s="89" t="s">
        <v>94</v>
      </c>
      <c r="I169" s="89" t="s">
        <v>135</v>
      </c>
      <c r="J169" s="89" t="s">
        <v>95</v>
      </c>
      <c r="K169" s="85"/>
      <c r="L169" s="89">
        <v>1.0</v>
      </c>
      <c r="M169" s="85"/>
      <c r="N169" s="89"/>
      <c r="O169" s="85"/>
      <c r="P169" s="89"/>
      <c r="Q169" s="89"/>
      <c r="R169" s="85"/>
      <c r="S169" s="85"/>
      <c r="T169" s="85"/>
      <c r="U169" s="85"/>
      <c r="V169" s="89"/>
      <c r="W169" s="89"/>
      <c r="X169" s="89"/>
      <c r="Y169" s="89"/>
      <c r="Z169" s="89"/>
      <c r="AA169" s="89"/>
      <c r="AB169" s="89"/>
      <c r="AC169" s="89"/>
      <c r="AD169" s="89"/>
      <c r="AE169" s="89"/>
      <c r="AF169" s="89"/>
      <c r="AG169" s="89"/>
      <c r="AH169" s="89"/>
      <c r="AI169" s="89"/>
      <c r="AJ169" s="89"/>
      <c r="AK169" s="89"/>
      <c r="AL169" s="89"/>
      <c r="AM169" s="89"/>
      <c r="AN169" s="89"/>
      <c r="AO169" s="89"/>
    </row>
    <row r="170">
      <c r="A170" s="85">
        <v>44943.0</v>
      </c>
      <c r="B170" s="86">
        <v>266.94</v>
      </c>
      <c r="C170" s="85">
        <v>44883.0</v>
      </c>
      <c r="D170" s="89" t="s">
        <v>1335</v>
      </c>
      <c r="E170" s="89" t="s">
        <v>1336</v>
      </c>
      <c r="F170" s="89" t="s">
        <v>1338</v>
      </c>
      <c r="G170" s="89" t="s">
        <v>114</v>
      </c>
      <c r="H170" s="89" t="s">
        <v>94</v>
      </c>
      <c r="I170" s="89" t="s">
        <v>94</v>
      </c>
      <c r="J170" s="89" t="s">
        <v>95</v>
      </c>
      <c r="K170" s="89">
        <v>1.0</v>
      </c>
      <c r="L170" s="89"/>
      <c r="M170" s="85"/>
      <c r="N170" s="89">
        <v>1.0</v>
      </c>
      <c r="O170" s="85"/>
      <c r="P170" s="89">
        <v>1.0</v>
      </c>
      <c r="Q170" s="85"/>
      <c r="R170" s="85"/>
      <c r="S170" s="85"/>
      <c r="T170" s="85"/>
      <c r="U170" s="85"/>
      <c r="V170" s="89"/>
      <c r="W170" s="89"/>
      <c r="X170" s="89"/>
      <c r="Y170" s="89"/>
      <c r="Z170" s="89"/>
      <c r="AA170" s="89"/>
      <c r="AB170" s="89"/>
      <c r="AC170" s="89"/>
      <c r="AD170" s="89"/>
      <c r="AE170" s="89"/>
      <c r="AF170" s="89"/>
      <c r="AG170" s="89"/>
      <c r="AH170" s="89"/>
      <c r="AI170" s="89"/>
      <c r="AJ170" s="89"/>
      <c r="AK170" s="89"/>
      <c r="AL170" s="89"/>
      <c r="AM170" s="89"/>
      <c r="AN170" s="89"/>
      <c r="AO170" s="89"/>
    </row>
    <row r="171">
      <c r="A171" s="85">
        <v>44943.0</v>
      </c>
      <c r="B171" s="86">
        <v>245.89</v>
      </c>
      <c r="C171" s="85">
        <v>44890.0</v>
      </c>
      <c r="D171" s="89" t="s">
        <v>1343</v>
      </c>
      <c r="E171" s="89" t="s">
        <v>1344</v>
      </c>
      <c r="F171" s="89" t="s">
        <v>1345</v>
      </c>
      <c r="G171" s="89" t="s">
        <v>114</v>
      </c>
      <c r="H171" s="89" t="s">
        <v>94</v>
      </c>
      <c r="I171" s="89" t="s">
        <v>94</v>
      </c>
      <c r="J171" s="89" t="s">
        <v>95</v>
      </c>
      <c r="K171" s="89">
        <v>1.0</v>
      </c>
      <c r="L171" s="85"/>
      <c r="M171" s="85"/>
      <c r="N171" s="85"/>
      <c r="O171" s="85"/>
      <c r="P171" s="89"/>
      <c r="Q171" s="85"/>
      <c r="R171" s="85"/>
      <c r="S171" s="85"/>
      <c r="T171" s="85"/>
      <c r="U171" s="85"/>
      <c r="V171" s="89"/>
      <c r="W171" s="89"/>
      <c r="X171" s="89"/>
      <c r="Y171" s="89"/>
      <c r="Z171" s="89"/>
      <c r="AA171" s="89"/>
      <c r="AB171" s="89"/>
      <c r="AC171" s="89"/>
      <c r="AD171" s="89"/>
      <c r="AE171" s="89"/>
      <c r="AF171" s="89"/>
      <c r="AG171" s="89"/>
      <c r="AH171" s="89"/>
      <c r="AI171" s="89"/>
      <c r="AJ171" s="89"/>
      <c r="AK171" s="89"/>
      <c r="AL171" s="89"/>
      <c r="AM171" s="89"/>
      <c r="AN171" s="89"/>
      <c r="AO171" s="89"/>
    </row>
    <row r="172">
      <c r="A172" s="85">
        <v>44943.0</v>
      </c>
      <c r="B172" s="86">
        <v>241.44</v>
      </c>
      <c r="C172" s="85">
        <v>44890.0</v>
      </c>
      <c r="D172" s="89" t="s">
        <v>1352</v>
      </c>
      <c r="E172" s="89" t="s">
        <v>1353</v>
      </c>
      <c r="F172" s="89" t="s">
        <v>1354</v>
      </c>
      <c r="G172" s="89" t="s">
        <v>114</v>
      </c>
      <c r="H172" s="89" t="s">
        <v>94</v>
      </c>
      <c r="I172" s="89" t="s">
        <v>94</v>
      </c>
      <c r="J172" s="89" t="s">
        <v>95</v>
      </c>
      <c r="K172" s="89">
        <v>1.0</v>
      </c>
      <c r="L172" s="89"/>
      <c r="M172" s="85"/>
      <c r="N172" s="85"/>
      <c r="O172" s="85"/>
      <c r="P172" s="89">
        <v>1.0</v>
      </c>
      <c r="Q172" s="85"/>
      <c r="R172" s="85"/>
      <c r="S172" s="85"/>
      <c r="T172" s="85"/>
      <c r="U172" s="85"/>
      <c r="V172" s="89"/>
      <c r="W172" s="89"/>
      <c r="X172" s="89"/>
      <c r="Y172" s="89"/>
      <c r="Z172" s="89"/>
      <c r="AA172" s="89"/>
      <c r="AB172" s="89"/>
      <c r="AC172" s="89"/>
      <c r="AD172" s="89"/>
      <c r="AE172" s="89"/>
      <c r="AF172" s="89"/>
      <c r="AG172" s="89"/>
      <c r="AH172" s="89"/>
      <c r="AI172" s="89"/>
      <c r="AJ172" s="89"/>
      <c r="AK172" s="89"/>
      <c r="AL172" s="89"/>
      <c r="AM172" s="89"/>
      <c r="AN172" s="89"/>
      <c r="AO172" s="89"/>
    </row>
    <row r="173">
      <c r="A173" s="85">
        <v>44943.0</v>
      </c>
      <c r="B173" s="86">
        <v>333.91</v>
      </c>
      <c r="C173" s="85">
        <v>44655.0</v>
      </c>
      <c r="D173" s="89" t="s">
        <v>1358</v>
      </c>
      <c r="E173" s="89" t="s">
        <v>1359</v>
      </c>
      <c r="F173" s="89" t="s">
        <v>1360</v>
      </c>
      <c r="G173" s="89" t="s">
        <v>114</v>
      </c>
      <c r="H173" s="89" t="s">
        <v>94</v>
      </c>
      <c r="I173" s="89" t="s">
        <v>94</v>
      </c>
      <c r="J173" s="89" t="s">
        <v>95</v>
      </c>
      <c r="K173" s="85"/>
      <c r="L173" s="89">
        <v>1.0</v>
      </c>
      <c r="M173" s="89"/>
      <c r="N173" s="89">
        <v>1.0</v>
      </c>
      <c r="O173" s="85"/>
      <c r="P173" s="89"/>
      <c r="Q173" s="89"/>
      <c r="R173" s="85"/>
      <c r="S173" s="85"/>
      <c r="T173" s="85"/>
      <c r="U173" s="85"/>
      <c r="V173" s="89"/>
      <c r="W173" s="89"/>
      <c r="X173" s="89"/>
      <c r="Y173" s="89"/>
      <c r="Z173" s="89"/>
      <c r="AA173" s="89"/>
      <c r="AB173" s="89"/>
      <c r="AC173" s="89"/>
      <c r="AD173" s="89"/>
      <c r="AE173" s="89"/>
      <c r="AF173" s="89"/>
      <c r="AG173" s="89"/>
      <c r="AH173" s="89"/>
      <c r="AI173" s="89"/>
      <c r="AJ173" s="89"/>
      <c r="AK173" s="89"/>
      <c r="AL173" s="89"/>
      <c r="AM173" s="89"/>
      <c r="AN173" s="89"/>
      <c r="AO173" s="89"/>
    </row>
    <row r="174">
      <c r="A174" s="85">
        <v>44943.0</v>
      </c>
      <c r="B174" s="86">
        <v>206.0</v>
      </c>
      <c r="C174" s="85">
        <v>44396.0</v>
      </c>
      <c r="D174" s="89" t="s">
        <v>1367</v>
      </c>
      <c r="E174" s="89" t="s">
        <v>1369</v>
      </c>
      <c r="F174" s="89" t="s">
        <v>1370</v>
      </c>
      <c r="G174" s="89" t="s">
        <v>114</v>
      </c>
      <c r="H174" s="89" t="s">
        <v>161</v>
      </c>
      <c r="I174" s="89" t="s">
        <v>125</v>
      </c>
      <c r="J174" s="89" t="s">
        <v>95</v>
      </c>
      <c r="K174" s="89">
        <v>1.0</v>
      </c>
      <c r="L174" s="85"/>
      <c r="M174" s="85"/>
      <c r="N174" s="85"/>
      <c r="O174" s="85"/>
      <c r="P174" s="89"/>
      <c r="Q174" s="85"/>
      <c r="R174" s="85"/>
      <c r="S174" s="85"/>
      <c r="T174" s="85"/>
      <c r="U174" s="85"/>
      <c r="V174" s="89"/>
      <c r="W174" s="89"/>
      <c r="X174" s="89"/>
      <c r="Y174" s="89"/>
      <c r="Z174" s="89"/>
      <c r="AA174" s="89"/>
      <c r="AB174" s="89"/>
      <c r="AC174" s="89"/>
      <c r="AD174" s="89"/>
      <c r="AE174" s="89"/>
      <c r="AF174" s="89"/>
      <c r="AG174" s="89"/>
      <c r="AH174" s="89"/>
      <c r="AI174" s="89"/>
      <c r="AJ174" s="89"/>
      <c r="AK174" s="89"/>
      <c r="AL174" s="89"/>
      <c r="AM174" s="89"/>
      <c r="AN174" s="89"/>
      <c r="AO174" s="89"/>
    </row>
    <row r="175">
      <c r="A175" s="85">
        <v>44943.0</v>
      </c>
      <c r="B175" s="86">
        <v>386.89</v>
      </c>
      <c r="C175" s="85">
        <v>44882.0</v>
      </c>
      <c r="D175" s="89" t="s">
        <v>1375</v>
      </c>
      <c r="E175" s="89" t="s">
        <v>1376</v>
      </c>
      <c r="F175" s="89" t="s">
        <v>1377</v>
      </c>
      <c r="G175" s="89" t="s">
        <v>114</v>
      </c>
      <c r="H175" s="89" t="s">
        <v>94</v>
      </c>
      <c r="I175" s="89" t="s">
        <v>94</v>
      </c>
      <c r="J175" s="89" t="s">
        <v>95</v>
      </c>
      <c r="K175" s="89">
        <v>1.0</v>
      </c>
      <c r="L175" s="85"/>
      <c r="M175" s="89">
        <v>1.0</v>
      </c>
      <c r="N175" s="89">
        <v>1.0</v>
      </c>
      <c r="O175" s="89"/>
      <c r="P175" s="89">
        <v>1.0</v>
      </c>
      <c r="Q175" s="89">
        <v>1.0</v>
      </c>
      <c r="R175" s="85"/>
      <c r="S175" s="85"/>
      <c r="T175" s="89">
        <v>1.0</v>
      </c>
      <c r="U175" s="85"/>
      <c r="V175" s="89"/>
      <c r="W175" s="89"/>
      <c r="X175" s="89"/>
      <c r="Y175" s="89"/>
      <c r="Z175" s="89"/>
      <c r="AA175" s="89"/>
      <c r="AB175" s="89"/>
      <c r="AC175" s="89"/>
      <c r="AD175" s="89"/>
      <c r="AE175" s="89"/>
      <c r="AF175" s="89"/>
      <c r="AG175" s="89"/>
      <c r="AH175" s="89"/>
      <c r="AI175" s="89"/>
      <c r="AJ175" s="89"/>
      <c r="AK175" s="89"/>
      <c r="AL175" s="89"/>
      <c r="AM175" s="89"/>
      <c r="AN175" s="89"/>
      <c r="AO175" s="89"/>
    </row>
    <row r="176">
      <c r="A176" s="85">
        <v>44944.0</v>
      </c>
      <c r="B176" s="86">
        <v>243.32</v>
      </c>
      <c r="C176" s="85">
        <v>44888.0</v>
      </c>
      <c r="D176" s="89" t="s">
        <v>1382</v>
      </c>
      <c r="E176" s="89" t="s">
        <v>1383</v>
      </c>
      <c r="F176" s="89" t="s">
        <v>1384</v>
      </c>
      <c r="G176" s="89" t="s">
        <v>114</v>
      </c>
      <c r="H176" s="89" t="s">
        <v>94</v>
      </c>
      <c r="I176" s="89" t="s">
        <v>94</v>
      </c>
      <c r="J176" s="89" t="s">
        <v>95</v>
      </c>
      <c r="K176" s="89">
        <v>1.0</v>
      </c>
      <c r="L176" s="89"/>
      <c r="M176" s="85"/>
      <c r="N176" s="85"/>
      <c r="O176" s="85"/>
      <c r="P176" s="89">
        <v>1.0</v>
      </c>
      <c r="Q176" s="85"/>
      <c r="R176" s="85"/>
      <c r="S176" s="85"/>
      <c r="T176" s="85"/>
      <c r="U176" s="85"/>
      <c r="V176" s="89"/>
      <c r="W176" s="89"/>
      <c r="X176" s="89"/>
      <c r="Y176" s="89"/>
      <c r="Z176" s="89"/>
      <c r="AA176" s="89"/>
      <c r="AB176" s="89"/>
      <c r="AC176" s="89"/>
      <c r="AD176" s="89"/>
      <c r="AE176" s="89"/>
      <c r="AF176" s="89"/>
      <c r="AG176" s="89"/>
      <c r="AH176" s="89"/>
      <c r="AI176" s="89"/>
      <c r="AJ176" s="89"/>
      <c r="AK176" s="89"/>
      <c r="AL176" s="89"/>
      <c r="AM176" s="89"/>
      <c r="AN176" s="89"/>
      <c r="AO176" s="89"/>
    </row>
    <row r="177">
      <c r="A177" s="85">
        <v>44944.0</v>
      </c>
      <c r="B177" s="86">
        <v>341.0</v>
      </c>
      <c r="C177" s="85">
        <v>44703.0</v>
      </c>
      <c r="D177" s="89" t="s">
        <v>1391</v>
      </c>
      <c r="E177" s="89" t="s">
        <v>1392</v>
      </c>
      <c r="F177" s="89" t="s">
        <v>1393</v>
      </c>
      <c r="G177" s="89" t="s">
        <v>114</v>
      </c>
      <c r="H177" s="89" t="s">
        <v>94</v>
      </c>
      <c r="I177" s="89" t="s">
        <v>94</v>
      </c>
      <c r="J177" s="89" t="s">
        <v>95</v>
      </c>
      <c r="K177" s="85"/>
      <c r="L177" s="89">
        <v>1.0</v>
      </c>
      <c r="M177" s="85"/>
      <c r="N177" s="89">
        <v>1.0</v>
      </c>
      <c r="O177" s="89">
        <v>1.0</v>
      </c>
      <c r="P177" s="85"/>
      <c r="Q177" s="85"/>
      <c r="R177" s="85"/>
      <c r="S177" s="85"/>
      <c r="T177" s="85"/>
      <c r="U177" s="85"/>
      <c r="V177" s="89"/>
      <c r="W177" s="89"/>
      <c r="X177" s="89"/>
      <c r="Y177" s="89"/>
      <c r="Z177" s="89"/>
      <c r="AA177" s="89"/>
      <c r="AB177" s="89"/>
      <c r="AC177" s="89"/>
      <c r="AD177" s="89"/>
      <c r="AE177" s="89"/>
      <c r="AF177" s="89"/>
      <c r="AG177" s="89"/>
      <c r="AH177" s="89"/>
      <c r="AI177" s="89"/>
      <c r="AJ177" s="89"/>
      <c r="AK177" s="89"/>
      <c r="AL177" s="89"/>
      <c r="AM177" s="89"/>
      <c r="AN177" s="89"/>
      <c r="AO177" s="89"/>
    </row>
    <row r="178">
      <c r="A178" s="85">
        <v>44944.0</v>
      </c>
      <c r="B178" s="86">
        <v>312.12</v>
      </c>
      <c r="C178" s="85">
        <v>44864.0</v>
      </c>
      <c r="D178" s="89" t="s">
        <v>1397</v>
      </c>
      <c r="E178" s="89" t="s">
        <v>1398</v>
      </c>
      <c r="F178" s="89" t="s">
        <v>1399</v>
      </c>
      <c r="G178" s="421" t="s">
        <v>114</v>
      </c>
      <c r="H178" s="89" t="s">
        <v>94</v>
      </c>
      <c r="I178" s="89" t="s">
        <v>94</v>
      </c>
      <c r="J178" s="89" t="s">
        <v>95</v>
      </c>
      <c r="K178" s="85"/>
      <c r="L178" s="89">
        <v>1.0</v>
      </c>
      <c r="M178" s="85"/>
      <c r="N178" s="85"/>
      <c r="O178" s="85"/>
      <c r="P178" s="89">
        <v>1.0</v>
      </c>
      <c r="Q178" s="85"/>
      <c r="R178" s="85"/>
      <c r="S178" s="85"/>
      <c r="T178" s="85"/>
      <c r="U178" s="85"/>
      <c r="V178" s="89"/>
      <c r="W178" s="89"/>
      <c r="X178" s="89"/>
      <c r="Y178" s="89"/>
      <c r="Z178" s="89"/>
      <c r="AA178" s="89"/>
      <c r="AB178" s="89"/>
      <c r="AC178" s="89"/>
      <c r="AD178" s="89"/>
      <c r="AE178" s="89"/>
      <c r="AF178" s="89"/>
      <c r="AG178" s="89"/>
      <c r="AH178" s="89"/>
      <c r="AI178" s="89"/>
      <c r="AJ178" s="89"/>
      <c r="AK178" s="89"/>
      <c r="AL178" s="89"/>
      <c r="AM178" s="89"/>
      <c r="AN178" s="89"/>
      <c r="AO178" s="89"/>
    </row>
    <row r="179">
      <c r="A179" s="85">
        <v>44944.0</v>
      </c>
      <c r="B179" s="86">
        <v>229.0</v>
      </c>
      <c r="C179" s="85">
        <v>44871.0</v>
      </c>
      <c r="D179" s="89" t="s">
        <v>1403</v>
      </c>
      <c r="E179" s="89" t="s">
        <v>1404</v>
      </c>
      <c r="F179" s="89" t="s">
        <v>1405</v>
      </c>
      <c r="G179" s="89" t="s">
        <v>114</v>
      </c>
      <c r="H179" s="89" t="s">
        <v>94</v>
      </c>
      <c r="I179" s="89" t="s">
        <v>94</v>
      </c>
      <c r="J179" s="89" t="s">
        <v>95</v>
      </c>
      <c r="K179" s="89">
        <v>1.0</v>
      </c>
      <c r="L179" s="89"/>
      <c r="M179" s="85"/>
      <c r="N179" s="89"/>
      <c r="O179" s="89"/>
      <c r="P179" s="89">
        <v>1.0</v>
      </c>
      <c r="Q179" s="85"/>
      <c r="R179" s="85"/>
      <c r="S179" s="85"/>
      <c r="T179" s="85"/>
      <c r="U179" s="85"/>
      <c r="V179" s="89"/>
      <c r="W179" s="89"/>
      <c r="X179" s="89"/>
      <c r="Y179" s="89"/>
      <c r="Z179" s="89"/>
      <c r="AA179" s="89"/>
      <c r="AB179" s="89"/>
      <c r="AC179" s="89"/>
      <c r="AD179" s="89"/>
      <c r="AE179" s="89"/>
      <c r="AF179" s="89"/>
      <c r="AG179" s="89"/>
      <c r="AH179" s="89"/>
      <c r="AI179" s="89"/>
      <c r="AJ179" s="89"/>
      <c r="AK179" s="89"/>
      <c r="AL179" s="89"/>
      <c r="AM179" s="89"/>
      <c r="AN179" s="89"/>
      <c r="AO179" s="89"/>
    </row>
    <row r="180">
      <c r="A180" s="85">
        <v>44944.0</v>
      </c>
      <c r="B180" s="86">
        <v>239.95</v>
      </c>
      <c r="C180" s="85">
        <v>44874.0</v>
      </c>
      <c r="D180" s="89" t="s">
        <v>1409</v>
      </c>
      <c r="E180" s="89" t="s">
        <v>1410</v>
      </c>
      <c r="F180" s="89" t="s">
        <v>1411</v>
      </c>
      <c r="G180" s="89" t="s">
        <v>114</v>
      </c>
      <c r="H180" s="89" t="s">
        <v>94</v>
      </c>
      <c r="I180" s="89" t="s">
        <v>94</v>
      </c>
      <c r="J180" s="89" t="s">
        <v>95</v>
      </c>
      <c r="K180" s="89">
        <v>1.0</v>
      </c>
      <c r="L180" s="89"/>
      <c r="M180" s="85"/>
      <c r="N180" s="85"/>
      <c r="O180" s="85"/>
      <c r="P180" s="89">
        <v>1.0</v>
      </c>
      <c r="Q180" s="85"/>
      <c r="R180" s="85"/>
      <c r="S180" s="85"/>
      <c r="T180" s="85"/>
      <c r="U180" s="85"/>
      <c r="V180" s="89"/>
      <c r="W180" s="89"/>
      <c r="X180" s="89"/>
      <c r="Y180" s="89"/>
      <c r="Z180" s="89"/>
      <c r="AA180" s="89"/>
      <c r="AB180" s="89"/>
      <c r="AC180" s="89"/>
      <c r="AD180" s="89"/>
      <c r="AE180" s="89"/>
      <c r="AF180" s="89"/>
      <c r="AG180" s="89"/>
      <c r="AH180" s="89"/>
      <c r="AI180" s="89"/>
      <c r="AJ180" s="89"/>
      <c r="AK180" s="89"/>
      <c r="AL180" s="89"/>
      <c r="AM180" s="89"/>
      <c r="AN180" s="89"/>
      <c r="AO180" s="89"/>
    </row>
    <row r="181">
      <c r="A181" s="85">
        <v>44944.0</v>
      </c>
      <c r="B181" s="86">
        <v>314.66</v>
      </c>
      <c r="C181" s="85">
        <v>44860.0</v>
      </c>
      <c r="D181" s="89" t="s">
        <v>1418</v>
      </c>
      <c r="E181" s="89" t="s">
        <v>1419</v>
      </c>
      <c r="F181" s="89" t="s">
        <v>1420</v>
      </c>
      <c r="G181" s="89" t="s">
        <v>114</v>
      </c>
      <c r="H181" s="89" t="s">
        <v>94</v>
      </c>
      <c r="I181" s="89" t="s">
        <v>94</v>
      </c>
      <c r="J181" s="89" t="s">
        <v>95</v>
      </c>
      <c r="K181" s="89"/>
      <c r="L181" s="89">
        <v>1.0</v>
      </c>
      <c r="M181" s="85"/>
      <c r="N181" s="85"/>
      <c r="O181" s="85"/>
      <c r="P181" s="89">
        <v>1.0</v>
      </c>
      <c r="Q181" s="85"/>
      <c r="R181" s="85"/>
      <c r="S181" s="85"/>
      <c r="T181" s="85"/>
      <c r="U181" s="85"/>
      <c r="V181" s="89"/>
      <c r="W181" s="89"/>
      <c r="X181" s="89"/>
      <c r="Y181" s="89"/>
      <c r="Z181" s="89"/>
      <c r="AA181" s="89"/>
      <c r="AB181" s="89"/>
      <c r="AC181" s="89"/>
      <c r="AD181" s="89"/>
      <c r="AE181" s="89"/>
      <c r="AF181" s="89"/>
      <c r="AG181" s="89"/>
      <c r="AH181" s="89"/>
      <c r="AI181" s="89"/>
      <c r="AJ181" s="89"/>
      <c r="AK181" s="89"/>
      <c r="AL181" s="89"/>
      <c r="AM181" s="89"/>
      <c r="AN181" s="89"/>
      <c r="AO181" s="89"/>
    </row>
    <row r="182">
      <c r="A182" s="85">
        <v>44944.0</v>
      </c>
      <c r="B182" s="86">
        <v>316.94</v>
      </c>
      <c r="C182" s="85">
        <v>44881.0</v>
      </c>
      <c r="D182" s="89" t="s">
        <v>1424</v>
      </c>
      <c r="E182" s="89" t="s">
        <v>1425</v>
      </c>
      <c r="F182" s="89" t="s">
        <v>1426</v>
      </c>
      <c r="G182" s="89" t="s">
        <v>114</v>
      </c>
      <c r="H182" s="89" t="s">
        <v>94</v>
      </c>
      <c r="I182" s="89" t="s">
        <v>94</v>
      </c>
      <c r="J182" s="89" t="s">
        <v>95</v>
      </c>
      <c r="K182" s="89">
        <v>1.0</v>
      </c>
      <c r="L182" s="85"/>
      <c r="M182" s="89">
        <v>1.0</v>
      </c>
      <c r="N182" s="85"/>
      <c r="O182" s="85"/>
      <c r="P182" s="89">
        <v>1.0</v>
      </c>
      <c r="Q182" s="85"/>
      <c r="R182" s="85"/>
      <c r="S182" s="85"/>
      <c r="T182" s="85"/>
      <c r="U182" s="85"/>
      <c r="V182" s="89"/>
      <c r="W182" s="89"/>
      <c r="X182" s="89"/>
      <c r="Y182" s="89"/>
      <c r="Z182" s="89"/>
      <c r="AA182" s="89"/>
      <c r="AB182" s="89"/>
      <c r="AC182" s="89"/>
      <c r="AD182" s="89"/>
      <c r="AE182" s="89"/>
      <c r="AF182" s="89"/>
      <c r="AG182" s="89"/>
      <c r="AH182" s="89"/>
      <c r="AI182" s="89"/>
      <c r="AJ182" s="89"/>
      <c r="AK182" s="89"/>
      <c r="AL182" s="89"/>
      <c r="AM182" s="89"/>
      <c r="AN182" s="89"/>
      <c r="AO182" s="89"/>
    </row>
    <row r="183">
      <c r="A183" s="85">
        <v>44944.0</v>
      </c>
      <c r="B183" s="339">
        <v>315.0</v>
      </c>
      <c r="C183" s="85">
        <v>44616.0</v>
      </c>
      <c r="D183" s="89" t="s">
        <v>1430</v>
      </c>
      <c r="E183" s="89" t="s">
        <v>1431</v>
      </c>
      <c r="F183" s="89" t="s">
        <v>1432</v>
      </c>
      <c r="G183" s="89" t="s">
        <v>114</v>
      </c>
      <c r="H183" s="89" t="s">
        <v>94</v>
      </c>
      <c r="I183" s="89" t="s">
        <v>94</v>
      </c>
      <c r="J183" s="89" t="s">
        <v>95</v>
      </c>
      <c r="K183" s="89"/>
      <c r="L183" s="89">
        <v>1.0</v>
      </c>
      <c r="M183" s="85"/>
      <c r="N183" s="89">
        <v>1.0</v>
      </c>
      <c r="O183" s="89">
        <v>1.0</v>
      </c>
      <c r="P183" s="89"/>
      <c r="Q183" s="85"/>
      <c r="R183" s="85"/>
      <c r="S183" s="85"/>
      <c r="T183" s="85"/>
      <c r="U183" s="85"/>
      <c r="V183" s="89"/>
      <c r="W183" s="89"/>
      <c r="X183" s="89"/>
      <c r="Y183" s="89"/>
      <c r="Z183" s="89"/>
      <c r="AA183" s="89"/>
      <c r="AB183" s="89"/>
      <c r="AC183" s="89"/>
      <c r="AD183" s="89"/>
      <c r="AE183" s="89"/>
      <c r="AF183" s="89"/>
      <c r="AG183" s="89"/>
      <c r="AH183" s="89"/>
      <c r="AI183" s="89"/>
      <c r="AJ183" s="89"/>
      <c r="AK183" s="89"/>
      <c r="AL183" s="89"/>
      <c r="AM183" s="89"/>
      <c r="AN183" s="89"/>
      <c r="AO183" s="89"/>
    </row>
    <row r="184">
      <c r="A184" s="85">
        <v>44944.0</v>
      </c>
      <c r="B184" s="86">
        <v>319.93</v>
      </c>
      <c r="C184" s="85">
        <v>44871.0</v>
      </c>
      <c r="D184" s="89" t="s">
        <v>1437</v>
      </c>
      <c r="E184" s="89" t="s">
        <v>1438</v>
      </c>
      <c r="F184" s="89" t="s">
        <v>1439</v>
      </c>
      <c r="G184" s="89" t="s">
        <v>114</v>
      </c>
      <c r="H184" s="89" t="s">
        <v>94</v>
      </c>
      <c r="I184" s="89" t="s">
        <v>94</v>
      </c>
      <c r="J184" s="89" t="s">
        <v>95</v>
      </c>
      <c r="K184" s="85"/>
      <c r="L184" s="89">
        <v>1.0</v>
      </c>
      <c r="M184" s="85"/>
      <c r="N184" s="85"/>
      <c r="O184" s="85"/>
      <c r="P184" s="89">
        <v>1.0</v>
      </c>
      <c r="Q184" s="85"/>
      <c r="R184" s="85"/>
      <c r="S184" s="85"/>
      <c r="T184" s="85"/>
      <c r="U184" s="85"/>
      <c r="V184" s="89"/>
      <c r="W184" s="89"/>
      <c r="X184" s="89"/>
      <c r="Y184" s="89"/>
      <c r="Z184" s="89"/>
      <c r="AA184" s="89"/>
      <c r="AB184" s="89"/>
      <c r="AC184" s="89"/>
      <c r="AD184" s="89"/>
      <c r="AE184" s="89"/>
      <c r="AF184" s="89"/>
      <c r="AG184" s="89"/>
      <c r="AH184" s="89"/>
      <c r="AI184" s="89"/>
      <c r="AJ184" s="89"/>
      <c r="AK184" s="89"/>
      <c r="AL184" s="89"/>
      <c r="AM184" s="89"/>
      <c r="AN184" s="89"/>
      <c r="AO184" s="89"/>
    </row>
    <row r="185">
      <c r="A185" s="85">
        <v>44944.0</v>
      </c>
      <c r="B185" s="86">
        <v>197.5</v>
      </c>
      <c r="C185" s="85">
        <v>44173.0</v>
      </c>
      <c r="D185" s="89" t="s">
        <v>1443</v>
      </c>
      <c r="E185" s="89" t="s">
        <v>1444</v>
      </c>
      <c r="F185" s="89" t="s">
        <v>1445</v>
      </c>
      <c r="G185" s="89" t="s">
        <v>114</v>
      </c>
      <c r="H185" s="89" t="s">
        <v>1257</v>
      </c>
      <c r="I185" s="89" t="s">
        <v>1257</v>
      </c>
      <c r="J185" s="89" t="s">
        <v>95</v>
      </c>
      <c r="K185" s="89">
        <v>1.0</v>
      </c>
      <c r="L185" s="85"/>
      <c r="M185" s="85"/>
      <c r="N185" s="85"/>
      <c r="O185" s="85"/>
      <c r="P185" s="89">
        <v>1.0</v>
      </c>
      <c r="Q185" s="85"/>
      <c r="R185" s="85"/>
      <c r="S185" s="85"/>
      <c r="T185" s="85"/>
      <c r="U185" s="85"/>
      <c r="V185" s="89"/>
      <c r="W185" s="89"/>
      <c r="X185" s="89"/>
      <c r="Y185" s="89"/>
      <c r="Z185" s="89"/>
      <c r="AA185" s="89"/>
      <c r="AB185" s="89"/>
      <c r="AC185" s="89"/>
      <c r="AD185" s="89"/>
      <c r="AE185" s="89"/>
      <c r="AF185" s="89"/>
      <c r="AG185" s="89"/>
      <c r="AH185" s="89"/>
      <c r="AI185" s="89"/>
      <c r="AJ185" s="89"/>
      <c r="AK185" s="89"/>
      <c r="AL185" s="89"/>
      <c r="AM185" s="89"/>
      <c r="AN185" s="89"/>
      <c r="AO185" s="89"/>
    </row>
    <row r="186">
      <c r="A186" s="85">
        <v>44944.0</v>
      </c>
      <c r="B186" s="86">
        <v>245.61</v>
      </c>
      <c r="C186" s="85">
        <v>44884.0</v>
      </c>
      <c r="D186" s="89" t="s">
        <v>1450</v>
      </c>
      <c r="E186" s="89" t="s">
        <v>1451</v>
      </c>
      <c r="F186" s="89" t="s">
        <v>1452</v>
      </c>
      <c r="G186" s="89" t="s">
        <v>114</v>
      </c>
      <c r="H186" s="89" t="s">
        <v>94</v>
      </c>
      <c r="I186" s="89" t="s">
        <v>94</v>
      </c>
      <c r="J186" s="89" t="s">
        <v>95</v>
      </c>
      <c r="K186" s="89">
        <v>1.0</v>
      </c>
      <c r="L186" s="89"/>
      <c r="M186" s="85"/>
      <c r="N186" s="89"/>
      <c r="O186" s="85"/>
      <c r="P186" s="89"/>
      <c r="Q186" s="89"/>
      <c r="R186" s="85"/>
      <c r="S186" s="85"/>
      <c r="T186" s="85"/>
      <c r="U186" s="85"/>
      <c r="V186" s="89"/>
      <c r="W186" s="89"/>
      <c r="X186" s="89"/>
      <c r="Y186" s="89"/>
      <c r="Z186" s="89"/>
      <c r="AA186" s="89"/>
      <c r="AB186" s="89"/>
      <c r="AC186" s="89"/>
      <c r="AD186" s="89"/>
      <c r="AE186" s="89"/>
      <c r="AF186" s="89"/>
      <c r="AG186" s="89"/>
      <c r="AH186" s="89"/>
      <c r="AI186" s="89"/>
      <c r="AJ186" s="89"/>
      <c r="AK186" s="89"/>
      <c r="AL186" s="89"/>
      <c r="AM186" s="89"/>
      <c r="AN186" s="89"/>
      <c r="AO186" s="89"/>
    </row>
    <row r="187">
      <c r="A187" s="85">
        <v>44944.0</v>
      </c>
      <c r="B187" s="86">
        <v>247.32</v>
      </c>
      <c r="C187" s="85">
        <v>44884.0</v>
      </c>
      <c r="D187" s="89" t="s">
        <v>1457</v>
      </c>
      <c r="E187" s="89" t="s">
        <v>1460</v>
      </c>
      <c r="F187" s="89" t="s">
        <v>1461</v>
      </c>
      <c r="G187" s="89" t="s">
        <v>114</v>
      </c>
      <c r="H187" s="89" t="s">
        <v>94</v>
      </c>
      <c r="I187" s="89" t="s">
        <v>94</v>
      </c>
      <c r="J187" s="89" t="s">
        <v>95</v>
      </c>
      <c r="K187" s="89">
        <v>1.0</v>
      </c>
      <c r="L187" s="85"/>
      <c r="M187" s="85"/>
      <c r="N187" s="85"/>
      <c r="O187" s="85"/>
      <c r="P187" s="89"/>
      <c r="Q187" s="85"/>
      <c r="R187" s="85"/>
      <c r="S187" s="85"/>
      <c r="T187" s="85"/>
      <c r="U187" s="85"/>
      <c r="V187" s="89"/>
      <c r="W187" s="89"/>
      <c r="X187" s="89"/>
      <c r="Y187" s="89"/>
      <c r="Z187" s="89"/>
      <c r="AA187" s="89"/>
      <c r="AB187" s="89"/>
      <c r="AC187" s="89"/>
      <c r="AD187" s="89"/>
      <c r="AE187" s="89"/>
      <c r="AF187" s="89"/>
      <c r="AG187" s="89"/>
      <c r="AH187" s="89"/>
      <c r="AI187" s="89"/>
      <c r="AJ187" s="89"/>
      <c r="AK187" s="89"/>
      <c r="AL187" s="89"/>
      <c r="AM187" s="89"/>
      <c r="AN187" s="89"/>
      <c r="AO187" s="89"/>
    </row>
    <row r="188" ht="21.0" customHeight="1">
      <c r="A188" s="85">
        <v>44944.0</v>
      </c>
      <c r="B188" s="86">
        <v>247.66</v>
      </c>
      <c r="C188" s="85">
        <v>44890.0</v>
      </c>
      <c r="D188" s="89" t="s">
        <v>1466</v>
      </c>
      <c r="E188" s="89" t="s">
        <v>1467</v>
      </c>
      <c r="F188" s="89" t="s">
        <v>1468</v>
      </c>
      <c r="G188" s="89" t="s">
        <v>114</v>
      </c>
      <c r="H188" s="89" t="s">
        <v>94</v>
      </c>
      <c r="I188" s="89" t="s">
        <v>94</v>
      </c>
      <c r="J188" s="89" t="s">
        <v>95</v>
      </c>
      <c r="K188" s="89">
        <v>1.0</v>
      </c>
      <c r="L188" s="85"/>
      <c r="M188" s="85"/>
      <c r="N188" s="89"/>
      <c r="O188" s="85"/>
      <c r="P188" s="89"/>
      <c r="Q188" s="85"/>
      <c r="R188" s="85"/>
      <c r="S188" s="85"/>
      <c r="T188" s="85"/>
      <c r="U188" s="85"/>
      <c r="V188" s="89"/>
      <c r="W188" s="89"/>
      <c r="X188" s="89"/>
      <c r="Y188" s="89"/>
      <c r="Z188" s="89"/>
      <c r="AA188" s="89"/>
      <c r="AB188" s="89"/>
      <c r="AC188" s="89"/>
      <c r="AD188" s="89"/>
      <c r="AE188" s="89"/>
      <c r="AF188" s="89"/>
      <c r="AG188" s="89"/>
      <c r="AH188" s="89"/>
      <c r="AI188" s="89"/>
      <c r="AJ188" s="89"/>
      <c r="AK188" s="89"/>
      <c r="AL188" s="89"/>
      <c r="AM188" s="89"/>
      <c r="AN188" s="89"/>
      <c r="AO188" s="89"/>
    </row>
    <row r="189">
      <c r="A189" s="85">
        <v>44944.0</v>
      </c>
      <c r="B189" s="86">
        <v>358.45</v>
      </c>
      <c r="C189" s="85">
        <v>44868.0</v>
      </c>
      <c r="D189" s="89" t="s">
        <v>1473</v>
      </c>
      <c r="E189" s="89" t="s">
        <v>1474</v>
      </c>
      <c r="F189" s="89" t="s">
        <v>1475</v>
      </c>
      <c r="G189" s="89" t="s">
        <v>114</v>
      </c>
      <c r="H189" s="89" t="s">
        <v>94</v>
      </c>
      <c r="I189" s="89" t="s">
        <v>94</v>
      </c>
      <c r="J189" s="89" t="s">
        <v>95</v>
      </c>
      <c r="K189" s="85"/>
      <c r="L189" s="89">
        <v>1.0</v>
      </c>
      <c r="M189" s="89"/>
      <c r="N189" s="89">
        <v>1.0</v>
      </c>
      <c r="O189" s="85"/>
      <c r="P189" s="85"/>
      <c r="Q189" s="85"/>
      <c r="R189" s="85"/>
      <c r="S189" s="85"/>
      <c r="T189" s="85"/>
      <c r="U189" s="85"/>
      <c r="V189" s="89"/>
      <c r="W189" s="89"/>
      <c r="X189" s="89"/>
      <c r="Y189" s="89"/>
      <c r="Z189" s="89"/>
      <c r="AA189" s="89"/>
      <c r="AB189" s="89"/>
      <c r="AC189" s="89"/>
      <c r="AD189" s="89"/>
      <c r="AE189" s="89"/>
      <c r="AF189" s="89"/>
      <c r="AG189" s="89"/>
      <c r="AH189" s="89"/>
      <c r="AI189" s="89"/>
      <c r="AJ189" s="89"/>
      <c r="AK189" s="89"/>
      <c r="AL189" s="89"/>
      <c r="AM189" s="89"/>
      <c r="AN189" s="89"/>
      <c r="AO189" s="89"/>
    </row>
    <row r="190">
      <c r="A190" s="85">
        <v>44944.0</v>
      </c>
      <c r="B190" s="86">
        <v>315.14</v>
      </c>
      <c r="C190" s="85">
        <v>44879.0</v>
      </c>
      <c r="D190" s="89" t="s">
        <v>1479</v>
      </c>
      <c r="E190" s="89" t="s">
        <v>1480</v>
      </c>
      <c r="F190" s="89" t="s">
        <v>1481</v>
      </c>
      <c r="G190" s="89" t="s">
        <v>114</v>
      </c>
      <c r="H190" s="89" t="s">
        <v>94</v>
      </c>
      <c r="I190" s="89" t="s">
        <v>94</v>
      </c>
      <c r="J190" s="89" t="s">
        <v>95</v>
      </c>
      <c r="K190" s="89">
        <v>1.0</v>
      </c>
      <c r="L190" s="85"/>
      <c r="M190" s="85"/>
      <c r="N190" s="89"/>
      <c r="O190" s="85"/>
      <c r="P190" s="85"/>
      <c r="Q190" s="85"/>
      <c r="R190" s="85"/>
      <c r="S190" s="85"/>
      <c r="T190" s="85"/>
      <c r="U190" s="85"/>
      <c r="V190" s="89"/>
      <c r="W190" s="89"/>
      <c r="X190" s="89"/>
      <c r="Y190" s="89"/>
      <c r="Z190" s="89"/>
      <c r="AA190" s="89"/>
      <c r="AB190" s="89"/>
      <c r="AC190" s="89"/>
      <c r="AD190" s="89"/>
      <c r="AE190" s="89"/>
      <c r="AF190" s="89"/>
      <c r="AG190" s="89"/>
      <c r="AH190" s="89"/>
      <c r="AI190" s="89"/>
      <c r="AJ190" s="89"/>
      <c r="AK190" s="89"/>
      <c r="AL190" s="89"/>
      <c r="AM190" s="89"/>
      <c r="AN190" s="89"/>
      <c r="AO190" s="89"/>
    </row>
    <row r="191">
      <c r="A191" s="85">
        <v>44944.0</v>
      </c>
      <c r="B191" s="86">
        <v>322.55</v>
      </c>
      <c r="C191" s="85">
        <v>44680.0</v>
      </c>
      <c r="D191" s="89" t="s">
        <v>1485</v>
      </c>
      <c r="E191" s="89" t="s">
        <v>1486</v>
      </c>
      <c r="F191" s="89" t="s">
        <v>1487</v>
      </c>
      <c r="G191" s="89" t="s">
        <v>114</v>
      </c>
      <c r="H191" s="89" t="s">
        <v>94</v>
      </c>
      <c r="I191" s="89" t="s">
        <v>94</v>
      </c>
      <c r="J191" s="89" t="s">
        <v>95</v>
      </c>
      <c r="K191" s="89"/>
      <c r="L191" s="89">
        <v>1.0</v>
      </c>
      <c r="M191" s="85"/>
      <c r="N191" s="89">
        <v>1.0</v>
      </c>
      <c r="O191" s="85"/>
      <c r="P191" s="89"/>
      <c r="Q191" s="85"/>
      <c r="R191" s="85"/>
      <c r="S191" s="85"/>
      <c r="T191" s="85"/>
      <c r="U191" s="85"/>
      <c r="V191" s="89"/>
      <c r="W191" s="89"/>
      <c r="X191" s="89"/>
      <c r="Y191" s="89"/>
      <c r="Z191" s="89"/>
      <c r="AA191" s="89"/>
      <c r="AB191" s="89"/>
      <c r="AC191" s="89"/>
      <c r="AD191" s="89"/>
      <c r="AE191" s="89"/>
      <c r="AF191" s="89"/>
      <c r="AG191" s="89"/>
      <c r="AH191" s="89"/>
      <c r="AI191" s="89"/>
      <c r="AJ191" s="89"/>
      <c r="AK191" s="89"/>
      <c r="AL191" s="89"/>
      <c r="AM191" s="89"/>
      <c r="AN191" s="89"/>
      <c r="AO191" s="89"/>
    </row>
    <row r="192">
      <c r="A192" s="85">
        <v>44944.0</v>
      </c>
      <c r="B192" s="86">
        <v>319.93</v>
      </c>
      <c r="C192" s="85">
        <v>44884.0</v>
      </c>
      <c r="D192" s="89" t="s">
        <v>1494</v>
      </c>
      <c r="E192" s="89" t="s">
        <v>1495</v>
      </c>
      <c r="F192" s="89" t="s">
        <v>1496</v>
      </c>
      <c r="G192" s="89" t="s">
        <v>114</v>
      </c>
      <c r="H192" s="89" t="s">
        <v>94</v>
      </c>
      <c r="I192" s="89" t="s">
        <v>94</v>
      </c>
      <c r="J192" s="89" t="s">
        <v>95</v>
      </c>
      <c r="K192" s="89">
        <v>1.0</v>
      </c>
      <c r="L192" s="89"/>
      <c r="M192" s="89">
        <v>1.0</v>
      </c>
      <c r="N192" s="85"/>
      <c r="O192" s="85"/>
      <c r="P192" s="89"/>
      <c r="Q192" s="85"/>
      <c r="R192" s="85"/>
      <c r="S192" s="85"/>
      <c r="T192" s="85"/>
      <c r="U192" s="85"/>
      <c r="V192" s="89"/>
      <c r="W192" s="89"/>
      <c r="X192" s="89"/>
      <c r="Y192" s="89"/>
      <c r="Z192" s="89"/>
      <c r="AA192" s="89"/>
      <c r="AB192" s="89"/>
      <c r="AC192" s="89"/>
      <c r="AD192" s="89"/>
      <c r="AE192" s="89"/>
      <c r="AF192" s="89"/>
      <c r="AG192" s="89"/>
      <c r="AH192" s="89"/>
      <c r="AI192" s="89"/>
      <c r="AJ192" s="89"/>
      <c r="AK192" s="89"/>
      <c r="AL192" s="89"/>
      <c r="AM192" s="89"/>
      <c r="AN192" s="89"/>
      <c r="AO192" s="89"/>
    </row>
    <row r="193">
      <c r="A193" s="85">
        <v>44944.0</v>
      </c>
      <c r="B193" s="86">
        <v>334.91</v>
      </c>
      <c r="C193" s="85">
        <v>44860.0</v>
      </c>
      <c r="D193" s="89" t="s">
        <v>1501</v>
      </c>
      <c r="E193" s="89" t="s">
        <v>1502</v>
      </c>
      <c r="F193" s="89" t="s">
        <v>1503</v>
      </c>
      <c r="G193" s="89" t="s">
        <v>114</v>
      </c>
      <c r="H193" s="89" t="s">
        <v>94</v>
      </c>
      <c r="I193" s="89" t="s">
        <v>94</v>
      </c>
      <c r="J193" s="89" t="s">
        <v>95</v>
      </c>
      <c r="K193" s="85"/>
      <c r="L193" s="89">
        <v>1.0</v>
      </c>
      <c r="M193" s="85"/>
      <c r="N193" s="89">
        <v>1.0</v>
      </c>
      <c r="O193" s="85"/>
      <c r="P193" s="89">
        <v>1.0</v>
      </c>
      <c r="Q193" s="89"/>
      <c r="R193" s="85"/>
      <c r="S193" s="85"/>
      <c r="T193" s="85"/>
      <c r="U193" s="85"/>
      <c r="V193" s="89"/>
      <c r="W193" s="89"/>
      <c r="X193" s="89"/>
      <c r="Y193" s="89"/>
      <c r="Z193" s="89"/>
      <c r="AA193" s="89"/>
      <c r="AB193" s="89"/>
      <c r="AC193" s="89"/>
      <c r="AD193" s="89"/>
      <c r="AE193" s="89"/>
      <c r="AF193" s="89"/>
      <c r="AG193" s="89"/>
      <c r="AH193" s="89"/>
      <c r="AI193" s="89"/>
      <c r="AJ193" s="89"/>
      <c r="AK193" s="89"/>
      <c r="AL193" s="89"/>
      <c r="AM193" s="89"/>
      <c r="AN193" s="89"/>
      <c r="AO193" s="89"/>
    </row>
    <row r="194">
      <c r="A194" s="85">
        <v>44944.0</v>
      </c>
      <c r="B194" s="86">
        <v>338.13</v>
      </c>
      <c r="C194" s="85">
        <v>44861.0</v>
      </c>
      <c r="D194" s="89" t="s">
        <v>1507</v>
      </c>
      <c r="E194" s="89" t="s">
        <v>1508</v>
      </c>
      <c r="F194" s="89" t="s">
        <v>1509</v>
      </c>
      <c r="G194" s="89" t="s">
        <v>114</v>
      </c>
      <c r="H194" s="89" t="s">
        <v>94</v>
      </c>
      <c r="I194" s="89" t="s">
        <v>94</v>
      </c>
      <c r="J194" s="89" t="s">
        <v>95</v>
      </c>
      <c r="K194" s="85"/>
      <c r="L194" s="89">
        <v>1.0</v>
      </c>
      <c r="M194" s="85"/>
      <c r="N194" s="89">
        <v>1.0</v>
      </c>
      <c r="O194" s="85"/>
      <c r="P194" s="89">
        <v>1.0</v>
      </c>
      <c r="Q194" s="85"/>
      <c r="R194" s="85"/>
      <c r="S194" s="85"/>
      <c r="T194" s="85"/>
      <c r="U194" s="85"/>
      <c r="V194" s="89"/>
      <c r="W194" s="89"/>
      <c r="X194" s="89"/>
      <c r="Y194" s="89"/>
      <c r="Z194" s="89"/>
      <c r="AA194" s="89"/>
      <c r="AB194" s="89"/>
      <c r="AC194" s="89"/>
      <c r="AD194" s="89"/>
      <c r="AE194" s="89"/>
      <c r="AF194" s="89"/>
      <c r="AG194" s="89"/>
      <c r="AH194" s="89"/>
      <c r="AI194" s="89"/>
      <c r="AJ194" s="89"/>
      <c r="AK194" s="89"/>
      <c r="AL194" s="89"/>
      <c r="AM194" s="89"/>
      <c r="AN194" s="89"/>
      <c r="AO194" s="89"/>
    </row>
    <row r="195">
      <c r="A195" s="85">
        <v>44944.0</v>
      </c>
      <c r="B195" s="351">
        <v>206.0</v>
      </c>
      <c r="C195" s="85">
        <v>44356.0</v>
      </c>
      <c r="D195" s="89" t="s">
        <v>1516</v>
      </c>
      <c r="E195" s="89" t="s">
        <v>1517</v>
      </c>
      <c r="F195" s="89" t="s">
        <v>1518</v>
      </c>
      <c r="G195" s="89" t="s">
        <v>114</v>
      </c>
      <c r="H195" s="89" t="s">
        <v>94</v>
      </c>
      <c r="I195" s="89" t="s">
        <v>125</v>
      </c>
      <c r="J195" s="89" t="s">
        <v>95</v>
      </c>
      <c r="K195" s="89">
        <v>1.0</v>
      </c>
      <c r="L195" s="85"/>
      <c r="M195" s="85"/>
      <c r="N195" s="85"/>
      <c r="O195" s="85"/>
      <c r="P195" s="85"/>
      <c r="Q195" s="85"/>
      <c r="R195" s="85"/>
      <c r="S195" s="85"/>
      <c r="T195" s="85"/>
      <c r="U195" s="85"/>
      <c r="V195" s="89"/>
      <c r="W195" s="89"/>
      <c r="X195" s="89"/>
      <c r="Y195" s="89"/>
      <c r="Z195" s="89"/>
      <c r="AA195" s="89"/>
      <c r="AB195" s="89"/>
      <c r="AC195" s="89"/>
      <c r="AD195" s="89"/>
      <c r="AE195" s="89"/>
      <c r="AF195" s="89"/>
      <c r="AG195" s="89"/>
      <c r="AH195" s="89"/>
      <c r="AI195" s="89"/>
      <c r="AJ195" s="89"/>
      <c r="AK195" s="89"/>
      <c r="AL195" s="89"/>
      <c r="AM195" s="89"/>
      <c r="AN195" s="89"/>
      <c r="AO195" s="89"/>
    </row>
    <row r="196">
      <c r="A196" s="85">
        <v>44944.0</v>
      </c>
      <c r="B196" s="86">
        <v>312.85</v>
      </c>
      <c r="C196" s="85">
        <v>44854.0</v>
      </c>
      <c r="D196" s="89" t="s">
        <v>1522</v>
      </c>
      <c r="E196" s="89" t="s">
        <v>1523</v>
      </c>
      <c r="F196" s="89" t="s">
        <v>1524</v>
      </c>
      <c r="G196" s="89" t="s">
        <v>114</v>
      </c>
      <c r="H196" s="89" t="s">
        <v>94</v>
      </c>
      <c r="I196" s="89" t="s">
        <v>94</v>
      </c>
      <c r="J196" s="89" t="s">
        <v>95</v>
      </c>
      <c r="K196" s="89">
        <v>1.0</v>
      </c>
      <c r="L196" s="85"/>
      <c r="M196" s="89">
        <v>1.0</v>
      </c>
      <c r="N196" s="85"/>
      <c r="O196" s="85"/>
      <c r="P196" s="89"/>
      <c r="Q196" s="85"/>
      <c r="R196" s="85"/>
      <c r="S196" s="85"/>
      <c r="T196" s="85"/>
      <c r="U196" s="85"/>
      <c r="V196" s="89"/>
      <c r="W196" s="89"/>
      <c r="X196" s="89"/>
      <c r="Y196" s="89"/>
      <c r="Z196" s="89"/>
      <c r="AA196" s="89"/>
      <c r="AB196" s="89"/>
      <c r="AC196" s="89"/>
      <c r="AD196" s="89"/>
      <c r="AE196" s="89"/>
      <c r="AF196" s="89"/>
      <c r="AG196" s="89"/>
      <c r="AH196" s="89"/>
      <c r="AI196" s="89"/>
      <c r="AJ196" s="89"/>
      <c r="AK196" s="89"/>
      <c r="AL196" s="89"/>
      <c r="AM196" s="89"/>
      <c r="AN196" s="89"/>
      <c r="AO196" s="89"/>
    </row>
    <row r="197">
      <c r="A197" s="85">
        <v>44944.0</v>
      </c>
      <c r="B197" s="86">
        <v>234.33</v>
      </c>
      <c r="C197" s="85">
        <v>44685.0</v>
      </c>
      <c r="D197" s="89" t="s">
        <v>1528</v>
      </c>
      <c r="E197" s="89" t="s">
        <v>1529</v>
      </c>
      <c r="F197" s="89" t="s">
        <v>1530</v>
      </c>
      <c r="G197" s="89" t="s">
        <v>114</v>
      </c>
      <c r="H197" s="89" t="s">
        <v>94</v>
      </c>
      <c r="I197" s="89" t="s">
        <v>94</v>
      </c>
      <c r="J197" s="89" t="s">
        <v>95</v>
      </c>
      <c r="K197" s="89">
        <v>1.0</v>
      </c>
      <c r="L197" s="85"/>
      <c r="M197" s="85"/>
      <c r="N197" s="89"/>
      <c r="O197" s="85"/>
      <c r="P197" s="85"/>
      <c r="Q197" s="85"/>
      <c r="R197" s="85"/>
      <c r="S197" s="85"/>
      <c r="T197" s="85"/>
      <c r="U197" s="85"/>
      <c r="V197" s="89"/>
      <c r="W197" s="89"/>
      <c r="X197" s="89"/>
      <c r="Y197" s="89"/>
      <c r="Z197" s="89"/>
      <c r="AA197" s="89"/>
      <c r="AB197" s="89"/>
      <c r="AC197" s="89"/>
      <c r="AD197" s="89"/>
      <c r="AE197" s="89"/>
      <c r="AF197" s="89"/>
      <c r="AG197" s="89"/>
      <c r="AH197" s="89"/>
      <c r="AI197" s="89"/>
      <c r="AJ197" s="89"/>
      <c r="AK197" s="89"/>
      <c r="AL197" s="89"/>
      <c r="AM197" s="89"/>
      <c r="AN197" s="89"/>
      <c r="AO197" s="89"/>
    </row>
    <row r="198">
      <c r="A198" s="85">
        <v>44944.0</v>
      </c>
      <c r="B198" s="293">
        <v>294.54</v>
      </c>
      <c r="C198" s="85">
        <v>44619.0</v>
      </c>
      <c r="D198" s="89" t="s">
        <v>1537</v>
      </c>
      <c r="E198" s="89" t="s">
        <v>1538</v>
      </c>
      <c r="F198" s="89" t="s">
        <v>1539</v>
      </c>
      <c r="G198" s="89" t="s">
        <v>114</v>
      </c>
      <c r="H198" s="89" t="s">
        <v>94</v>
      </c>
      <c r="I198" s="89" t="s">
        <v>94</v>
      </c>
      <c r="J198" s="89" t="s">
        <v>95</v>
      </c>
      <c r="K198" s="85"/>
      <c r="L198" s="89">
        <v>1.0</v>
      </c>
      <c r="M198" s="85"/>
      <c r="N198" s="89"/>
      <c r="O198" s="85"/>
      <c r="P198" s="89"/>
      <c r="Q198" s="85"/>
      <c r="R198" s="85"/>
      <c r="S198" s="85"/>
      <c r="T198" s="85"/>
      <c r="U198" s="85"/>
      <c r="V198" s="89"/>
      <c r="W198" s="89"/>
      <c r="X198" s="89"/>
      <c r="Y198" s="89"/>
      <c r="Z198" s="89"/>
      <c r="AA198" s="89"/>
      <c r="AB198" s="89"/>
      <c r="AC198" s="89"/>
      <c r="AD198" s="89"/>
      <c r="AE198" s="89"/>
      <c r="AF198" s="89"/>
      <c r="AG198" s="89"/>
      <c r="AH198" s="89"/>
      <c r="AI198" s="89"/>
      <c r="AJ198" s="89"/>
      <c r="AK198" s="89"/>
      <c r="AL198" s="89"/>
      <c r="AM198" s="89"/>
      <c r="AN198" s="89"/>
      <c r="AO198" s="89"/>
    </row>
    <row r="199">
      <c r="A199" s="85">
        <v>44944.0</v>
      </c>
      <c r="B199" s="293">
        <v>224.42</v>
      </c>
      <c r="C199" s="85">
        <v>44729.0</v>
      </c>
      <c r="D199" s="89" t="s">
        <v>1543</v>
      </c>
      <c r="E199" s="89" t="s">
        <v>1544</v>
      </c>
      <c r="F199" s="89" t="s">
        <v>1545</v>
      </c>
      <c r="G199" s="89" t="s">
        <v>114</v>
      </c>
      <c r="H199" s="89" t="s">
        <v>94</v>
      </c>
      <c r="I199" s="89" t="s">
        <v>94</v>
      </c>
      <c r="J199" s="89" t="s">
        <v>95</v>
      </c>
      <c r="K199" s="89">
        <v>1.0</v>
      </c>
      <c r="L199" s="85"/>
      <c r="M199" s="85"/>
      <c r="N199" s="85"/>
      <c r="O199" s="85"/>
      <c r="P199" s="89"/>
      <c r="Q199" s="85"/>
      <c r="R199" s="85"/>
      <c r="S199" s="85"/>
      <c r="T199" s="85"/>
      <c r="U199" s="85"/>
      <c r="V199" s="89"/>
      <c r="W199" s="89"/>
      <c r="X199" s="89"/>
      <c r="Y199" s="89"/>
      <c r="Z199" s="89"/>
      <c r="AA199" s="89"/>
      <c r="AB199" s="89"/>
      <c r="AC199" s="89"/>
      <c r="AD199" s="89"/>
      <c r="AE199" s="89"/>
      <c r="AF199" s="89"/>
      <c r="AG199" s="89"/>
      <c r="AH199" s="89"/>
      <c r="AI199" s="89"/>
      <c r="AJ199" s="89"/>
      <c r="AK199" s="89"/>
      <c r="AL199" s="89"/>
      <c r="AM199" s="89"/>
      <c r="AN199" s="89"/>
      <c r="AO199" s="89"/>
    </row>
    <row r="200">
      <c r="A200" s="85">
        <v>44944.0</v>
      </c>
      <c r="B200" s="86">
        <v>319.93</v>
      </c>
      <c r="C200" s="85">
        <v>44889.0</v>
      </c>
      <c r="D200" s="89" t="s">
        <v>1546</v>
      </c>
      <c r="E200" s="89" t="s">
        <v>1547</v>
      </c>
      <c r="F200" s="89" t="s">
        <v>1548</v>
      </c>
      <c r="G200" s="89" t="s">
        <v>114</v>
      </c>
      <c r="H200" s="89" t="s">
        <v>94</v>
      </c>
      <c r="I200" s="89" t="s">
        <v>94</v>
      </c>
      <c r="J200" s="89" t="s">
        <v>95</v>
      </c>
      <c r="K200" s="89">
        <v>1.0</v>
      </c>
      <c r="L200" s="89"/>
      <c r="M200" s="89">
        <v>1.0</v>
      </c>
      <c r="N200" s="85"/>
      <c r="O200" s="85"/>
      <c r="P200" s="89"/>
      <c r="Q200" s="85"/>
      <c r="R200" s="85"/>
      <c r="S200" s="85"/>
      <c r="T200" s="85"/>
      <c r="U200" s="85"/>
      <c r="V200" s="89"/>
      <c r="W200" s="89"/>
      <c r="X200" s="89"/>
      <c r="Y200" s="89"/>
      <c r="Z200" s="89"/>
      <c r="AA200" s="89"/>
      <c r="AB200" s="89"/>
      <c r="AC200" s="89"/>
      <c r="AD200" s="89"/>
      <c r="AE200" s="89"/>
      <c r="AF200" s="89"/>
      <c r="AG200" s="89"/>
      <c r="AH200" s="89"/>
      <c r="AI200" s="89"/>
      <c r="AJ200" s="89"/>
      <c r="AK200" s="89"/>
      <c r="AL200" s="89"/>
      <c r="AM200" s="89"/>
      <c r="AN200" s="89"/>
      <c r="AO200" s="89"/>
    </row>
    <row r="201">
      <c r="A201" s="85">
        <v>44944.0</v>
      </c>
      <c r="B201" s="86">
        <v>345.72</v>
      </c>
      <c r="C201" s="85">
        <v>44889.0</v>
      </c>
      <c r="D201" s="89" t="s">
        <v>1553</v>
      </c>
      <c r="E201" s="89" t="s">
        <v>1554</v>
      </c>
      <c r="F201" s="89" t="s">
        <v>1555</v>
      </c>
      <c r="G201" s="89" t="s">
        <v>114</v>
      </c>
      <c r="H201" s="89" t="s">
        <v>94</v>
      </c>
      <c r="I201" s="89" t="s">
        <v>94</v>
      </c>
      <c r="J201" s="89" t="s">
        <v>95</v>
      </c>
      <c r="K201" s="89">
        <v>1.0</v>
      </c>
      <c r="L201" s="89"/>
      <c r="M201" s="89">
        <v>1.0</v>
      </c>
      <c r="N201" s="85"/>
      <c r="O201" s="85"/>
      <c r="P201" s="85"/>
      <c r="Q201" s="85"/>
      <c r="R201" s="85"/>
      <c r="S201" s="85"/>
      <c r="T201" s="85"/>
      <c r="U201" s="85"/>
      <c r="V201" s="89"/>
      <c r="W201" s="89"/>
      <c r="X201" s="89"/>
      <c r="Y201" s="89"/>
      <c r="Z201" s="89"/>
      <c r="AA201" s="89"/>
      <c r="AB201" s="89"/>
      <c r="AC201" s="89"/>
      <c r="AD201" s="89"/>
      <c r="AE201" s="89"/>
      <c r="AF201" s="89"/>
      <c r="AG201" s="89"/>
      <c r="AH201" s="89"/>
      <c r="AI201" s="89"/>
      <c r="AJ201" s="89"/>
      <c r="AK201" s="89"/>
      <c r="AL201" s="89"/>
      <c r="AM201" s="89"/>
      <c r="AN201" s="89"/>
      <c r="AO201" s="89"/>
    </row>
    <row r="202">
      <c r="A202" s="431" t="s">
        <v>1560</v>
      </c>
      <c r="B202" s="432" t="s">
        <v>1561</v>
      </c>
      <c r="C202" s="432" t="s">
        <v>1562</v>
      </c>
      <c r="D202" s="98" t="s">
        <v>1563</v>
      </c>
      <c r="E202" s="98" t="s">
        <v>1564</v>
      </c>
      <c r="F202" s="98" t="s">
        <v>1565</v>
      </c>
      <c r="G202" s="98" t="s">
        <v>114</v>
      </c>
      <c r="H202" s="98" t="s">
        <v>94</v>
      </c>
      <c r="I202" s="98" t="s">
        <v>94</v>
      </c>
      <c r="J202" s="98" t="s">
        <v>95</v>
      </c>
      <c r="K202" s="200">
        <v>1.0</v>
      </c>
      <c r="L202" s="98"/>
      <c r="M202" s="101"/>
      <c r="N202" s="101"/>
      <c r="O202" s="101"/>
      <c r="P202" s="98"/>
      <c r="Q202" s="201"/>
      <c r="R202" s="201"/>
      <c r="S202" s="201"/>
      <c r="T202" s="201"/>
      <c r="U202" s="201"/>
      <c r="V202" s="201"/>
      <c r="W202" s="201"/>
      <c r="X202" s="103"/>
      <c r="Y202" s="103"/>
      <c r="Z202" s="103"/>
      <c r="AA202" s="103"/>
      <c r="AB202" s="103"/>
      <c r="AC202" s="103"/>
      <c r="AD202" s="103"/>
      <c r="AE202" s="103"/>
      <c r="AF202" s="103"/>
      <c r="AG202" s="103"/>
      <c r="AH202" s="103"/>
      <c r="AI202" s="103"/>
      <c r="AJ202" s="103"/>
      <c r="AK202" s="103"/>
      <c r="AL202" s="103"/>
      <c r="AM202" s="103"/>
      <c r="AN202" s="103"/>
      <c r="AO202" s="103"/>
    </row>
    <row r="203">
      <c r="A203" s="433" t="s">
        <v>1560</v>
      </c>
      <c r="B203" s="434" t="s">
        <v>1570</v>
      </c>
      <c r="C203" s="434" t="s">
        <v>1571</v>
      </c>
      <c r="D203" s="110" t="s">
        <v>1572</v>
      </c>
      <c r="E203" s="110" t="s">
        <v>1573</v>
      </c>
      <c r="F203" s="110" t="s">
        <v>1574</v>
      </c>
      <c r="G203" s="110" t="s">
        <v>114</v>
      </c>
      <c r="H203" s="110" t="s">
        <v>94</v>
      </c>
      <c r="I203" s="110" t="s">
        <v>94</v>
      </c>
      <c r="J203" s="110" t="s">
        <v>95</v>
      </c>
      <c r="K203" s="112"/>
      <c r="L203" s="110">
        <v>1.0</v>
      </c>
      <c r="M203" s="112"/>
      <c r="N203" s="113">
        <v>1.0</v>
      </c>
      <c r="O203" s="112"/>
      <c r="P203" s="110">
        <v>1.0</v>
      </c>
      <c r="Q203" s="435"/>
      <c r="R203" s="435"/>
      <c r="S203" s="435"/>
      <c r="T203" s="435"/>
      <c r="U203" s="435"/>
      <c r="V203" s="435"/>
      <c r="W203" s="435"/>
      <c r="X203" s="114"/>
      <c r="Y203" s="114"/>
      <c r="Z203" s="114"/>
      <c r="AA203" s="114"/>
      <c r="AB203" s="114"/>
      <c r="AC203" s="114"/>
      <c r="AD203" s="114"/>
      <c r="AE203" s="114"/>
      <c r="AF203" s="114"/>
      <c r="AG203" s="114"/>
      <c r="AH203" s="114"/>
      <c r="AI203" s="114"/>
      <c r="AJ203" s="114"/>
      <c r="AK203" s="114"/>
      <c r="AL203" s="114"/>
      <c r="AM203" s="114"/>
      <c r="AN203" s="114"/>
      <c r="AO203" s="114"/>
    </row>
    <row r="204">
      <c r="A204" s="85">
        <v>44944.0</v>
      </c>
      <c r="B204" s="86">
        <v>307.0</v>
      </c>
      <c r="C204" s="85">
        <v>44668.0</v>
      </c>
      <c r="D204" s="89" t="s">
        <v>1579</v>
      </c>
      <c r="E204" s="89" t="s">
        <v>1580</v>
      </c>
      <c r="F204" s="89" t="s">
        <v>1581</v>
      </c>
      <c r="G204" s="89" t="s">
        <v>114</v>
      </c>
      <c r="H204" s="89" t="s">
        <v>94</v>
      </c>
      <c r="I204" s="89" t="s">
        <v>94</v>
      </c>
      <c r="J204" s="89" t="s">
        <v>95</v>
      </c>
      <c r="K204" s="85"/>
      <c r="L204" s="89">
        <v>1.0</v>
      </c>
      <c r="M204" s="85"/>
      <c r="N204" s="85"/>
      <c r="O204" s="89">
        <v>1.0</v>
      </c>
      <c r="P204" s="89"/>
      <c r="Q204" s="85"/>
      <c r="R204" s="85"/>
      <c r="S204" s="85"/>
      <c r="T204" s="85"/>
      <c r="U204" s="85"/>
      <c r="V204" s="89"/>
      <c r="W204" s="89"/>
      <c r="X204" s="89"/>
      <c r="Y204" s="89"/>
      <c r="Z204" s="89"/>
      <c r="AA204" s="89"/>
      <c r="AB204" s="89"/>
      <c r="AC204" s="89"/>
      <c r="AD204" s="89"/>
      <c r="AE204" s="89"/>
      <c r="AF204" s="89"/>
      <c r="AG204" s="89"/>
      <c r="AH204" s="89"/>
      <c r="AI204" s="89"/>
      <c r="AJ204" s="89"/>
      <c r="AK204" s="89"/>
      <c r="AL204" s="89"/>
      <c r="AM204" s="89"/>
      <c r="AN204" s="89"/>
      <c r="AO204" s="89"/>
    </row>
    <row r="205">
      <c r="A205" s="85">
        <v>44944.0</v>
      </c>
      <c r="B205" s="86">
        <v>247.32</v>
      </c>
      <c r="C205" s="85">
        <v>44880.0</v>
      </c>
      <c r="D205" s="89" t="s">
        <v>1585</v>
      </c>
      <c r="E205" s="89" t="s">
        <v>1586</v>
      </c>
      <c r="F205" s="89" t="s">
        <v>1587</v>
      </c>
      <c r="G205" s="89" t="s">
        <v>114</v>
      </c>
      <c r="H205" s="89" t="s">
        <v>94</v>
      </c>
      <c r="I205" s="89" t="s">
        <v>94</v>
      </c>
      <c r="J205" s="89" t="s">
        <v>95</v>
      </c>
      <c r="K205" s="89">
        <v>1.0</v>
      </c>
      <c r="L205" s="89"/>
      <c r="M205" s="85"/>
      <c r="N205" s="85"/>
      <c r="O205" s="85"/>
      <c r="P205" s="89"/>
      <c r="Q205" s="85"/>
      <c r="R205" s="85"/>
      <c r="S205" s="85"/>
      <c r="T205" s="85"/>
      <c r="U205" s="85"/>
      <c r="V205" s="89"/>
      <c r="W205" s="89"/>
      <c r="X205" s="89"/>
      <c r="Y205" s="89"/>
      <c r="Z205" s="89"/>
      <c r="AA205" s="89"/>
      <c r="AB205" s="89"/>
      <c r="AC205" s="89"/>
      <c r="AD205" s="89"/>
      <c r="AE205" s="89"/>
      <c r="AF205" s="89"/>
      <c r="AG205" s="89"/>
      <c r="AH205" s="89"/>
      <c r="AI205" s="89"/>
      <c r="AJ205" s="89"/>
      <c r="AK205" s="89"/>
      <c r="AL205" s="89"/>
      <c r="AM205" s="89"/>
      <c r="AN205" s="89"/>
      <c r="AO205" s="89"/>
    </row>
    <row r="206">
      <c r="A206" s="85">
        <v>44944.0</v>
      </c>
      <c r="B206" s="86">
        <v>314.0</v>
      </c>
      <c r="C206" s="85">
        <v>44888.0</v>
      </c>
      <c r="D206" s="89" t="s">
        <v>1591</v>
      </c>
      <c r="E206" s="89" t="s">
        <v>1592</v>
      </c>
      <c r="F206" s="89" t="s">
        <v>1593</v>
      </c>
      <c r="G206" s="89" t="s">
        <v>114</v>
      </c>
      <c r="H206" s="89" t="s">
        <v>94</v>
      </c>
      <c r="I206" s="89" t="s">
        <v>94</v>
      </c>
      <c r="J206" s="89" t="s">
        <v>95</v>
      </c>
      <c r="K206" s="89">
        <v>1.0</v>
      </c>
      <c r="L206" s="85"/>
      <c r="M206" s="89">
        <v>1.0</v>
      </c>
      <c r="N206" s="85"/>
      <c r="O206" s="85"/>
      <c r="P206" s="89">
        <v>1.0</v>
      </c>
      <c r="Q206" s="85"/>
      <c r="R206" s="85"/>
      <c r="S206" s="85"/>
      <c r="T206" s="85"/>
      <c r="U206" s="85"/>
      <c r="V206" s="89"/>
      <c r="W206" s="89"/>
      <c r="X206" s="89"/>
      <c r="Y206" s="89"/>
      <c r="Z206" s="89"/>
      <c r="AA206" s="89"/>
      <c r="AB206" s="89"/>
      <c r="AC206" s="89"/>
      <c r="AD206" s="89"/>
      <c r="AE206" s="89"/>
      <c r="AF206" s="89"/>
      <c r="AG206" s="89"/>
      <c r="AH206" s="89"/>
      <c r="AI206" s="89"/>
      <c r="AJ206" s="89"/>
      <c r="AK206" s="89"/>
      <c r="AL206" s="89"/>
      <c r="AM206" s="89"/>
      <c r="AN206" s="89"/>
      <c r="AO206" s="89"/>
    </row>
    <row r="207">
      <c r="A207" s="85">
        <v>44944.0</v>
      </c>
      <c r="B207" s="86">
        <v>357.62</v>
      </c>
      <c r="C207" s="85">
        <v>44864.0</v>
      </c>
      <c r="D207" s="89" t="s">
        <v>1597</v>
      </c>
      <c r="E207" s="89" t="s">
        <v>1598</v>
      </c>
      <c r="F207" s="89" t="s">
        <v>1599</v>
      </c>
      <c r="G207" s="89" t="s">
        <v>114</v>
      </c>
      <c r="H207" s="89" t="s">
        <v>94</v>
      </c>
      <c r="I207" s="89" t="s">
        <v>94</v>
      </c>
      <c r="J207" s="89" t="s">
        <v>95</v>
      </c>
      <c r="K207" s="89">
        <v>1.0</v>
      </c>
      <c r="L207" s="89"/>
      <c r="M207" s="89">
        <v>1.0</v>
      </c>
      <c r="N207" s="89">
        <v>1.0</v>
      </c>
      <c r="O207" s="85"/>
      <c r="P207" s="89">
        <v>1.0</v>
      </c>
      <c r="Q207" s="89">
        <v>1.0</v>
      </c>
      <c r="R207" s="85"/>
      <c r="S207" s="85"/>
      <c r="T207" s="85"/>
      <c r="U207" s="85"/>
      <c r="V207" s="89"/>
      <c r="W207" s="89"/>
      <c r="X207" s="89"/>
      <c r="Y207" s="89"/>
      <c r="Z207" s="89"/>
      <c r="AA207" s="89"/>
      <c r="AB207" s="89"/>
      <c r="AC207" s="89"/>
      <c r="AD207" s="89"/>
      <c r="AE207" s="89"/>
      <c r="AF207" s="89"/>
      <c r="AG207" s="89"/>
      <c r="AH207" s="89"/>
      <c r="AI207" s="89"/>
      <c r="AJ207" s="89"/>
      <c r="AK207" s="89"/>
      <c r="AL207" s="89"/>
      <c r="AM207" s="89"/>
      <c r="AN207" s="89"/>
      <c r="AO207" s="89"/>
    </row>
    <row r="208">
      <c r="A208" s="85">
        <v>44944.0</v>
      </c>
      <c r="B208" s="86">
        <v>107.34</v>
      </c>
      <c r="C208" s="85">
        <v>44862.0</v>
      </c>
      <c r="D208" s="89" t="s">
        <v>1603</v>
      </c>
      <c r="E208" s="89" t="s">
        <v>1604</v>
      </c>
      <c r="F208" s="89" t="s">
        <v>1605</v>
      </c>
      <c r="G208" s="89" t="s">
        <v>114</v>
      </c>
      <c r="H208" s="89" t="s">
        <v>94</v>
      </c>
      <c r="I208" s="89" t="s">
        <v>125</v>
      </c>
      <c r="J208" s="89" t="s">
        <v>95</v>
      </c>
      <c r="K208" s="85"/>
      <c r="L208" s="89"/>
      <c r="M208" s="89">
        <v>1.0</v>
      </c>
      <c r="N208" s="85"/>
      <c r="O208" s="85"/>
      <c r="P208" s="89">
        <v>1.0</v>
      </c>
      <c r="Q208" s="85"/>
      <c r="R208" s="85"/>
      <c r="S208" s="85"/>
      <c r="T208" s="85"/>
      <c r="U208" s="85"/>
      <c r="V208" s="89"/>
      <c r="W208" s="89"/>
      <c r="X208" s="89"/>
      <c r="Y208" s="89"/>
      <c r="Z208" s="89"/>
      <c r="AA208" s="89"/>
      <c r="AB208" s="89"/>
      <c r="AC208" s="89"/>
      <c r="AD208" s="89"/>
      <c r="AE208" s="89"/>
      <c r="AF208" s="89"/>
      <c r="AG208" s="89"/>
      <c r="AH208" s="89"/>
      <c r="AI208" s="89"/>
      <c r="AJ208" s="89"/>
      <c r="AK208" s="89"/>
      <c r="AL208" s="89"/>
      <c r="AM208" s="89"/>
      <c r="AN208" s="89"/>
      <c r="AO208" s="89"/>
    </row>
    <row r="209">
      <c r="A209" s="85">
        <v>44944.0</v>
      </c>
      <c r="B209" s="86">
        <v>231.05</v>
      </c>
      <c r="C209" s="85">
        <v>44866.0</v>
      </c>
      <c r="D209" s="89" t="s">
        <v>1606</v>
      </c>
      <c r="E209" s="89" t="s">
        <v>1607</v>
      </c>
      <c r="F209" s="89" t="s">
        <v>1609</v>
      </c>
      <c r="G209" s="89" t="s">
        <v>114</v>
      </c>
      <c r="H209" s="89" t="s">
        <v>94</v>
      </c>
      <c r="I209" s="89" t="s">
        <v>125</v>
      </c>
      <c r="J209" s="89" t="s">
        <v>95</v>
      </c>
      <c r="K209" s="89">
        <v>1.0</v>
      </c>
      <c r="L209" s="85"/>
      <c r="M209" s="85"/>
      <c r="N209" s="85"/>
      <c r="O209" s="85"/>
      <c r="P209" s="89"/>
      <c r="Q209" s="85"/>
      <c r="R209" s="85"/>
      <c r="S209" s="85"/>
      <c r="T209" s="85"/>
      <c r="U209" s="85"/>
      <c r="V209" s="89"/>
      <c r="W209" s="89"/>
      <c r="X209" s="89"/>
      <c r="Y209" s="89"/>
      <c r="Z209" s="89"/>
      <c r="AA209" s="89"/>
      <c r="AB209" s="89"/>
      <c r="AC209" s="89"/>
      <c r="AD209" s="89"/>
      <c r="AE209" s="89"/>
      <c r="AF209" s="89"/>
      <c r="AG209" s="89"/>
      <c r="AH209" s="89"/>
      <c r="AI209" s="89"/>
      <c r="AJ209" s="89"/>
      <c r="AK209" s="89"/>
      <c r="AL209" s="89"/>
      <c r="AM209" s="89"/>
      <c r="AN209" s="89"/>
      <c r="AO209" s="89"/>
    </row>
    <row r="210">
      <c r="A210" s="85">
        <v>44944.0</v>
      </c>
      <c r="B210" s="86">
        <v>315.0</v>
      </c>
      <c r="C210" s="85">
        <v>44677.0</v>
      </c>
      <c r="D210" s="89" t="s">
        <v>1612</v>
      </c>
      <c r="E210" s="130" t="s">
        <v>1613</v>
      </c>
      <c r="F210" s="89" t="s">
        <v>1614</v>
      </c>
      <c r="G210" s="89" t="s">
        <v>114</v>
      </c>
      <c r="H210" s="89" t="s">
        <v>94</v>
      </c>
      <c r="I210" s="89" t="s">
        <v>94</v>
      </c>
      <c r="J210" s="89" t="s">
        <v>95</v>
      </c>
      <c r="K210" s="89">
        <v>1.0</v>
      </c>
      <c r="L210" s="89"/>
      <c r="M210" s="89">
        <v>1.0</v>
      </c>
      <c r="N210" s="89">
        <v>1.0</v>
      </c>
      <c r="O210" s="89">
        <v>1.0</v>
      </c>
      <c r="P210" s="89"/>
      <c r="Q210" s="85"/>
      <c r="R210" s="85"/>
      <c r="S210" s="85"/>
      <c r="T210" s="85"/>
      <c r="U210" s="85"/>
      <c r="V210" s="89"/>
      <c r="W210" s="89"/>
      <c r="X210" s="89"/>
      <c r="Y210" s="89"/>
      <c r="Z210" s="89"/>
      <c r="AA210" s="89"/>
      <c r="AB210" s="89"/>
      <c r="AC210" s="89"/>
      <c r="AD210" s="89"/>
      <c r="AE210" s="89"/>
      <c r="AF210" s="89"/>
      <c r="AG210" s="89"/>
      <c r="AH210" s="89"/>
      <c r="AI210" s="89"/>
      <c r="AJ210" s="89"/>
      <c r="AK210" s="89"/>
      <c r="AL210" s="89"/>
      <c r="AM210" s="89"/>
      <c r="AN210" s="89"/>
      <c r="AO210" s="89"/>
    </row>
    <row r="211">
      <c r="A211" s="85">
        <v>44944.0</v>
      </c>
      <c r="B211" s="86">
        <v>72.32</v>
      </c>
      <c r="C211" s="85">
        <v>44864.0</v>
      </c>
      <c r="D211" s="89" t="s">
        <v>1619</v>
      </c>
      <c r="E211" s="443" t="s">
        <v>1620</v>
      </c>
      <c r="F211" s="110" t="s">
        <v>1621</v>
      </c>
      <c r="G211" s="89" t="s">
        <v>114</v>
      </c>
      <c r="H211" s="89" t="s">
        <v>94</v>
      </c>
      <c r="I211" s="89" t="s">
        <v>94</v>
      </c>
      <c r="J211" s="89" t="s">
        <v>95</v>
      </c>
      <c r="K211" s="85"/>
      <c r="L211" s="85"/>
      <c r="M211" s="89"/>
      <c r="N211" s="89">
        <v>2.0</v>
      </c>
      <c r="O211" s="85"/>
      <c r="P211" s="85"/>
      <c r="Q211" s="85"/>
      <c r="R211" s="85"/>
      <c r="S211" s="85"/>
      <c r="T211" s="85"/>
      <c r="U211" s="85"/>
      <c r="V211" s="89"/>
      <c r="W211" s="89"/>
      <c r="X211" s="89"/>
      <c r="Y211" s="89"/>
      <c r="Z211" s="89"/>
      <c r="AA211" s="89"/>
      <c r="AB211" s="89"/>
      <c r="AC211" s="89"/>
      <c r="AD211" s="89"/>
      <c r="AE211" s="89"/>
      <c r="AF211" s="89"/>
      <c r="AG211" s="89"/>
      <c r="AH211" s="89"/>
      <c r="AI211" s="89"/>
      <c r="AJ211" s="89"/>
      <c r="AK211" s="89"/>
      <c r="AL211" s="89"/>
      <c r="AM211" s="89"/>
      <c r="AN211" s="89"/>
      <c r="AO211" s="89"/>
    </row>
    <row r="212">
      <c r="A212" s="85">
        <v>44944.0</v>
      </c>
      <c r="B212" s="86">
        <v>226.48</v>
      </c>
      <c r="C212" s="85">
        <v>44728.0</v>
      </c>
      <c r="D212" s="89" t="s">
        <v>1625</v>
      </c>
      <c r="E212" s="130" t="s">
        <v>1626</v>
      </c>
      <c r="F212" s="89" t="s">
        <v>1627</v>
      </c>
      <c r="G212" s="89" t="s">
        <v>114</v>
      </c>
      <c r="H212" s="1" t="s">
        <v>94</v>
      </c>
      <c r="I212" s="89" t="s">
        <v>94</v>
      </c>
      <c r="J212" s="89" t="s">
        <v>95</v>
      </c>
      <c r="K212" s="89">
        <v>1.0</v>
      </c>
      <c r="L212" s="85"/>
      <c r="M212" s="85"/>
      <c r="N212" s="89"/>
      <c r="O212" s="85"/>
      <c r="P212" s="89"/>
      <c r="Q212" s="85"/>
      <c r="R212" s="85"/>
      <c r="S212" s="85"/>
      <c r="T212" s="85"/>
      <c r="U212" s="85"/>
      <c r="V212" s="89"/>
      <c r="W212" s="89"/>
      <c r="X212" s="89"/>
      <c r="Y212" s="89"/>
      <c r="Z212" s="89"/>
      <c r="AA212" s="89"/>
      <c r="AB212" s="89"/>
      <c r="AC212" s="89"/>
      <c r="AD212" s="89"/>
      <c r="AE212" s="89"/>
      <c r="AF212" s="89"/>
      <c r="AG212" s="89"/>
      <c r="AH212" s="89"/>
      <c r="AI212" s="89"/>
      <c r="AJ212" s="89"/>
      <c r="AK212" s="89"/>
      <c r="AL212" s="89"/>
      <c r="AM212" s="89"/>
      <c r="AN212" s="89"/>
      <c r="AO212" s="89"/>
    </row>
    <row r="213">
      <c r="A213" s="85">
        <v>44945.0</v>
      </c>
      <c r="B213" s="86">
        <v>232.14</v>
      </c>
      <c r="C213" s="85">
        <v>44850.0</v>
      </c>
      <c r="D213" s="444" t="s">
        <v>1631</v>
      </c>
      <c r="E213" s="89" t="s">
        <v>1632</v>
      </c>
      <c r="F213" s="89" t="s">
        <v>1633</v>
      </c>
      <c r="G213" s="89" t="s">
        <v>114</v>
      </c>
      <c r="H213" s="89" t="s">
        <v>94</v>
      </c>
      <c r="I213" s="89" t="s">
        <v>94</v>
      </c>
      <c r="J213" s="89" t="s">
        <v>95</v>
      </c>
      <c r="K213" s="89">
        <v>1.0</v>
      </c>
      <c r="L213" s="89"/>
      <c r="M213" s="85"/>
      <c r="N213" s="85"/>
      <c r="O213" s="85"/>
      <c r="P213" s="89">
        <v>1.0</v>
      </c>
      <c r="Q213" s="85"/>
      <c r="R213" s="85"/>
      <c r="S213" s="85"/>
      <c r="T213" s="85"/>
      <c r="U213" s="85"/>
      <c r="V213" s="89"/>
      <c r="W213" s="89"/>
      <c r="X213" s="89"/>
      <c r="Y213" s="89"/>
      <c r="Z213" s="89"/>
      <c r="AA213" s="89"/>
      <c r="AB213" s="89"/>
      <c r="AC213" s="89"/>
      <c r="AD213" s="89"/>
      <c r="AE213" s="89"/>
      <c r="AF213" s="89"/>
      <c r="AG213" s="89"/>
      <c r="AH213" s="89"/>
      <c r="AI213" s="89"/>
      <c r="AJ213" s="89"/>
      <c r="AK213" s="89"/>
      <c r="AL213" s="89"/>
      <c r="AM213" s="89"/>
      <c r="AN213" s="89"/>
      <c r="AO213" s="89"/>
    </row>
    <row r="214">
      <c r="A214" s="85">
        <v>44945.0</v>
      </c>
      <c r="B214" s="86">
        <v>262.1</v>
      </c>
      <c r="C214" s="85">
        <v>44871.0</v>
      </c>
      <c r="D214" s="89" t="s">
        <v>1634</v>
      </c>
      <c r="E214" s="89" t="s">
        <v>1635</v>
      </c>
      <c r="F214" s="89" t="s">
        <v>1636</v>
      </c>
      <c r="G214" s="89" t="s">
        <v>114</v>
      </c>
      <c r="H214" s="89" t="s">
        <v>94</v>
      </c>
      <c r="I214" s="89" t="s">
        <v>94</v>
      </c>
      <c r="J214" s="89" t="s">
        <v>95</v>
      </c>
      <c r="K214" s="89"/>
      <c r="L214" s="89">
        <v>1.0</v>
      </c>
      <c r="M214" s="85"/>
      <c r="N214" s="85"/>
      <c r="O214" s="85"/>
      <c r="P214" s="89">
        <v>1.0</v>
      </c>
      <c r="Q214" s="85"/>
      <c r="R214" s="85"/>
      <c r="S214" s="85"/>
      <c r="T214" s="85"/>
      <c r="U214" s="85"/>
      <c r="V214" s="89"/>
      <c r="W214" s="89"/>
      <c r="X214" s="89"/>
      <c r="Y214" s="89"/>
      <c r="Z214" s="89"/>
      <c r="AA214" s="89"/>
      <c r="AB214" s="89"/>
      <c r="AC214" s="89"/>
      <c r="AD214" s="89"/>
      <c r="AE214" s="89"/>
      <c r="AF214" s="89"/>
      <c r="AG214" s="89"/>
      <c r="AH214" s="89"/>
      <c r="AI214" s="89"/>
      <c r="AJ214" s="89"/>
      <c r="AK214" s="89"/>
      <c r="AL214" s="89"/>
      <c r="AM214" s="89"/>
      <c r="AN214" s="89"/>
      <c r="AO214" s="89"/>
    </row>
    <row r="215">
      <c r="A215" s="85">
        <v>44945.0</v>
      </c>
      <c r="B215" s="86">
        <v>316.94</v>
      </c>
      <c r="C215" s="85">
        <v>44891.0</v>
      </c>
      <c r="D215" s="89" t="s">
        <v>1640</v>
      </c>
      <c r="E215" s="89" t="s">
        <v>1641</v>
      </c>
      <c r="F215" s="89" t="s">
        <v>1642</v>
      </c>
      <c r="G215" s="89" t="s">
        <v>114</v>
      </c>
      <c r="H215" s="89" t="s">
        <v>94</v>
      </c>
      <c r="I215" s="89" t="s">
        <v>94</v>
      </c>
      <c r="J215" s="89" t="s">
        <v>95</v>
      </c>
      <c r="K215" s="89">
        <v>1.0</v>
      </c>
      <c r="L215" s="89"/>
      <c r="M215" s="89">
        <v>1.0</v>
      </c>
      <c r="N215" s="85"/>
      <c r="O215" s="85"/>
      <c r="P215" s="89">
        <v>1.0</v>
      </c>
      <c r="Q215" s="85"/>
      <c r="R215" s="85"/>
      <c r="S215" s="85"/>
      <c r="T215" s="85"/>
      <c r="U215" s="85"/>
      <c r="V215" s="89"/>
      <c r="W215" s="89"/>
      <c r="X215" s="89"/>
      <c r="Y215" s="89"/>
      <c r="Z215" s="89"/>
      <c r="AA215" s="89"/>
      <c r="AB215" s="89"/>
      <c r="AC215" s="89"/>
      <c r="AD215" s="89"/>
      <c r="AE215" s="89"/>
      <c r="AF215" s="89"/>
      <c r="AG215" s="89"/>
      <c r="AH215" s="89"/>
      <c r="AI215" s="89"/>
      <c r="AJ215" s="89"/>
      <c r="AK215" s="89"/>
      <c r="AL215" s="89"/>
      <c r="AM215" s="89"/>
      <c r="AN215" s="89"/>
      <c r="AO215" s="89"/>
    </row>
    <row r="216">
      <c r="A216" s="85">
        <v>44945.0</v>
      </c>
      <c r="B216" s="86">
        <v>623.86</v>
      </c>
      <c r="C216" s="85">
        <v>44890.0</v>
      </c>
      <c r="D216" s="89" t="s">
        <v>1646</v>
      </c>
      <c r="E216" s="89" t="s">
        <v>1647</v>
      </c>
      <c r="F216" s="89" t="s">
        <v>1648</v>
      </c>
      <c r="G216" s="89" t="s">
        <v>114</v>
      </c>
      <c r="H216" s="89" t="s">
        <v>94</v>
      </c>
      <c r="I216" s="89" t="s">
        <v>94</v>
      </c>
      <c r="J216" s="89" t="s">
        <v>95</v>
      </c>
      <c r="K216" s="89">
        <v>2.0</v>
      </c>
      <c r="L216" s="85"/>
      <c r="M216" s="89">
        <v>2.0</v>
      </c>
      <c r="N216" s="85"/>
      <c r="O216" s="85"/>
      <c r="P216" s="89">
        <v>2.0</v>
      </c>
      <c r="Q216" s="85"/>
      <c r="R216" s="85"/>
      <c r="S216" s="85"/>
      <c r="T216" s="85"/>
      <c r="U216" s="85"/>
      <c r="V216" s="89"/>
      <c r="W216" s="89"/>
      <c r="X216" s="89"/>
      <c r="Y216" s="89"/>
      <c r="Z216" s="89"/>
      <c r="AA216" s="89"/>
      <c r="AB216" s="89"/>
      <c r="AC216" s="89"/>
      <c r="AD216" s="89"/>
      <c r="AE216" s="89"/>
      <c r="AF216" s="89"/>
      <c r="AG216" s="89"/>
      <c r="AH216" s="89"/>
      <c r="AI216" s="89"/>
      <c r="AJ216" s="89"/>
      <c r="AK216" s="89"/>
      <c r="AL216" s="89"/>
      <c r="AM216" s="89"/>
      <c r="AN216" s="89"/>
      <c r="AO216" s="89"/>
    </row>
    <row r="217">
      <c r="A217" s="85">
        <v>44945.0</v>
      </c>
      <c r="B217" s="86">
        <v>355.1</v>
      </c>
      <c r="C217" s="85">
        <v>44864.0</v>
      </c>
      <c r="D217" s="89" t="s">
        <v>1650</v>
      </c>
      <c r="E217" s="89" t="s">
        <v>1651</v>
      </c>
      <c r="F217" s="89" t="s">
        <v>1652</v>
      </c>
      <c r="G217" s="89" t="s">
        <v>114</v>
      </c>
      <c r="H217" s="89" t="s">
        <v>94</v>
      </c>
      <c r="I217" s="89" t="s">
        <v>94</v>
      </c>
      <c r="J217" s="89" t="s">
        <v>95</v>
      </c>
      <c r="K217" s="89">
        <v>1.0</v>
      </c>
      <c r="L217" s="89"/>
      <c r="M217" s="89">
        <v>1.0</v>
      </c>
      <c r="N217" s="89">
        <v>1.0</v>
      </c>
      <c r="O217" s="85"/>
      <c r="P217" s="89">
        <v>1.0</v>
      </c>
      <c r="Q217" s="89">
        <v>1.0</v>
      </c>
      <c r="R217" s="85"/>
      <c r="S217" s="85"/>
      <c r="T217" s="85"/>
      <c r="U217" s="85"/>
      <c r="V217" s="89"/>
      <c r="W217" s="89"/>
      <c r="X217" s="89"/>
      <c r="Y217" s="89"/>
      <c r="Z217" s="89"/>
      <c r="AA217" s="89"/>
      <c r="AB217" s="89"/>
      <c r="AC217" s="89"/>
      <c r="AD217" s="89"/>
      <c r="AE217" s="89"/>
      <c r="AF217" s="89"/>
      <c r="AG217" s="89"/>
      <c r="AH217" s="89"/>
      <c r="AI217" s="89"/>
      <c r="AJ217" s="89"/>
      <c r="AK217" s="89"/>
      <c r="AL217" s="89"/>
      <c r="AM217" s="89"/>
      <c r="AN217" s="89"/>
      <c r="AO217" s="89"/>
    </row>
    <row r="218">
      <c r="A218" s="85">
        <v>44945.0</v>
      </c>
      <c r="B218" s="86">
        <v>231.05</v>
      </c>
      <c r="C218" s="85">
        <v>44867.0</v>
      </c>
      <c r="D218" s="89" t="s">
        <v>1656</v>
      </c>
      <c r="E218" s="89" t="s">
        <v>1657</v>
      </c>
      <c r="F218" s="89" t="s">
        <v>1658</v>
      </c>
      <c r="G218" s="89" t="s">
        <v>114</v>
      </c>
      <c r="H218" s="89" t="s">
        <v>94</v>
      </c>
      <c r="I218" s="89" t="s">
        <v>94</v>
      </c>
      <c r="J218" s="89" t="s">
        <v>95</v>
      </c>
      <c r="K218" s="89">
        <v>1.0</v>
      </c>
      <c r="L218" s="85"/>
      <c r="M218" s="85"/>
      <c r="N218" s="85"/>
      <c r="O218" s="85"/>
      <c r="P218" s="89">
        <v>1.0</v>
      </c>
      <c r="Q218" s="85"/>
      <c r="R218" s="85"/>
      <c r="S218" s="85"/>
      <c r="T218" s="85"/>
      <c r="U218" s="85"/>
      <c r="V218" s="89"/>
      <c r="W218" s="89"/>
      <c r="X218" s="89"/>
      <c r="Y218" s="89"/>
      <c r="Z218" s="89"/>
      <c r="AA218" s="89"/>
      <c r="AB218" s="89"/>
      <c r="AC218" s="89"/>
      <c r="AD218" s="89"/>
      <c r="AE218" s="89"/>
      <c r="AF218" s="89"/>
      <c r="AG218" s="89"/>
      <c r="AH218" s="89"/>
      <c r="AI218" s="89"/>
      <c r="AJ218" s="89"/>
      <c r="AK218" s="89"/>
      <c r="AL218" s="89"/>
      <c r="AM218" s="89"/>
      <c r="AN218" s="89"/>
      <c r="AO218" s="89"/>
    </row>
    <row r="219">
      <c r="A219" s="85">
        <v>44945.0</v>
      </c>
      <c r="B219" s="86">
        <v>249.16</v>
      </c>
      <c r="C219" s="85">
        <v>44886.0</v>
      </c>
      <c r="D219" s="89" t="s">
        <v>1660</v>
      </c>
      <c r="E219" s="89" t="s">
        <v>1661</v>
      </c>
      <c r="F219" s="89" t="s">
        <v>1662</v>
      </c>
      <c r="G219" s="89" t="s">
        <v>114</v>
      </c>
      <c r="H219" s="89" t="s">
        <v>94</v>
      </c>
      <c r="I219" s="89" t="s">
        <v>94</v>
      </c>
      <c r="J219" s="89" t="s">
        <v>95</v>
      </c>
      <c r="K219" s="89">
        <v>1.0</v>
      </c>
      <c r="L219" s="89"/>
      <c r="M219" s="85"/>
      <c r="N219" s="85"/>
      <c r="O219" s="85"/>
      <c r="P219" s="89">
        <v>1.0</v>
      </c>
      <c r="Q219" s="85"/>
      <c r="R219" s="85"/>
      <c r="S219" s="85"/>
      <c r="T219" s="85"/>
      <c r="U219" s="85"/>
      <c r="V219" s="89"/>
      <c r="W219" s="89"/>
      <c r="X219" s="89"/>
      <c r="Y219" s="89"/>
      <c r="Z219" s="89"/>
      <c r="AA219" s="89"/>
      <c r="AB219" s="89"/>
      <c r="AC219" s="89"/>
      <c r="AD219" s="89"/>
      <c r="AE219" s="89"/>
      <c r="AF219" s="89"/>
      <c r="AG219" s="89"/>
      <c r="AH219" s="89"/>
      <c r="AI219" s="89"/>
      <c r="AJ219" s="89"/>
      <c r="AK219" s="89"/>
      <c r="AL219" s="89"/>
      <c r="AM219" s="89"/>
      <c r="AN219" s="89"/>
      <c r="AO219" s="89"/>
    </row>
    <row r="220">
      <c r="A220" s="85">
        <v>44945.0</v>
      </c>
      <c r="B220" s="86">
        <v>244.17</v>
      </c>
      <c r="C220" s="85">
        <v>44880.0</v>
      </c>
      <c r="D220" s="89" t="s">
        <v>1666</v>
      </c>
      <c r="E220" s="89" t="s">
        <v>1667</v>
      </c>
      <c r="F220" s="89" t="s">
        <v>1668</v>
      </c>
      <c r="G220" s="89" t="s">
        <v>114</v>
      </c>
      <c r="H220" s="89" t="s">
        <v>94</v>
      </c>
      <c r="I220" s="89" t="s">
        <v>94</v>
      </c>
      <c r="J220" s="89" t="s">
        <v>95</v>
      </c>
      <c r="K220" s="89">
        <v>1.0</v>
      </c>
      <c r="L220" s="85"/>
      <c r="M220" s="89"/>
      <c r="N220" s="85"/>
      <c r="O220" s="85"/>
      <c r="P220" s="89">
        <v>1.0</v>
      </c>
      <c r="Q220" s="85"/>
      <c r="R220" s="85"/>
      <c r="S220" s="85"/>
      <c r="T220" s="85"/>
      <c r="U220" s="85"/>
      <c r="V220" s="89"/>
      <c r="W220" s="89"/>
      <c r="X220" s="89"/>
      <c r="Y220" s="89"/>
      <c r="Z220" s="89"/>
      <c r="AA220" s="89"/>
      <c r="AB220" s="89"/>
      <c r="AC220" s="89"/>
      <c r="AD220" s="89"/>
      <c r="AE220" s="89"/>
      <c r="AF220" s="89"/>
      <c r="AG220" s="89"/>
      <c r="AH220" s="89"/>
      <c r="AI220" s="89"/>
      <c r="AJ220" s="89"/>
      <c r="AK220" s="89"/>
      <c r="AL220" s="89"/>
      <c r="AM220" s="89"/>
      <c r="AN220" s="89"/>
      <c r="AO220" s="89"/>
    </row>
    <row r="221">
      <c r="A221" s="85">
        <v>44945.0</v>
      </c>
      <c r="B221" s="86">
        <v>242.74</v>
      </c>
      <c r="C221" s="85">
        <v>44871.0</v>
      </c>
      <c r="D221" s="89" t="s">
        <v>1673</v>
      </c>
      <c r="E221" s="89" t="s">
        <v>1674</v>
      </c>
      <c r="F221" s="89" t="s">
        <v>1675</v>
      </c>
      <c r="G221" s="89" t="s">
        <v>114</v>
      </c>
      <c r="H221" s="89" t="s">
        <v>94</v>
      </c>
      <c r="I221" s="89" t="s">
        <v>94</v>
      </c>
      <c r="J221" s="89" t="s">
        <v>95</v>
      </c>
      <c r="K221" s="89">
        <v>1.0</v>
      </c>
      <c r="L221" s="85"/>
      <c r="M221" s="85"/>
      <c r="N221" s="85"/>
      <c r="O221" s="85"/>
      <c r="P221" s="85"/>
      <c r="Q221" s="89"/>
      <c r="R221" s="85"/>
      <c r="S221" s="85"/>
      <c r="T221" s="85"/>
      <c r="U221" s="85"/>
      <c r="V221" s="89"/>
      <c r="W221" s="89"/>
      <c r="X221" s="89"/>
      <c r="Y221" s="89"/>
      <c r="Z221" s="89"/>
      <c r="AA221" s="89"/>
      <c r="AB221" s="89"/>
      <c r="AC221" s="89"/>
      <c r="AD221" s="89"/>
      <c r="AE221" s="89"/>
      <c r="AF221" s="89"/>
      <c r="AG221" s="89"/>
      <c r="AH221" s="89"/>
      <c r="AI221" s="89"/>
      <c r="AJ221" s="89"/>
      <c r="AK221" s="89"/>
      <c r="AL221" s="89"/>
      <c r="AM221" s="89"/>
      <c r="AN221" s="89"/>
      <c r="AO221" s="89"/>
    </row>
    <row r="222" ht="17.25" customHeight="1">
      <c r="A222" s="85">
        <v>44945.0</v>
      </c>
      <c r="B222" s="86">
        <v>295.74</v>
      </c>
      <c r="C222" s="85">
        <v>44620.0</v>
      </c>
      <c r="D222" s="89" t="s">
        <v>1679</v>
      </c>
      <c r="E222" s="89" t="s">
        <v>1681</v>
      </c>
      <c r="F222" s="89" t="s">
        <v>1682</v>
      </c>
      <c r="G222" s="89" t="s">
        <v>114</v>
      </c>
      <c r="H222" s="89" t="s">
        <v>94</v>
      </c>
      <c r="I222" s="89" t="s">
        <v>94</v>
      </c>
      <c r="J222" s="89" t="s">
        <v>95</v>
      </c>
      <c r="K222" s="85"/>
      <c r="L222" s="89">
        <v>1.0</v>
      </c>
      <c r="M222" s="85"/>
      <c r="N222" s="85"/>
      <c r="O222" s="85"/>
      <c r="P222" s="89"/>
      <c r="Q222" s="85"/>
      <c r="R222" s="85"/>
      <c r="S222" s="85"/>
      <c r="T222" s="85"/>
      <c r="U222" s="85"/>
      <c r="V222" s="89"/>
      <c r="W222" s="89"/>
      <c r="X222" s="89"/>
      <c r="Y222" s="89"/>
      <c r="Z222" s="89"/>
      <c r="AA222" s="89"/>
      <c r="AB222" s="89"/>
      <c r="AC222" s="89"/>
      <c r="AD222" s="89"/>
      <c r="AE222" s="89"/>
      <c r="AF222" s="89"/>
      <c r="AG222" s="89"/>
      <c r="AH222" s="89"/>
      <c r="AI222" s="89"/>
      <c r="AJ222" s="89"/>
      <c r="AK222" s="89"/>
      <c r="AL222" s="89"/>
      <c r="AM222" s="89"/>
      <c r="AN222" s="89"/>
      <c r="AO222" s="89"/>
    </row>
    <row r="223">
      <c r="A223" s="85">
        <v>44945.0</v>
      </c>
      <c r="B223" s="86">
        <v>471.0</v>
      </c>
      <c r="C223" s="85">
        <v>44351.0</v>
      </c>
      <c r="D223" s="86" t="s">
        <v>1687</v>
      </c>
      <c r="E223" s="89" t="s">
        <v>1688</v>
      </c>
      <c r="F223" s="89" t="s">
        <v>1689</v>
      </c>
      <c r="G223" s="89" t="s">
        <v>114</v>
      </c>
      <c r="H223" s="89" t="s">
        <v>161</v>
      </c>
      <c r="I223" s="89" t="s">
        <v>125</v>
      </c>
      <c r="J223" s="89" t="s">
        <v>95</v>
      </c>
      <c r="K223" s="89">
        <v>1.0</v>
      </c>
      <c r="L223" s="89">
        <v>1.0</v>
      </c>
      <c r="M223" s="85"/>
      <c r="N223" s="85"/>
      <c r="O223" s="85"/>
      <c r="P223" s="85"/>
      <c r="Q223" s="85"/>
      <c r="R223" s="85"/>
      <c r="S223" s="85"/>
      <c r="T223" s="85"/>
      <c r="U223" s="85"/>
      <c r="V223" s="89"/>
      <c r="W223" s="89"/>
      <c r="X223" s="89"/>
      <c r="Y223" s="89"/>
      <c r="Z223" s="89"/>
      <c r="AA223" s="89"/>
      <c r="AB223" s="89"/>
      <c r="AC223" s="89"/>
      <c r="AD223" s="89"/>
      <c r="AE223" s="89"/>
      <c r="AF223" s="89"/>
      <c r="AG223" s="89"/>
      <c r="AH223" s="89"/>
      <c r="AI223" s="89"/>
      <c r="AJ223" s="89"/>
      <c r="AK223" s="89"/>
      <c r="AL223" s="89"/>
      <c r="AM223" s="89"/>
      <c r="AN223" s="89"/>
      <c r="AO223" s="89"/>
    </row>
    <row r="224">
      <c r="A224" s="85">
        <v>44945.0</v>
      </c>
      <c r="B224" s="86">
        <v>206.0</v>
      </c>
      <c r="C224" s="85">
        <v>44396.0</v>
      </c>
      <c r="D224" s="89" t="s">
        <v>1690</v>
      </c>
      <c r="E224" s="89" t="s">
        <v>1692</v>
      </c>
      <c r="F224" s="89" t="s">
        <v>1694</v>
      </c>
      <c r="G224" s="89" t="s">
        <v>114</v>
      </c>
      <c r="H224" s="89" t="s">
        <v>94</v>
      </c>
      <c r="I224" s="89" t="s">
        <v>94</v>
      </c>
      <c r="J224" s="89" t="s">
        <v>95</v>
      </c>
      <c r="K224" s="89"/>
      <c r="L224" s="85"/>
      <c r="M224" s="85"/>
      <c r="N224" s="85"/>
      <c r="O224" s="85"/>
      <c r="P224" s="89"/>
      <c r="Q224" s="85"/>
      <c r="R224" s="85"/>
      <c r="S224" s="85"/>
      <c r="T224" s="85"/>
      <c r="U224" s="85"/>
      <c r="V224" s="89"/>
      <c r="W224" s="89"/>
      <c r="X224" s="89"/>
      <c r="Y224" s="89"/>
      <c r="Z224" s="89"/>
      <c r="AA224" s="89"/>
      <c r="AB224" s="89"/>
      <c r="AC224" s="89"/>
      <c r="AD224" s="89"/>
      <c r="AE224" s="89"/>
      <c r="AF224" s="89"/>
      <c r="AG224" s="89"/>
      <c r="AH224" s="89"/>
      <c r="AI224" s="89"/>
      <c r="AJ224" s="89"/>
      <c r="AK224" s="89"/>
      <c r="AL224" s="89"/>
      <c r="AM224" s="89"/>
      <c r="AN224" s="89"/>
      <c r="AO224" s="89"/>
    </row>
    <row r="225">
      <c r="A225" s="85">
        <v>44945.0</v>
      </c>
      <c r="B225" s="86">
        <v>332.56</v>
      </c>
      <c r="C225" s="85">
        <v>44860.0</v>
      </c>
      <c r="D225" s="89" t="s">
        <v>1549</v>
      </c>
      <c r="E225" s="89" t="s">
        <v>1550</v>
      </c>
      <c r="F225" s="89" t="s">
        <v>1551</v>
      </c>
      <c r="G225" s="89" t="s">
        <v>1552</v>
      </c>
      <c r="H225" s="89" t="s">
        <v>94</v>
      </c>
      <c r="I225" s="89" t="s">
        <v>94</v>
      </c>
      <c r="J225" s="89" t="s">
        <v>95</v>
      </c>
      <c r="K225" s="85"/>
      <c r="L225" s="89">
        <v>1.0</v>
      </c>
      <c r="M225" s="85"/>
      <c r="N225" s="89">
        <v>1.0</v>
      </c>
      <c r="O225" s="85"/>
      <c r="P225" s="89">
        <v>1.0</v>
      </c>
      <c r="Q225" s="85"/>
      <c r="R225" s="85"/>
      <c r="S225" s="85"/>
      <c r="T225" s="85"/>
      <c r="U225" s="85"/>
      <c r="V225" s="89"/>
      <c r="W225" s="89"/>
      <c r="X225" s="89"/>
      <c r="Y225" s="89"/>
      <c r="Z225" s="89"/>
      <c r="AA225" s="89"/>
      <c r="AB225" s="89"/>
      <c r="AC225" s="89"/>
      <c r="AD225" s="89"/>
      <c r="AE225" s="89"/>
      <c r="AF225" s="89"/>
      <c r="AG225" s="89"/>
      <c r="AH225" s="89"/>
      <c r="AI225" s="89"/>
      <c r="AJ225" s="89"/>
      <c r="AK225" s="89"/>
      <c r="AL225" s="89"/>
      <c r="AM225" s="89"/>
      <c r="AN225" s="89"/>
      <c r="AO225" s="89"/>
    </row>
    <row r="226">
      <c r="A226" s="85">
        <v>44945.0</v>
      </c>
      <c r="B226" s="293">
        <v>317.7</v>
      </c>
      <c r="C226" s="85">
        <v>44892.0</v>
      </c>
      <c r="D226" s="89" t="s">
        <v>1700</v>
      </c>
      <c r="E226" s="89" t="s">
        <v>1701</v>
      </c>
      <c r="F226" s="89" t="s">
        <v>1702</v>
      </c>
      <c r="G226" s="89" t="s">
        <v>114</v>
      </c>
      <c r="H226" s="89" t="s">
        <v>94</v>
      </c>
      <c r="I226" s="89" t="s">
        <v>94</v>
      </c>
      <c r="J226" s="89" t="s">
        <v>95</v>
      </c>
      <c r="K226" s="89">
        <v>1.0</v>
      </c>
      <c r="L226" s="89"/>
      <c r="M226" s="89">
        <v>1.0</v>
      </c>
      <c r="N226" s="89"/>
      <c r="O226" s="89"/>
      <c r="P226" s="89">
        <v>1.0</v>
      </c>
      <c r="Q226" s="85"/>
      <c r="R226" s="85"/>
      <c r="S226" s="85"/>
      <c r="T226" s="85"/>
      <c r="U226" s="85"/>
      <c r="V226" s="89"/>
      <c r="W226" s="89"/>
      <c r="X226" s="153"/>
      <c r="Y226" s="153"/>
      <c r="Z226" s="153"/>
      <c r="AA226" s="153"/>
      <c r="AB226" s="153"/>
      <c r="AC226" s="153"/>
      <c r="AD226" s="153"/>
      <c r="AE226" s="153"/>
      <c r="AF226" s="153"/>
      <c r="AG226" s="153"/>
      <c r="AH226" s="153"/>
      <c r="AI226" s="153"/>
      <c r="AJ226" s="153"/>
      <c r="AK226" s="153"/>
      <c r="AL226" s="153"/>
      <c r="AM226" s="153"/>
      <c r="AN226" s="153"/>
      <c r="AO226" s="153"/>
    </row>
    <row r="227">
      <c r="A227" s="85">
        <v>44945.0</v>
      </c>
      <c r="B227" s="86">
        <v>209.0</v>
      </c>
      <c r="C227" s="85">
        <v>44527.0</v>
      </c>
      <c r="D227" s="86" t="s">
        <v>1707</v>
      </c>
      <c r="E227" s="89" t="s">
        <v>1708</v>
      </c>
      <c r="F227" s="89" t="s">
        <v>1709</v>
      </c>
      <c r="G227" s="89" t="s">
        <v>114</v>
      </c>
      <c r="H227" s="89" t="s">
        <v>94</v>
      </c>
      <c r="I227" s="89" t="s">
        <v>94</v>
      </c>
      <c r="J227" s="89" t="s">
        <v>95</v>
      </c>
      <c r="K227" s="89">
        <v>1.0</v>
      </c>
      <c r="L227" s="89"/>
      <c r="M227" s="85"/>
      <c r="N227" s="89"/>
      <c r="O227" s="85"/>
      <c r="P227" s="89"/>
      <c r="Q227" s="85"/>
      <c r="R227" s="85"/>
      <c r="S227" s="85"/>
      <c r="T227" s="85"/>
      <c r="U227" s="85"/>
      <c r="V227" s="89"/>
      <c r="W227" s="89"/>
      <c r="X227" s="89"/>
      <c r="Y227" s="89"/>
      <c r="Z227" s="89"/>
      <c r="AA227" s="89"/>
      <c r="AB227" s="89"/>
      <c r="AC227" s="89"/>
      <c r="AD227" s="89"/>
      <c r="AE227" s="89"/>
      <c r="AF227" s="89"/>
      <c r="AG227" s="89"/>
      <c r="AH227" s="89"/>
      <c r="AI227" s="89"/>
      <c r="AJ227" s="89"/>
      <c r="AK227" s="89"/>
      <c r="AL227" s="89"/>
      <c r="AM227" s="89"/>
      <c r="AN227" s="89"/>
      <c r="AO227" s="89"/>
    </row>
    <row r="228">
      <c r="A228" s="85">
        <v>44945.0</v>
      </c>
      <c r="B228" s="293">
        <v>245.02</v>
      </c>
      <c r="C228" s="85">
        <v>44886.0</v>
      </c>
      <c r="D228" s="89" t="s">
        <v>1715</v>
      </c>
      <c r="E228" s="89" t="s">
        <v>1716</v>
      </c>
      <c r="F228" s="89" t="s">
        <v>1717</v>
      </c>
      <c r="G228" s="89" t="s">
        <v>114</v>
      </c>
      <c r="H228" s="89" t="s">
        <v>94</v>
      </c>
      <c r="I228" s="89" t="s">
        <v>94</v>
      </c>
      <c r="J228" s="89" t="s">
        <v>95</v>
      </c>
      <c r="K228" s="89">
        <v>1.0</v>
      </c>
      <c r="L228" s="89"/>
      <c r="M228" s="85"/>
      <c r="N228" s="89"/>
      <c r="O228" s="85"/>
      <c r="P228" s="89"/>
      <c r="Q228" s="85"/>
      <c r="R228" s="85"/>
      <c r="S228" s="85"/>
      <c r="T228" s="85"/>
      <c r="U228" s="85"/>
      <c r="V228" s="89"/>
      <c r="W228" s="89"/>
      <c r="X228" s="89"/>
      <c r="Y228" s="89"/>
      <c r="Z228" s="89"/>
      <c r="AA228" s="89"/>
      <c r="AB228" s="89"/>
      <c r="AC228" s="89"/>
      <c r="AD228" s="89"/>
      <c r="AE228" s="89"/>
      <c r="AF228" s="89"/>
      <c r="AG228" s="89"/>
      <c r="AH228" s="89"/>
      <c r="AI228" s="89"/>
      <c r="AJ228" s="89"/>
      <c r="AK228" s="89"/>
      <c r="AL228" s="89"/>
      <c r="AM228" s="89"/>
      <c r="AN228" s="89"/>
      <c r="AO228" s="89"/>
    </row>
    <row r="229">
      <c r="A229" s="85">
        <v>44945.0</v>
      </c>
      <c r="B229" s="86">
        <v>338.53</v>
      </c>
      <c r="C229" s="85">
        <v>44888.0</v>
      </c>
      <c r="D229" s="89" t="s">
        <v>1721</v>
      </c>
      <c r="E229" s="89" t="s">
        <v>1722</v>
      </c>
      <c r="F229" s="89" t="s">
        <v>1723</v>
      </c>
      <c r="G229" s="89" t="s">
        <v>114</v>
      </c>
      <c r="H229" s="89" t="s">
        <v>94</v>
      </c>
      <c r="I229" s="89" t="s">
        <v>94</v>
      </c>
      <c r="J229" s="89" t="s">
        <v>95</v>
      </c>
      <c r="K229" s="89">
        <v>1.0</v>
      </c>
      <c r="L229" s="89"/>
      <c r="M229" s="89">
        <v>1.0</v>
      </c>
      <c r="N229" s="85"/>
      <c r="O229" s="85"/>
      <c r="P229" s="85"/>
      <c r="Q229" s="85"/>
      <c r="R229" s="85"/>
      <c r="S229" s="85"/>
      <c r="T229" s="85"/>
      <c r="U229" s="85"/>
      <c r="V229" s="89"/>
      <c r="W229" s="89"/>
      <c r="X229" s="89"/>
      <c r="Y229" s="89"/>
      <c r="Z229" s="89"/>
      <c r="AA229" s="89"/>
      <c r="AB229" s="89"/>
      <c r="AC229" s="89"/>
      <c r="AD229" s="89"/>
      <c r="AE229" s="89"/>
      <c r="AF229" s="89"/>
      <c r="AG229" s="89"/>
      <c r="AH229" s="89"/>
      <c r="AI229" s="89"/>
      <c r="AJ229" s="89"/>
      <c r="AK229" s="89"/>
      <c r="AL229" s="89"/>
      <c r="AM229" s="89"/>
      <c r="AN229" s="89"/>
      <c r="AO229" s="89"/>
    </row>
    <row r="230">
      <c r="A230" s="447">
        <v>44945.0</v>
      </c>
      <c r="B230" s="448">
        <v>353.64</v>
      </c>
      <c r="C230" s="449">
        <v>44865.0</v>
      </c>
      <c r="D230" s="98" t="s">
        <v>1726</v>
      </c>
      <c r="E230" s="98" t="s">
        <v>1728</v>
      </c>
      <c r="F230" s="98" t="s">
        <v>1730</v>
      </c>
      <c r="G230" s="89" t="s">
        <v>114</v>
      </c>
      <c r="H230" s="89" t="s">
        <v>94</v>
      </c>
      <c r="I230" s="89" t="s">
        <v>196</v>
      </c>
      <c r="J230" s="89" t="s">
        <v>95</v>
      </c>
      <c r="K230" s="89">
        <v>1.0</v>
      </c>
      <c r="L230" s="85"/>
      <c r="M230" s="89">
        <v>1.0</v>
      </c>
      <c r="N230" s="89">
        <v>1.0</v>
      </c>
      <c r="O230" s="85"/>
      <c r="P230" s="89">
        <v>1.0</v>
      </c>
      <c r="Q230" s="85"/>
      <c r="R230" s="85"/>
      <c r="S230" s="85"/>
      <c r="T230" s="85"/>
      <c r="U230" s="85"/>
      <c r="V230" s="89"/>
      <c r="W230" s="89"/>
      <c r="X230" s="89"/>
      <c r="Y230" s="89"/>
      <c r="Z230" s="89"/>
      <c r="AA230" s="89"/>
      <c r="AB230" s="89"/>
      <c r="AC230" s="89"/>
      <c r="AD230" s="89"/>
      <c r="AE230" s="89"/>
      <c r="AF230" s="89"/>
      <c r="AG230" s="89"/>
      <c r="AH230" s="89"/>
      <c r="AI230" s="89"/>
      <c r="AJ230" s="89"/>
      <c r="AK230" s="89"/>
      <c r="AL230" s="89"/>
      <c r="AM230" s="89"/>
      <c r="AN230" s="89"/>
      <c r="AO230" s="89"/>
    </row>
    <row r="231">
      <c r="A231" s="450">
        <v>44945.0</v>
      </c>
      <c r="B231" s="451">
        <v>377.57</v>
      </c>
      <c r="C231" s="449">
        <v>44865.0</v>
      </c>
      <c r="D231" s="110" t="s">
        <v>1731</v>
      </c>
      <c r="E231" s="98" t="s">
        <v>1728</v>
      </c>
      <c r="F231" s="98" t="s">
        <v>1730</v>
      </c>
      <c r="G231" s="89" t="s">
        <v>114</v>
      </c>
      <c r="H231" s="89" t="s">
        <v>94</v>
      </c>
      <c r="I231" s="89" t="s">
        <v>196</v>
      </c>
      <c r="J231" s="89" t="s">
        <v>95</v>
      </c>
      <c r="K231" s="89"/>
      <c r="L231" s="89">
        <v>1.0</v>
      </c>
      <c r="M231" s="85"/>
      <c r="N231" s="89">
        <v>1.0</v>
      </c>
      <c r="O231" s="85"/>
      <c r="P231" s="89">
        <v>1.0</v>
      </c>
      <c r="Q231" s="89">
        <v>1.0</v>
      </c>
      <c r="R231" s="85"/>
      <c r="S231" s="85"/>
      <c r="T231" s="85"/>
      <c r="U231" s="85"/>
      <c r="V231" s="89"/>
      <c r="W231" s="89"/>
      <c r="X231" s="89"/>
      <c r="Y231" s="89"/>
      <c r="Z231" s="89"/>
      <c r="AA231" s="89"/>
      <c r="AB231" s="89"/>
      <c r="AC231" s="89"/>
      <c r="AD231" s="89"/>
      <c r="AE231" s="89"/>
      <c r="AF231" s="89"/>
      <c r="AG231" s="89"/>
      <c r="AH231" s="89"/>
      <c r="AI231" s="89"/>
      <c r="AJ231" s="89"/>
      <c r="AK231" s="89"/>
      <c r="AL231" s="89"/>
      <c r="AM231" s="89"/>
      <c r="AN231" s="89"/>
      <c r="AO231" s="89"/>
    </row>
    <row r="232">
      <c r="A232" s="85">
        <v>44945.0</v>
      </c>
      <c r="B232" s="86">
        <v>185.9</v>
      </c>
      <c r="C232" s="85">
        <v>44103.0</v>
      </c>
      <c r="D232" s="89" t="s">
        <v>1733</v>
      </c>
      <c r="E232" s="89" t="s">
        <v>1734</v>
      </c>
      <c r="F232" s="89" t="s">
        <v>1735</v>
      </c>
      <c r="G232" s="89" t="s">
        <v>114</v>
      </c>
      <c r="H232" s="89" t="s">
        <v>1257</v>
      </c>
      <c r="I232" s="89" t="s">
        <v>1257</v>
      </c>
      <c r="J232" s="89" t="s">
        <v>95</v>
      </c>
      <c r="K232" s="89">
        <v>1.0</v>
      </c>
      <c r="L232" s="89"/>
      <c r="M232" s="85"/>
      <c r="N232" s="89"/>
      <c r="O232" s="89"/>
      <c r="P232" s="89"/>
      <c r="Q232" s="85"/>
      <c r="R232" s="85"/>
      <c r="S232" s="85"/>
      <c r="T232" s="85"/>
      <c r="U232" s="85"/>
      <c r="V232" s="89"/>
      <c r="W232" s="89"/>
      <c r="X232" s="89"/>
      <c r="Y232" s="89"/>
      <c r="Z232" s="89"/>
      <c r="AA232" s="89"/>
      <c r="AB232" s="89"/>
      <c r="AC232" s="89"/>
      <c r="AD232" s="89"/>
      <c r="AE232" s="89"/>
      <c r="AF232" s="89"/>
      <c r="AG232" s="89"/>
      <c r="AH232" s="89"/>
      <c r="AI232" s="89"/>
      <c r="AJ232" s="89"/>
      <c r="AK232" s="89"/>
      <c r="AL232" s="89"/>
      <c r="AM232" s="89"/>
      <c r="AN232" s="89"/>
      <c r="AO232" s="89"/>
    </row>
    <row r="233">
      <c r="A233" s="85">
        <v>44945.0</v>
      </c>
      <c r="B233" s="86">
        <v>265.0</v>
      </c>
      <c r="C233" s="85">
        <v>44446.0</v>
      </c>
      <c r="D233" s="89" t="s">
        <v>1739</v>
      </c>
      <c r="E233" s="89" t="s">
        <v>1740</v>
      </c>
      <c r="F233" s="89" t="s">
        <v>1741</v>
      </c>
      <c r="G233" s="89" t="s">
        <v>114</v>
      </c>
      <c r="H233" s="89" t="s">
        <v>94</v>
      </c>
      <c r="I233" s="89" t="s">
        <v>125</v>
      </c>
      <c r="J233" s="89" t="s">
        <v>95</v>
      </c>
      <c r="K233" s="89"/>
      <c r="L233" s="89">
        <v>1.0</v>
      </c>
      <c r="M233" s="85"/>
      <c r="N233" s="89"/>
      <c r="O233" s="85"/>
      <c r="P233" s="89"/>
      <c r="Q233" s="85"/>
      <c r="R233" s="85"/>
      <c r="S233" s="85"/>
      <c r="T233" s="85"/>
      <c r="U233" s="85"/>
      <c r="V233" s="89"/>
      <c r="W233" s="89"/>
      <c r="X233" s="89"/>
      <c r="Y233" s="89"/>
      <c r="Z233" s="89"/>
      <c r="AA233" s="89"/>
      <c r="AB233" s="89"/>
      <c r="AC233" s="89"/>
      <c r="AD233" s="89"/>
      <c r="AE233" s="89"/>
      <c r="AF233" s="89"/>
      <c r="AG233" s="89"/>
      <c r="AH233" s="89"/>
      <c r="AI233" s="89"/>
      <c r="AJ233" s="89"/>
      <c r="AK233" s="89"/>
      <c r="AL233" s="89"/>
      <c r="AM233" s="89"/>
      <c r="AN233" s="89"/>
      <c r="AO233" s="89"/>
    </row>
    <row r="234">
      <c r="A234" s="85">
        <v>44945.0</v>
      </c>
      <c r="B234" s="86">
        <v>232.14</v>
      </c>
      <c r="C234" s="85">
        <v>44694.0</v>
      </c>
      <c r="D234" s="89" t="s">
        <v>1745</v>
      </c>
      <c r="E234" s="89" t="s">
        <v>1746</v>
      </c>
      <c r="F234" s="89" t="s">
        <v>1747</v>
      </c>
      <c r="G234" s="89" t="s">
        <v>114</v>
      </c>
      <c r="H234" s="89" t="s">
        <v>94</v>
      </c>
      <c r="I234" s="89" t="s">
        <v>135</v>
      </c>
      <c r="J234" s="89" t="s">
        <v>95</v>
      </c>
      <c r="K234" s="89">
        <v>1.0</v>
      </c>
      <c r="L234" s="89"/>
      <c r="M234" s="85"/>
      <c r="N234" s="89"/>
      <c r="O234" s="85"/>
      <c r="P234" s="89"/>
      <c r="Q234" s="85"/>
      <c r="R234" s="85"/>
      <c r="S234" s="85"/>
      <c r="T234" s="85"/>
      <c r="U234" s="85"/>
      <c r="V234" s="89"/>
      <c r="W234" s="89"/>
      <c r="X234" s="89"/>
      <c r="Y234" s="89"/>
      <c r="Z234" s="89"/>
      <c r="AA234" s="89"/>
      <c r="AB234" s="89"/>
      <c r="AC234" s="89"/>
      <c r="AD234" s="89"/>
      <c r="AE234" s="89"/>
      <c r="AF234" s="89"/>
      <c r="AG234" s="89"/>
      <c r="AH234" s="89"/>
      <c r="AI234" s="89"/>
      <c r="AJ234" s="89"/>
      <c r="AK234" s="89"/>
      <c r="AL234" s="89"/>
      <c r="AM234" s="89"/>
      <c r="AN234" s="89"/>
      <c r="AO234" s="89"/>
    </row>
    <row r="235">
      <c r="A235" s="85">
        <v>44945.0</v>
      </c>
      <c r="B235" s="86">
        <v>365.5</v>
      </c>
      <c r="C235" s="85">
        <v>44209.0</v>
      </c>
      <c r="D235" s="89" t="s">
        <v>1750</v>
      </c>
      <c r="E235" s="89" t="s">
        <v>1751</v>
      </c>
      <c r="F235" s="89" t="s">
        <v>1752</v>
      </c>
      <c r="G235" s="89" t="s">
        <v>114</v>
      </c>
      <c r="H235" s="89" t="s">
        <v>170</v>
      </c>
      <c r="I235" s="89" t="s">
        <v>170</v>
      </c>
      <c r="J235" s="89" t="s">
        <v>95</v>
      </c>
      <c r="K235" s="89">
        <v>2.0</v>
      </c>
      <c r="L235" s="85"/>
      <c r="M235" s="85"/>
      <c r="N235" s="85"/>
      <c r="O235" s="85"/>
      <c r="P235" s="89"/>
      <c r="Q235" s="85"/>
      <c r="R235" s="85"/>
      <c r="S235" s="85"/>
      <c r="T235" s="85"/>
      <c r="U235" s="85"/>
      <c r="V235" s="89"/>
      <c r="W235" s="89"/>
      <c r="X235" s="89"/>
      <c r="Y235" s="89"/>
      <c r="Z235" s="89"/>
      <c r="AA235" s="89"/>
      <c r="AB235" s="89"/>
      <c r="AC235" s="89"/>
      <c r="AD235" s="89"/>
      <c r="AE235" s="89"/>
      <c r="AF235" s="89"/>
      <c r="AG235" s="89"/>
      <c r="AH235" s="89"/>
      <c r="AI235" s="89"/>
      <c r="AJ235" s="89"/>
      <c r="AK235" s="89"/>
      <c r="AL235" s="89"/>
      <c r="AM235" s="89"/>
      <c r="AN235" s="89"/>
      <c r="AO235" s="89"/>
    </row>
    <row r="236">
      <c r="A236" s="85">
        <v>44945.0</v>
      </c>
      <c r="B236" s="86">
        <v>340.58</v>
      </c>
      <c r="C236" s="85">
        <v>44874.0</v>
      </c>
      <c r="D236" s="89" t="s">
        <v>1756</v>
      </c>
      <c r="E236" s="89" t="s">
        <v>1757</v>
      </c>
      <c r="F236" s="89" t="s">
        <v>1758</v>
      </c>
      <c r="G236" s="89" t="s">
        <v>114</v>
      </c>
      <c r="H236" s="89" t="s">
        <v>94</v>
      </c>
      <c r="I236" s="89" t="s">
        <v>94</v>
      </c>
      <c r="J236" s="89" t="s">
        <v>95</v>
      </c>
      <c r="K236" s="89">
        <v>1.0</v>
      </c>
      <c r="L236" s="89"/>
      <c r="M236" s="89">
        <v>1.0</v>
      </c>
      <c r="N236" s="89">
        <v>1.0</v>
      </c>
      <c r="O236" s="85"/>
      <c r="P236" s="89"/>
      <c r="Q236" s="85"/>
      <c r="R236" s="85"/>
      <c r="S236" s="85"/>
      <c r="T236" s="85"/>
      <c r="U236" s="85"/>
      <c r="V236" s="89"/>
      <c r="W236" s="89"/>
      <c r="X236" s="89"/>
      <c r="Y236" s="89"/>
      <c r="Z236" s="89"/>
      <c r="AA236" s="89"/>
      <c r="AB236" s="89"/>
      <c r="AC236" s="89"/>
      <c r="AD236" s="89"/>
      <c r="AE236" s="89"/>
      <c r="AF236" s="89"/>
      <c r="AG236" s="89"/>
      <c r="AH236" s="89"/>
      <c r="AI236" s="89"/>
      <c r="AJ236" s="89"/>
      <c r="AK236" s="89"/>
      <c r="AL236" s="89"/>
      <c r="AM236" s="89"/>
      <c r="AN236" s="89"/>
      <c r="AO236" s="89"/>
    </row>
    <row r="237">
      <c r="A237" s="85">
        <v>44945.0</v>
      </c>
      <c r="B237" s="86">
        <v>216.0</v>
      </c>
      <c r="C237" s="85">
        <v>44480.0</v>
      </c>
      <c r="D237" s="89" t="s">
        <v>1759</v>
      </c>
      <c r="E237" s="89" t="s">
        <v>1760</v>
      </c>
      <c r="F237" s="89" t="s">
        <v>1761</v>
      </c>
      <c r="G237" s="89" t="s">
        <v>114</v>
      </c>
      <c r="H237" s="89" t="s">
        <v>94</v>
      </c>
      <c r="I237" s="89" t="s">
        <v>125</v>
      </c>
      <c r="J237" s="89" t="s">
        <v>95</v>
      </c>
      <c r="K237" s="89">
        <v>1.0</v>
      </c>
      <c r="L237" s="85"/>
      <c r="M237" s="85"/>
      <c r="N237" s="85"/>
      <c r="O237" s="85"/>
      <c r="P237" s="89"/>
      <c r="Q237" s="85"/>
      <c r="R237" s="85"/>
      <c r="S237" s="85"/>
      <c r="T237" s="85"/>
      <c r="U237" s="85"/>
      <c r="V237" s="89"/>
      <c r="W237" s="89"/>
      <c r="X237" s="89"/>
      <c r="Y237" s="89"/>
      <c r="Z237" s="89"/>
      <c r="AA237" s="89"/>
      <c r="AB237" s="89"/>
      <c r="AC237" s="89"/>
      <c r="AD237" s="89"/>
      <c r="AE237" s="89"/>
      <c r="AF237" s="89"/>
      <c r="AG237" s="89"/>
      <c r="AH237" s="89"/>
      <c r="AI237" s="89"/>
      <c r="AJ237" s="89"/>
      <c r="AK237" s="89"/>
      <c r="AL237" s="89"/>
      <c r="AM237" s="89"/>
      <c r="AN237" s="89"/>
      <c r="AO237" s="89"/>
    </row>
    <row r="238">
      <c r="A238" s="85">
        <v>44945.0</v>
      </c>
      <c r="B238" s="86">
        <v>268.0</v>
      </c>
      <c r="C238" s="85">
        <v>44527.0</v>
      </c>
      <c r="D238" s="89" t="s">
        <v>1765</v>
      </c>
      <c r="E238" s="89" t="s">
        <v>1766</v>
      </c>
      <c r="F238" s="89" t="s">
        <v>1767</v>
      </c>
      <c r="G238" s="89" t="s">
        <v>114</v>
      </c>
      <c r="H238" s="89" t="s">
        <v>94</v>
      </c>
      <c r="I238" s="89" t="s">
        <v>94</v>
      </c>
      <c r="J238" s="89" t="s">
        <v>95</v>
      </c>
      <c r="K238" s="85"/>
      <c r="L238" s="89">
        <v>1.0</v>
      </c>
      <c r="M238" s="85"/>
      <c r="N238" s="89"/>
      <c r="O238" s="85"/>
      <c r="P238" s="89"/>
      <c r="Q238" s="89"/>
      <c r="R238" s="85"/>
      <c r="S238" s="85"/>
      <c r="T238" s="85"/>
      <c r="U238" s="85"/>
      <c r="V238" s="89"/>
      <c r="W238" s="89"/>
      <c r="X238" s="89"/>
      <c r="Y238" s="89"/>
      <c r="Z238" s="89"/>
      <c r="AA238" s="89"/>
      <c r="AB238" s="89"/>
      <c r="AC238" s="89"/>
      <c r="AD238" s="89"/>
      <c r="AE238" s="89"/>
      <c r="AF238" s="89"/>
      <c r="AG238" s="89"/>
      <c r="AH238" s="89"/>
      <c r="AI238" s="89"/>
      <c r="AJ238" s="89"/>
      <c r="AK238" s="89"/>
      <c r="AL238" s="89"/>
      <c r="AM238" s="89"/>
      <c r="AN238" s="89"/>
      <c r="AO238" s="89"/>
    </row>
    <row r="239">
      <c r="A239" s="85">
        <v>44945.0</v>
      </c>
      <c r="B239" s="86">
        <v>319.93</v>
      </c>
      <c r="C239" s="85">
        <v>44870.0</v>
      </c>
      <c r="D239" s="89" t="s">
        <v>1773</v>
      </c>
      <c r="E239" s="89" t="s">
        <v>1776</v>
      </c>
      <c r="F239" s="89" t="s">
        <v>1777</v>
      </c>
      <c r="G239" s="89" t="s">
        <v>114</v>
      </c>
      <c r="H239" s="89" t="s">
        <v>94</v>
      </c>
      <c r="I239" s="89" t="s">
        <v>94</v>
      </c>
      <c r="J239" s="89" t="s">
        <v>95</v>
      </c>
      <c r="K239" s="89">
        <v>1.0</v>
      </c>
      <c r="L239" s="89"/>
      <c r="M239" s="89">
        <v>1.0</v>
      </c>
      <c r="N239" s="89"/>
      <c r="O239" s="85"/>
      <c r="P239" s="89">
        <v>1.0</v>
      </c>
      <c r="Q239" s="89"/>
      <c r="R239" s="85"/>
      <c r="S239" s="85"/>
      <c r="T239" s="85"/>
      <c r="U239" s="85"/>
      <c r="V239" s="89"/>
      <c r="W239" s="89"/>
      <c r="X239" s="89"/>
      <c r="Y239" s="89"/>
      <c r="Z239" s="89"/>
      <c r="AA239" s="89"/>
      <c r="AB239" s="89"/>
      <c r="AC239" s="89"/>
      <c r="AD239" s="89"/>
      <c r="AE239" s="89"/>
      <c r="AF239" s="89"/>
      <c r="AG239" s="89"/>
      <c r="AH239" s="89"/>
      <c r="AI239" s="89"/>
      <c r="AJ239" s="89"/>
      <c r="AK239" s="89"/>
      <c r="AL239" s="89"/>
      <c r="AM239" s="89"/>
      <c r="AN239" s="89"/>
      <c r="AO239" s="89"/>
    </row>
    <row r="240">
      <c r="A240" s="85">
        <v>44945.0</v>
      </c>
      <c r="B240" s="86">
        <v>265.11</v>
      </c>
      <c r="C240" s="85">
        <v>44864.0</v>
      </c>
      <c r="D240" s="89" t="s">
        <v>1779</v>
      </c>
      <c r="E240" s="89" t="s">
        <v>1780</v>
      </c>
      <c r="F240" s="89" t="s">
        <v>1781</v>
      </c>
      <c r="G240" s="89" t="s">
        <v>114</v>
      </c>
      <c r="H240" s="89" t="s">
        <v>94</v>
      </c>
      <c r="I240" s="89" t="s">
        <v>94</v>
      </c>
      <c r="J240" s="89" t="s">
        <v>95</v>
      </c>
      <c r="K240" s="89">
        <v>1.0</v>
      </c>
      <c r="L240" s="89"/>
      <c r="M240" s="85"/>
      <c r="N240" s="89">
        <v>1.0</v>
      </c>
      <c r="O240" s="85"/>
      <c r="P240" s="89">
        <v>1.0</v>
      </c>
      <c r="Q240" s="85"/>
      <c r="R240" s="85"/>
      <c r="S240" s="85"/>
      <c r="T240" s="85"/>
      <c r="U240" s="85"/>
      <c r="V240" s="89"/>
      <c r="W240" s="89"/>
      <c r="X240" s="89"/>
      <c r="Y240" s="89"/>
      <c r="Z240" s="89"/>
      <c r="AA240" s="89"/>
      <c r="AB240" s="89"/>
      <c r="AC240" s="89"/>
      <c r="AD240" s="89"/>
      <c r="AE240" s="89"/>
      <c r="AF240" s="89"/>
      <c r="AG240" s="89"/>
      <c r="AH240" s="89"/>
      <c r="AI240" s="89"/>
      <c r="AJ240" s="89"/>
      <c r="AK240" s="89"/>
      <c r="AL240" s="89"/>
      <c r="AM240" s="89"/>
      <c r="AN240" s="89"/>
      <c r="AO240" s="89"/>
    </row>
    <row r="241" ht="15.75" customHeight="1">
      <c r="A241" s="447">
        <v>44945.0</v>
      </c>
      <c r="B241" s="453">
        <v>374.55</v>
      </c>
      <c r="C241" s="101">
        <v>44893.0</v>
      </c>
      <c r="D241" s="98" t="s">
        <v>1785</v>
      </c>
      <c r="E241" s="98" t="s">
        <v>1786</v>
      </c>
      <c r="F241" s="98" t="s">
        <v>1787</v>
      </c>
      <c r="G241" s="98" t="s">
        <v>114</v>
      </c>
      <c r="H241" s="98" t="s">
        <v>94</v>
      </c>
      <c r="I241" s="98" t="s">
        <v>94</v>
      </c>
      <c r="J241" s="98" t="s">
        <v>95</v>
      </c>
      <c r="K241" s="89">
        <v>1.0</v>
      </c>
      <c r="L241" s="85"/>
      <c r="M241" s="89">
        <v>1.0</v>
      </c>
      <c r="N241" s="89">
        <v>1.0</v>
      </c>
      <c r="O241" s="85"/>
      <c r="P241" s="89">
        <v>1.0</v>
      </c>
      <c r="Q241" s="89">
        <v>1.0</v>
      </c>
      <c r="R241" s="85"/>
      <c r="S241" s="85"/>
      <c r="T241" s="85"/>
      <c r="U241" s="85"/>
      <c r="V241" s="89"/>
      <c r="W241" s="89"/>
      <c r="X241" s="89"/>
      <c r="Y241" s="89"/>
      <c r="Z241" s="89"/>
      <c r="AA241" s="89"/>
      <c r="AB241" s="89"/>
      <c r="AC241" s="89"/>
      <c r="AD241" s="89"/>
      <c r="AE241" s="89"/>
      <c r="AF241" s="89"/>
      <c r="AG241" s="89"/>
      <c r="AH241" s="89"/>
      <c r="AI241" s="89"/>
      <c r="AJ241" s="89"/>
      <c r="AK241" s="89"/>
      <c r="AL241" s="89"/>
      <c r="AM241" s="89"/>
      <c r="AN241" s="89"/>
      <c r="AO241" s="89"/>
    </row>
    <row r="242">
      <c r="A242" s="85">
        <v>44945.0</v>
      </c>
      <c r="B242" s="86">
        <v>244.17</v>
      </c>
      <c r="C242" s="85">
        <v>44876.0</v>
      </c>
      <c r="D242" s="89" t="s">
        <v>1793</v>
      </c>
      <c r="E242" s="89" t="s">
        <v>1794</v>
      </c>
      <c r="F242" s="89" t="s">
        <v>1795</v>
      </c>
      <c r="G242" s="89" t="s">
        <v>114</v>
      </c>
      <c r="H242" s="89" t="s">
        <v>94</v>
      </c>
      <c r="I242" s="89" t="s">
        <v>94</v>
      </c>
      <c r="J242" s="89" t="s">
        <v>95</v>
      </c>
      <c r="K242" s="89">
        <v>1.0</v>
      </c>
      <c r="L242" s="85"/>
      <c r="M242" s="85"/>
      <c r="N242" s="89"/>
      <c r="O242" s="85"/>
      <c r="P242" s="85"/>
      <c r="Q242" s="85"/>
      <c r="R242" s="85"/>
      <c r="S242" s="85"/>
      <c r="T242" s="85"/>
      <c r="U242" s="85"/>
      <c r="V242" s="89"/>
      <c r="W242" s="89"/>
      <c r="X242" s="89"/>
      <c r="Y242" s="89"/>
      <c r="Z242" s="89"/>
      <c r="AA242" s="89"/>
      <c r="AB242" s="89"/>
      <c r="AC242" s="89"/>
      <c r="AD242" s="89"/>
      <c r="AE242" s="89"/>
      <c r="AF242" s="89"/>
      <c r="AG242" s="89"/>
      <c r="AH242" s="89"/>
      <c r="AI242" s="89"/>
      <c r="AJ242" s="89"/>
      <c r="AK242" s="89"/>
      <c r="AL242" s="89"/>
      <c r="AM242" s="89"/>
      <c r="AN242" s="89"/>
      <c r="AO242" s="89"/>
    </row>
    <row r="243">
      <c r="A243" s="85">
        <v>44945.0</v>
      </c>
      <c r="B243" s="86">
        <v>244.46</v>
      </c>
      <c r="C243" s="85">
        <v>44889.0</v>
      </c>
      <c r="D243" s="89" t="s">
        <v>1797</v>
      </c>
      <c r="E243" s="89" t="s">
        <v>1798</v>
      </c>
      <c r="F243" s="89" t="s">
        <v>1799</v>
      </c>
      <c r="G243" s="89" t="s">
        <v>114</v>
      </c>
      <c r="H243" s="89" t="s">
        <v>94</v>
      </c>
      <c r="I243" s="89" t="s">
        <v>94</v>
      </c>
      <c r="J243" s="89" t="s">
        <v>95</v>
      </c>
      <c r="K243" s="89">
        <v>1.0</v>
      </c>
      <c r="L243" s="85"/>
      <c r="M243" s="85"/>
      <c r="N243" s="85"/>
      <c r="O243" s="85"/>
      <c r="P243" s="89"/>
      <c r="Q243" s="85"/>
      <c r="R243" s="85"/>
      <c r="S243" s="85"/>
      <c r="T243" s="85"/>
      <c r="U243" s="85"/>
      <c r="V243" s="89"/>
      <c r="W243" s="89"/>
      <c r="X243" s="89"/>
      <c r="Y243" s="89"/>
      <c r="Z243" s="89"/>
      <c r="AA243" s="89"/>
      <c r="AB243" s="89"/>
      <c r="AC243" s="89"/>
      <c r="AD243" s="89"/>
      <c r="AE243" s="89"/>
      <c r="AF243" s="89"/>
      <c r="AG243" s="89"/>
      <c r="AH243" s="89"/>
      <c r="AI243" s="89"/>
      <c r="AJ243" s="89"/>
      <c r="AK243" s="89"/>
      <c r="AL243" s="89"/>
      <c r="AM243" s="89"/>
      <c r="AN243" s="89"/>
      <c r="AO243" s="89"/>
    </row>
    <row r="244">
      <c r="A244" s="85">
        <v>44945.0</v>
      </c>
      <c r="B244" s="86">
        <v>362.64</v>
      </c>
      <c r="C244" s="85">
        <v>44825.0</v>
      </c>
      <c r="D244" s="89" t="s">
        <v>1804</v>
      </c>
      <c r="E244" s="89" t="s">
        <v>1805</v>
      </c>
      <c r="F244" s="89" t="s">
        <v>1806</v>
      </c>
      <c r="G244" s="89" t="s">
        <v>114</v>
      </c>
      <c r="H244" s="89" t="s">
        <v>94</v>
      </c>
      <c r="I244" s="89" t="s">
        <v>125</v>
      </c>
      <c r="J244" s="89" t="s">
        <v>95</v>
      </c>
      <c r="K244" s="89">
        <v>1.0</v>
      </c>
      <c r="L244" s="89"/>
      <c r="M244" s="89">
        <v>1.0</v>
      </c>
      <c r="N244" s="89">
        <v>1.0</v>
      </c>
      <c r="O244" s="85"/>
      <c r="P244" s="89">
        <v>1.0</v>
      </c>
      <c r="Q244" s="89">
        <v>1.0</v>
      </c>
      <c r="R244" s="85"/>
      <c r="S244" s="85"/>
      <c r="T244" s="85"/>
      <c r="U244" s="85"/>
      <c r="V244" s="89"/>
      <c r="W244" s="89"/>
      <c r="X244" s="89"/>
      <c r="Y244" s="89"/>
      <c r="Z244" s="89"/>
      <c r="AA244" s="89"/>
      <c r="AB244" s="89"/>
      <c r="AC244" s="89"/>
      <c r="AD244" s="89"/>
      <c r="AE244" s="89"/>
      <c r="AF244" s="89"/>
      <c r="AG244" s="89"/>
      <c r="AH244" s="89"/>
      <c r="AI244" s="89"/>
      <c r="AJ244" s="89"/>
      <c r="AK244" s="89"/>
      <c r="AL244" s="89"/>
      <c r="AM244" s="89"/>
      <c r="AN244" s="89"/>
      <c r="AO244" s="89"/>
    </row>
    <row r="245">
      <c r="A245" s="85">
        <v>44945.0</v>
      </c>
      <c r="B245" s="86">
        <v>243.89</v>
      </c>
      <c r="C245" s="85">
        <v>44890.0</v>
      </c>
      <c r="D245" s="89" t="s">
        <v>1810</v>
      </c>
      <c r="E245" s="89" t="s">
        <v>1811</v>
      </c>
      <c r="F245" s="89" t="s">
        <v>1812</v>
      </c>
      <c r="G245" s="89" t="s">
        <v>114</v>
      </c>
      <c r="H245" s="89" t="s">
        <v>94</v>
      </c>
      <c r="I245" s="89" t="s">
        <v>94</v>
      </c>
      <c r="J245" s="89" t="s">
        <v>95</v>
      </c>
      <c r="K245" s="89">
        <v>1.0</v>
      </c>
      <c r="L245" s="85"/>
      <c r="M245" s="85"/>
      <c r="N245" s="85"/>
      <c r="O245" s="85"/>
      <c r="P245" s="89">
        <v>1.0</v>
      </c>
      <c r="Q245" s="85"/>
      <c r="R245" s="85"/>
      <c r="S245" s="85"/>
      <c r="T245" s="85"/>
      <c r="U245" s="85"/>
      <c r="V245" s="89"/>
      <c r="W245" s="89"/>
      <c r="X245" s="89"/>
      <c r="Y245" s="89"/>
      <c r="Z245" s="89"/>
      <c r="AA245" s="89"/>
      <c r="AB245" s="89"/>
      <c r="AC245" s="89"/>
      <c r="AD245" s="89"/>
      <c r="AE245" s="89"/>
      <c r="AF245" s="89"/>
      <c r="AG245" s="89"/>
      <c r="AH245" s="89"/>
      <c r="AI245" s="89"/>
      <c r="AJ245" s="89"/>
      <c r="AK245" s="89"/>
      <c r="AL245" s="89"/>
      <c r="AM245" s="89"/>
      <c r="AN245" s="89"/>
      <c r="AO245" s="89"/>
    </row>
    <row r="246">
      <c r="A246" s="85">
        <v>44945.0</v>
      </c>
      <c r="B246" s="86">
        <v>255.0</v>
      </c>
      <c r="C246" s="85">
        <v>44371.0</v>
      </c>
      <c r="D246" s="89" t="s">
        <v>1814</v>
      </c>
      <c r="E246" s="130" t="s">
        <v>1816</v>
      </c>
      <c r="F246" s="194" t="s">
        <v>1817</v>
      </c>
      <c r="G246" s="89" t="s">
        <v>114</v>
      </c>
      <c r="H246" s="89" t="s">
        <v>161</v>
      </c>
      <c r="I246" s="89" t="s">
        <v>125</v>
      </c>
      <c r="J246" s="89" t="s">
        <v>95</v>
      </c>
      <c r="K246" s="85"/>
      <c r="L246" s="89">
        <v>1.0</v>
      </c>
      <c r="M246" s="85"/>
      <c r="N246" s="85"/>
      <c r="O246" s="85"/>
      <c r="P246" s="89"/>
      <c r="Q246" s="85"/>
      <c r="R246" s="85"/>
      <c r="S246" s="85"/>
      <c r="T246" s="85"/>
      <c r="U246" s="85"/>
      <c r="V246" s="89"/>
      <c r="W246" s="89"/>
      <c r="X246" s="89"/>
      <c r="Y246" s="89"/>
      <c r="Z246" s="89"/>
      <c r="AA246" s="89"/>
      <c r="AB246" s="89"/>
      <c r="AC246" s="89"/>
      <c r="AD246" s="89"/>
      <c r="AE246" s="89"/>
      <c r="AF246" s="89"/>
      <c r="AG246" s="89"/>
      <c r="AH246" s="89"/>
      <c r="AI246" s="89"/>
      <c r="AJ246" s="89"/>
      <c r="AK246" s="89"/>
      <c r="AL246" s="89"/>
      <c r="AM246" s="89"/>
      <c r="AN246" s="89"/>
      <c r="AO246" s="89"/>
    </row>
    <row r="247">
      <c r="A247" s="85">
        <v>44945.0</v>
      </c>
      <c r="B247" s="86">
        <v>297.0</v>
      </c>
      <c r="C247" s="85">
        <v>44644.0</v>
      </c>
      <c r="D247" s="89" t="s">
        <v>1819</v>
      </c>
      <c r="E247" s="89" t="s">
        <v>1820</v>
      </c>
      <c r="F247" s="89" t="s">
        <v>1821</v>
      </c>
      <c r="G247" s="89" t="s">
        <v>114</v>
      </c>
      <c r="H247" s="89" t="s">
        <v>94</v>
      </c>
      <c r="I247" s="89" t="s">
        <v>94</v>
      </c>
      <c r="J247" s="89" t="s">
        <v>95</v>
      </c>
      <c r="K247" s="89"/>
      <c r="L247" s="89">
        <v>1.0</v>
      </c>
      <c r="M247" s="85"/>
      <c r="N247" s="89">
        <v>1.0</v>
      </c>
      <c r="O247" s="85"/>
      <c r="P247" s="89"/>
      <c r="Q247" s="85"/>
      <c r="R247" s="85"/>
      <c r="S247" s="85"/>
      <c r="T247" s="85"/>
      <c r="U247" s="85"/>
      <c r="V247" s="89"/>
      <c r="W247" s="89"/>
      <c r="X247" s="89"/>
      <c r="Y247" s="89"/>
      <c r="Z247" s="89"/>
      <c r="AA247" s="89"/>
      <c r="AB247" s="89"/>
      <c r="AC247" s="89"/>
      <c r="AD247" s="89"/>
      <c r="AE247" s="89"/>
      <c r="AF247" s="89"/>
      <c r="AG247" s="89"/>
      <c r="AH247" s="89"/>
      <c r="AI247" s="89"/>
      <c r="AJ247" s="89"/>
      <c r="AK247" s="89"/>
      <c r="AL247" s="89"/>
      <c r="AM247" s="89"/>
      <c r="AN247" s="89"/>
      <c r="AO247" s="89"/>
    </row>
    <row r="248">
      <c r="A248" s="85">
        <v>44945.0</v>
      </c>
      <c r="B248" s="86">
        <v>245.04</v>
      </c>
      <c r="C248" s="85">
        <v>44886.0</v>
      </c>
      <c r="D248" s="89" t="s">
        <v>1825</v>
      </c>
      <c r="E248" s="89" t="s">
        <v>1826</v>
      </c>
      <c r="F248" s="89" t="s">
        <v>1827</v>
      </c>
      <c r="G248" s="89" t="s">
        <v>114</v>
      </c>
      <c r="H248" s="89" t="s">
        <v>94</v>
      </c>
      <c r="I248" s="89" t="s">
        <v>94</v>
      </c>
      <c r="J248" s="89" t="s">
        <v>95</v>
      </c>
      <c r="K248" s="89">
        <v>1.0</v>
      </c>
      <c r="L248" s="85"/>
      <c r="M248" s="89"/>
      <c r="N248" s="85"/>
      <c r="O248" s="85"/>
      <c r="P248" s="89">
        <v>1.0</v>
      </c>
      <c r="Q248" s="85"/>
      <c r="R248" s="85"/>
      <c r="S248" s="85"/>
      <c r="T248" s="85"/>
      <c r="U248" s="85"/>
      <c r="V248" s="89"/>
      <c r="W248" s="89"/>
      <c r="X248" s="89"/>
      <c r="Y248" s="89"/>
      <c r="Z248" s="89"/>
      <c r="AA248" s="89"/>
      <c r="AB248" s="89"/>
      <c r="AC248" s="89"/>
      <c r="AD248" s="89"/>
      <c r="AE248" s="89"/>
      <c r="AF248" s="89"/>
      <c r="AG248" s="89"/>
      <c r="AH248" s="89"/>
      <c r="AI248" s="89"/>
      <c r="AJ248" s="89"/>
      <c r="AK248" s="89"/>
      <c r="AL248" s="89"/>
      <c r="AM248" s="89"/>
      <c r="AN248" s="89"/>
      <c r="AO248" s="89"/>
    </row>
    <row r="249">
      <c r="A249" s="85">
        <v>44945.0</v>
      </c>
      <c r="B249" s="86">
        <v>233.51</v>
      </c>
      <c r="C249" s="85">
        <v>44840.0</v>
      </c>
      <c r="D249" s="89" t="s">
        <v>1831</v>
      </c>
      <c r="E249" s="89" t="s">
        <v>1832</v>
      </c>
      <c r="F249" s="89" t="s">
        <v>1833</v>
      </c>
      <c r="G249" s="89" t="s">
        <v>114</v>
      </c>
      <c r="H249" s="89" t="s">
        <v>94</v>
      </c>
      <c r="I249" s="89" t="s">
        <v>94</v>
      </c>
      <c r="J249" s="89" t="s">
        <v>95</v>
      </c>
      <c r="K249" s="89">
        <v>1.0</v>
      </c>
      <c r="L249" s="89"/>
      <c r="M249" s="85"/>
      <c r="N249" s="89"/>
      <c r="O249" s="85"/>
      <c r="P249" s="89">
        <v>1.0</v>
      </c>
      <c r="Q249" s="85"/>
      <c r="R249" s="85"/>
      <c r="S249" s="85"/>
      <c r="T249" s="85"/>
      <c r="U249" s="85"/>
      <c r="V249" s="89"/>
      <c r="W249" s="89"/>
      <c r="X249" s="89"/>
      <c r="Y249" s="89"/>
      <c r="Z249" s="89"/>
      <c r="AA249" s="89"/>
      <c r="AB249" s="89"/>
      <c r="AC249" s="89"/>
      <c r="AD249" s="89"/>
      <c r="AE249" s="89"/>
      <c r="AF249" s="89"/>
      <c r="AG249" s="89"/>
      <c r="AH249" s="89"/>
      <c r="AI249" s="89"/>
      <c r="AJ249" s="89"/>
      <c r="AK249" s="89"/>
      <c r="AL249" s="89"/>
      <c r="AM249" s="89"/>
      <c r="AN249" s="89"/>
      <c r="AO249" s="89"/>
    </row>
    <row r="250">
      <c r="A250" s="85">
        <v>44945.0</v>
      </c>
      <c r="B250" s="86">
        <v>305.55</v>
      </c>
      <c r="C250" s="85">
        <v>44725.0</v>
      </c>
      <c r="D250" s="89" t="s">
        <v>1834</v>
      </c>
      <c r="E250" s="89" t="s">
        <v>1835</v>
      </c>
      <c r="F250" s="89" t="s">
        <v>1836</v>
      </c>
      <c r="G250" s="89" t="s">
        <v>114</v>
      </c>
      <c r="H250" s="89" t="s">
        <v>94</v>
      </c>
      <c r="I250" s="89" t="s">
        <v>125</v>
      </c>
      <c r="J250" s="89" t="s">
        <v>95</v>
      </c>
      <c r="K250" s="89"/>
      <c r="L250" s="89">
        <v>1.0</v>
      </c>
      <c r="M250" s="85"/>
      <c r="N250" s="85"/>
      <c r="O250" s="85"/>
      <c r="P250" s="89">
        <v>1.0</v>
      </c>
      <c r="Q250" s="85"/>
      <c r="R250" s="85"/>
      <c r="S250" s="85"/>
      <c r="T250" s="85"/>
      <c r="U250" s="85"/>
      <c r="V250" s="89"/>
      <c r="W250" s="89"/>
      <c r="X250" s="89"/>
      <c r="Y250" s="89"/>
      <c r="Z250" s="89"/>
      <c r="AA250" s="89"/>
      <c r="AB250" s="89"/>
      <c r="AC250" s="89"/>
      <c r="AD250" s="89"/>
      <c r="AE250" s="89"/>
      <c r="AF250" s="89"/>
      <c r="AG250" s="89"/>
      <c r="AH250" s="89"/>
      <c r="AI250" s="89"/>
      <c r="AJ250" s="89"/>
      <c r="AK250" s="89"/>
      <c r="AL250" s="89"/>
      <c r="AM250" s="89"/>
      <c r="AN250" s="89"/>
      <c r="AO250" s="89"/>
    </row>
    <row r="251">
      <c r="A251" s="85">
        <v>44946.0</v>
      </c>
      <c r="B251" s="86">
        <v>233.78</v>
      </c>
      <c r="C251" s="85">
        <v>44861.0</v>
      </c>
      <c r="D251" s="89" t="s">
        <v>1840</v>
      </c>
      <c r="E251" s="89" t="s">
        <v>1841</v>
      </c>
      <c r="F251" s="89" t="s">
        <v>1842</v>
      </c>
      <c r="G251" s="89" t="s">
        <v>114</v>
      </c>
      <c r="H251" s="89" t="s">
        <v>94</v>
      </c>
      <c r="I251" s="89" t="s">
        <v>94</v>
      </c>
      <c r="J251" s="89" t="s">
        <v>95</v>
      </c>
      <c r="K251" s="89">
        <v>1.0</v>
      </c>
      <c r="L251" s="89"/>
      <c r="M251" s="85"/>
      <c r="N251" s="85"/>
      <c r="O251" s="85"/>
      <c r="P251" s="89">
        <v>1.0</v>
      </c>
      <c r="Q251" s="89"/>
      <c r="R251" s="85"/>
      <c r="S251" s="85"/>
      <c r="T251" s="85"/>
      <c r="U251" s="85"/>
      <c r="V251" s="89"/>
      <c r="W251" s="89"/>
      <c r="X251" s="89"/>
      <c r="Y251" s="89"/>
      <c r="Z251" s="89"/>
      <c r="AA251" s="89"/>
      <c r="AB251" s="89"/>
      <c r="AC251" s="89"/>
      <c r="AD251" s="89"/>
      <c r="AE251" s="89"/>
      <c r="AF251" s="89"/>
      <c r="AG251" s="89"/>
      <c r="AH251" s="89"/>
      <c r="AI251" s="89"/>
      <c r="AJ251" s="89"/>
      <c r="AK251" s="89"/>
      <c r="AL251" s="89"/>
      <c r="AM251" s="89"/>
      <c r="AN251" s="89"/>
      <c r="AO251" s="89"/>
    </row>
    <row r="252">
      <c r="A252" s="85">
        <v>44946.0</v>
      </c>
      <c r="B252" s="86">
        <v>316.57</v>
      </c>
      <c r="C252" s="85">
        <v>44865.0</v>
      </c>
      <c r="D252" s="89" t="s">
        <v>1846</v>
      </c>
      <c r="E252" s="89" t="s">
        <v>1847</v>
      </c>
      <c r="F252" s="89" t="s">
        <v>1848</v>
      </c>
      <c r="G252" s="89" t="s">
        <v>114</v>
      </c>
      <c r="H252" s="89" t="s">
        <v>94</v>
      </c>
      <c r="I252" s="89" t="s">
        <v>94</v>
      </c>
      <c r="J252" s="89" t="s">
        <v>95</v>
      </c>
      <c r="K252" s="89">
        <v>1.0</v>
      </c>
      <c r="L252" s="89"/>
      <c r="M252" s="89">
        <v>1.0</v>
      </c>
      <c r="N252" s="89"/>
      <c r="O252" s="85"/>
      <c r="P252" s="89">
        <v>1.0</v>
      </c>
      <c r="Q252" s="85"/>
      <c r="R252" s="85"/>
      <c r="S252" s="85"/>
      <c r="T252" s="85"/>
      <c r="U252" s="85"/>
      <c r="V252" s="89"/>
      <c r="W252" s="89"/>
      <c r="X252" s="89"/>
      <c r="Y252" s="89"/>
      <c r="Z252" s="89"/>
      <c r="AA252" s="89"/>
      <c r="AB252" s="89"/>
      <c r="AC252" s="89"/>
      <c r="AD252" s="89"/>
      <c r="AE252" s="89"/>
      <c r="AF252" s="89"/>
      <c r="AG252" s="89"/>
      <c r="AH252" s="89"/>
      <c r="AI252" s="89"/>
      <c r="AJ252" s="89"/>
      <c r="AK252" s="89"/>
      <c r="AL252" s="89"/>
      <c r="AM252" s="89"/>
      <c r="AN252" s="89"/>
      <c r="AO252" s="89"/>
    </row>
    <row r="253">
      <c r="A253" s="85">
        <v>44946.0</v>
      </c>
      <c r="B253" s="86">
        <v>299.93</v>
      </c>
      <c r="C253" s="85">
        <v>44858.0</v>
      </c>
      <c r="D253" s="89" t="s">
        <v>1846</v>
      </c>
      <c r="E253" s="89" t="s">
        <v>1853</v>
      </c>
      <c r="F253" s="89" t="s">
        <v>1854</v>
      </c>
      <c r="G253" s="89" t="s">
        <v>114</v>
      </c>
      <c r="H253" s="89" t="s">
        <v>94</v>
      </c>
      <c r="I253" s="89" t="s">
        <v>94</v>
      </c>
      <c r="J253" s="89" t="s">
        <v>95</v>
      </c>
      <c r="K253" s="89">
        <v>1.0</v>
      </c>
      <c r="L253" s="89"/>
      <c r="M253" s="89">
        <v>1.0</v>
      </c>
      <c r="N253" s="89"/>
      <c r="O253" s="89"/>
      <c r="P253" s="89">
        <v>1.0</v>
      </c>
      <c r="Q253" s="89"/>
      <c r="R253" s="89"/>
      <c r="S253" s="89"/>
      <c r="T253" s="89"/>
      <c r="U253" s="89"/>
      <c r="V253" s="89"/>
      <c r="W253" s="89"/>
      <c r="X253" s="89"/>
      <c r="Y253" s="89"/>
      <c r="Z253" s="89"/>
      <c r="AA253" s="89"/>
      <c r="AB253" s="89"/>
      <c r="AC253" s="89"/>
      <c r="AD253" s="89"/>
      <c r="AE253" s="89"/>
      <c r="AF253" s="89"/>
      <c r="AG253" s="89"/>
      <c r="AH253" s="89"/>
      <c r="AI253" s="89"/>
      <c r="AJ253" s="89"/>
      <c r="AK253" s="89"/>
      <c r="AL253" s="89"/>
      <c r="AM253" s="465"/>
      <c r="AN253" s="465"/>
      <c r="AO253" s="465"/>
    </row>
    <row r="254">
      <c r="A254" s="85">
        <v>44946.0</v>
      </c>
      <c r="B254" s="333">
        <v>199.0</v>
      </c>
      <c r="C254" s="85">
        <v>44864.0</v>
      </c>
      <c r="D254" s="89" t="s">
        <v>1858</v>
      </c>
      <c r="E254" s="89" t="s">
        <v>1859</v>
      </c>
      <c r="F254" s="89" t="s">
        <v>1860</v>
      </c>
      <c r="G254" s="89" t="s">
        <v>114</v>
      </c>
      <c r="H254" s="89" t="s">
        <v>94</v>
      </c>
      <c r="I254" s="89" t="s">
        <v>94</v>
      </c>
      <c r="J254" s="89" t="s">
        <v>95</v>
      </c>
      <c r="K254" s="89">
        <v>1.0</v>
      </c>
      <c r="L254" s="89"/>
      <c r="M254" s="89"/>
      <c r="N254" s="89"/>
      <c r="O254" s="89"/>
      <c r="P254" s="89"/>
      <c r="Q254" s="89"/>
      <c r="R254" s="89"/>
      <c r="S254" s="89"/>
      <c r="T254" s="89"/>
      <c r="U254" s="89"/>
      <c r="V254" s="89"/>
      <c r="W254" s="89"/>
      <c r="X254" s="89"/>
      <c r="Y254" s="89"/>
      <c r="Z254" s="89"/>
      <c r="AA254" s="89"/>
      <c r="AB254" s="89"/>
      <c r="AC254" s="89"/>
      <c r="AD254" s="89"/>
      <c r="AE254" s="89"/>
      <c r="AF254" s="89"/>
      <c r="AG254" s="89"/>
      <c r="AH254" s="89"/>
      <c r="AI254" s="89"/>
      <c r="AJ254" s="89"/>
      <c r="AK254" s="89"/>
      <c r="AL254" s="89"/>
      <c r="AM254" s="465"/>
      <c r="AN254" s="465"/>
      <c r="AO254" s="465"/>
    </row>
    <row r="255" ht="17.25" customHeight="1">
      <c r="A255" s="85">
        <v>44946.0</v>
      </c>
      <c r="B255" s="86">
        <v>272.93</v>
      </c>
      <c r="C255" s="85">
        <v>44893.0</v>
      </c>
      <c r="D255" s="89" t="s">
        <v>1864</v>
      </c>
      <c r="E255" s="89" t="s">
        <v>1865</v>
      </c>
      <c r="F255" s="89" t="s">
        <v>1866</v>
      </c>
      <c r="G255" s="89" t="s">
        <v>114</v>
      </c>
      <c r="H255" s="89" t="s">
        <v>94</v>
      </c>
      <c r="I255" s="89" t="s">
        <v>94</v>
      </c>
      <c r="J255" s="89" t="s">
        <v>95</v>
      </c>
      <c r="K255" s="89">
        <v>1.0</v>
      </c>
      <c r="L255" s="89"/>
      <c r="M255" s="89"/>
      <c r="N255" s="89">
        <v>1.0</v>
      </c>
      <c r="O255" s="89"/>
      <c r="P255" s="89">
        <v>1.0</v>
      </c>
      <c r="Q255" s="89"/>
      <c r="R255" s="89"/>
      <c r="S255" s="89"/>
      <c r="T255" s="89"/>
      <c r="U255" s="89"/>
      <c r="V255" s="89"/>
      <c r="W255" s="89"/>
      <c r="X255" s="89"/>
      <c r="Y255" s="89"/>
      <c r="Z255" s="89"/>
      <c r="AA255" s="89"/>
      <c r="AB255" s="89"/>
      <c r="AC255" s="89"/>
      <c r="AD255" s="89"/>
      <c r="AE255" s="89"/>
      <c r="AF255" s="89"/>
      <c r="AG255" s="89"/>
      <c r="AH255" s="89"/>
      <c r="AI255" s="89"/>
      <c r="AJ255" s="89"/>
      <c r="AK255" s="89"/>
      <c r="AL255" s="89"/>
      <c r="AM255" s="465"/>
      <c r="AN255" s="465"/>
      <c r="AO255" s="465"/>
    </row>
    <row r="256">
      <c r="A256" s="85">
        <v>44946.0</v>
      </c>
      <c r="B256" s="86">
        <v>236.52</v>
      </c>
      <c r="C256" s="85">
        <v>44852.0</v>
      </c>
      <c r="D256" s="89" t="s">
        <v>1870</v>
      </c>
      <c r="E256" s="89" t="s">
        <v>1871</v>
      </c>
      <c r="F256" s="89" t="s">
        <v>1872</v>
      </c>
      <c r="G256" s="89" t="s">
        <v>114</v>
      </c>
      <c r="H256" s="89" t="s">
        <v>94</v>
      </c>
      <c r="I256" s="89" t="s">
        <v>94</v>
      </c>
      <c r="J256" s="89" t="s">
        <v>95</v>
      </c>
      <c r="K256" s="89">
        <v>1.0</v>
      </c>
      <c r="L256" s="89"/>
      <c r="M256" s="89"/>
      <c r="N256" s="89"/>
      <c r="O256" s="89"/>
      <c r="P256" s="89">
        <v>1.0</v>
      </c>
      <c r="Q256" s="89"/>
      <c r="R256" s="89"/>
      <c r="S256" s="89"/>
      <c r="T256" s="89"/>
      <c r="U256" s="89"/>
      <c r="V256" s="89"/>
      <c r="W256" s="89"/>
      <c r="X256" s="89"/>
      <c r="Y256" s="89"/>
      <c r="Z256" s="89"/>
      <c r="AA256" s="89"/>
      <c r="AB256" s="89"/>
      <c r="AC256" s="89"/>
      <c r="AD256" s="89"/>
      <c r="AE256" s="89"/>
      <c r="AF256" s="89"/>
      <c r="AG256" s="89"/>
      <c r="AH256" s="89"/>
      <c r="AI256" s="89"/>
      <c r="AJ256" s="89"/>
      <c r="AK256" s="89"/>
      <c r="AL256" s="89"/>
      <c r="AM256" s="465"/>
      <c r="AN256" s="465"/>
      <c r="AO256" s="465"/>
    </row>
    <row r="257">
      <c r="A257" s="85">
        <v>44946.0</v>
      </c>
      <c r="B257" s="86">
        <v>256.38</v>
      </c>
      <c r="C257" s="85">
        <v>44866.0</v>
      </c>
      <c r="D257" s="89" t="s">
        <v>1876</v>
      </c>
      <c r="E257" s="89" t="s">
        <v>1877</v>
      </c>
      <c r="F257" s="89" t="s">
        <v>1878</v>
      </c>
      <c r="G257" s="89" t="s">
        <v>114</v>
      </c>
      <c r="H257" s="89" t="s">
        <v>94</v>
      </c>
      <c r="I257" s="89" t="s">
        <v>94</v>
      </c>
      <c r="J257" s="89" t="s">
        <v>95</v>
      </c>
      <c r="K257" s="89">
        <v>1.0</v>
      </c>
      <c r="L257" s="89"/>
      <c r="M257" s="89"/>
      <c r="N257" s="89">
        <v>1.0</v>
      </c>
      <c r="O257" s="89"/>
      <c r="P257" s="89">
        <v>1.0</v>
      </c>
      <c r="Q257" s="89"/>
      <c r="R257" s="89"/>
      <c r="S257" s="89"/>
      <c r="T257" s="89"/>
      <c r="U257" s="89"/>
      <c r="V257" s="89"/>
      <c r="W257" s="89"/>
      <c r="X257" s="89"/>
      <c r="Y257" s="89"/>
      <c r="Z257" s="89"/>
      <c r="AA257" s="89"/>
      <c r="AB257" s="89"/>
      <c r="AC257" s="89"/>
      <c r="AD257" s="89"/>
      <c r="AE257" s="89"/>
      <c r="AF257" s="89"/>
      <c r="AG257" s="89"/>
      <c r="AH257" s="89"/>
      <c r="AI257" s="89"/>
      <c r="AJ257" s="89"/>
      <c r="AK257" s="89"/>
      <c r="AL257" s="89"/>
      <c r="AM257" s="465"/>
      <c r="AN257" s="465"/>
      <c r="AO257" s="465"/>
    </row>
    <row r="258">
      <c r="A258" s="85">
        <v>44946.0</v>
      </c>
      <c r="B258" s="333">
        <v>379.74</v>
      </c>
      <c r="C258" s="85">
        <v>44860.0</v>
      </c>
      <c r="D258" s="89" t="s">
        <v>1881</v>
      </c>
      <c r="E258" s="89" t="s">
        <v>1883</v>
      </c>
      <c r="F258" s="89" t="s">
        <v>1884</v>
      </c>
      <c r="G258" s="89" t="s">
        <v>114</v>
      </c>
      <c r="H258" s="89" t="s">
        <v>94</v>
      </c>
      <c r="I258" s="89" t="s">
        <v>955</v>
      </c>
      <c r="J258" s="89" t="s">
        <v>95</v>
      </c>
      <c r="K258" s="89"/>
      <c r="L258" s="89">
        <v>1.0</v>
      </c>
      <c r="M258" s="89"/>
      <c r="N258" s="89">
        <v>1.0</v>
      </c>
      <c r="O258" s="89"/>
      <c r="P258" s="89">
        <v>1.0</v>
      </c>
      <c r="Q258" s="89">
        <v>1.0</v>
      </c>
      <c r="R258" s="89"/>
      <c r="S258" s="89"/>
      <c r="T258" s="89"/>
      <c r="U258" s="89"/>
      <c r="V258" s="89"/>
      <c r="W258" s="89"/>
      <c r="X258" s="89"/>
      <c r="Y258" s="89"/>
      <c r="Z258" s="89"/>
      <c r="AA258" s="89"/>
      <c r="AB258" s="89"/>
      <c r="AC258" s="89"/>
      <c r="AD258" s="89"/>
      <c r="AE258" s="89"/>
      <c r="AF258" s="89"/>
      <c r="AG258" s="89"/>
      <c r="AH258" s="89"/>
      <c r="AI258" s="89"/>
      <c r="AJ258" s="89"/>
      <c r="AK258" s="89"/>
      <c r="AL258" s="89"/>
      <c r="AM258" s="465"/>
      <c r="AN258" s="465"/>
      <c r="AO258" s="465"/>
    </row>
    <row r="259">
      <c r="A259" s="85">
        <v>44946.0</v>
      </c>
      <c r="B259" s="333">
        <v>330.74</v>
      </c>
      <c r="C259" s="85">
        <v>44534.0</v>
      </c>
      <c r="D259" s="1" t="s">
        <v>1885</v>
      </c>
      <c r="E259" s="89" t="s">
        <v>1886</v>
      </c>
      <c r="F259" s="89" t="s">
        <v>1887</v>
      </c>
      <c r="G259" s="89" t="s">
        <v>114</v>
      </c>
      <c r="H259" s="89" t="s">
        <v>94</v>
      </c>
      <c r="I259" s="89" t="s">
        <v>94</v>
      </c>
      <c r="J259" s="89" t="s">
        <v>95</v>
      </c>
      <c r="K259" s="89"/>
      <c r="L259" s="89">
        <v>1.0</v>
      </c>
      <c r="M259" s="89"/>
      <c r="N259" s="89">
        <v>1.0</v>
      </c>
      <c r="O259" s="89"/>
      <c r="P259" s="89">
        <v>1.0</v>
      </c>
      <c r="Q259" s="89"/>
      <c r="R259" s="89"/>
      <c r="S259" s="89"/>
      <c r="T259" s="89"/>
      <c r="U259" s="89"/>
      <c r="V259" s="89"/>
      <c r="W259" s="89"/>
      <c r="X259" s="89"/>
      <c r="Y259" s="89"/>
      <c r="Z259" s="89"/>
      <c r="AA259" s="89"/>
      <c r="AB259" s="89"/>
      <c r="AC259" s="89"/>
      <c r="AD259" s="89"/>
      <c r="AE259" s="89"/>
      <c r="AF259" s="89"/>
      <c r="AG259" s="89"/>
      <c r="AH259" s="89"/>
      <c r="AI259" s="89"/>
      <c r="AJ259" s="89"/>
      <c r="AK259" s="89"/>
      <c r="AL259" s="89"/>
      <c r="AM259" s="465"/>
      <c r="AN259" s="465"/>
      <c r="AO259" s="465"/>
    </row>
    <row r="260">
      <c r="A260" s="85">
        <v>44946.0</v>
      </c>
      <c r="B260" s="86">
        <v>204.0</v>
      </c>
      <c r="C260" s="85">
        <v>44508.0</v>
      </c>
      <c r="D260" s="89" t="s">
        <v>1891</v>
      </c>
      <c r="E260" s="89" t="s">
        <v>1892</v>
      </c>
      <c r="F260" s="89" t="s">
        <v>1893</v>
      </c>
      <c r="G260" s="89" t="s">
        <v>114</v>
      </c>
      <c r="H260" s="89" t="s">
        <v>94</v>
      </c>
      <c r="I260" s="89" t="s">
        <v>94</v>
      </c>
      <c r="J260" s="89" t="s">
        <v>95</v>
      </c>
      <c r="K260" s="89">
        <v>1.0</v>
      </c>
      <c r="L260" s="89"/>
      <c r="M260" s="89"/>
      <c r="N260" s="89"/>
      <c r="O260" s="89"/>
      <c r="P260" s="89"/>
      <c r="Q260" s="89"/>
      <c r="R260" s="89"/>
      <c r="S260" s="89"/>
      <c r="T260" s="89"/>
      <c r="U260" s="89"/>
      <c r="V260" s="89"/>
      <c r="W260" s="89"/>
      <c r="X260" s="89"/>
      <c r="Y260" s="89"/>
      <c r="Z260" s="89"/>
      <c r="AA260" s="89"/>
      <c r="AB260" s="89"/>
      <c r="AC260" s="89"/>
      <c r="AD260" s="89"/>
      <c r="AE260" s="89"/>
      <c r="AF260" s="89"/>
      <c r="AG260" s="89"/>
      <c r="AH260" s="89"/>
      <c r="AI260" s="89"/>
      <c r="AJ260" s="89"/>
      <c r="AK260" s="89"/>
      <c r="AL260" s="89"/>
      <c r="AM260" s="465"/>
      <c r="AN260" s="465"/>
      <c r="AO260" s="465"/>
    </row>
    <row r="261">
      <c r="A261" s="85">
        <v>44946.0</v>
      </c>
      <c r="B261" s="333">
        <v>330.14</v>
      </c>
      <c r="C261" s="85">
        <v>44877.0</v>
      </c>
      <c r="D261" s="1" t="s">
        <v>1895</v>
      </c>
      <c r="E261" s="89" t="s">
        <v>1896</v>
      </c>
      <c r="F261" s="89" t="s">
        <v>1897</v>
      </c>
      <c r="G261" s="89" t="s">
        <v>114</v>
      </c>
      <c r="H261" s="89" t="s">
        <v>94</v>
      </c>
      <c r="I261" s="89" t="s">
        <v>955</v>
      </c>
      <c r="J261" s="89" t="s">
        <v>95</v>
      </c>
      <c r="K261" s="89">
        <v>1.0</v>
      </c>
      <c r="L261" s="89"/>
      <c r="M261" s="89">
        <v>1.0</v>
      </c>
      <c r="N261" s="89"/>
      <c r="O261" s="89"/>
      <c r="P261" s="89">
        <v>1.0</v>
      </c>
      <c r="Q261" s="89"/>
      <c r="R261" s="89"/>
      <c r="S261" s="89"/>
      <c r="T261" s="89"/>
      <c r="U261" s="89"/>
      <c r="V261" s="89"/>
      <c r="W261" s="89"/>
      <c r="X261" s="89"/>
      <c r="Y261" s="89"/>
      <c r="Z261" s="89"/>
      <c r="AA261" s="89"/>
      <c r="AB261" s="89"/>
      <c r="AC261" s="89"/>
      <c r="AD261" s="89"/>
      <c r="AE261" s="89"/>
      <c r="AF261" s="89"/>
      <c r="AG261" s="89"/>
      <c r="AH261" s="89"/>
      <c r="AI261" s="89"/>
      <c r="AJ261" s="89"/>
      <c r="AK261" s="89"/>
      <c r="AL261" s="89"/>
      <c r="AM261" s="465"/>
      <c r="AN261" s="465"/>
      <c r="AO261" s="465"/>
    </row>
    <row r="262">
      <c r="A262" s="85">
        <v>44946.0</v>
      </c>
      <c r="B262" s="86">
        <v>245.7</v>
      </c>
      <c r="C262" s="85">
        <v>44105.0</v>
      </c>
      <c r="D262" s="89" t="s">
        <v>1901</v>
      </c>
      <c r="E262" s="1" t="s">
        <v>1902</v>
      </c>
      <c r="F262" s="89" t="s">
        <v>1903</v>
      </c>
      <c r="G262" s="89" t="s">
        <v>114</v>
      </c>
      <c r="H262" s="89" t="s">
        <v>170</v>
      </c>
      <c r="I262" s="89" t="s">
        <v>170</v>
      </c>
      <c r="J262" s="89" t="s">
        <v>95</v>
      </c>
      <c r="K262" s="89"/>
      <c r="L262" s="89">
        <v>1.0</v>
      </c>
      <c r="M262" s="89"/>
      <c r="N262" s="89"/>
      <c r="O262" s="89"/>
      <c r="P262" s="89"/>
      <c r="Q262" s="89"/>
      <c r="R262" s="89"/>
      <c r="S262" s="89"/>
      <c r="T262" s="89"/>
      <c r="U262" s="89"/>
      <c r="V262" s="89"/>
      <c r="W262" s="89"/>
      <c r="X262" s="89"/>
      <c r="Y262" s="89"/>
      <c r="Z262" s="89"/>
      <c r="AA262" s="89"/>
      <c r="AB262" s="89"/>
      <c r="AC262" s="89"/>
      <c r="AD262" s="89"/>
      <c r="AE262" s="89"/>
      <c r="AF262" s="89"/>
      <c r="AG262" s="89"/>
      <c r="AH262" s="89"/>
      <c r="AI262" s="89"/>
      <c r="AJ262" s="89"/>
      <c r="AK262" s="89"/>
      <c r="AL262" s="89"/>
      <c r="AM262" s="465"/>
      <c r="AN262" s="465"/>
      <c r="AO262" s="465"/>
    </row>
    <row r="263">
      <c r="A263" s="85">
        <v>44946.0</v>
      </c>
      <c r="B263" s="333">
        <v>308.51</v>
      </c>
      <c r="C263" s="85">
        <v>44869.0</v>
      </c>
      <c r="D263" s="89" t="s">
        <v>1907</v>
      </c>
      <c r="E263" s="89" t="s">
        <v>1908</v>
      </c>
      <c r="F263" s="89" t="s">
        <v>1909</v>
      </c>
      <c r="G263" s="89" t="s">
        <v>114</v>
      </c>
      <c r="H263" s="89" t="s">
        <v>94</v>
      </c>
      <c r="I263" s="89" t="s">
        <v>94</v>
      </c>
      <c r="J263" s="89" t="s">
        <v>95</v>
      </c>
      <c r="K263" s="89"/>
      <c r="L263" s="89">
        <v>1.0</v>
      </c>
      <c r="M263" s="89"/>
      <c r="N263" s="89"/>
      <c r="O263" s="89"/>
      <c r="P263" s="89"/>
      <c r="Q263" s="89"/>
      <c r="R263" s="89"/>
      <c r="S263" s="89"/>
      <c r="T263" s="89"/>
      <c r="U263" s="89"/>
      <c r="V263" s="89"/>
      <c r="W263" s="89"/>
      <c r="X263" s="89"/>
      <c r="Y263" s="89"/>
      <c r="Z263" s="89"/>
      <c r="AA263" s="89"/>
      <c r="AB263" s="89"/>
      <c r="AC263" s="89"/>
      <c r="AD263" s="89"/>
      <c r="AE263" s="89"/>
      <c r="AF263" s="89"/>
      <c r="AG263" s="89"/>
      <c r="AH263" s="89"/>
      <c r="AI263" s="89"/>
      <c r="AJ263" s="89"/>
      <c r="AK263" s="89"/>
      <c r="AL263" s="89"/>
      <c r="AM263" s="465"/>
      <c r="AN263" s="465"/>
      <c r="AO263" s="465"/>
    </row>
    <row r="264">
      <c r="A264" s="85">
        <v>44946.0</v>
      </c>
      <c r="B264" s="86">
        <v>219.0</v>
      </c>
      <c r="C264" s="85">
        <v>44806.0</v>
      </c>
      <c r="D264" s="89" t="s">
        <v>1910</v>
      </c>
      <c r="E264" s="89" t="s">
        <v>1911</v>
      </c>
      <c r="F264" s="89" t="s">
        <v>1912</v>
      </c>
      <c r="G264" s="89" t="s">
        <v>114</v>
      </c>
      <c r="H264" s="89" t="s">
        <v>94</v>
      </c>
      <c r="I264" s="89" t="s">
        <v>94</v>
      </c>
      <c r="J264" s="89" t="s">
        <v>328</v>
      </c>
      <c r="K264" s="89">
        <v>1.0</v>
      </c>
      <c r="L264" s="89"/>
      <c r="M264" s="89"/>
      <c r="N264" s="89"/>
      <c r="O264" s="89"/>
      <c r="P264" s="89"/>
      <c r="Q264" s="89"/>
      <c r="R264" s="89"/>
      <c r="S264" s="89"/>
      <c r="T264" s="89"/>
      <c r="U264" s="89"/>
      <c r="V264" s="89"/>
      <c r="W264" s="89"/>
      <c r="X264" s="89"/>
      <c r="Y264" s="89"/>
      <c r="Z264" s="89"/>
      <c r="AA264" s="89"/>
      <c r="AB264" s="89"/>
      <c r="AC264" s="89"/>
      <c r="AD264" s="89"/>
      <c r="AE264" s="89"/>
      <c r="AF264" s="89"/>
      <c r="AG264" s="89"/>
      <c r="AH264" s="89"/>
      <c r="AI264" s="89"/>
      <c r="AJ264" s="89"/>
      <c r="AK264" s="89"/>
      <c r="AL264" s="89"/>
      <c r="AM264" s="465"/>
      <c r="AN264" s="465"/>
      <c r="AO264" s="465"/>
    </row>
    <row r="265">
      <c r="A265" s="85">
        <v>44946.0</v>
      </c>
      <c r="B265" s="86">
        <v>341.31</v>
      </c>
      <c r="C265" s="85">
        <v>44875.0</v>
      </c>
      <c r="D265" s="89" t="s">
        <v>1916</v>
      </c>
      <c r="E265" s="89" t="s">
        <v>1917</v>
      </c>
      <c r="F265" s="89" t="s">
        <v>1918</v>
      </c>
      <c r="G265" s="89" t="s">
        <v>114</v>
      </c>
      <c r="H265" s="89" t="s">
        <v>94</v>
      </c>
      <c r="I265" s="89" t="s">
        <v>94</v>
      </c>
      <c r="J265" s="89" t="s">
        <v>95</v>
      </c>
      <c r="K265" s="89"/>
      <c r="L265" s="89">
        <v>1.0</v>
      </c>
      <c r="M265" s="89"/>
      <c r="N265" s="89">
        <v>1.0</v>
      </c>
      <c r="O265" s="89"/>
      <c r="P265" s="89"/>
      <c r="Q265" s="89"/>
      <c r="R265" s="89"/>
      <c r="S265" s="89"/>
      <c r="T265" s="89"/>
      <c r="U265" s="89"/>
      <c r="V265" s="89"/>
      <c r="W265" s="469"/>
      <c r="X265" s="469"/>
      <c r="Y265" s="469"/>
      <c r="Z265" s="469"/>
      <c r="AA265" s="469"/>
      <c r="AB265" s="469"/>
      <c r="AC265" s="469"/>
      <c r="AD265" s="469"/>
      <c r="AE265" s="469"/>
      <c r="AF265" s="469"/>
      <c r="AG265" s="469"/>
      <c r="AH265" s="469"/>
      <c r="AI265" s="469"/>
      <c r="AJ265" s="469"/>
      <c r="AK265" s="469"/>
      <c r="AL265" s="469"/>
      <c r="AM265" s="465"/>
      <c r="AN265" s="465"/>
      <c r="AO265" s="465"/>
    </row>
    <row r="266">
      <c r="A266" s="85">
        <v>44946.0</v>
      </c>
      <c r="B266" s="86">
        <v>234.88</v>
      </c>
      <c r="C266" s="85">
        <v>44856.0</v>
      </c>
      <c r="D266" s="89" t="s">
        <v>1922</v>
      </c>
      <c r="E266" s="89" t="s">
        <v>1923</v>
      </c>
      <c r="F266" s="89" t="s">
        <v>1924</v>
      </c>
      <c r="G266" s="89" t="s">
        <v>114</v>
      </c>
      <c r="H266" s="89" t="s">
        <v>94</v>
      </c>
      <c r="I266" s="89" t="s">
        <v>94</v>
      </c>
      <c r="J266" s="89" t="s">
        <v>95</v>
      </c>
      <c r="K266" s="89">
        <v>1.0</v>
      </c>
      <c r="L266" s="89"/>
      <c r="M266" s="89"/>
      <c r="N266" s="89"/>
      <c r="O266" s="89"/>
      <c r="P266" s="89">
        <v>1.0</v>
      </c>
      <c r="Q266" s="89"/>
      <c r="R266" s="89"/>
      <c r="S266" s="89"/>
      <c r="T266" s="89"/>
      <c r="U266" s="89"/>
      <c r="V266" s="89"/>
      <c r="W266" s="469"/>
      <c r="X266" s="469"/>
      <c r="Y266" s="469"/>
      <c r="Z266" s="469"/>
      <c r="AA266" s="469"/>
      <c r="AB266" s="469"/>
      <c r="AC266" s="469"/>
      <c r="AD266" s="469"/>
      <c r="AE266" s="469"/>
      <c r="AF266" s="469"/>
      <c r="AG266" s="469"/>
      <c r="AH266" s="469"/>
      <c r="AI266" s="469"/>
      <c r="AJ266" s="469"/>
      <c r="AK266" s="469"/>
      <c r="AL266" s="469"/>
      <c r="AM266" s="465"/>
      <c r="AN266" s="465"/>
      <c r="AO266" s="465"/>
    </row>
    <row r="267">
      <c r="A267" s="85">
        <v>44946.0</v>
      </c>
      <c r="B267" s="86">
        <v>487.0</v>
      </c>
      <c r="C267" s="85">
        <v>44392.0</v>
      </c>
      <c r="D267" s="89" t="s">
        <v>1929</v>
      </c>
      <c r="E267" s="89" t="s">
        <v>1930</v>
      </c>
      <c r="F267" s="89" t="s">
        <v>1931</v>
      </c>
      <c r="G267" s="89" t="s">
        <v>114</v>
      </c>
      <c r="H267" s="89" t="s">
        <v>94</v>
      </c>
      <c r="I267" s="89" t="s">
        <v>125</v>
      </c>
      <c r="J267" s="89" t="s">
        <v>95</v>
      </c>
      <c r="K267" s="89"/>
      <c r="L267" s="89">
        <v>2.0</v>
      </c>
      <c r="M267" s="89"/>
      <c r="N267" s="89"/>
      <c r="O267" s="89"/>
      <c r="P267" s="89"/>
      <c r="Q267" s="89"/>
      <c r="R267" s="89"/>
      <c r="S267" s="89"/>
      <c r="T267" s="89"/>
      <c r="U267" s="89"/>
      <c r="V267" s="89"/>
      <c r="W267" s="469"/>
      <c r="X267" s="469"/>
      <c r="Y267" s="469"/>
      <c r="Z267" s="469"/>
      <c r="AA267" s="469"/>
      <c r="AB267" s="469"/>
      <c r="AC267" s="469"/>
      <c r="AD267" s="469"/>
      <c r="AE267" s="469"/>
      <c r="AF267" s="469"/>
      <c r="AG267" s="469"/>
      <c r="AH267" s="469"/>
      <c r="AI267" s="469"/>
      <c r="AJ267" s="469"/>
      <c r="AK267" s="469"/>
      <c r="AL267" s="469"/>
      <c r="AM267" s="465"/>
      <c r="AN267" s="465"/>
      <c r="AO267" s="465"/>
    </row>
    <row r="268">
      <c r="A268" s="85">
        <v>44946.0</v>
      </c>
      <c r="B268" s="86">
        <v>267.05</v>
      </c>
      <c r="C268" s="85">
        <v>44887.0</v>
      </c>
      <c r="D268" s="89" t="s">
        <v>1932</v>
      </c>
      <c r="E268" s="89" t="s">
        <v>1933</v>
      </c>
      <c r="F268" s="89" t="s">
        <v>1934</v>
      </c>
      <c r="G268" s="89" t="s">
        <v>114</v>
      </c>
      <c r="H268" s="89" t="s">
        <v>94</v>
      </c>
      <c r="I268" s="89" t="s">
        <v>94</v>
      </c>
      <c r="J268" s="89" t="s">
        <v>95</v>
      </c>
      <c r="K268" s="89">
        <v>1.0</v>
      </c>
      <c r="L268" s="89"/>
      <c r="M268" s="89">
        <v>1.0</v>
      </c>
      <c r="N268" s="89"/>
      <c r="O268" s="89"/>
      <c r="P268" s="89">
        <v>1.0</v>
      </c>
      <c r="Q268" s="89"/>
      <c r="R268" s="89"/>
      <c r="S268" s="89"/>
      <c r="T268" s="89"/>
      <c r="U268" s="89"/>
      <c r="V268" s="89"/>
      <c r="W268" s="469"/>
      <c r="X268" s="469"/>
      <c r="Y268" s="469"/>
      <c r="Z268" s="469"/>
      <c r="AA268" s="469"/>
      <c r="AB268" s="469"/>
      <c r="AC268" s="469"/>
      <c r="AD268" s="469"/>
      <c r="AE268" s="469"/>
      <c r="AF268" s="469"/>
      <c r="AG268" s="469"/>
      <c r="AH268" s="469"/>
      <c r="AI268" s="469"/>
      <c r="AJ268" s="469"/>
      <c r="AK268" s="469"/>
      <c r="AL268" s="469"/>
      <c r="AM268" s="465"/>
      <c r="AN268" s="465"/>
      <c r="AO268" s="465"/>
    </row>
    <row r="269">
      <c r="A269" s="85">
        <v>44946.0</v>
      </c>
      <c r="B269" s="86">
        <v>353.43</v>
      </c>
      <c r="C269" s="85">
        <v>44863.0</v>
      </c>
      <c r="D269" s="89" t="s">
        <v>1938</v>
      </c>
      <c r="E269" s="89" t="s">
        <v>1939</v>
      </c>
      <c r="F269" s="89" t="s">
        <v>1940</v>
      </c>
      <c r="G269" s="89" t="s">
        <v>114</v>
      </c>
      <c r="H269" s="89" t="s">
        <v>94</v>
      </c>
      <c r="I269" s="89" t="s">
        <v>94</v>
      </c>
      <c r="J269" s="89" t="s">
        <v>95</v>
      </c>
      <c r="K269" s="89">
        <v>1.0</v>
      </c>
      <c r="L269" s="89"/>
      <c r="M269" s="89"/>
      <c r="N269" s="89"/>
      <c r="O269" s="89"/>
      <c r="P269" s="89"/>
      <c r="Q269" s="89"/>
      <c r="R269" s="89"/>
      <c r="S269" s="89"/>
      <c r="T269" s="89"/>
      <c r="U269" s="89"/>
      <c r="V269" s="89"/>
      <c r="W269" s="469"/>
      <c r="X269" s="469"/>
      <c r="Y269" s="469"/>
      <c r="Z269" s="469"/>
      <c r="AA269" s="469"/>
      <c r="AB269" s="469"/>
      <c r="AC269" s="469"/>
      <c r="AD269" s="469"/>
      <c r="AE269" s="469"/>
      <c r="AF269" s="469"/>
      <c r="AG269" s="469"/>
      <c r="AH269" s="469"/>
      <c r="AI269" s="469"/>
      <c r="AJ269" s="469"/>
      <c r="AK269" s="469"/>
      <c r="AL269" s="469"/>
      <c r="AM269" s="465"/>
      <c r="AN269" s="465"/>
      <c r="AO269" s="465"/>
    </row>
    <row r="270" ht="19.5" customHeight="1">
      <c r="A270" s="85">
        <v>44946.0</v>
      </c>
      <c r="B270" s="86">
        <v>219.02</v>
      </c>
      <c r="C270" s="85">
        <v>44730.0</v>
      </c>
      <c r="D270" s="89" t="s">
        <v>1941</v>
      </c>
      <c r="E270" s="89" t="s">
        <v>1942</v>
      </c>
      <c r="F270" s="89" t="s">
        <v>1943</v>
      </c>
      <c r="G270" s="89" t="s">
        <v>114</v>
      </c>
      <c r="H270" s="89" t="s">
        <v>94</v>
      </c>
      <c r="I270" s="89" t="s">
        <v>94</v>
      </c>
      <c r="J270" s="89" t="s">
        <v>95</v>
      </c>
      <c r="K270" s="89">
        <v>1.0</v>
      </c>
      <c r="L270" s="89"/>
      <c r="M270" s="89"/>
      <c r="N270" s="89"/>
      <c r="O270" s="89"/>
      <c r="P270" s="89"/>
      <c r="Q270" s="89"/>
      <c r="R270" s="89"/>
      <c r="S270" s="89"/>
      <c r="T270" s="89"/>
      <c r="U270" s="89"/>
      <c r="V270" s="89"/>
      <c r="W270" s="469"/>
      <c r="X270" s="469"/>
      <c r="Y270" s="469"/>
      <c r="Z270" s="469"/>
      <c r="AA270" s="469"/>
      <c r="AB270" s="469"/>
      <c r="AC270" s="469"/>
      <c r="AD270" s="469"/>
      <c r="AE270" s="469"/>
      <c r="AF270" s="469"/>
      <c r="AG270" s="469"/>
      <c r="AH270" s="469"/>
      <c r="AI270" s="469"/>
      <c r="AJ270" s="469"/>
      <c r="AK270" s="469"/>
      <c r="AL270" s="469"/>
      <c r="AM270" s="465"/>
      <c r="AN270" s="465"/>
      <c r="AO270" s="465"/>
    </row>
    <row r="271">
      <c r="A271" s="85">
        <v>44946.0</v>
      </c>
      <c r="B271" s="86">
        <v>248.7</v>
      </c>
      <c r="C271" s="85">
        <v>44891.0</v>
      </c>
      <c r="D271" s="89" t="s">
        <v>1947</v>
      </c>
      <c r="E271" s="89" t="s">
        <v>1948</v>
      </c>
      <c r="F271" s="89" t="s">
        <v>1949</v>
      </c>
      <c r="G271" s="89" t="s">
        <v>114</v>
      </c>
      <c r="H271" s="89" t="s">
        <v>94</v>
      </c>
      <c r="I271" s="89" t="s">
        <v>94</v>
      </c>
      <c r="J271" s="89" t="s">
        <v>95</v>
      </c>
      <c r="K271" s="89">
        <v>1.0</v>
      </c>
      <c r="L271" s="89"/>
      <c r="M271" s="89"/>
      <c r="N271" s="89"/>
      <c r="O271" s="89"/>
      <c r="P271" s="89"/>
      <c r="Q271" s="89"/>
      <c r="R271" s="89"/>
      <c r="S271" s="89"/>
      <c r="T271" s="89"/>
      <c r="U271" s="89"/>
      <c r="V271" s="89"/>
      <c r="W271" s="469"/>
      <c r="X271" s="469"/>
      <c r="Y271" s="469"/>
      <c r="Z271" s="469"/>
      <c r="AA271" s="469"/>
      <c r="AB271" s="469"/>
      <c r="AC271" s="469"/>
      <c r="AD271" s="469"/>
      <c r="AE271" s="469"/>
      <c r="AF271" s="469"/>
      <c r="AG271" s="469"/>
      <c r="AH271" s="469"/>
      <c r="AI271" s="469"/>
      <c r="AJ271" s="469"/>
      <c r="AK271" s="469"/>
      <c r="AL271" s="469"/>
      <c r="AM271" s="465"/>
      <c r="AN271" s="465"/>
      <c r="AO271" s="465"/>
    </row>
    <row r="272">
      <c r="A272" s="85">
        <v>44946.0</v>
      </c>
      <c r="B272" s="86">
        <v>239.5</v>
      </c>
      <c r="C272" s="85">
        <v>44859.0</v>
      </c>
      <c r="D272" s="89" t="s">
        <v>1954</v>
      </c>
      <c r="E272" s="89" t="s">
        <v>1955</v>
      </c>
      <c r="F272" s="89" t="s">
        <v>1956</v>
      </c>
      <c r="G272" s="89" t="s">
        <v>114</v>
      </c>
      <c r="H272" s="89" t="s">
        <v>94</v>
      </c>
      <c r="I272" s="89" t="s">
        <v>94</v>
      </c>
      <c r="J272" s="89" t="s">
        <v>95</v>
      </c>
      <c r="K272" s="89">
        <v>1.0</v>
      </c>
      <c r="L272" s="89"/>
      <c r="M272" s="89"/>
      <c r="N272" s="89"/>
      <c r="O272" s="89"/>
      <c r="P272" s="89"/>
      <c r="Q272" s="89"/>
      <c r="R272" s="89"/>
      <c r="S272" s="89"/>
      <c r="T272" s="89"/>
      <c r="U272" s="89"/>
      <c r="V272" s="89"/>
      <c r="W272" s="469"/>
      <c r="X272" s="469"/>
      <c r="Y272" s="469"/>
      <c r="Z272" s="469"/>
      <c r="AA272" s="469"/>
      <c r="AB272" s="469"/>
      <c r="AC272" s="469"/>
      <c r="AD272" s="469"/>
      <c r="AE272" s="469"/>
      <c r="AF272" s="469"/>
      <c r="AG272" s="469"/>
      <c r="AH272" s="469"/>
      <c r="AI272" s="469"/>
      <c r="AJ272" s="469"/>
      <c r="AK272" s="469"/>
      <c r="AL272" s="469"/>
      <c r="AM272" s="465"/>
      <c r="AN272" s="465"/>
      <c r="AO272" s="465"/>
    </row>
    <row r="273">
      <c r="A273" s="85">
        <v>44946.0</v>
      </c>
      <c r="B273" s="86">
        <v>306.34</v>
      </c>
      <c r="C273" s="85">
        <v>44866.0</v>
      </c>
      <c r="D273" s="89" t="s">
        <v>1960</v>
      </c>
      <c r="E273" s="89" t="s">
        <v>1961</v>
      </c>
      <c r="F273" s="89" t="s">
        <v>1962</v>
      </c>
      <c r="G273" s="89" t="s">
        <v>114</v>
      </c>
      <c r="H273" s="89" t="s">
        <v>94</v>
      </c>
      <c r="I273" s="89" t="s">
        <v>94</v>
      </c>
      <c r="J273" s="89" t="s">
        <v>95</v>
      </c>
      <c r="K273" s="89"/>
      <c r="L273" s="89">
        <v>1.0</v>
      </c>
      <c r="M273" s="89"/>
      <c r="N273" s="89"/>
      <c r="O273" s="89"/>
      <c r="P273" s="89"/>
      <c r="Q273" s="89"/>
      <c r="R273" s="89"/>
      <c r="S273" s="89"/>
      <c r="T273" s="89"/>
      <c r="U273" s="89"/>
      <c r="V273" s="89"/>
      <c r="W273" s="469"/>
      <c r="X273" s="469"/>
      <c r="Y273" s="469"/>
      <c r="Z273" s="469"/>
      <c r="AA273" s="469"/>
      <c r="AB273" s="469"/>
      <c r="AC273" s="469"/>
      <c r="AD273" s="469"/>
      <c r="AE273" s="469"/>
      <c r="AF273" s="469"/>
      <c r="AG273" s="469"/>
      <c r="AH273" s="469"/>
      <c r="AI273" s="469"/>
      <c r="AJ273" s="469"/>
      <c r="AK273" s="469"/>
      <c r="AL273" s="469"/>
      <c r="AM273" s="465"/>
      <c r="AN273" s="465"/>
      <c r="AO273" s="465"/>
    </row>
    <row r="274">
      <c r="A274" s="85">
        <v>44946.0</v>
      </c>
      <c r="B274" s="86">
        <v>312.85</v>
      </c>
      <c r="C274" s="85">
        <v>44863.0</v>
      </c>
      <c r="D274" s="89" t="s">
        <v>1966</v>
      </c>
      <c r="E274" s="89" t="s">
        <v>1967</v>
      </c>
      <c r="F274" s="89" t="s">
        <v>1968</v>
      </c>
      <c r="G274" s="89" t="s">
        <v>114</v>
      </c>
      <c r="H274" s="89" t="s">
        <v>94</v>
      </c>
      <c r="I274" s="89" t="s">
        <v>94</v>
      </c>
      <c r="J274" s="89" t="s">
        <v>95</v>
      </c>
      <c r="K274" s="89"/>
      <c r="L274" s="89">
        <v>1.0</v>
      </c>
      <c r="M274" s="89"/>
      <c r="N274" s="89"/>
      <c r="O274" s="89"/>
      <c r="P274" s="89">
        <v>1.0</v>
      </c>
      <c r="Q274" s="89"/>
      <c r="R274" s="89"/>
      <c r="S274" s="89"/>
      <c r="T274" s="89"/>
      <c r="U274" s="89"/>
      <c r="V274" s="89"/>
      <c r="W274" s="469"/>
      <c r="X274" s="469"/>
      <c r="Y274" s="469"/>
      <c r="Z274" s="469"/>
      <c r="AA274" s="469"/>
      <c r="AB274" s="469"/>
      <c r="AC274" s="469"/>
      <c r="AD274" s="469"/>
      <c r="AE274" s="469"/>
      <c r="AF274" s="469"/>
      <c r="AG274" s="469"/>
      <c r="AH274" s="469"/>
      <c r="AI274" s="469"/>
      <c r="AJ274" s="469"/>
      <c r="AK274" s="469"/>
      <c r="AL274" s="469"/>
      <c r="AM274" s="465"/>
      <c r="AN274" s="465"/>
      <c r="AO274" s="465"/>
    </row>
    <row r="275">
      <c r="A275" s="85">
        <v>44946.0</v>
      </c>
      <c r="B275" s="86">
        <v>206.0</v>
      </c>
      <c r="C275" s="85">
        <v>44424.0</v>
      </c>
      <c r="D275" s="89" t="s">
        <v>1972</v>
      </c>
      <c r="E275" s="89" t="s">
        <v>1973</v>
      </c>
      <c r="F275" s="89" t="s">
        <v>1974</v>
      </c>
      <c r="G275" s="89" t="s">
        <v>114</v>
      </c>
      <c r="H275" s="89" t="s">
        <v>161</v>
      </c>
      <c r="I275" s="89" t="s">
        <v>125</v>
      </c>
      <c r="J275" s="89" t="s">
        <v>95</v>
      </c>
      <c r="K275" s="89">
        <v>1.0</v>
      </c>
      <c r="L275" s="89"/>
      <c r="M275" s="89"/>
      <c r="N275" s="89"/>
      <c r="O275" s="89"/>
      <c r="P275" s="89"/>
      <c r="Q275" s="89"/>
      <c r="R275" s="89"/>
      <c r="S275" s="89"/>
      <c r="T275" s="89"/>
      <c r="U275" s="89"/>
      <c r="V275" s="89"/>
      <c r="W275" s="469"/>
      <c r="X275" s="469"/>
      <c r="Y275" s="469"/>
      <c r="Z275" s="469"/>
      <c r="AA275" s="469"/>
      <c r="AB275" s="469"/>
      <c r="AC275" s="469"/>
      <c r="AD275" s="469"/>
      <c r="AE275" s="469"/>
      <c r="AF275" s="469"/>
      <c r="AG275" s="469"/>
      <c r="AH275" s="469"/>
      <c r="AI275" s="469"/>
      <c r="AJ275" s="469"/>
      <c r="AK275" s="469"/>
      <c r="AL275" s="469"/>
      <c r="AM275" s="465"/>
      <c r="AN275" s="465"/>
      <c r="AO275" s="465"/>
    </row>
    <row r="276">
      <c r="A276" s="85">
        <v>44946.0</v>
      </c>
      <c r="B276" s="86">
        <v>347.68</v>
      </c>
      <c r="C276" s="85">
        <v>44884.0</v>
      </c>
      <c r="D276" s="89" t="s">
        <v>1978</v>
      </c>
      <c r="E276" s="89" t="s">
        <v>1979</v>
      </c>
      <c r="F276" s="89" t="s">
        <v>1980</v>
      </c>
      <c r="G276" s="89" t="s">
        <v>114</v>
      </c>
      <c r="H276" s="89" t="s">
        <v>94</v>
      </c>
      <c r="I276" s="89" t="s">
        <v>94</v>
      </c>
      <c r="J276" s="89" t="s">
        <v>95</v>
      </c>
      <c r="K276" s="89">
        <v>1.0</v>
      </c>
      <c r="L276" s="89"/>
      <c r="M276" s="89">
        <v>1.0</v>
      </c>
      <c r="N276" s="89"/>
      <c r="O276" s="89"/>
      <c r="P276" s="89"/>
      <c r="Q276" s="89"/>
      <c r="R276" s="89"/>
      <c r="S276" s="89"/>
      <c r="T276" s="89"/>
      <c r="U276" s="89"/>
      <c r="V276" s="89"/>
      <c r="W276" s="469"/>
      <c r="X276" s="469"/>
      <c r="Y276" s="469"/>
      <c r="Z276" s="469"/>
      <c r="AA276" s="469"/>
      <c r="AB276" s="469"/>
      <c r="AC276" s="469"/>
      <c r="AD276" s="469"/>
      <c r="AE276" s="469"/>
      <c r="AF276" s="469"/>
      <c r="AG276" s="469"/>
      <c r="AH276" s="469"/>
      <c r="AI276" s="469"/>
      <c r="AJ276" s="469"/>
      <c r="AK276" s="469"/>
      <c r="AL276" s="469"/>
      <c r="AM276" s="465"/>
      <c r="AN276" s="465"/>
      <c r="AO276" s="465"/>
    </row>
    <row r="277">
      <c r="A277" s="85">
        <v>44946.0</v>
      </c>
      <c r="B277" s="86">
        <v>277.0</v>
      </c>
      <c r="C277" s="85">
        <v>44359.0</v>
      </c>
      <c r="D277" s="89" t="s">
        <v>1981</v>
      </c>
      <c r="E277" s="89" t="s">
        <v>1982</v>
      </c>
      <c r="F277" s="89" t="s">
        <v>1984</v>
      </c>
      <c r="G277" s="89" t="s">
        <v>114</v>
      </c>
      <c r="H277" s="89" t="s">
        <v>94</v>
      </c>
      <c r="I277" s="89" t="s">
        <v>135</v>
      </c>
      <c r="J277" s="89" t="s">
        <v>328</v>
      </c>
      <c r="K277" s="89"/>
      <c r="L277" s="89">
        <v>1.0</v>
      </c>
      <c r="M277" s="89"/>
      <c r="N277" s="89"/>
      <c r="O277" s="89"/>
      <c r="P277" s="89">
        <v>1.0</v>
      </c>
      <c r="Q277" s="89"/>
      <c r="R277" s="89"/>
      <c r="S277" s="89"/>
      <c r="T277" s="89"/>
      <c r="U277" s="89"/>
      <c r="V277" s="89"/>
      <c r="W277" s="469"/>
      <c r="X277" s="469"/>
      <c r="Y277" s="469"/>
      <c r="Z277" s="469"/>
      <c r="AA277" s="469"/>
      <c r="AB277" s="469"/>
      <c r="AC277" s="469"/>
      <c r="AD277" s="469"/>
      <c r="AE277" s="469"/>
      <c r="AF277" s="469"/>
      <c r="AG277" s="469"/>
      <c r="AH277" s="469"/>
      <c r="AI277" s="469"/>
      <c r="AJ277" s="469"/>
      <c r="AK277" s="469"/>
      <c r="AL277" s="469"/>
      <c r="AM277" s="465"/>
      <c r="AN277" s="465"/>
      <c r="AO277" s="465"/>
    </row>
    <row r="278">
      <c r="A278" s="85">
        <v>44946.0</v>
      </c>
      <c r="B278" s="86">
        <v>299.0</v>
      </c>
      <c r="C278" s="85">
        <v>44874.0</v>
      </c>
      <c r="D278" s="89" t="s">
        <v>1987</v>
      </c>
      <c r="E278" s="89" t="s">
        <v>1988</v>
      </c>
      <c r="F278" s="89" t="s">
        <v>1989</v>
      </c>
      <c r="G278" s="89" t="s">
        <v>114</v>
      </c>
      <c r="H278" s="89" t="s">
        <v>94</v>
      </c>
      <c r="I278" s="89" t="s">
        <v>94</v>
      </c>
      <c r="J278" s="89" t="s">
        <v>95</v>
      </c>
      <c r="K278" s="89"/>
      <c r="L278" s="89">
        <v>1.0</v>
      </c>
      <c r="M278" s="89"/>
      <c r="N278" s="89"/>
      <c r="O278" s="89"/>
      <c r="P278" s="89"/>
      <c r="Q278" s="89"/>
      <c r="R278" s="89"/>
      <c r="S278" s="89"/>
      <c r="T278" s="89"/>
      <c r="U278" s="89"/>
      <c r="V278" s="89"/>
      <c r="W278" s="469"/>
      <c r="X278" s="469"/>
      <c r="Y278" s="469"/>
      <c r="Z278" s="469"/>
      <c r="AA278" s="469"/>
      <c r="AB278" s="469"/>
      <c r="AC278" s="469"/>
      <c r="AD278" s="469"/>
      <c r="AE278" s="469"/>
      <c r="AF278" s="469"/>
      <c r="AG278" s="469"/>
      <c r="AH278" s="469"/>
      <c r="AI278" s="469"/>
      <c r="AJ278" s="469"/>
      <c r="AK278" s="469"/>
      <c r="AL278" s="469"/>
      <c r="AM278" s="465"/>
      <c r="AN278" s="465"/>
      <c r="AO278" s="465"/>
    </row>
    <row r="279">
      <c r="A279" s="85">
        <v>44946.0</v>
      </c>
      <c r="B279" s="86">
        <v>277.0</v>
      </c>
      <c r="C279" s="85">
        <v>44870.0</v>
      </c>
      <c r="D279" s="89" t="s">
        <v>1993</v>
      </c>
      <c r="E279" s="89" t="s">
        <v>1994</v>
      </c>
      <c r="F279" s="89" t="s">
        <v>1995</v>
      </c>
      <c r="G279" s="89" t="s">
        <v>114</v>
      </c>
      <c r="H279" s="89" t="s">
        <v>94</v>
      </c>
      <c r="I279" s="89" t="s">
        <v>94</v>
      </c>
      <c r="J279" s="89" t="s">
        <v>328</v>
      </c>
      <c r="K279" s="89">
        <v>1.0</v>
      </c>
      <c r="L279" s="89"/>
      <c r="M279" s="89"/>
      <c r="N279" s="89">
        <v>2.0</v>
      </c>
      <c r="O279" s="89"/>
      <c r="P279" s="89">
        <v>3.0</v>
      </c>
      <c r="Q279" s="89"/>
      <c r="R279" s="89"/>
      <c r="S279" s="89"/>
      <c r="T279" s="89"/>
      <c r="U279" s="89"/>
      <c r="V279" s="89"/>
      <c r="W279" s="469"/>
      <c r="X279" s="469"/>
      <c r="Y279" s="469"/>
      <c r="Z279" s="469"/>
      <c r="AA279" s="469"/>
      <c r="AB279" s="469"/>
      <c r="AC279" s="469"/>
      <c r="AD279" s="469"/>
      <c r="AE279" s="469"/>
      <c r="AF279" s="469"/>
      <c r="AG279" s="469"/>
      <c r="AH279" s="469"/>
      <c r="AI279" s="469"/>
      <c r="AJ279" s="469"/>
      <c r="AK279" s="469"/>
      <c r="AL279" s="469"/>
      <c r="AM279" s="465"/>
      <c r="AN279" s="465"/>
      <c r="AO279" s="465"/>
    </row>
    <row r="280">
      <c r="A280" s="85">
        <v>44946.0</v>
      </c>
      <c r="B280" s="86">
        <v>206.0</v>
      </c>
      <c r="C280" s="85">
        <v>44357.0</v>
      </c>
      <c r="D280" s="89" t="s">
        <v>1996</v>
      </c>
      <c r="E280" s="89" t="s">
        <v>1997</v>
      </c>
      <c r="F280" s="89" t="s">
        <v>1998</v>
      </c>
      <c r="G280" s="89" t="s">
        <v>114</v>
      </c>
      <c r="H280" s="89" t="s">
        <v>94</v>
      </c>
      <c r="I280" s="89" t="s">
        <v>125</v>
      </c>
      <c r="J280" s="89" t="s">
        <v>95</v>
      </c>
      <c r="K280" s="89">
        <v>1.0</v>
      </c>
      <c r="L280" s="89"/>
      <c r="M280" s="89"/>
      <c r="N280" s="89"/>
      <c r="O280" s="89"/>
      <c r="P280" s="89"/>
      <c r="Q280" s="89"/>
      <c r="R280" s="89"/>
      <c r="S280" s="89"/>
      <c r="T280" s="89"/>
      <c r="U280" s="89"/>
      <c r="V280" s="89"/>
      <c r="W280" s="469"/>
      <c r="X280" s="469"/>
      <c r="Y280" s="469"/>
      <c r="Z280" s="469"/>
      <c r="AA280" s="469"/>
      <c r="AB280" s="469"/>
      <c r="AC280" s="469"/>
      <c r="AD280" s="469"/>
      <c r="AE280" s="469"/>
      <c r="AF280" s="469"/>
      <c r="AG280" s="469"/>
      <c r="AH280" s="469"/>
      <c r="AI280" s="469"/>
      <c r="AJ280" s="469"/>
      <c r="AK280" s="469"/>
      <c r="AL280" s="469"/>
      <c r="AM280" s="465"/>
      <c r="AN280" s="465"/>
      <c r="AO280" s="465"/>
    </row>
    <row r="281">
      <c r="A281" s="85">
        <v>44946.0</v>
      </c>
      <c r="B281" s="86">
        <v>317.69</v>
      </c>
      <c r="C281" s="85">
        <v>44872.0</v>
      </c>
      <c r="D281" s="89" t="s">
        <v>2002</v>
      </c>
      <c r="E281" s="89" t="s">
        <v>2003</v>
      </c>
      <c r="F281" s="89" t="s">
        <v>2004</v>
      </c>
      <c r="G281" s="89" t="s">
        <v>114</v>
      </c>
      <c r="H281" s="89" t="s">
        <v>94</v>
      </c>
      <c r="I281" s="89" t="s">
        <v>94</v>
      </c>
      <c r="J281" s="89" t="s">
        <v>95</v>
      </c>
      <c r="K281" s="89"/>
      <c r="L281" s="89">
        <v>1.0</v>
      </c>
      <c r="M281" s="89"/>
      <c r="N281" s="89"/>
      <c r="O281" s="89"/>
      <c r="P281" s="89"/>
      <c r="Q281" s="89"/>
      <c r="R281" s="89"/>
      <c r="S281" s="89"/>
      <c r="T281" s="89"/>
      <c r="U281" s="89"/>
      <c r="V281" s="89"/>
      <c r="W281" s="469"/>
      <c r="X281" s="469"/>
      <c r="Y281" s="469"/>
      <c r="Z281" s="469"/>
      <c r="AA281" s="469"/>
      <c r="AB281" s="469"/>
      <c r="AC281" s="469"/>
      <c r="AD281" s="469"/>
      <c r="AE281" s="469"/>
      <c r="AF281" s="469"/>
      <c r="AG281" s="469"/>
      <c r="AH281" s="469"/>
      <c r="AI281" s="469"/>
      <c r="AJ281" s="469"/>
      <c r="AK281" s="469"/>
      <c r="AL281" s="469"/>
      <c r="AM281" s="465"/>
      <c r="AN281" s="465"/>
      <c r="AO281" s="465"/>
    </row>
    <row r="282">
      <c r="A282" s="85">
        <v>44946.0</v>
      </c>
      <c r="B282" s="86">
        <v>315.14</v>
      </c>
      <c r="C282" s="85">
        <v>44873.0</v>
      </c>
      <c r="D282" s="89" t="s">
        <v>2008</v>
      </c>
      <c r="E282" s="89" t="s">
        <v>2009</v>
      </c>
      <c r="F282" s="89" t="s">
        <v>2010</v>
      </c>
      <c r="G282" s="89" t="s">
        <v>114</v>
      </c>
      <c r="H282" s="89" t="s">
        <v>94</v>
      </c>
      <c r="I282" s="89" t="s">
        <v>94</v>
      </c>
      <c r="J282" s="89" t="s">
        <v>95</v>
      </c>
      <c r="K282" s="89"/>
      <c r="L282" s="89">
        <v>1.0</v>
      </c>
      <c r="M282" s="89"/>
      <c r="N282" s="89"/>
      <c r="O282" s="89"/>
      <c r="P282" s="89"/>
      <c r="Q282" s="89"/>
      <c r="R282" s="89"/>
      <c r="S282" s="89"/>
      <c r="T282" s="89"/>
      <c r="U282" s="89"/>
      <c r="V282" s="89"/>
      <c r="W282" s="469"/>
      <c r="X282" s="469"/>
      <c r="Y282" s="469"/>
      <c r="Z282" s="469"/>
      <c r="AA282" s="469"/>
      <c r="AB282" s="469"/>
      <c r="AC282" s="469"/>
      <c r="AD282" s="469"/>
      <c r="AE282" s="469"/>
      <c r="AF282" s="469"/>
      <c r="AG282" s="469"/>
      <c r="AH282" s="469"/>
      <c r="AI282" s="469"/>
      <c r="AJ282" s="469"/>
      <c r="AK282" s="469"/>
      <c r="AL282" s="469"/>
      <c r="AM282" s="465"/>
      <c r="AN282" s="465"/>
      <c r="AO282" s="465"/>
    </row>
    <row r="283">
      <c r="A283" s="85">
        <v>44946.0</v>
      </c>
      <c r="B283" s="86">
        <v>36.81</v>
      </c>
      <c r="C283" s="85">
        <v>44881.0</v>
      </c>
      <c r="D283" s="89" t="s">
        <v>2011</v>
      </c>
      <c r="E283" s="89" t="s">
        <v>2012</v>
      </c>
      <c r="F283" s="89" t="s">
        <v>2013</v>
      </c>
      <c r="G283" s="89" t="s">
        <v>114</v>
      </c>
      <c r="H283" s="89" t="s">
        <v>94</v>
      </c>
      <c r="I283" s="89" t="s">
        <v>94</v>
      </c>
      <c r="J283" s="89" t="s">
        <v>95</v>
      </c>
      <c r="K283" s="89"/>
      <c r="L283" s="89"/>
      <c r="M283" s="89"/>
      <c r="N283" s="89">
        <v>1.0</v>
      </c>
      <c r="O283" s="89"/>
      <c r="P283" s="89"/>
      <c r="Q283" s="89"/>
      <c r="R283" s="89"/>
      <c r="S283" s="89"/>
      <c r="T283" s="89"/>
      <c r="U283" s="89"/>
      <c r="V283" s="89"/>
      <c r="W283" s="469"/>
      <c r="X283" s="469"/>
      <c r="Y283" s="469"/>
      <c r="Z283" s="469"/>
      <c r="AA283" s="469"/>
      <c r="AB283" s="469"/>
      <c r="AC283" s="469"/>
      <c r="AD283" s="469"/>
      <c r="AE283" s="469"/>
      <c r="AF283" s="469"/>
      <c r="AG283" s="469"/>
      <c r="AH283" s="469"/>
      <c r="AI283" s="469"/>
      <c r="AJ283" s="469"/>
      <c r="AK283" s="469"/>
      <c r="AL283" s="469"/>
      <c r="AM283" s="465"/>
      <c r="AN283" s="465"/>
      <c r="AO283" s="465"/>
    </row>
    <row r="284">
      <c r="A284" s="85">
        <v>44946.0</v>
      </c>
      <c r="B284" s="86">
        <v>331.1</v>
      </c>
      <c r="C284" s="85">
        <v>44532.0</v>
      </c>
      <c r="D284" s="89" t="s">
        <v>2017</v>
      </c>
      <c r="E284" s="89" t="s">
        <v>2018</v>
      </c>
      <c r="F284" s="89" t="s">
        <v>2019</v>
      </c>
      <c r="G284" s="89" t="s">
        <v>114</v>
      </c>
      <c r="H284" s="89" t="s">
        <v>94</v>
      </c>
      <c r="I284" s="89" t="s">
        <v>94</v>
      </c>
      <c r="J284" s="89" t="s">
        <v>95</v>
      </c>
      <c r="K284" s="89"/>
      <c r="L284" s="89">
        <v>1.0</v>
      </c>
      <c r="M284" s="89"/>
      <c r="N284" s="89"/>
      <c r="O284" s="89">
        <v>1.0</v>
      </c>
      <c r="P284" s="89">
        <v>1.0</v>
      </c>
      <c r="Q284" s="89"/>
      <c r="R284" s="89"/>
      <c r="S284" s="89"/>
      <c r="T284" s="89"/>
      <c r="U284" s="89"/>
      <c r="V284" s="89"/>
      <c r="W284" s="469"/>
      <c r="X284" s="469"/>
      <c r="Y284" s="469"/>
      <c r="Z284" s="469"/>
      <c r="AA284" s="469"/>
      <c r="AB284" s="469"/>
      <c r="AC284" s="469"/>
      <c r="AD284" s="469"/>
      <c r="AE284" s="469"/>
      <c r="AF284" s="469"/>
      <c r="AG284" s="469"/>
      <c r="AH284" s="469"/>
      <c r="AI284" s="469"/>
      <c r="AJ284" s="469"/>
      <c r="AK284" s="469"/>
      <c r="AL284" s="469"/>
      <c r="AM284" s="465"/>
      <c r="AN284" s="465"/>
      <c r="AO284" s="465"/>
    </row>
    <row r="285">
      <c r="A285" s="85">
        <v>44946.0</v>
      </c>
      <c r="B285" s="86">
        <v>279.0</v>
      </c>
      <c r="C285" s="85">
        <v>44673.0</v>
      </c>
      <c r="D285" s="89" t="s">
        <v>2023</v>
      </c>
      <c r="E285" s="89" t="s">
        <v>2024</v>
      </c>
      <c r="F285" s="89" t="s">
        <v>2025</v>
      </c>
      <c r="G285" s="89" t="s">
        <v>114</v>
      </c>
      <c r="H285" s="89" t="s">
        <v>94</v>
      </c>
      <c r="I285" s="89" t="s">
        <v>125</v>
      </c>
      <c r="J285" s="89" t="s">
        <v>95</v>
      </c>
      <c r="K285" s="89"/>
      <c r="L285" s="89">
        <v>1.0</v>
      </c>
      <c r="M285" s="89"/>
      <c r="N285" s="89"/>
      <c r="O285" s="89"/>
      <c r="P285" s="89"/>
      <c r="Q285" s="89"/>
      <c r="R285" s="89"/>
      <c r="S285" s="89"/>
      <c r="T285" s="89"/>
      <c r="U285" s="89"/>
      <c r="V285" s="89"/>
      <c r="W285" s="469"/>
      <c r="X285" s="469"/>
      <c r="Y285" s="469"/>
      <c r="Z285" s="469"/>
      <c r="AA285" s="469"/>
      <c r="AB285" s="469"/>
      <c r="AC285" s="469"/>
      <c r="AD285" s="469"/>
      <c r="AE285" s="469"/>
      <c r="AF285" s="469"/>
      <c r="AG285" s="469"/>
      <c r="AH285" s="469"/>
      <c r="AI285" s="469"/>
      <c r="AJ285" s="469"/>
      <c r="AK285" s="469"/>
      <c r="AL285" s="469"/>
      <c r="AM285" s="465"/>
      <c r="AN285" s="465"/>
      <c r="AO285" s="465"/>
    </row>
    <row r="286">
      <c r="A286" s="85">
        <v>44946.0</v>
      </c>
      <c r="B286" s="86">
        <v>245.03</v>
      </c>
      <c r="C286" s="85">
        <v>44877.0</v>
      </c>
      <c r="D286" s="89" t="s">
        <v>2029</v>
      </c>
      <c r="E286" s="89" t="s">
        <v>2030</v>
      </c>
      <c r="F286" s="89" t="s">
        <v>2031</v>
      </c>
      <c r="G286" s="89" t="s">
        <v>114</v>
      </c>
      <c r="H286" s="89" t="s">
        <v>94</v>
      </c>
      <c r="I286" s="89" t="s">
        <v>94</v>
      </c>
      <c r="J286" s="89" t="s">
        <v>95</v>
      </c>
      <c r="K286" s="89">
        <v>1.0</v>
      </c>
      <c r="L286" s="89"/>
      <c r="M286" s="89"/>
      <c r="N286" s="89"/>
      <c r="O286" s="89"/>
      <c r="P286" s="89"/>
      <c r="Q286" s="89"/>
      <c r="R286" s="89"/>
      <c r="S286" s="89"/>
      <c r="T286" s="89"/>
      <c r="U286" s="89"/>
      <c r="V286" s="89"/>
      <c r="W286" s="469"/>
      <c r="X286" s="469"/>
      <c r="Y286" s="469"/>
      <c r="Z286" s="469"/>
      <c r="AA286" s="469"/>
      <c r="AB286" s="469"/>
      <c r="AC286" s="469"/>
      <c r="AD286" s="469"/>
      <c r="AE286" s="469"/>
      <c r="AF286" s="469"/>
      <c r="AG286" s="469"/>
      <c r="AH286" s="469"/>
      <c r="AI286" s="469"/>
      <c r="AJ286" s="469"/>
      <c r="AK286" s="469"/>
      <c r="AL286" s="469"/>
      <c r="AM286" s="465"/>
      <c r="AN286" s="465"/>
      <c r="AO286" s="465"/>
    </row>
    <row r="287">
      <c r="A287" s="85">
        <v>44946.0</v>
      </c>
      <c r="B287" s="86">
        <v>245.03</v>
      </c>
      <c r="C287" s="85">
        <v>44890.0</v>
      </c>
      <c r="D287" s="89" t="s">
        <v>2032</v>
      </c>
      <c r="E287" s="89" t="s">
        <v>2033</v>
      </c>
      <c r="F287" s="89" t="s">
        <v>2034</v>
      </c>
      <c r="G287" s="89" t="s">
        <v>114</v>
      </c>
      <c r="H287" s="89" t="s">
        <v>94</v>
      </c>
      <c r="I287" s="89" t="s">
        <v>94</v>
      </c>
      <c r="J287" s="89" t="s">
        <v>95</v>
      </c>
      <c r="K287" s="89">
        <v>1.0</v>
      </c>
      <c r="L287" s="89"/>
      <c r="M287" s="89"/>
      <c r="N287" s="89"/>
      <c r="O287" s="89"/>
      <c r="P287" s="89">
        <v>1.0</v>
      </c>
      <c r="Q287" s="89"/>
      <c r="R287" s="89"/>
      <c r="S287" s="89"/>
      <c r="T287" s="89"/>
      <c r="U287" s="89"/>
      <c r="V287" s="89"/>
      <c r="W287" s="469"/>
      <c r="X287" s="469"/>
      <c r="Y287" s="469"/>
      <c r="Z287" s="469"/>
      <c r="AA287" s="469"/>
      <c r="AB287" s="469"/>
      <c r="AC287" s="469"/>
      <c r="AD287" s="469"/>
      <c r="AE287" s="469"/>
      <c r="AF287" s="469"/>
      <c r="AG287" s="469"/>
      <c r="AH287" s="469"/>
      <c r="AI287" s="469"/>
      <c r="AJ287" s="469"/>
      <c r="AK287" s="469"/>
      <c r="AL287" s="469"/>
      <c r="AM287" s="465"/>
      <c r="AN287" s="465"/>
      <c r="AO287" s="465"/>
    </row>
    <row r="288">
      <c r="A288" s="85">
        <v>44946.0</v>
      </c>
      <c r="B288" s="86">
        <v>307.01</v>
      </c>
      <c r="C288" s="85">
        <v>44688.0</v>
      </c>
      <c r="D288" s="89" t="s">
        <v>2038</v>
      </c>
      <c r="E288" s="89" t="s">
        <v>2039</v>
      </c>
      <c r="F288" s="89" t="s">
        <v>2040</v>
      </c>
      <c r="G288" s="89" t="s">
        <v>114</v>
      </c>
      <c r="H288" s="89" t="s">
        <v>94</v>
      </c>
      <c r="I288" s="89" t="s">
        <v>94</v>
      </c>
      <c r="J288" s="89" t="s">
        <v>95</v>
      </c>
      <c r="K288" s="89"/>
      <c r="L288" s="89">
        <v>1.0</v>
      </c>
      <c r="M288" s="89"/>
      <c r="N288" s="89"/>
      <c r="O288" s="89"/>
      <c r="P288" s="89">
        <v>1.0</v>
      </c>
      <c r="Q288" s="89"/>
      <c r="R288" s="89"/>
      <c r="S288" s="89"/>
      <c r="T288" s="89"/>
      <c r="U288" s="89"/>
      <c r="V288" s="89"/>
      <c r="W288" s="469"/>
      <c r="X288" s="469"/>
      <c r="Y288" s="469"/>
      <c r="Z288" s="469"/>
      <c r="AA288" s="469"/>
      <c r="AB288" s="469"/>
      <c r="AC288" s="469"/>
      <c r="AD288" s="469"/>
      <c r="AE288" s="469"/>
      <c r="AF288" s="469"/>
      <c r="AG288" s="469"/>
      <c r="AH288" s="469"/>
      <c r="AI288" s="469"/>
      <c r="AJ288" s="469"/>
      <c r="AK288" s="469"/>
      <c r="AL288" s="469"/>
      <c r="AM288" s="465"/>
      <c r="AN288" s="465"/>
      <c r="AO288" s="465"/>
    </row>
    <row r="289">
      <c r="A289" s="85">
        <v>44946.0</v>
      </c>
      <c r="B289" s="86">
        <v>310.5</v>
      </c>
      <c r="C289" s="85">
        <v>44386.0</v>
      </c>
      <c r="D289" s="89" t="s">
        <v>2044</v>
      </c>
      <c r="E289" s="89" t="s">
        <v>2045</v>
      </c>
      <c r="F289" s="89" t="s">
        <v>2046</v>
      </c>
      <c r="G289" s="89" t="s">
        <v>114</v>
      </c>
      <c r="H289" s="89" t="s">
        <v>94</v>
      </c>
      <c r="I289" s="89" t="s">
        <v>94</v>
      </c>
      <c r="J289" s="89" t="s">
        <v>95</v>
      </c>
      <c r="K289" s="89"/>
      <c r="L289" s="89">
        <v>1.0</v>
      </c>
      <c r="M289" s="89">
        <v>1.0</v>
      </c>
      <c r="N289" s="89">
        <v>1.0</v>
      </c>
      <c r="O289" s="89"/>
      <c r="P289" s="89"/>
      <c r="Q289" s="89"/>
      <c r="R289" s="89"/>
      <c r="S289" s="89"/>
      <c r="T289" s="89"/>
      <c r="U289" s="89"/>
      <c r="V289" s="89"/>
      <c r="W289" s="469"/>
      <c r="X289" s="469"/>
      <c r="Y289" s="469"/>
      <c r="Z289" s="469"/>
      <c r="AA289" s="469"/>
      <c r="AB289" s="469"/>
      <c r="AC289" s="469"/>
      <c r="AD289" s="469"/>
      <c r="AE289" s="469"/>
      <c r="AF289" s="469"/>
      <c r="AG289" s="469"/>
      <c r="AH289" s="469"/>
      <c r="AI289" s="469"/>
      <c r="AJ289" s="469"/>
      <c r="AK289" s="469"/>
      <c r="AL289" s="469"/>
      <c r="AM289" s="465"/>
      <c r="AN289" s="465"/>
      <c r="AO289" s="465"/>
    </row>
    <row r="290">
      <c r="A290" s="85">
        <v>44946.0</v>
      </c>
      <c r="B290" s="86">
        <v>217.91</v>
      </c>
      <c r="C290" s="85">
        <v>44894.0</v>
      </c>
      <c r="D290" s="89" t="s">
        <v>2048</v>
      </c>
      <c r="E290" s="86" t="s">
        <v>2049</v>
      </c>
      <c r="F290" s="89" t="s">
        <v>2051</v>
      </c>
      <c r="G290" s="89" t="s">
        <v>114</v>
      </c>
      <c r="H290" s="89" t="s">
        <v>94</v>
      </c>
      <c r="I290" s="89" t="s">
        <v>94</v>
      </c>
      <c r="J290" s="89" t="s">
        <v>95</v>
      </c>
      <c r="K290" s="89">
        <v>1.0</v>
      </c>
      <c r="L290" s="89"/>
      <c r="M290" s="89"/>
      <c r="N290" s="89"/>
      <c r="O290" s="89"/>
      <c r="P290" s="89">
        <v>1.0</v>
      </c>
      <c r="Q290" s="89"/>
      <c r="R290" s="89"/>
      <c r="S290" s="89"/>
      <c r="T290" s="89"/>
      <c r="U290" s="89"/>
      <c r="V290" s="89"/>
      <c r="W290" s="469"/>
      <c r="X290" s="469"/>
      <c r="Y290" s="469"/>
      <c r="Z290" s="469"/>
      <c r="AA290" s="469"/>
      <c r="AB290" s="469"/>
      <c r="AC290" s="469"/>
      <c r="AD290" s="469"/>
      <c r="AE290" s="469"/>
      <c r="AF290" s="469"/>
      <c r="AG290" s="469"/>
      <c r="AH290" s="469"/>
      <c r="AI290" s="469"/>
      <c r="AJ290" s="469"/>
      <c r="AK290" s="469"/>
      <c r="AL290" s="469"/>
      <c r="AM290" s="465"/>
      <c r="AN290" s="465"/>
      <c r="AO290" s="465"/>
    </row>
    <row r="291">
      <c r="A291" s="85">
        <v>44946.0</v>
      </c>
      <c r="B291" s="86">
        <v>205.78</v>
      </c>
      <c r="C291" s="85">
        <v>44850.0</v>
      </c>
      <c r="D291" s="89" t="s">
        <v>2053</v>
      </c>
      <c r="E291" s="89" t="s">
        <v>2054</v>
      </c>
      <c r="F291" s="89" t="s">
        <v>2055</v>
      </c>
      <c r="G291" s="89" t="s">
        <v>114</v>
      </c>
      <c r="H291" s="89" t="s">
        <v>94</v>
      </c>
      <c r="I291" s="89" t="s">
        <v>94</v>
      </c>
      <c r="J291" s="89" t="s">
        <v>95</v>
      </c>
      <c r="K291" s="89">
        <v>1.0</v>
      </c>
      <c r="L291" s="89"/>
      <c r="M291" s="89">
        <v>1.0</v>
      </c>
      <c r="N291" s="89"/>
      <c r="O291" s="89"/>
      <c r="P291" s="89">
        <v>1.0</v>
      </c>
      <c r="Q291" s="89"/>
      <c r="R291" s="89"/>
      <c r="S291" s="89"/>
      <c r="T291" s="89"/>
      <c r="U291" s="89"/>
      <c r="V291" s="89"/>
      <c r="W291" s="469"/>
      <c r="X291" s="469"/>
      <c r="Y291" s="469"/>
      <c r="Z291" s="469"/>
      <c r="AA291" s="469"/>
      <c r="AB291" s="469"/>
      <c r="AC291" s="469"/>
      <c r="AD291" s="469"/>
      <c r="AE291" s="469"/>
      <c r="AF291" s="469"/>
      <c r="AG291" s="469"/>
      <c r="AH291" s="469"/>
      <c r="AI291" s="469"/>
      <c r="AJ291" s="469"/>
      <c r="AK291" s="469"/>
      <c r="AL291" s="469"/>
      <c r="AM291" s="465"/>
      <c r="AN291" s="465"/>
      <c r="AO291" s="465"/>
    </row>
    <row r="292">
      <c r="A292" s="85">
        <v>44946.0</v>
      </c>
      <c r="B292" s="86">
        <v>269.06</v>
      </c>
      <c r="C292" s="85">
        <v>44895.0</v>
      </c>
      <c r="D292" s="89" t="s">
        <v>2059</v>
      </c>
      <c r="E292" s="89" t="s">
        <v>2060</v>
      </c>
      <c r="F292" s="89" t="s">
        <v>2061</v>
      </c>
      <c r="G292" s="89" t="s">
        <v>114</v>
      </c>
      <c r="H292" s="89" t="s">
        <v>94</v>
      </c>
      <c r="I292" s="89" t="s">
        <v>94</v>
      </c>
      <c r="J292" s="89" t="s">
        <v>95</v>
      </c>
      <c r="K292" s="89">
        <v>1.0</v>
      </c>
      <c r="L292" s="89"/>
      <c r="M292" s="89"/>
      <c r="N292" s="89">
        <v>1.0</v>
      </c>
      <c r="O292" s="89"/>
      <c r="P292" s="89">
        <v>1.0</v>
      </c>
      <c r="Q292" s="89"/>
      <c r="R292" s="89"/>
      <c r="S292" s="89"/>
      <c r="T292" s="89"/>
      <c r="U292" s="89"/>
      <c r="V292" s="89"/>
      <c r="W292" s="469"/>
      <c r="X292" s="469"/>
      <c r="Y292" s="469"/>
      <c r="Z292" s="469"/>
      <c r="AA292" s="469"/>
      <c r="AB292" s="469"/>
      <c r="AC292" s="469"/>
      <c r="AD292" s="469"/>
      <c r="AE292" s="469"/>
      <c r="AF292" s="469"/>
      <c r="AG292" s="469"/>
      <c r="AH292" s="469"/>
      <c r="AI292" s="469"/>
      <c r="AJ292" s="469"/>
      <c r="AK292" s="469"/>
      <c r="AL292" s="469"/>
      <c r="AM292" s="465"/>
      <c r="AN292" s="465"/>
      <c r="AO292" s="465"/>
    </row>
    <row r="293">
      <c r="A293" s="85">
        <v>44946.0</v>
      </c>
      <c r="B293" s="86">
        <v>245.61</v>
      </c>
      <c r="C293" s="85">
        <v>44890.0</v>
      </c>
      <c r="D293" s="89" t="s">
        <v>2065</v>
      </c>
      <c r="E293" s="89" t="s">
        <v>2066</v>
      </c>
      <c r="F293" s="89" t="s">
        <v>2067</v>
      </c>
      <c r="G293" s="89" t="s">
        <v>114</v>
      </c>
      <c r="H293" s="89" t="s">
        <v>94</v>
      </c>
      <c r="I293" s="89" t="s">
        <v>94</v>
      </c>
      <c r="J293" s="89" t="s">
        <v>95</v>
      </c>
      <c r="K293" s="89">
        <v>1.0</v>
      </c>
      <c r="L293" s="89"/>
      <c r="M293" s="89"/>
      <c r="N293" s="89"/>
      <c r="O293" s="89"/>
      <c r="P293" s="89">
        <v>1.0</v>
      </c>
      <c r="Q293" s="89"/>
      <c r="R293" s="89"/>
      <c r="S293" s="89"/>
      <c r="T293" s="89"/>
      <c r="U293" s="89"/>
      <c r="V293" s="89"/>
      <c r="W293" s="469"/>
      <c r="X293" s="469"/>
      <c r="Y293" s="469"/>
      <c r="Z293" s="469"/>
      <c r="AA293" s="469"/>
      <c r="AB293" s="469"/>
      <c r="AC293" s="469"/>
      <c r="AD293" s="469"/>
      <c r="AE293" s="469"/>
      <c r="AF293" s="469"/>
      <c r="AG293" s="469"/>
      <c r="AH293" s="469"/>
      <c r="AI293" s="469"/>
      <c r="AJ293" s="469"/>
      <c r="AK293" s="469"/>
      <c r="AL293" s="469"/>
      <c r="AM293" s="465"/>
      <c r="AN293" s="465"/>
      <c r="AO293" s="465"/>
    </row>
    <row r="294">
      <c r="A294" s="85">
        <v>44946.0</v>
      </c>
      <c r="B294" s="86">
        <v>250.71</v>
      </c>
      <c r="C294" s="85">
        <v>44888.0</v>
      </c>
      <c r="D294" s="89" t="s">
        <v>2071</v>
      </c>
      <c r="E294" s="89" t="s">
        <v>2072</v>
      </c>
      <c r="F294" s="89" t="s">
        <v>2073</v>
      </c>
      <c r="G294" s="89" t="s">
        <v>114</v>
      </c>
      <c r="H294" s="89" t="s">
        <v>94</v>
      </c>
      <c r="I294" s="89" t="s">
        <v>94</v>
      </c>
      <c r="J294" s="89" t="s">
        <v>95</v>
      </c>
      <c r="K294" s="89">
        <v>1.0</v>
      </c>
      <c r="L294" s="89"/>
      <c r="M294" s="89"/>
      <c r="N294" s="89"/>
      <c r="O294" s="89"/>
      <c r="P294" s="89">
        <v>1.0</v>
      </c>
      <c r="Q294" s="89"/>
      <c r="R294" s="89"/>
      <c r="S294" s="89"/>
      <c r="T294" s="89"/>
      <c r="U294" s="89"/>
      <c r="V294" s="89"/>
      <c r="W294" s="469"/>
      <c r="X294" s="469"/>
      <c r="Y294" s="469"/>
      <c r="Z294" s="469"/>
      <c r="AA294" s="469"/>
      <c r="AB294" s="469"/>
      <c r="AC294" s="469"/>
      <c r="AD294" s="469"/>
      <c r="AE294" s="469"/>
      <c r="AF294" s="469"/>
      <c r="AG294" s="469"/>
      <c r="AH294" s="469"/>
      <c r="AI294" s="469"/>
      <c r="AJ294" s="469"/>
      <c r="AK294" s="469"/>
      <c r="AL294" s="469"/>
      <c r="AM294" s="465"/>
      <c r="AN294" s="465"/>
      <c r="AO294" s="465"/>
    </row>
    <row r="295">
      <c r="A295" s="85">
        <v>44946.0</v>
      </c>
      <c r="B295" s="86">
        <v>219.0</v>
      </c>
      <c r="C295" s="85">
        <v>44589.0</v>
      </c>
      <c r="D295" s="89" t="s">
        <v>2077</v>
      </c>
      <c r="E295" s="89" t="s">
        <v>2078</v>
      </c>
      <c r="F295" s="89" t="s">
        <v>2079</v>
      </c>
      <c r="G295" s="89" t="s">
        <v>114</v>
      </c>
      <c r="H295" s="89" t="s">
        <v>94</v>
      </c>
      <c r="I295" s="89" t="s">
        <v>125</v>
      </c>
      <c r="J295" s="89" t="s">
        <v>95</v>
      </c>
      <c r="K295" s="89">
        <v>1.0</v>
      </c>
      <c r="L295" s="89"/>
      <c r="M295" s="89"/>
      <c r="N295" s="89"/>
      <c r="O295" s="89"/>
      <c r="P295" s="89"/>
      <c r="Q295" s="89"/>
      <c r="R295" s="89"/>
      <c r="S295" s="89"/>
      <c r="T295" s="89"/>
      <c r="U295" s="89"/>
      <c r="V295" s="89"/>
      <c r="W295" s="469"/>
      <c r="X295" s="469"/>
      <c r="Y295" s="469"/>
      <c r="Z295" s="469"/>
      <c r="AA295" s="469"/>
      <c r="AB295" s="469"/>
      <c r="AC295" s="469"/>
      <c r="AD295" s="469"/>
      <c r="AE295" s="469"/>
      <c r="AF295" s="469"/>
      <c r="AG295" s="469"/>
      <c r="AH295" s="469"/>
      <c r="AI295" s="469"/>
      <c r="AJ295" s="469"/>
      <c r="AK295" s="469"/>
      <c r="AL295" s="469"/>
      <c r="AM295" s="465"/>
      <c r="AN295" s="465"/>
      <c r="AO295" s="465"/>
    </row>
    <row r="296">
      <c r="A296" s="85">
        <v>44946.0</v>
      </c>
      <c r="B296" s="86">
        <v>251.33</v>
      </c>
      <c r="C296" s="85">
        <v>44890.0</v>
      </c>
      <c r="D296" s="89" t="s">
        <v>2083</v>
      </c>
      <c r="E296" s="89" t="s">
        <v>2084</v>
      </c>
      <c r="F296" s="89" t="s">
        <v>2085</v>
      </c>
      <c r="G296" s="89" t="s">
        <v>114</v>
      </c>
      <c r="H296" s="89" t="s">
        <v>94</v>
      </c>
      <c r="I296" s="89" t="s">
        <v>94</v>
      </c>
      <c r="J296" s="89" t="s">
        <v>95</v>
      </c>
      <c r="K296" s="89">
        <v>1.0</v>
      </c>
      <c r="L296" s="89"/>
      <c r="M296" s="89"/>
      <c r="N296" s="89"/>
      <c r="O296" s="89"/>
      <c r="P296" s="89">
        <v>1.0</v>
      </c>
      <c r="Q296" s="89"/>
      <c r="R296" s="89"/>
      <c r="S296" s="89"/>
      <c r="T296" s="89"/>
      <c r="U296" s="89"/>
      <c r="V296" s="89"/>
      <c r="W296" s="469"/>
      <c r="X296" s="469"/>
      <c r="Y296" s="469"/>
      <c r="Z296" s="469"/>
      <c r="AA296" s="469"/>
      <c r="AB296" s="469"/>
      <c r="AC296" s="469"/>
      <c r="AD296" s="469"/>
      <c r="AE296" s="469"/>
      <c r="AF296" s="469"/>
      <c r="AG296" s="469"/>
      <c r="AH296" s="469"/>
      <c r="AI296" s="469"/>
      <c r="AJ296" s="469"/>
      <c r="AK296" s="469"/>
      <c r="AL296" s="469"/>
      <c r="AM296" s="465"/>
      <c r="AN296" s="465"/>
      <c r="AO296" s="465"/>
    </row>
    <row r="297">
      <c r="A297" s="85">
        <v>44946.0</v>
      </c>
      <c r="B297" s="86">
        <v>311.41</v>
      </c>
      <c r="C297" s="85">
        <v>44534.0</v>
      </c>
      <c r="D297" s="89" t="s">
        <v>2089</v>
      </c>
      <c r="E297" s="89" t="s">
        <v>2090</v>
      </c>
      <c r="F297" s="89" t="s">
        <v>2091</v>
      </c>
      <c r="G297" s="89" t="s">
        <v>114</v>
      </c>
      <c r="H297" s="89" t="s">
        <v>94</v>
      </c>
      <c r="I297" s="89" t="s">
        <v>125</v>
      </c>
      <c r="J297" s="89" t="s">
        <v>95</v>
      </c>
      <c r="K297" s="89"/>
      <c r="L297" s="89"/>
      <c r="M297" s="89"/>
      <c r="N297" s="89"/>
      <c r="O297" s="89"/>
      <c r="P297" s="89"/>
      <c r="Q297" s="89"/>
      <c r="R297" s="89"/>
      <c r="S297" s="89"/>
      <c r="T297" s="89"/>
      <c r="U297" s="89"/>
      <c r="V297" s="89"/>
      <c r="W297" s="469"/>
      <c r="X297" s="469"/>
      <c r="Y297" s="469"/>
      <c r="Z297" s="469"/>
      <c r="AA297" s="469"/>
      <c r="AB297" s="469"/>
      <c r="AC297" s="469"/>
      <c r="AD297" s="469"/>
      <c r="AE297" s="469"/>
      <c r="AF297" s="469"/>
      <c r="AG297" s="469"/>
      <c r="AH297" s="469"/>
      <c r="AI297" s="469"/>
      <c r="AJ297" s="469"/>
      <c r="AK297" s="469"/>
      <c r="AL297" s="469"/>
      <c r="AM297" s="465"/>
      <c r="AN297" s="465"/>
      <c r="AO297" s="465"/>
    </row>
    <row r="298">
      <c r="A298" s="85">
        <v>44946.0</v>
      </c>
      <c r="B298" s="86">
        <v>329.29</v>
      </c>
      <c r="C298" s="85">
        <v>44863.0</v>
      </c>
      <c r="D298" s="89" t="s">
        <v>2094</v>
      </c>
      <c r="E298" s="89" t="s">
        <v>2096</v>
      </c>
      <c r="F298" s="89" t="s">
        <v>2097</v>
      </c>
      <c r="G298" s="89" t="s">
        <v>114</v>
      </c>
      <c r="H298" s="89" t="s">
        <v>94</v>
      </c>
      <c r="I298" s="89" t="s">
        <v>955</v>
      </c>
      <c r="J298" s="89" t="s">
        <v>95</v>
      </c>
      <c r="K298" s="89">
        <v>1.0</v>
      </c>
      <c r="L298" s="89"/>
      <c r="M298" s="89">
        <v>1.0</v>
      </c>
      <c r="N298" s="89"/>
      <c r="O298" s="89"/>
      <c r="P298" s="89">
        <v>1.0</v>
      </c>
      <c r="Q298" s="89"/>
      <c r="R298" s="89"/>
      <c r="S298" s="89"/>
      <c r="T298" s="89"/>
      <c r="U298" s="89"/>
      <c r="V298" s="89"/>
      <c r="W298" s="469"/>
      <c r="X298" s="469"/>
      <c r="Y298" s="469"/>
      <c r="Z298" s="469"/>
      <c r="AA298" s="469"/>
      <c r="AB298" s="469"/>
      <c r="AC298" s="469"/>
      <c r="AD298" s="469"/>
      <c r="AE298" s="469"/>
      <c r="AF298" s="469"/>
      <c r="AG298" s="469"/>
      <c r="AH298" s="469"/>
      <c r="AI298" s="469"/>
      <c r="AJ298" s="469"/>
      <c r="AK298" s="469"/>
      <c r="AL298" s="469"/>
      <c r="AM298" s="465"/>
      <c r="AN298" s="465"/>
      <c r="AO298" s="465"/>
    </row>
    <row r="299">
      <c r="A299" s="85">
        <v>44947.0</v>
      </c>
      <c r="B299" s="86">
        <v>206.0</v>
      </c>
      <c r="C299" s="85">
        <v>44392.0</v>
      </c>
      <c r="D299" s="89" t="s">
        <v>2100</v>
      </c>
      <c r="E299" s="89" t="s">
        <v>2102</v>
      </c>
      <c r="F299" s="89" t="s">
        <v>2013</v>
      </c>
      <c r="G299" s="89" t="s">
        <v>114</v>
      </c>
      <c r="H299" s="89" t="s">
        <v>161</v>
      </c>
      <c r="I299" s="475" t="s">
        <v>125</v>
      </c>
      <c r="J299" s="89" t="s">
        <v>95</v>
      </c>
      <c r="K299" s="89">
        <v>1.0</v>
      </c>
      <c r="L299" s="89"/>
      <c r="M299" s="89"/>
      <c r="N299" s="89"/>
      <c r="O299" s="89"/>
      <c r="P299" s="89"/>
      <c r="Q299" s="89"/>
      <c r="R299" s="89"/>
      <c r="S299" s="89"/>
      <c r="T299" s="89"/>
      <c r="U299" s="89"/>
      <c r="V299" s="89"/>
      <c r="W299" s="469"/>
      <c r="X299" s="469"/>
      <c r="Y299" s="469"/>
      <c r="Z299" s="469"/>
      <c r="AA299" s="469"/>
      <c r="AB299" s="469"/>
      <c r="AC299" s="469"/>
      <c r="AD299" s="469"/>
      <c r="AE299" s="469"/>
      <c r="AF299" s="469"/>
      <c r="AG299" s="469"/>
      <c r="AH299" s="469"/>
      <c r="AI299" s="469"/>
      <c r="AJ299" s="469"/>
      <c r="AK299" s="469"/>
      <c r="AL299" s="469"/>
      <c r="AM299" s="465"/>
      <c r="AN299" s="465"/>
      <c r="AO299" s="465"/>
    </row>
    <row r="300">
      <c r="A300" s="85">
        <v>44947.0</v>
      </c>
      <c r="B300" s="86">
        <v>314.66</v>
      </c>
      <c r="C300" s="85">
        <v>44861.0</v>
      </c>
      <c r="D300" s="89" t="s">
        <v>2106</v>
      </c>
      <c r="E300" s="89" t="s">
        <v>2107</v>
      </c>
      <c r="F300" s="89" t="s">
        <v>2108</v>
      </c>
      <c r="G300" s="89" t="s">
        <v>114</v>
      </c>
      <c r="H300" s="89" t="s">
        <v>94</v>
      </c>
      <c r="I300" s="475" t="s">
        <v>94</v>
      </c>
      <c r="J300" s="89" t="s">
        <v>95</v>
      </c>
      <c r="K300" s="89">
        <v>1.0</v>
      </c>
      <c r="L300" s="89"/>
      <c r="M300" s="89"/>
      <c r="N300" s="89"/>
      <c r="O300" s="89"/>
      <c r="P300" s="89">
        <v>1.0</v>
      </c>
      <c r="Q300" s="89"/>
      <c r="R300" s="89"/>
      <c r="S300" s="89"/>
      <c r="T300" s="89"/>
      <c r="U300" s="89"/>
      <c r="V300" s="89"/>
      <c r="W300" s="469"/>
      <c r="X300" s="469"/>
      <c r="Y300" s="469"/>
      <c r="Z300" s="469"/>
      <c r="AA300" s="469"/>
      <c r="AB300" s="469"/>
      <c r="AC300" s="469"/>
      <c r="AD300" s="469"/>
      <c r="AE300" s="469"/>
      <c r="AF300" s="469"/>
      <c r="AG300" s="469"/>
      <c r="AH300" s="469"/>
      <c r="AI300" s="469"/>
      <c r="AJ300" s="469"/>
      <c r="AK300" s="469"/>
      <c r="AL300" s="469"/>
      <c r="AM300" s="465"/>
      <c r="AN300" s="465"/>
      <c r="AO300" s="465"/>
    </row>
    <row r="301">
      <c r="A301" s="85">
        <v>44947.0</v>
      </c>
      <c r="B301" s="86">
        <v>265.0</v>
      </c>
      <c r="C301" s="85">
        <v>44586.0</v>
      </c>
      <c r="D301" s="89" t="s">
        <v>2109</v>
      </c>
      <c r="E301" s="89" t="s">
        <v>2110</v>
      </c>
      <c r="F301" s="89" t="s">
        <v>2111</v>
      </c>
      <c r="G301" s="89" t="s">
        <v>114</v>
      </c>
      <c r="H301" s="89" t="s">
        <v>94</v>
      </c>
      <c r="I301" s="475" t="s">
        <v>94</v>
      </c>
      <c r="J301" s="89" t="s">
        <v>95</v>
      </c>
      <c r="K301" s="89"/>
      <c r="L301" s="89">
        <v>1.0</v>
      </c>
      <c r="M301" s="89"/>
      <c r="N301" s="89"/>
      <c r="O301" s="89"/>
      <c r="P301" s="89"/>
      <c r="Q301" s="89"/>
      <c r="R301" s="89"/>
      <c r="S301" s="89"/>
      <c r="T301" s="89"/>
      <c r="U301" s="89"/>
      <c r="V301" s="89"/>
      <c r="W301" s="469"/>
      <c r="X301" s="469"/>
      <c r="Y301" s="469"/>
      <c r="Z301" s="469"/>
      <c r="AA301" s="469"/>
      <c r="AB301" s="469"/>
      <c r="AC301" s="469"/>
      <c r="AD301" s="469"/>
      <c r="AE301" s="469"/>
      <c r="AF301" s="469"/>
      <c r="AG301" s="469"/>
      <c r="AH301" s="469"/>
      <c r="AI301" s="469"/>
      <c r="AJ301" s="469"/>
      <c r="AK301" s="469"/>
      <c r="AL301" s="469"/>
      <c r="AM301" s="465"/>
      <c r="AN301" s="465"/>
      <c r="AO301" s="465"/>
    </row>
    <row r="302">
      <c r="A302" s="85">
        <v>44947.0</v>
      </c>
      <c r="B302" s="86">
        <v>309.23</v>
      </c>
      <c r="C302" s="85">
        <v>44843.0</v>
      </c>
      <c r="D302" s="89" t="s">
        <v>2115</v>
      </c>
      <c r="E302" s="89" t="s">
        <v>2116</v>
      </c>
      <c r="F302" s="89" t="s">
        <v>2117</v>
      </c>
      <c r="G302" s="89" t="s">
        <v>114</v>
      </c>
      <c r="H302" s="89" t="s">
        <v>94</v>
      </c>
      <c r="I302" s="475" t="s">
        <v>2118</v>
      </c>
      <c r="J302" s="89" t="s">
        <v>95</v>
      </c>
      <c r="K302" s="89">
        <v>1.0</v>
      </c>
      <c r="L302" s="89"/>
      <c r="M302" s="89">
        <v>1.0</v>
      </c>
      <c r="N302" s="89"/>
      <c r="O302" s="89"/>
      <c r="P302" s="89">
        <v>2.0</v>
      </c>
      <c r="Q302" s="89"/>
      <c r="R302" s="89"/>
      <c r="S302" s="89"/>
      <c r="T302" s="89"/>
      <c r="U302" s="89"/>
      <c r="V302" s="89"/>
      <c r="W302" s="469"/>
      <c r="X302" s="469"/>
      <c r="Y302" s="469"/>
      <c r="Z302" s="469"/>
      <c r="AA302" s="469"/>
      <c r="AB302" s="469"/>
      <c r="AC302" s="469"/>
      <c r="AD302" s="469"/>
      <c r="AE302" s="469"/>
      <c r="AF302" s="469"/>
      <c r="AG302" s="469"/>
      <c r="AH302" s="469"/>
      <c r="AI302" s="469"/>
      <c r="AJ302" s="469"/>
      <c r="AK302" s="469"/>
      <c r="AL302" s="469"/>
      <c r="AM302" s="465"/>
      <c r="AN302" s="465"/>
      <c r="AO302" s="465"/>
    </row>
    <row r="303">
      <c r="A303" s="85">
        <v>44947.0</v>
      </c>
      <c r="B303" s="86">
        <v>307.79</v>
      </c>
      <c r="C303" s="85">
        <v>44811.0</v>
      </c>
      <c r="D303" s="89" t="s">
        <v>2122</v>
      </c>
      <c r="E303" s="89" t="s">
        <v>2123</v>
      </c>
      <c r="F303" s="89" t="s">
        <v>2124</v>
      </c>
      <c r="G303" s="89" t="s">
        <v>114</v>
      </c>
      <c r="H303" s="89" t="s">
        <v>94</v>
      </c>
      <c r="I303" s="475" t="s">
        <v>125</v>
      </c>
      <c r="J303" s="89" t="s">
        <v>95</v>
      </c>
      <c r="K303" s="89"/>
      <c r="L303" s="89">
        <v>1.0</v>
      </c>
      <c r="M303" s="89"/>
      <c r="N303" s="89"/>
      <c r="O303" s="89"/>
      <c r="P303" s="89"/>
      <c r="Q303" s="89"/>
      <c r="R303" s="89"/>
      <c r="S303" s="89"/>
      <c r="T303" s="89"/>
      <c r="U303" s="89"/>
      <c r="V303" s="89"/>
      <c r="W303" s="469"/>
      <c r="X303" s="469"/>
      <c r="Y303" s="469"/>
      <c r="Z303" s="469"/>
      <c r="AA303" s="469"/>
      <c r="AB303" s="469"/>
      <c r="AC303" s="469"/>
      <c r="AD303" s="469"/>
      <c r="AE303" s="469"/>
      <c r="AF303" s="469"/>
      <c r="AG303" s="469"/>
      <c r="AH303" s="469"/>
      <c r="AI303" s="469"/>
      <c r="AJ303" s="469"/>
      <c r="AK303" s="469"/>
      <c r="AL303" s="469"/>
      <c r="AM303" s="465"/>
      <c r="AN303" s="465"/>
      <c r="AO303" s="465"/>
    </row>
    <row r="304">
      <c r="A304" s="85">
        <v>44947.0</v>
      </c>
      <c r="B304" s="86">
        <v>236.38</v>
      </c>
      <c r="C304" s="85">
        <v>44885.0</v>
      </c>
      <c r="D304" s="89" t="s">
        <v>2128</v>
      </c>
      <c r="E304" s="89" t="s">
        <v>2129</v>
      </c>
      <c r="F304" s="89" t="s">
        <v>2130</v>
      </c>
      <c r="G304" s="89" t="s">
        <v>114</v>
      </c>
      <c r="H304" s="89" t="s">
        <v>94</v>
      </c>
      <c r="I304" s="475" t="s">
        <v>94</v>
      </c>
      <c r="J304" s="89" t="s">
        <v>95</v>
      </c>
      <c r="K304" s="89">
        <v>1.0</v>
      </c>
      <c r="L304" s="89"/>
      <c r="M304" s="89"/>
      <c r="N304" s="89">
        <v>1.0</v>
      </c>
      <c r="O304" s="89"/>
      <c r="P304" s="89">
        <v>1.0</v>
      </c>
      <c r="Q304" s="89"/>
      <c r="R304" s="89"/>
      <c r="S304" s="89"/>
      <c r="T304" s="89"/>
      <c r="U304" s="89"/>
      <c r="V304" s="89"/>
      <c r="W304" s="469"/>
      <c r="X304" s="469"/>
      <c r="Y304" s="469"/>
      <c r="Z304" s="469"/>
      <c r="AA304" s="469"/>
      <c r="AB304" s="469"/>
      <c r="AC304" s="469"/>
      <c r="AD304" s="469"/>
      <c r="AE304" s="469"/>
      <c r="AF304" s="469"/>
      <c r="AG304" s="469"/>
      <c r="AH304" s="469"/>
      <c r="AI304" s="469"/>
      <c r="AJ304" s="469"/>
      <c r="AK304" s="469"/>
      <c r="AL304" s="469"/>
      <c r="AM304" s="465"/>
      <c r="AN304" s="465"/>
      <c r="AO304" s="465"/>
    </row>
    <row r="305">
      <c r="A305" s="85">
        <v>44947.0</v>
      </c>
      <c r="B305" s="86">
        <v>344.4</v>
      </c>
      <c r="C305" s="85">
        <v>44873.0</v>
      </c>
      <c r="D305" s="89" t="s">
        <v>2131</v>
      </c>
      <c r="E305" s="89" t="s">
        <v>2132</v>
      </c>
      <c r="F305" s="89" t="s">
        <v>2133</v>
      </c>
      <c r="G305" s="89" t="s">
        <v>114</v>
      </c>
      <c r="H305" s="89" t="s">
        <v>94</v>
      </c>
      <c r="I305" s="475" t="s">
        <v>94</v>
      </c>
      <c r="J305" s="89" t="s">
        <v>95</v>
      </c>
      <c r="K305" s="89">
        <v>1.0</v>
      </c>
      <c r="L305" s="89"/>
      <c r="M305" s="89"/>
      <c r="N305" s="89">
        <v>1.0</v>
      </c>
      <c r="O305" s="89"/>
      <c r="P305" s="89"/>
      <c r="Q305" s="89"/>
      <c r="R305" s="89"/>
      <c r="S305" s="89"/>
      <c r="T305" s="89"/>
      <c r="U305" s="89"/>
      <c r="V305" s="89"/>
      <c r="W305" s="469"/>
      <c r="X305" s="469"/>
      <c r="Y305" s="469"/>
      <c r="Z305" s="469"/>
      <c r="AA305" s="469"/>
      <c r="AB305" s="469"/>
      <c r="AC305" s="469"/>
      <c r="AD305" s="469"/>
      <c r="AE305" s="469"/>
      <c r="AF305" s="469"/>
      <c r="AG305" s="469"/>
      <c r="AH305" s="469"/>
      <c r="AI305" s="469"/>
      <c r="AJ305" s="469"/>
      <c r="AK305" s="469"/>
      <c r="AL305" s="469"/>
      <c r="AM305" s="465"/>
      <c r="AN305" s="465"/>
      <c r="AO305" s="465"/>
    </row>
    <row r="306">
      <c r="A306" s="85">
        <v>44947.0</v>
      </c>
      <c r="B306" s="86">
        <v>362.65</v>
      </c>
      <c r="C306" s="85">
        <v>44865.0</v>
      </c>
      <c r="D306" s="1" t="s">
        <v>2137</v>
      </c>
      <c r="E306" s="89" t="s">
        <v>2138</v>
      </c>
      <c r="F306" s="89" t="s">
        <v>2139</v>
      </c>
      <c r="G306" s="89" t="s">
        <v>114</v>
      </c>
      <c r="H306" s="89" t="s">
        <v>94</v>
      </c>
      <c r="I306" s="475" t="s">
        <v>94</v>
      </c>
      <c r="J306" s="89" t="s">
        <v>95</v>
      </c>
      <c r="K306" s="89">
        <v>1.0</v>
      </c>
      <c r="L306" s="89"/>
      <c r="M306" s="89">
        <v>1.0</v>
      </c>
      <c r="N306" s="89">
        <v>1.0</v>
      </c>
      <c r="O306" s="89"/>
      <c r="P306" s="89"/>
      <c r="Q306" s="89">
        <v>1.0</v>
      </c>
      <c r="R306" s="89"/>
      <c r="S306" s="89"/>
      <c r="T306" s="89"/>
      <c r="U306" s="89"/>
      <c r="V306" s="89"/>
      <c r="W306" s="469"/>
      <c r="X306" s="469"/>
      <c r="Y306" s="469"/>
      <c r="Z306" s="469"/>
      <c r="AA306" s="469"/>
      <c r="AB306" s="469"/>
      <c r="AC306" s="469"/>
      <c r="AD306" s="469"/>
      <c r="AE306" s="469"/>
      <c r="AF306" s="469"/>
      <c r="AG306" s="469"/>
      <c r="AH306" s="469"/>
      <c r="AI306" s="469"/>
      <c r="AJ306" s="469"/>
      <c r="AK306" s="469"/>
      <c r="AL306" s="469"/>
      <c r="AM306" s="465"/>
      <c r="AN306" s="465"/>
      <c r="AO306" s="465"/>
    </row>
    <row r="307">
      <c r="A307" s="85">
        <v>44947.0</v>
      </c>
      <c r="B307" s="86">
        <v>249.33</v>
      </c>
      <c r="C307" s="85">
        <v>44892.0</v>
      </c>
      <c r="D307" s="89" t="s">
        <v>2145</v>
      </c>
      <c r="E307" s="89" t="s">
        <v>2146</v>
      </c>
      <c r="F307" s="89" t="s">
        <v>2147</v>
      </c>
      <c r="G307" s="89" t="s">
        <v>1552</v>
      </c>
      <c r="H307" s="89" t="s">
        <v>94</v>
      </c>
      <c r="I307" s="475" t="s">
        <v>94</v>
      </c>
      <c r="J307" s="89" t="s">
        <v>95</v>
      </c>
      <c r="K307" s="89">
        <v>1.0</v>
      </c>
      <c r="L307" s="89"/>
      <c r="M307" s="89"/>
      <c r="N307" s="89"/>
      <c r="O307" s="89"/>
      <c r="P307" s="89"/>
      <c r="Q307" s="89"/>
      <c r="R307" s="89"/>
      <c r="S307" s="89"/>
      <c r="T307" s="89"/>
      <c r="U307" s="89"/>
      <c r="V307" s="89"/>
      <c r="W307" s="469"/>
      <c r="X307" s="469"/>
      <c r="Y307" s="469"/>
      <c r="Z307" s="469"/>
      <c r="AA307" s="469"/>
      <c r="AB307" s="469"/>
      <c r="AC307" s="469"/>
      <c r="AD307" s="469"/>
      <c r="AE307" s="469"/>
      <c r="AF307" s="469"/>
      <c r="AG307" s="469"/>
      <c r="AH307" s="469"/>
      <c r="AI307" s="469"/>
      <c r="AJ307" s="469"/>
      <c r="AK307" s="469"/>
      <c r="AL307" s="469"/>
      <c r="AM307" s="465"/>
      <c r="AN307" s="465"/>
      <c r="AO307" s="465"/>
    </row>
    <row r="308">
      <c r="A308" s="85">
        <v>44947.0</v>
      </c>
      <c r="B308" s="86">
        <v>311.84</v>
      </c>
      <c r="C308" s="85">
        <v>44867.0</v>
      </c>
      <c r="D308" s="89" t="s">
        <v>2151</v>
      </c>
      <c r="E308" s="89" t="s">
        <v>2152</v>
      </c>
      <c r="F308" s="89" t="s">
        <v>2153</v>
      </c>
      <c r="G308" s="89" t="s">
        <v>114</v>
      </c>
      <c r="H308" s="89" t="s">
        <v>94</v>
      </c>
      <c r="I308" s="475" t="s">
        <v>94</v>
      </c>
      <c r="J308" s="89" t="s">
        <v>95</v>
      </c>
      <c r="K308" s="89"/>
      <c r="L308" s="89">
        <v>1.0</v>
      </c>
      <c r="M308" s="89"/>
      <c r="N308" s="89"/>
      <c r="O308" s="89"/>
      <c r="P308" s="89"/>
      <c r="Q308" s="89"/>
      <c r="R308" s="89"/>
      <c r="S308" s="89"/>
      <c r="T308" s="89"/>
      <c r="U308" s="89"/>
      <c r="V308" s="89"/>
      <c r="W308" s="469"/>
      <c r="X308" s="469"/>
      <c r="Y308" s="469"/>
      <c r="Z308" s="469"/>
      <c r="AA308" s="469"/>
      <c r="AB308" s="469"/>
      <c r="AC308" s="469"/>
      <c r="AD308" s="469"/>
      <c r="AE308" s="469"/>
      <c r="AF308" s="469"/>
      <c r="AG308" s="469"/>
      <c r="AH308" s="469"/>
      <c r="AI308" s="469"/>
      <c r="AJ308" s="469"/>
      <c r="AK308" s="469"/>
      <c r="AL308" s="469"/>
      <c r="AM308" s="465"/>
      <c r="AN308" s="465"/>
      <c r="AO308" s="465"/>
    </row>
    <row r="309">
      <c r="A309" s="85">
        <v>44947.0</v>
      </c>
      <c r="B309" s="86">
        <v>366.57</v>
      </c>
      <c r="C309" s="85">
        <v>44876.0</v>
      </c>
      <c r="D309" s="89" t="s">
        <v>2157</v>
      </c>
      <c r="E309" s="89" t="s">
        <v>2158</v>
      </c>
      <c r="F309" s="89" t="s">
        <v>2159</v>
      </c>
      <c r="G309" s="89" t="s">
        <v>114</v>
      </c>
      <c r="H309" s="89" t="s">
        <v>94</v>
      </c>
      <c r="I309" s="475" t="s">
        <v>94</v>
      </c>
      <c r="J309" s="89" t="s">
        <v>95</v>
      </c>
      <c r="K309" s="89"/>
      <c r="L309" s="89">
        <v>1.0</v>
      </c>
      <c r="M309" s="89"/>
      <c r="N309" s="89">
        <v>1.0</v>
      </c>
      <c r="O309" s="89"/>
      <c r="P309" s="89"/>
      <c r="Q309" s="89">
        <v>1.0</v>
      </c>
      <c r="R309" s="89"/>
      <c r="S309" s="89"/>
      <c r="T309" s="89"/>
      <c r="U309" s="89"/>
      <c r="V309" s="89"/>
      <c r="W309" s="469"/>
      <c r="X309" s="469"/>
      <c r="Y309" s="469"/>
      <c r="Z309" s="469"/>
      <c r="AA309" s="469"/>
      <c r="AB309" s="469"/>
      <c r="AC309" s="469"/>
      <c r="AD309" s="469"/>
      <c r="AE309" s="469"/>
      <c r="AF309" s="469"/>
      <c r="AG309" s="469"/>
      <c r="AH309" s="469"/>
      <c r="AI309" s="469"/>
      <c r="AJ309" s="469"/>
      <c r="AK309" s="469"/>
      <c r="AL309" s="469"/>
      <c r="AM309" s="465"/>
      <c r="AN309" s="465"/>
      <c r="AO309" s="465"/>
    </row>
    <row r="310">
      <c r="A310" s="85">
        <v>44947.0</v>
      </c>
      <c r="B310" s="86">
        <v>335.71</v>
      </c>
      <c r="C310" s="85">
        <v>44795.0</v>
      </c>
      <c r="D310" s="1" t="s">
        <v>2160</v>
      </c>
      <c r="E310" s="89" t="s">
        <v>2161</v>
      </c>
      <c r="F310" s="89" t="s">
        <v>2162</v>
      </c>
      <c r="G310" s="89" t="s">
        <v>114</v>
      </c>
      <c r="H310" s="89" t="s">
        <v>94</v>
      </c>
      <c r="I310" s="475" t="s">
        <v>94</v>
      </c>
      <c r="J310" s="89" t="s">
        <v>95</v>
      </c>
      <c r="K310" s="89"/>
      <c r="L310" s="89">
        <v>1.0</v>
      </c>
      <c r="M310" s="89"/>
      <c r="N310" s="89">
        <v>1.0</v>
      </c>
      <c r="O310" s="89"/>
      <c r="P310" s="89"/>
      <c r="Q310" s="89"/>
      <c r="R310" s="89"/>
      <c r="S310" s="89"/>
      <c r="T310" s="89"/>
      <c r="U310" s="89"/>
      <c r="V310" s="89"/>
      <c r="W310" s="469"/>
      <c r="X310" s="469"/>
      <c r="Y310" s="469"/>
      <c r="Z310" s="469"/>
      <c r="AA310" s="469"/>
      <c r="AB310" s="469"/>
      <c r="AC310" s="469"/>
      <c r="AD310" s="469"/>
      <c r="AE310" s="469"/>
      <c r="AF310" s="469"/>
      <c r="AG310" s="469"/>
      <c r="AH310" s="469"/>
      <c r="AI310" s="469"/>
      <c r="AJ310" s="469"/>
      <c r="AK310" s="469"/>
      <c r="AL310" s="469"/>
      <c r="AM310" s="465"/>
      <c r="AN310" s="465"/>
      <c r="AO310" s="465"/>
    </row>
    <row r="311">
      <c r="A311" s="85">
        <v>44947.0</v>
      </c>
      <c r="B311" s="86">
        <v>322.79</v>
      </c>
      <c r="C311" s="85">
        <v>44755.0</v>
      </c>
      <c r="D311" s="89" t="s">
        <v>2167</v>
      </c>
      <c r="E311" s="89" t="s">
        <v>2168</v>
      </c>
      <c r="F311" s="89" t="s">
        <v>2169</v>
      </c>
      <c r="G311" s="89" t="s">
        <v>114</v>
      </c>
      <c r="H311" s="89" t="s">
        <v>94</v>
      </c>
      <c r="I311" s="475" t="s">
        <v>94</v>
      </c>
      <c r="J311" s="89" t="s">
        <v>95</v>
      </c>
      <c r="K311" s="89">
        <v>1.0</v>
      </c>
      <c r="L311" s="89"/>
      <c r="M311" s="89">
        <v>1.0</v>
      </c>
      <c r="N311" s="89"/>
      <c r="O311" s="89"/>
      <c r="P311" s="89"/>
      <c r="Q311" s="89">
        <v>1.0</v>
      </c>
      <c r="R311" s="89"/>
      <c r="S311" s="89"/>
      <c r="T311" s="89"/>
      <c r="U311" s="89"/>
      <c r="V311" s="89"/>
      <c r="W311" s="469"/>
      <c r="X311" s="469"/>
      <c r="Y311" s="469"/>
      <c r="Z311" s="469"/>
      <c r="AA311" s="469"/>
      <c r="AB311" s="469"/>
      <c r="AC311" s="469"/>
      <c r="AD311" s="469"/>
      <c r="AE311" s="469"/>
      <c r="AF311" s="469"/>
      <c r="AG311" s="469"/>
      <c r="AH311" s="469"/>
      <c r="AI311" s="469"/>
      <c r="AJ311" s="469"/>
      <c r="AK311" s="469"/>
      <c r="AL311" s="469"/>
      <c r="AM311" s="465"/>
      <c r="AN311" s="465"/>
      <c r="AO311" s="465"/>
    </row>
    <row r="312">
      <c r="A312" s="85">
        <v>44947.0</v>
      </c>
      <c r="B312" s="86">
        <v>312.12</v>
      </c>
      <c r="C312" s="85">
        <v>44865.0</v>
      </c>
      <c r="D312" s="89" t="s">
        <v>2173</v>
      </c>
      <c r="E312" s="89" t="s">
        <v>2174</v>
      </c>
      <c r="F312" s="89" t="s">
        <v>2175</v>
      </c>
      <c r="G312" s="89" t="s">
        <v>114</v>
      </c>
      <c r="H312" s="89" t="s">
        <v>94</v>
      </c>
      <c r="I312" s="475" t="s">
        <v>94</v>
      </c>
      <c r="J312" s="89" t="s">
        <v>95</v>
      </c>
      <c r="K312" s="89"/>
      <c r="L312" s="89">
        <v>1.0</v>
      </c>
      <c r="M312" s="89"/>
      <c r="N312" s="89"/>
      <c r="O312" s="89"/>
      <c r="P312" s="89"/>
      <c r="Q312" s="89"/>
      <c r="R312" s="89"/>
      <c r="S312" s="89"/>
      <c r="T312" s="89"/>
      <c r="U312" s="89"/>
      <c r="V312" s="89"/>
      <c r="W312" s="469"/>
      <c r="X312" s="469"/>
      <c r="Y312" s="469"/>
      <c r="Z312" s="469"/>
      <c r="AA312" s="469"/>
      <c r="AB312" s="469"/>
      <c r="AC312" s="469"/>
      <c r="AD312" s="469"/>
      <c r="AE312" s="469"/>
      <c r="AF312" s="469"/>
      <c r="AG312" s="469"/>
      <c r="AH312" s="469"/>
      <c r="AI312" s="469"/>
      <c r="AJ312" s="469"/>
      <c r="AK312" s="469"/>
      <c r="AL312" s="469"/>
      <c r="AM312" s="465"/>
      <c r="AN312" s="465"/>
      <c r="AO312" s="465"/>
    </row>
    <row r="313">
      <c r="A313" s="85">
        <v>44947.0</v>
      </c>
      <c r="B313" s="86">
        <v>244.43</v>
      </c>
      <c r="C313" s="85">
        <v>44908.0</v>
      </c>
      <c r="D313" s="1" t="s">
        <v>2179</v>
      </c>
      <c r="E313" s="89" t="s">
        <v>2180</v>
      </c>
      <c r="F313" s="89" t="s">
        <v>2181</v>
      </c>
      <c r="G313" s="89" t="s">
        <v>114</v>
      </c>
      <c r="H313" s="89" t="s">
        <v>94</v>
      </c>
      <c r="I313" s="475" t="s">
        <v>94</v>
      </c>
      <c r="J313" s="89" t="s">
        <v>95</v>
      </c>
      <c r="K313" s="89">
        <v>1.0</v>
      </c>
      <c r="L313" s="89"/>
      <c r="M313" s="89"/>
      <c r="N313" s="89"/>
      <c r="O313" s="89"/>
      <c r="P313" s="89"/>
      <c r="Q313" s="89"/>
      <c r="R313" s="89"/>
      <c r="S313" s="89"/>
      <c r="T313" s="89"/>
      <c r="U313" s="89"/>
      <c r="V313" s="89"/>
      <c r="W313" s="469"/>
      <c r="X313" s="469"/>
      <c r="Y313" s="469"/>
      <c r="Z313" s="469"/>
      <c r="AA313" s="469"/>
      <c r="AB313" s="469"/>
      <c r="AC313" s="469"/>
      <c r="AD313" s="469"/>
      <c r="AE313" s="469"/>
      <c r="AF313" s="469"/>
      <c r="AG313" s="469"/>
      <c r="AH313" s="469"/>
      <c r="AI313" s="469"/>
      <c r="AJ313" s="469"/>
      <c r="AK313" s="469"/>
      <c r="AL313" s="469"/>
      <c r="AM313" s="465"/>
      <c r="AN313" s="465"/>
      <c r="AO313" s="465"/>
    </row>
    <row r="314">
      <c r="A314" s="85">
        <v>44947.0</v>
      </c>
      <c r="B314" s="86">
        <v>245.04</v>
      </c>
      <c r="C314" s="85">
        <v>44891.0</v>
      </c>
      <c r="D314" s="89" t="s">
        <v>2185</v>
      </c>
      <c r="E314" s="89" t="s">
        <v>2187</v>
      </c>
      <c r="F314" s="89" t="s">
        <v>2188</v>
      </c>
      <c r="G314" s="89" t="s">
        <v>114</v>
      </c>
      <c r="H314" s="89" t="s">
        <v>94</v>
      </c>
      <c r="I314" s="475" t="s">
        <v>94</v>
      </c>
      <c r="J314" s="89" t="s">
        <v>95</v>
      </c>
      <c r="K314" s="89">
        <v>1.0</v>
      </c>
      <c r="L314" s="89"/>
      <c r="M314" s="89"/>
      <c r="N314" s="89"/>
      <c r="O314" s="89"/>
      <c r="P314" s="89"/>
      <c r="Q314" s="89"/>
      <c r="R314" s="89"/>
      <c r="S314" s="89"/>
      <c r="T314" s="89"/>
      <c r="U314" s="89"/>
      <c r="V314" s="89"/>
      <c r="W314" s="469"/>
      <c r="X314" s="469"/>
      <c r="Y314" s="469"/>
      <c r="Z314" s="469"/>
      <c r="AA314" s="469"/>
      <c r="AB314" s="469"/>
      <c r="AC314" s="469"/>
      <c r="AD314" s="469"/>
      <c r="AE314" s="469"/>
      <c r="AF314" s="469"/>
      <c r="AG314" s="469"/>
      <c r="AH314" s="469"/>
      <c r="AI314" s="469"/>
      <c r="AJ314" s="469"/>
      <c r="AK314" s="469"/>
      <c r="AL314" s="469"/>
      <c r="AM314" s="465"/>
      <c r="AN314" s="465"/>
      <c r="AO314" s="465"/>
    </row>
    <row r="315">
      <c r="A315" s="85">
        <v>44947.0</v>
      </c>
      <c r="B315" s="86">
        <v>241.45</v>
      </c>
      <c r="C315" s="85">
        <v>44694.0</v>
      </c>
      <c r="D315" s="496" t="s">
        <v>2192</v>
      </c>
      <c r="E315" s="89" t="s">
        <v>2193</v>
      </c>
      <c r="F315" s="89" t="s">
        <v>2194</v>
      </c>
      <c r="G315" s="89" t="s">
        <v>114</v>
      </c>
      <c r="H315" s="89" t="s">
        <v>94</v>
      </c>
      <c r="I315" s="475" t="s">
        <v>94</v>
      </c>
      <c r="J315" s="89" t="s">
        <v>95</v>
      </c>
      <c r="K315" s="89">
        <v>1.0</v>
      </c>
      <c r="L315" s="89"/>
      <c r="M315" s="89"/>
      <c r="N315" s="89"/>
      <c r="O315" s="89"/>
      <c r="P315" s="89"/>
      <c r="Q315" s="89"/>
      <c r="R315" s="89"/>
      <c r="S315" s="89"/>
      <c r="T315" s="89"/>
      <c r="U315" s="89"/>
      <c r="V315" s="89"/>
      <c r="W315" s="469"/>
      <c r="X315" s="469"/>
      <c r="Y315" s="469"/>
      <c r="Z315" s="469"/>
      <c r="AA315" s="469"/>
      <c r="AB315" s="469"/>
      <c r="AC315" s="469"/>
      <c r="AD315" s="469"/>
      <c r="AE315" s="469"/>
      <c r="AF315" s="469"/>
      <c r="AG315" s="469"/>
      <c r="AH315" s="469"/>
      <c r="AI315" s="469"/>
      <c r="AJ315" s="469"/>
      <c r="AK315" s="469"/>
      <c r="AL315" s="469"/>
      <c r="AM315" s="465"/>
      <c r="AN315" s="465"/>
      <c r="AO315" s="465"/>
    </row>
    <row r="316">
      <c r="A316" s="85">
        <v>44947.0</v>
      </c>
      <c r="B316" s="86">
        <v>232.91</v>
      </c>
      <c r="C316" s="85">
        <v>44566.0</v>
      </c>
      <c r="D316" s="89" t="s">
        <v>2196</v>
      </c>
      <c r="E316" s="89" t="s">
        <v>2199</v>
      </c>
      <c r="F316" s="89" t="s">
        <v>2200</v>
      </c>
      <c r="G316" s="89" t="s">
        <v>114</v>
      </c>
      <c r="H316" s="89" t="s">
        <v>94</v>
      </c>
      <c r="I316" s="475" t="s">
        <v>94</v>
      </c>
      <c r="J316" s="89" t="s">
        <v>95</v>
      </c>
      <c r="K316" s="89">
        <v>1.0</v>
      </c>
      <c r="L316" s="89"/>
      <c r="M316" s="89"/>
      <c r="N316" s="89"/>
      <c r="O316" s="89"/>
      <c r="P316" s="89"/>
      <c r="Q316" s="89"/>
      <c r="R316" s="89"/>
      <c r="S316" s="89"/>
      <c r="T316" s="89"/>
      <c r="U316" s="89"/>
      <c r="V316" s="89"/>
      <c r="W316" s="469"/>
      <c r="X316" s="469"/>
      <c r="Y316" s="469"/>
      <c r="Z316" s="469"/>
      <c r="AA316" s="469"/>
      <c r="AB316" s="469"/>
      <c r="AC316" s="469"/>
      <c r="AD316" s="469"/>
      <c r="AE316" s="469"/>
      <c r="AF316" s="469"/>
      <c r="AG316" s="469"/>
      <c r="AH316" s="469"/>
      <c r="AI316" s="469"/>
      <c r="AJ316" s="469"/>
      <c r="AK316" s="469"/>
      <c r="AL316" s="469"/>
      <c r="AM316" s="465"/>
      <c r="AN316" s="465"/>
      <c r="AO316" s="465"/>
    </row>
    <row r="317">
      <c r="A317" s="85">
        <v>44947.0</v>
      </c>
      <c r="B317" s="86">
        <v>230.39</v>
      </c>
      <c r="C317" s="85">
        <v>44640.0</v>
      </c>
      <c r="D317" s="89" t="s">
        <v>2202</v>
      </c>
      <c r="E317" s="89" t="s">
        <v>2203</v>
      </c>
      <c r="F317" s="89" t="s">
        <v>2204</v>
      </c>
      <c r="G317" s="89" t="s">
        <v>114</v>
      </c>
      <c r="H317" s="89" t="s">
        <v>94</v>
      </c>
      <c r="I317" s="475" t="s">
        <v>94</v>
      </c>
      <c r="J317" s="89" t="s">
        <v>95</v>
      </c>
      <c r="K317" s="89">
        <v>1.0</v>
      </c>
      <c r="L317" s="89"/>
      <c r="M317" s="89"/>
      <c r="N317" s="89"/>
      <c r="O317" s="89"/>
      <c r="P317" s="89">
        <v>1.0</v>
      </c>
      <c r="Q317" s="89"/>
      <c r="R317" s="89"/>
      <c r="S317" s="89"/>
      <c r="T317" s="89"/>
      <c r="U317" s="89"/>
      <c r="V317" s="89"/>
      <c r="W317" s="469"/>
      <c r="X317" s="469"/>
      <c r="Y317" s="469"/>
      <c r="Z317" s="469"/>
      <c r="AA317" s="469"/>
      <c r="AB317" s="469"/>
      <c r="AC317" s="469"/>
      <c r="AD317" s="469"/>
      <c r="AE317" s="469"/>
      <c r="AF317" s="469"/>
      <c r="AG317" s="469"/>
      <c r="AH317" s="469"/>
      <c r="AI317" s="469"/>
      <c r="AJ317" s="469"/>
      <c r="AK317" s="469"/>
      <c r="AL317" s="469"/>
      <c r="AM317" s="465"/>
      <c r="AN317" s="465"/>
      <c r="AO317" s="465"/>
    </row>
    <row r="318">
      <c r="A318" s="85">
        <v>44947.0</v>
      </c>
      <c r="B318" s="86">
        <v>229.0</v>
      </c>
      <c r="C318" s="85">
        <v>44889.0</v>
      </c>
      <c r="D318" s="496" t="s">
        <v>2207</v>
      </c>
      <c r="E318" s="89" t="s">
        <v>2208</v>
      </c>
      <c r="F318" s="89" t="s">
        <v>2209</v>
      </c>
      <c r="G318" s="89" t="s">
        <v>114</v>
      </c>
      <c r="H318" s="89" t="s">
        <v>94</v>
      </c>
      <c r="I318" s="475" t="s">
        <v>94</v>
      </c>
      <c r="J318" s="89" t="s">
        <v>95</v>
      </c>
      <c r="K318" s="89">
        <v>1.0</v>
      </c>
      <c r="L318" s="89"/>
      <c r="M318" s="89"/>
      <c r="N318" s="89"/>
      <c r="O318" s="89"/>
      <c r="P318" s="89"/>
      <c r="Q318" s="89"/>
      <c r="R318" s="89"/>
      <c r="S318" s="89"/>
      <c r="T318" s="89"/>
      <c r="U318" s="89"/>
      <c r="V318" s="89"/>
      <c r="W318" s="469"/>
      <c r="X318" s="469"/>
      <c r="Y318" s="469"/>
      <c r="Z318" s="469"/>
      <c r="AA318" s="469"/>
      <c r="AB318" s="469"/>
      <c r="AC318" s="469"/>
      <c r="AD318" s="469"/>
      <c r="AE318" s="469"/>
      <c r="AF318" s="469"/>
      <c r="AG318" s="469"/>
      <c r="AH318" s="469"/>
      <c r="AI318" s="469"/>
      <c r="AJ318" s="469"/>
      <c r="AK318" s="469"/>
      <c r="AL318" s="469"/>
      <c r="AM318" s="465"/>
      <c r="AN318" s="465"/>
      <c r="AO318" s="465"/>
    </row>
    <row r="319">
      <c r="A319" s="85">
        <v>44947.0</v>
      </c>
      <c r="B319" s="86">
        <v>321.43</v>
      </c>
      <c r="C319" s="85">
        <v>44871.0</v>
      </c>
      <c r="D319" s="89" t="s">
        <v>2214</v>
      </c>
      <c r="E319" s="89" t="s">
        <v>2215</v>
      </c>
      <c r="F319" s="89" t="s">
        <v>2216</v>
      </c>
      <c r="G319" s="89" t="s">
        <v>114</v>
      </c>
      <c r="H319" s="89" t="s">
        <v>94</v>
      </c>
      <c r="I319" s="475" t="s">
        <v>94</v>
      </c>
      <c r="J319" s="89" t="s">
        <v>95</v>
      </c>
      <c r="K319" s="89"/>
      <c r="L319" s="89">
        <v>1.0</v>
      </c>
      <c r="M319" s="89"/>
      <c r="N319" s="89"/>
      <c r="O319" s="89"/>
      <c r="P319" s="89">
        <v>1.0</v>
      </c>
      <c r="Q319" s="89"/>
      <c r="R319" s="89"/>
      <c r="S319" s="89"/>
      <c r="T319" s="89"/>
      <c r="U319" s="89"/>
      <c r="V319" s="89"/>
      <c r="W319" s="469"/>
      <c r="X319" s="469"/>
      <c r="Y319" s="469"/>
      <c r="Z319" s="469"/>
      <c r="AA319" s="469"/>
      <c r="AB319" s="469"/>
      <c r="AC319" s="469"/>
      <c r="AD319" s="469"/>
      <c r="AE319" s="469"/>
      <c r="AF319" s="469"/>
      <c r="AG319" s="469"/>
      <c r="AH319" s="469"/>
      <c r="AI319" s="469"/>
      <c r="AJ319" s="469"/>
      <c r="AK319" s="469"/>
      <c r="AL319" s="469"/>
      <c r="AM319" s="465"/>
      <c r="AN319" s="465"/>
      <c r="AO319" s="465"/>
    </row>
    <row r="320">
      <c r="A320" s="85">
        <v>44947.0</v>
      </c>
      <c r="B320" s="86">
        <v>232.14</v>
      </c>
      <c r="C320" s="85">
        <v>44568.0</v>
      </c>
      <c r="D320" s="89" t="s">
        <v>2220</v>
      </c>
      <c r="E320" s="89" t="s">
        <v>2221</v>
      </c>
      <c r="F320" s="89" t="s">
        <v>2222</v>
      </c>
      <c r="G320" s="89" t="s">
        <v>114</v>
      </c>
      <c r="H320" s="89" t="s">
        <v>94</v>
      </c>
      <c r="I320" s="475" t="s">
        <v>486</v>
      </c>
      <c r="J320" s="89" t="s">
        <v>95</v>
      </c>
      <c r="K320" s="89">
        <v>1.0</v>
      </c>
      <c r="L320" s="89"/>
      <c r="M320" s="89"/>
      <c r="N320" s="89"/>
      <c r="O320" s="89"/>
      <c r="P320" s="89"/>
      <c r="Q320" s="89"/>
      <c r="R320" s="89"/>
      <c r="S320" s="89"/>
      <c r="T320" s="89"/>
      <c r="U320" s="89"/>
      <c r="V320" s="89"/>
      <c r="W320" s="469"/>
      <c r="X320" s="469"/>
      <c r="Y320" s="469"/>
      <c r="Z320" s="469"/>
      <c r="AA320" s="469"/>
      <c r="AB320" s="469"/>
      <c r="AC320" s="469"/>
      <c r="AD320" s="469"/>
      <c r="AE320" s="469"/>
      <c r="AF320" s="469"/>
      <c r="AG320" s="469"/>
      <c r="AH320" s="469"/>
      <c r="AI320" s="469"/>
      <c r="AJ320" s="469"/>
      <c r="AK320" s="469"/>
      <c r="AL320" s="469"/>
      <c r="AM320" s="465"/>
      <c r="AN320" s="465"/>
      <c r="AO320" s="465"/>
    </row>
    <row r="321">
      <c r="A321" s="85">
        <v>44947.0</v>
      </c>
      <c r="B321" s="86">
        <v>330.14</v>
      </c>
      <c r="C321" s="85">
        <v>44886.0</v>
      </c>
      <c r="D321" s="497" t="s">
        <v>2223</v>
      </c>
      <c r="E321" s="89" t="s">
        <v>2224</v>
      </c>
      <c r="F321" s="89" t="s">
        <v>2225</v>
      </c>
      <c r="G321" s="89" t="s">
        <v>114</v>
      </c>
      <c r="H321" s="89" t="s">
        <v>94</v>
      </c>
      <c r="I321" s="475" t="s">
        <v>2226</v>
      </c>
      <c r="J321" s="89" t="s">
        <v>95</v>
      </c>
      <c r="K321" s="89">
        <v>1.0</v>
      </c>
      <c r="L321" s="89"/>
      <c r="M321" s="89">
        <v>1.0</v>
      </c>
      <c r="N321" s="89"/>
      <c r="O321" s="89"/>
      <c r="P321" s="89">
        <v>1.0</v>
      </c>
      <c r="Q321" s="89"/>
      <c r="R321" s="89"/>
      <c r="S321" s="89"/>
      <c r="T321" s="89"/>
      <c r="U321" s="89"/>
      <c r="V321" s="89"/>
      <c r="W321" s="469"/>
      <c r="X321" s="469"/>
      <c r="Y321" s="469"/>
      <c r="Z321" s="469"/>
      <c r="AA321" s="469"/>
      <c r="AB321" s="469"/>
      <c r="AC321" s="469"/>
      <c r="AD321" s="469"/>
      <c r="AE321" s="469"/>
      <c r="AF321" s="469"/>
      <c r="AG321" s="469"/>
      <c r="AH321" s="469"/>
      <c r="AI321" s="469"/>
      <c r="AJ321" s="469"/>
      <c r="AK321" s="469"/>
      <c r="AL321" s="469"/>
      <c r="AM321" s="465"/>
      <c r="AN321" s="465"/>
      <c r="AO321" s="465"/>
    </row>
    <row r="322">
      <c r="A322" s="85">
        <v>44947.0</v>
      </c>
      <c r="B322" s="86">
        <v>275.0</v>
      </c>
      <c r="C322" s="85">
        <v>44879.0</v>
      </c>
      <c r="D322" s="89" t="s">
        <v>2228</v>
      </c>
      <c r="E322" s="89" t="s">
        <v>2229</v>
      </c>
      <c r="F322" s="89" t="s">
        <v>2230</v>
      </c>
      <c r="G322" s="89" t="s">
        <v>114</v>
      </c>
      <c r="H322" s="89" t="s">
        <v>94</v>
      </c>
      <c r="I322" s="475" t="s">
        <v>94</v>
      </c>
      <c r="J322" s="89" t="s">
        <v>95</v>
      </c>
      <c r="K322" s="89">
        <v>1.0</v>
      </c>
      <c r="L322" s="89"/>
      <c r="M322" s="89"/>
      <c r="N322" s="89">
        <v>1.0</v>
      </c>
      <c r="O322" s="89"/>
      <c r="P322" s="89"/>
      <c r="Q322" s="89">
        <v>1.0</v>
      </c>
      <c r="R322" s="89"/>
      <c r="S322" s="89"/>
      <c r="T322" s="89"/>
      <c r="U322" s="89"/>
      <c r="V322" s="89"/>
      <c r="W322" s="469"/>
      <c r="X322" s="469"/>
      <c r="Y322" s="469"/>
      <c r="Z322" s="469"/>
      <c r="AA322" s="469"/>
      <c r="AB322" s="469"/>
      <c r="AC322" s="469"/>
      <c r="AD322" s="469"/>
      <c r="AE322" s="469"/>
      <c r="AF322" s="469"/>
      <c r="AG322" s="469"/>
      <c r="AH322" s="469"/>
      <c r="AI322" s="469"/>
      <c r="AJ322" s="469"/>
      <c r="AK322" s="469"/>
      <c r="AL322" s="469"/>
      <c r="AM322" s="465"/>
      <c r="AN322" s="465"/>
      <c r="AO322" s="465"/>
    </row>
    <row r="323">
      <c r="A323" s="85">
        <v>44947.0</v>
      </c>
      <c r="B323" s="86">
        <v>241.44</v>
      </c>
      <c r="C323" s="85">
        <v>44894.0</v>
      </c>
      <c r="D323" s="89" t="s">
        <v>2235</v>
      </c>
      <c r="E323" s="89" t="s">
        <v>2236</v>
      </c>
      <c r="F323" s="89" t="s">
        <v>2237</v>
      </c>
      <c r="G323" s="89" t="s">
        <v>114</v>
      </c>
      <c r="H323" s="89" t="s">
        <v>94</v>
      </c>
      <c r="I323" s="475" t="s">
        <v>94</v>
      </c>
      <c r="J323" s="89" t="s">
        <v>95</v>
      </c>
      <c r="K323" s="89">
        <v>1.0</v>
      </c>
      <c r="L323" s="89"/>
      <c r="M323" s="89"/>
      <c r="N323" s="89"/>
      <c r="O323" s="89"/>
      <c r="P323" s="89"/>
      <c r="Q323" s="89"/>
      <c r="R323" s="89"/>
      <c r="S323" s="89"/>
      <c r="T323" s="89"/>
      <c r="U323" s="89"/>
      <c r="V323" s="89"/>
      <c r="W323" s="469"/>
      <c r="X323" s="469"/>
      <c r="Y323" s="469"/>
      <c r="Z323" s="469"/>
      <c r="AA323" s="469"/>
      <c r="AB323" s="469"/>
      <c r="AC323" s="469"/>
      <c r="AD323" s="469"/>
      <c r="AE323" s="469"/>
      <c r="AF323" s="469"/>
      <c r="AG323" s="469"/>
      <c r="AH323" s="469"/>
      <c r="AI323" s="469"/>
      <c r="AJ323" s="469"/>
      <c r="AK323" s="469"/>
      <c r="AL323" s="469"/>
      <c r="AM323" s="465"/>
      <c r="AN323" s="465"/>
      <c r="AO323" s="465"/>
    </row>
    <row r="324">
      <c r="A324" s="85">
        <v>44947.0</v>
      </c>
      <c r="B324" s="86">
        <v>204.5</v>
      </c>
      <c r="C324" s="85">
        <v>44843.0</v>
      </c>
      <c r="D324" s="89" t="s">
        <v>2241</v>
      </c>
      <c r="E324" s="89" t="s">
        <v>2242</v>
      </c>
      <c r="F324" s="89" t="s">
        <v>2243</v>
      </c>
      <c r="G324" s="89" t="s">
        <v>114</v>
      </c>
      <c r="H324" s="89" t="s">
        <v>94</v>
      </c>
      <c r="I324" s="475" t="s">
        <v>486</v>
      </c>
      <c r="J324" s="89" t="s">
        <v>95</v>
      </c>
      <c r="K324" s="89">
        <v>1.0</v>
      </c>
      <c r="L324" s="89"/>
      <c r="M324" s="89"/>
      <c r="N324" s="89"/>
      <c r="O324" s="89"/>
      <c r="P324" s="89"/>
      <c r="Q324" s="89"/>
      <c r="R324" s="89"/>
      <c r="S324" s="89"/>
      <c r="T324" s="89"/>
      <c r="U324" s="89"/>
      <c r="V324" s="89"/>
      <c r="W324" s="469"/>
      <c r="X324" s="469"/>
      <c r="Y324" s="469"/>
      <c r="Z324" s="469"/>
      <c r="AA324" s="469"/>
      <c r="AB324" s="469"/>
      <c r="AC324" s="469"/>
      <c r="AD324" s="469"/>
      <c r="AE324" s="469"/>
      <c r="AF324" s="469"/>
      <c r="AG324" s="469"/>
      <c r="AH324" s="469"/>
      <c r="AI324" s="469"/>
      <c r="AJ324" s="469"/>
      <c r="AK324" s="469"/>
      <c r="AL324" s="469"/>
      <c r="AM324" s="465"/>
      <c r="AN324" s="465"/>
      <c r="AO324" s="465"/>
    </row>
    <row r="325">
      <c r="A325" s="85">
        <v>44947.0</v>
      </c>
      <c r="B325" s="86">
        <v>352.32</v>
      </c>
      <c r="C325" s="85">
        <v>44889.0</v>
      </c>
      <c r="D325" s="89" t="s">
        <v>2248</v>
      </c>
      <c r="E325" s="89" t="s">
        <v>2249</v>
      </c>
      <c r="F325" s="89" t="s">
        <v>2250</v>
      </c>
      <c r="G325" s="89" t="s">
        <v>114</v>
      </c>
      <c r="H325" s="89" t="s">
        <v>94</v>
      </c>
      <c r="I325" s="475" t="s">
        <v>94</v>
      </c>
      <c r="J325" s="89" t="s">
        <v>95</v>
      </c>
      <c r="K325" s="89">
        <v>1.0</v>
      </c>
      <c r="L325" s="89"/>
      <c r="M325" s="89">
        <v>1.0</v>
      </c>
      <c r="N325" s="89">
        <v>1.0</v>
      </c>
      <c r="O325" s="89"/>
      <c r="P325" s="89"/>
      <c r="Q325" s="89"/>
      <c r="R325" s="89"/>
      <c r="S325" s="89"/>
      <c r="T325" s="89"/>
      <c r="U325" s="89"/>
      <c r="V325" s="89"/>
      <c r="W325" s="469"/>
      <c r="X325" s="469"/>
      <c r="Y325" s="469"/>
      <c r="Z325" s="469"/>
      <c r="AA325" s="469"/>
      <c r="AB325" s="469"/>
      <c r="AC325" s="469"/>
      <c r="AD325" s="469"/>
      <c r="AE325" s="469"/>
      <c r="AF325" s="469"/>
      <c r="AG325" s="469"/>
      <c r="AH325" s="469"/>
      <c r="AI325" s="469"/>
      <c r="AJ325" s="469"/>
      <c r="AK325" s="469"/>
      <c r="AL325" s="469"/>
      <c r="AM325" s="465"/>
      <c r="AN325" s="465"/>
      <c r="AO325" s="465"/>
    </row>
    <row r="326">
      <c r="A326" s="85">
        <v>44947.0</v>
      </c>
      <c r="B326" s="86">
        <v>236.52</v>
      </c>
      <c r="C326" s="85">
        <v>44865.0</v>
      </c>
      <c r="D326" s="89" t="s">
        <v>2251</v>
      </c>
      <c r="E326" s="89" t="s">
        <v>2252</v>
      </c>
      <c r="F326" s="89" t="s">
        <v>2253</v>
      </c>
      <c r="G326" s="89" t="s">
        <v>114</v>
      </c>
      <c r="H326" s="89" t="s">
        <v>94</v>
      </c>
      <c r="I326" s="475" t="s">
        <v>94</v>
      </c>
      <c r="J326" s="89" t="s">
        <v>95</v>
      </c>
      <c r="K326" s="89">
        <v>1.0</v>
      </c>
      <c r="L326" s="89"/>
      <c r="M326" s="89"/>
      <c r="N326" s="89"/>
      <c r="O326" s="89"/>
      <c r="P326" s="89">
        <v>1.0</v>
      </c>
      <c r="Q326" s="89"/>
      <c r="R326" s="89"/>
      <c r="S326" s="89"/>
      <c r="T326" s="89"/>
      <c r="U326" s="89"/>
      <c r="V326" s="89"/>
      <c r="W326" s="469"/>
      <c r="X326" s="469"/>
      <c r="Y326" s="469"/>
      <c r="Z326" s="469"/>
      <c r="AA326" s="469"/>
      <c r="AB326" s="469"/>
      <c r="AC326" s="469"/>
      <c r="AD326" s="469"/>
      <c r="AE326" s="469"/>
      <c r="AF326" s="469"/>
      <c r="AG326" s="469"/>
      <c r="AH326" s="469"/>
      <c r="AI326" s="469"/>
      <c r="AJ326" s="469"/>
      <c r="AK326" s="469"/>
      <c r="AL326" s="469"/>
      <c r="AM326" s="465"/>
      <c r="AN326" s="465"/>
      <c r="AO326" s="465"/>
    </row>
    <row r="327">
      <c r="A327" s="85">
        <v>44947.0</v>
      </c>
      <c r="B327" s="86">
        <v>322.17</v>
      </c>
      <c r="C327" s="85">
        <v>44886.0</v>
      </c>
      <c r="D327" s="89" t="s">
        <v>2257</v>
      </c>
      <c r="E327" s="89" t="s">
        <v>2258</v>
      </c>
      <c r="F327" s="89" t="s">
        <v>2259</v>
      </c>
      <c r="G327" s="89" t="s">
        <v>114</v>
      </c>
      <c r="H327" s="89" t="s">
        <v>94</v>
      </c>
      <c r="I327" s="475" t="s">
        <v>94</v>
      </c>
      <c r="J327" s="89" t="s">
        <v>95</v>
      </c>
      <c r="K327" s="89">
        <v>1.0</v>
      </c>
      <c r="L327" s="89"/>
      <c r="M327" s="89">
        <v>1.0</v>
      </c>
      <c r="N327" s="89"/>
      <c r="O327" s="89"/>
      <c r="P327" s="89"/>
      <c r="Q327" s="89"/>
      <c r="R327" s="89"/>
      <c r="S327" s="89"/>
      <c r="T327" s="89"/>
      <c r="U327" s="89"/>
      <c r="V327" s="89"/>
      <c r="W327" s="469"/>
      <c r="X327" s="469"/>
      <c r="Y327" s="469"/>
      <c r="Z327" s="469"/>
      <c r="AA327" s="469"/>
      <c r="AB327" s="469"/>
      <c r="AC327" s="469"/>
      <c r="AD327" s="469"/>
      <c r="AE327" s="469"/>
      <c r="AF327" s="469"/>
      <c r="AG327" s="469"/>
      <c r="AH327" s="469"/>
      <c r="AI327" s="469"/>
      <c r="AJ327" s="469"/>
      <c r="AK327" s="469"/>
      <c r="AL327" s="469"/>
      <c r="AM327" s="465"/>
      <c r="AN327" s="465"/>
      <c r="AO327" s="465"/>
    </row>
    <row r="328">
      <c r="A328" s="85">
        <v>44947.0</v>
      </c>
      <c r="B328" s="86">
        <v>86.61</v>
      </c>
      <c r="C328" s="85">
        <v>44891.0</v>
      </c>
      <c r="D328" s="89" t="s">
        <v>2264</v>
      </c>
      <c r="E328" s="89" t="s">
        <v>2265</v>
      </c>
      <c r="F328" s="89" t="s">
        <v>2266</v>
      </c>
      <c r="G328" s="89" t="s">
        <v>114</v>
      </c>
      <c r="H328" s="89" t="s">
        <v>94</v>
      </c>
      <c r="I328" s="475" t="s">
        <v>94</v>
      </c>
      <c r="J328" s="89" t="s">
        <v>95</v>
      </c>
      <c r="K328" s="89"/>
      <c r="L328" s="89"/>
      <c r="M328" s="89">
        <v>1.0</v>
      </c>
      <c r="N328" s="89"/>
      <c r="O328" s="89"/>
      <c r="P328" s="89"/>
      <c r="Q328" s="89"/>
      <c r="R328" s="89"/>
      <c r="S328" s="89"/>
      <c r="T328" s="89"/>
      <c r="U328" s="89"/>
      <c r="V328" s="89"/>
      <c r="W328" s="469"/>
      <c r="X328" s="469"/>
      <c r="Y328" s="469"/>
      <c r="Z328" s="469"/>
      <c r="AA328" s="469"/>
      <c r="AB328" s="469"/>
      <c r="AC328" s="469"/>
      <c r="AD328" s="469"/>
      <c r="AE328" s="469"/>
      <c r="AF328" s="469"/>
      <c r="AG328" s="469"/>
      <c r="AH328" s="469"/>
      <c r="AI328" s="469"/>
      <c r="AJ328" s="469"/>
      <c r="AK328" s="469"/>
      <c r="AL328" s="469"/>
      <c r="AM328" s="465"/>
      <c r="AN328" s="465"/>
      <c r="AO328" s="465"/>
    </row>
    <row r="329">
      <c r="A329" s="85">
        <v>44947.0</v>
      </c>
      <c r="B329" s="86">
        <v>275.0</v>
      </c>
      <c r="C329" s="85">
        <v>44478.0</v>
      </c>
      <c r="D329" s="89" t="s">
        <v>2270</v>
      </c>
      <c r="E329" s="89" t="s">
        <v>2271</v>
      </c>
      <c r="F329" s="89" t="s">
        <v>2272</v>
      </c>
      <c r="G329" s="89" t="s">
        <v>114</v>
      </c>
      <c r="H329" s="89" t="s">
        <v>94</v>
      </c>
      <c r="I329" s="475" t="s">
        <v>94</v>
      </c>
      <c r="J329" s="89" t="s">
        <v>95</v>
      </c>
      <c r="K329" s="89">
        <v>1.0</v>
      </c>
      <c r="L329" s="89"/>
      <c r="M329" s="89">
        <v>1.0</v>
      </c>
      <c r="N329" s="89"/>
      <c r="O329" s="89"/>
      <c r="P329" s="89"/>
      <c r="Q329" s="89"/>
      <c r="R329" s="89"/>
      <c r="S329" s="89"/>
      <c r="T329" s="89"/>
      <c r="U329" s="89"/>
      <c r="V329" s="89"/>
      <c r="W329" s="469"/>
      <c r="X329" s="469"/>
      <c r="Y329" s="469"/>
      <c r="Z329" s="469"/>
      <c r="AA329" s="469"/>
      <c r="AB329" s="469"/>
      <c r="AC329" s="469"/>
      <c r="AD329" s="469"/>
      <c r="AE329" s="469"/>
      <c r="AF329" s="469"/>
      <c r="AG329" s="469"/>
      <c r="AH329" s="469"/>
      <c r="AI329" s="469"/>
      <c r="AJ329" s="469"/>
      <c r="AK329" s="469"/>
      <c r="AL329" s="469"/>
      <c r="AM329" s="465"/>
      <c r="AN329" s="465"/>
      <c r="AO329" s="465"/>
    </row>
    <row r="330">
      <c r="A330" s="85">
        <v>44947.0</v>
      </c>
      <c r="B330" s="86">
        <v>279.0</v>
      </c>
      <c r="C330" s="85">
        <v>44736.0</v>
      </c>
      <c r="D330" s="89" t="s">
        <v>2276</v>
      </c>
      <c r="E330" s="89" t="s">
        <v>2277</v>
      </c>
      <c r="F330" s="89" t="s">
        <v>2278</v>
      </c>
      <c r="G330" s="89" t="s">
        <v>114</v>
      </c>
      <c r="H330" s="89" t="s">
        <v>161</v>
      </c>
      <c r="I330" s="475" t="s">
        <v>135</v>
      </c>
      <c r="J330" s="89" t="s">
        <v>2280</v>
      </c>
      <c r="K330" s="89"/>
      <c r="L330" s="89">
        <v>1.0</v>
      </c>
      <c r="M330" s="89"/>
      <c r="N330" s="89"/>
      <c r="O330" s="89">
        <v>1.0</v>
      </c>
      <c r="P330" s="89"/>
      <c r="Q330" s="89"/>
      <c r="R330" s="89"/>
      <c r="S330" s="89"/>
      <c r="T330" s="89"/>
      <c r="U330" s="89"/>
      <c r="V330" s="89"/>
      <c r="W330" s="469"/>
      <c r="X330" s="469"/>
      <c r="Y330" s="469"/>
      <c r="Z330" s="469"/>
      <c r="AA330" s="469"/>
      <c r="AB330" s="469"/>
      <c r="AC330" s="469"/>
      <c r="AD330" s="469"/>
      <c r="AE330" s="469"/>
      <c r="AF330" s="469"/>
      <c r="AG330" s="469"/>
      <c r="AH330" s="469"/>
      <c r="AI330" s="469"/>
      <c r="AJ330" s="469"/>
      <c r="AK330" s="469"/>
      <c r="AL330" s="469"/>
      <c r="AM330" s="465"/>
      <c r="AN330" s="465"/>
      <c r="AO330" s="465"/>
    </row>
    <row r="331">
      <c r="A331" s="85">
        <v>44947.0</v>
      </c>
      <c r="B331" s="86">
        <v>297.49</v>
      </c>
      <c r="C331" s="85">
        <v>44591.0</v>
      </c>
      <c r="D331" s="89" t="s">
        <v>2282</v>
      </c>
      <c r="E331" s="89" t="s">
        <v>2284</v>
      </c>
      <c r="F331" s="89" t="s">
        <v>2286</v>
      </c>
      <c r="G331" s="89" t="s">
        <v>114</v>
      </c>
      <c r="H331" s="89" t="s">
        <v>94</v>
      </c>
      <c r="I331" s="475" t="s">
        <v>94</v>
      </c>
      <c r="J331" s="89" t="s">
        <v>95</v>
      </c>
      <c r="K331" s="89"/>
      <c r="L331" s="89">
        <v>1.0</v>
      </c>
      <c r="M331" s="89"/>
      <c r="N331" s="89"/>
      <c r="O331" s="89"/>
      <c r="P331" s="89"/>
      <c r="Q331" s="89"/>
      <c r="R331" s="89"/>
      <c r="S331" s="89"/>
      <c r="T331" s="89"/>
      <c r="U331" s="89"/>
      <c r="V331" s="89"/>
      <c r="W331" s="469"/>
      <c r="X331" s="469"/>
      <c r="Y331" s="469"/>
      <c r="Z331" s="469"/>
      <c r="AA331" s="469"/>
      <c r="AB331" s="469"/>
      <c r="AC331" s="469"/>
      <c r="AD331" s="469"/>
      <c r="AE331" s="469"/>
      <c r="AF331" s="469"/>
      <c r="AG331" s="469"/>
      <c r="AH331" s="469"/>
      <c r="AI331" s="469"/>
      <c r="AJ331" s="469"/>
      <c r="AK331" s="469"/>
      <c r="AL331" s="469"/>
      <c r="AM331" s="465"/>
      <c r="AN331" s="465"/>
      <c r="AO331" s="465"/>
    </row>
    <row r="332">
      <c r="A332" s="85">
        <v>44947.0</v>
      </c>
      <c r="B332" s="86">
        <v>248.76</v>
      </c>
      <c r="C332" s="85">
        <v>44890.0</v>
      </c>
      <c r="D332" s="496" t="s">
        <v>2290</v>
      </c>
      <c r="E332" s="89" t="s">
        <v>2292</v>
      </c>
      <c r="F332" s="89" t="s">
        <v>2293</v>
      </c>
      <c r="G332" s="89" t="s">
        <v>114</v>
      </c>
      <c r="H332" s="89" t="s">
        <v>94</v>
      </c>
      <c r="I332" s="475" t="s">
        <v>94</v>
      </c>
      <c r="J332" s="89" t="s">
        <v>95</v>
      </c>
      <c r="K332" s="89">
        <v>1.0</v>
      </c>
      <c r="L332" s="89"/>
      <c r="M332" s="89"/>
      <c r="N332" s="89"/>
      <c r="O332" s="89"/>
      <c r="P332" s="89"/>
      <c r="Q332" s="89"/>
      <c r="R332" s="89"/>
      <c r="S332" s="89"/>
      <c r="T332" s="89"/>
      <c r="U332" s="89"/>
      <c r="V332" s="89"/>
      <c r="W332" s="469"/>
      <c r="X332" s="469"/>
      <c r="Y332" s="469"/>
      <c r="Z332" s="469"/>
      <c r="AA332" s="469"/>
      <c r="AB332" s="469"/>
      <c r="AC332" s="469"/>
      <c r="AD332" s="469"/>
      <c r="AE332" s="469"/>
      <c r="AF332" s="469"/>
      <c r="AG332" s="469"/>
      <c r="AH332" s="469"/>
      <c r="AI332" s="469"/>
      <c r="AJ332" s="469"/>
      <c r="AK332" s="469"/>
      <c r="AL332" s="469"/>
      <c r="AM332" s="465"/>
      <c r="AN332" s="465"/>
      <c r="AO332" s="465"/>
    </row>
    <row r="333">
      <c r="A333" s="85">
        <v>44947.0</v>
      </c>
      <c r="B333" s="86">
        <v>319.93</v>
      </c>
      <c r="C333" s="85">
        <v>44893.0</v>
      </c>
      <c r="D333" s="498" t="s">
        <v>2298</v>
      </c>
      <c r="E333" s="89" t="s">
        <v>2299</v>
      </c>
      <c r="F333" s="89" t="s">
        <v>2300</v>
      </c>
      <c r="G333" s="89" t="s">
        <v>114</v>
      </c>
      <c r="H333" s="89" t="s">
        <v>94</v>
      </c>
      <c r="I333" s="475" t="s">
        <v>135</v>
      </c>
      <c r="J333" s="89" t="s">
        <v>95</v>
      </c>
      <c r="K333" s="89">
        <v>1.0</v>
      </c>
      <c r="L333" s="89"/>
      <c r="M333" s="89">
        <v>1.0</v>
      </c>
      <c r="N333" s="89"/>
      <c r="O333" s="89"/>
      <c r="P333" s="89">
        <v>1.0</v>
      </c>
      <c r="Q333" s="89"/>
      <c r="R333" s="89"/>
      <c r="S333" s="89"/>
      <c r="T333" s="89"/>
      <c r="U333" s="89"/>
      <c r="V333" s="89"/>
      <c r="W333" s="469"/>
      <c r="X333" s="469"/>
      <c r="Y333" s="469"/>
      <c r="Z333" s="469"/>
      <c r="AA333" s="469"/>
      <c r="AB333" s="469"/>
      <c r="AC333" s="469"/>
      <c r="AD333" s="469"/>
      <c r="AE333" s="469"/>
      <c r="AF333" s="469"/>
      <c r="AG333" s="469"/>
      <c r="AH333" s="469"/>
      <c r="AI333" s="469"/>
      <c r="AJ333" s="469"/>
      <c r="AK333" s="469"/>
      <c r="AL333" s="469"/>
      <c r="AM333" s="465"/>
      <c r="AN333" s="465"/>
      <c r="AO333" s="465"/>
    </row>
    <row r="334">
      <c r="A334" s="85">
        <v>44947.0</v>
      </c>
      <c r="B334" s="86">
        <v>369.0</v>
      </c>
      <c r="C334" s="85">
        <v>44386.0</v>
      </c>
      <c r="D334" s="89" t="s">
        <v>2304</v>
      </c>
      <c r="E334" s="89" t="s">
        <v>2305</v>
      </c>
      <c r="F334" s="89" t="s">
        <v>2306</v>
      </c>
      <c r="G334" s="89" t="s">
        <v>114</v>
      </c>
      <c r="H334" s="89" t="s">
        <v>94</v>
      </c>
      <c r="I334" s="475" t="s">
        <v>94</v>
      </c>
      <c r="J334" s="89" t="s">
        <v>95</v>
      </c>
      <c r="K334" s="89">
        <v>2.0</v>
      </c>
      <c r="L334" s="89"/>
      <c r="M334" s="89"/>
      <c r="N334" s="89"/>
      <c r="O334" s="89"/>
      <c r="P334" s="89"/>
      <c r="Q334" s="89"/>
      <c r="R334" s="89"/>
      <c r="S334" s="89"/>
      <c r="T334" s="89"/>
      <c r="U334" s="89"/>
      <c r="V334" s="89"/>
      <c r="W334" s="469"/>
      <c r="X334" s="469"/>
      <c r="Y334" s="469"/>
      <c r="Z334" s="469"/>
      <c r="AA334" s="469"/>
      <c r="AB334" s="469"/>
      <c r="AC334" s="469"/>
      <c r="AD334" s="469"/>
      <c r="AE334" s="469"/>
      <c r="AF334" s="469"/>
      <c r="AG334" s="469"/>
      <c r="AH334" s="469"/>
      <c r="AI334" s="469"/>
      <c r="AJ334" s="469"/>
      <c r="AK334" s="469"/>
      <c r="AL334" s="469"/>
      <c r="AM334" s="465"/>
      <c r="AN334" s="465"/>
      <c r="AO334" s="465"/>
    </row>
    <row r="335">
      <c r="A335" s="85">
        <v>44947.0</v>
      </c>
      <c r="B335" s="86">
        <v>272.6</v>
      </c>
      <c r="C335" s="85">
        <v>44890.0</v>
      </c>
      <c r="D335" s="89" t="s">
        <v>2311</v>
      </c>
      <c r="E335" s="89" t="s">
        <v>2312</v>
      </c>
      <c r="F335" s="89" t="s">
        <v>2313</v>
      </c>
      <c r="G335" s="89" t="s">
        <v>114</v>
      </c>
      <c r="H335" s="89" t="s">
        <v>94</v>
      </c>
      <c r="I335" s="475" t="s">
        <v>94</v>
      </c>
      <c r="J335" s="89" t="s">
        <v>95</v>
      </c>
      <c r="K335" s="89">
        <v>1.0</v>
      </c>
      <c r="L335" s="89"/>
      <c r="M335" s="89"/>
      <c r="N335" s="89">
        <v>1.0</v>
      </c>
      <c r="O335" s="89"/>
      <c r="P335" s="89"/>
      <c r="Q335" s="89"/>
      <c r="R335" s="89"/>
      <c r="S335" s="89"/>
      <c r="T335" s="89"/>
      <c r="U335" s="89"/>
      <c r="V335" s="89"/>
      <c r="W335" s="469"/>
      <c r="X335" s="469"/>
      <c r="Y335" s="469"/>
      <c r="Z335" s="469"/>
      <c r="AA335" s="469"/>
      <c r="AB335" s="469"/>
      <c r="AC335" s="469"/>
      <c r="AD335" s="469"/>
      <c r="AE335" s="469"/>
      <c r="AF335" s="469"/>
      <c r="AG335" s="469"/>
      <c r="AH335" s="469"/>
      <c r="AI335" s="469"/>
      <c r="AJ335" s="469"/>
      <c r="AK335" s="469"/>
      <c r="AL335" s="469"/>
      <c r="AM335" s="465"/>
      <c r="AN335" s="465"/>
      <c r="AO335" s="465"/>
    </row>
    <row r="336">
      <c r="A336" s="85">
        <v>44947.0</v>
      </c>
      <c r="B336" s="86">
        <v>270.71</v>
      </c>
      <c r="C336" s="85">
        <v>44891.0</v>
      </c>
      <c r="D336" s="89" t="s">
        <v>2317</v>
      </c>
      <c r="E336" s="89" t="s">
        <v>2318</v>
      </c>
      <c r="F336" s="89" t="s">
        <v>2319</v>
      </c>
      <c r="G336" s="89" t="s">
        <v>114</v>
      </c>
      <c r="H336" s="89" t="s">
        <v>94</v>
      </c>
      <c r="I336" s="475" t="s">
        <v>94</v>
      </c>
      <c r="J336" s="89" t="s">
        <v>95</v>
      </c>
      <c r="K336" s="89">
        <v>1.0</v>
      </c>
      <c r="L336" s="89"/>
      <c r="M336" s="89"/>
      <c r="N336" s="89">
        <v>1.0</v>
      </c>
      <c r="O336" s="89"/>
      <c r="P336" s="89"/>
      <c r="Q336" s="89"/>
      <c r="R336" s="89"/>
      <c r="S336" s="89"/>
      <c r="T336" s="89"/>
      <c r="U336" s="89"/>
      <c r="V336" s="89"/>
      <c r="W336" s="469"/>
      <c r="X336" s="469"/>
      <c r="Y336" s="469"/>
      <c r="Z336" s="469"/>
      <c r="AA336" s="469"/>
      <c r="AB336" s="469"/>
      <c r="AC336" s="469"/>
      <c r="AD336" s="469"/>
      <c r="AE336" s="469"/>
      <c r="AF336" s="469"/>
      <c r="AG336" s="469"/>
      <c r="AH336" s="469"/>
      <c r="AI336" s="469"/>
      <c r="AJ336" s="469"/>
      <c r="AK336" s="469"/>
      <c r="AL336" s="469"/>
      <c r="AM336" s="465"/>
      <c r="AN336" s="465"/>
      <c r="AO336" s="465"/>
    </row>
    <row r="337">
      <c r="A337" s="85">
        <v>44947.0</v>
      </c>
      <c r="B337" s="86">
        <v>237.0</v>
      </c>
      <c r="C337" s="85">
        <v>44646.0</v>
      </c>
      <c r="D337" s="89" t="s">
        <v>2323</v>
      </c>
      <c r="E337" s="89" t="s">
        <v>2325</v>
      </c>
      <c r="F337" s="89" t="s">
        <v>2326</v>
      </c>
      <c r="G337" s="89" t="s">
        <v>114</v>
      </c>
      <c r="H337" s="89" t="s">
        <v>94</v>
      </c>
      <c r="I337" s="475" t="s">
        <v>125</v>
      </c>
      <c r="J337" s="89" t="s">
        <v>95</v>
      </c>
      <c r="K337" s="89">
        <v>1.0</v>
      </c>
      <c r="L337" s="85"/>
      <c r="M337" s="89"/>
      <c r="N337" s="89">
        <v>1.0</v>
      </c>
      <c r="O337" s="85"/>
      <c r="P337" s="89"/>
      <c r="Q337" s="138"/>
      <c r="R337" s="138"/>
      <c r="S337" s="138"/>
      <c r="T337" s="138"/>
      <c r="U337" s="138"/>
      <c r="V337" s="469"/>
      <c r="W337" s="469"/>
      <c r="X337" s="469"/>
      <c r="Y337" s="469"/>
      <c r="Z337" s="469"/>
      <c r="AA337" s="469"/>
      <c r="AB337" s="469"/>
      <c r="AC337" s="469"/>
      <c r="AD337" s="469"/>
      <c r="AE337" s="469"/>
      <c r="AF337" s="469"/>
      <c r="AG337" s="469"/>
      <c r="AH337" s="469"/>
      <c r="AI337" s="469"/>
      <c r="AJ337" s="469"/>
      <c r="AK337" s="469"/>
      <c r="AL337" s="469"/>
      <c r="AM337" s="465"/>
      <c r="AN337" s="465"/>
      <c r="AO337" s="465"/>
    </row>
    <row r="338">
      <c r="A338" s="85">
        <v>44947.0</v>
      </c>
      <c r="B338" s="86">
        <v>229.0</v>
      </c>
      <c r="C338" s="85">
        <v>44876.0</v>
      </c>
      <c r="D338" s="89" t="s">
        <v>2327</v>
      </c>
      <c r="E338" s="89" t="s">
        <v>2328</v>
      </c>
      <c r="F338" s="89" t="s">
        <v>2329</v>
      </c>
      <c r="G338" s="89" t="s">
        <v>114</v>
      </c>
      <c r="H338" s="89" t="s">
        <v>94</v>
      </c>
      <c r="I338" s="475" t="s">
        <v>94</v>
      </c>
      <c r="J338" s="89" t="s">
        <v>95</v>
      </c>
      <c r="K338" s="89">
        <v>1.0</v>
      </c>
      <c r="L338" s="85"/>
      <c r="M338" s="85"/>
      <c r="N338" s="85"/>
      <c r="O338" s="85"/>
      <c r="P338" s="89"/>
      <c r="Q338" s="138"/>
      <c r="R338" s="138"/>
      <c r="S338" s="138"/>
      <c r="T338" s="138"/>
      <c r="U338" s="138"/>
      <c r="V338" s="469"/>
      <c r="W338" s="469"/>
      <c r="X338" s="469"/>
      <c r="Y338" s="469"/>
      <c r="Z338" s="469"/>
      <c r="AA338" s="469"/>
      <c r="AB338" s="469"/>
      <c r="AC338" s="469"/>
      <c r="AD338" s="469"/>
      <c r="AE338" s="469"/>
      <c r="AF338" s="469"/>
      <c r="AG338" s="469"/>
      <c r="AH338" s="469"/>
      <c r="AI338" s="469"/>
      <c r="AJ338" s="469"/>
      <c r="AK338" s="469"/>
      <c r="AL338" s="469"/>
      <c r="AM338" s="465"/>
      <c r="AN338" s="465"/>
      <c r="AO338" s="465"/>
    </row>
    <row r="339">
      <c r="A339" s="85">
        <v>44947.0</v>
      </c>
      <c r="B339" s="86">
        <v>224.16</v>
      </c>
      <c r="C339" s="85">
        <v>44682.0</v>
      </c>
      <c r="D339" s="477" t="s">
        <v>872</v>
      </c>
      <c r="E339" s="89"/>
      <c r="F339" s="194"/>
      <c r="G339" s="89"/>
      <c r="H339" s="89"/>
      <c r="I339" s="475"/>
      <c r="J339" s="89"/>
      <c r="K339" s="89"/>
      <c r="L339" s="85"/>
      <c r="M339" s="85"/>
      <c r="N339" s="85"/>
      <c r="O339" s="85"/>
      <c r="P339" s="85"/>
      <c r="Q339" s="138"/>
      <c r="R339" s="138"/>
      <c r="S339" s="138"/>
      <c r="T339" s="138"/>
      <c r="U339" s="138"/>
      <c r="V339" s="469"/>
      <c r="W339" s="469"/>
      <c r="X339" s="469"/>
      <c r="Y339" s="469"/>
      <c r="Z339" s="469"/>
      <c r="AA339" s="469"/>
      <c r="AB339" s="469"/>
      <c r="AC339" s="469"/>
      <c r="AD339" s="469"/>
      <c r="AE339" s="469"/>
      <c r="AF339" s="469"/>
      <c r="AG339" s="469"/>
      <c r="AH339" s="469"/>
      <c r="AI339" s="469"/>
      <c r="AJ339" s="469"/>
      <c r="AK339" s="469"/>
      <c r="AL339" s="469"/>
      <c r="AM339" s="465"/>
      <c r="AN339" s="465"/>
      <c r="AO339" s="465"/>
    </row>
    <row r="340">
      <c r="A340" s="85">
        <v>44947.0</v>
      </c>
      <c r="B340" s="86">
        <v>230.94</v>
      </c>
      <c r="C340" s="85">
        <v>44867.0</v>
      </c>
      <c r="D340" s="1" t="s">
        <v>2337</v>
      </c>
      <c r="E340" s="89" t="s">
        <v>2338</v>
      </c>
      <c r="F340" s="89" t="s">
        <v>2339</v>
      </c>
      <c r="G340" s="89" t="s">
        <v>114</v>
      </c>
      <c r="H340" s="89" t="s">
        <v>94</v>
      </c>
      <c r="I340" s="475" t="s">
        <v>94</v>
      </c>
      <c r="J340" s="89" t="s">
        <v>95</v>
      </c>
      <c r="K340" s="89">
        <v>1.0</v>
      </c>
      <c r="L340" s="89"/>
      <c r="M340" s="85"/>
      <c r="N340" s="89"/>
      <c r="O340" s="85"/>
      <c r="P340" s="89"/>
      <c r="Q340" s="138"/>
      <c r="R340" s="138"/>
      <c r="S340" s="138"/>
      <c r="T340" s="138"/>
      <c r="U340" s="138"/>
      <c r="V340" s="469"/>
      <c r="W340" s="469"/>
      <c r="X340" s="469"/>
      <c r="Y340" s="469"/>
      <c r="Z340" s="469"/>
      <c r="AA340" s="469"/>
      <c r="AB340" s="469"/>
      <c r="AC340" s="469"/>
      <c r="AD340" s="469"/>
      <c r="AE340" s="469"/>
      <c r="AF340" s="469"/>
      <c r="AG340" s="469"/>
      <c r="AH340" s="469"/>
      <c r="AI340" s="469"/>
      <c r="AJ340" s="469"/>
      <c r="AK340" s="469"/>
      <c r="AL340" s="469"/>
      <c r="AM340" s="465"/>
      <c r="AN340" s="465"/>
      <c r="AO340" s="465"/>
    </row>
    <row r="341" ht="15.75" customHeight="1">
      <c r="A341" s="85">
        <v>44947.0</v>
      </c>
      <c r="B341" s="86">
        <v>199.0</v>
      </c>
      <c r="C341" s="85">
        <v>44862.0</v>
      </c>
      <c r="D341" s="1" t="s">
        <v>1603</v>
      </c>
      <c r="E341" s="89" t="s">
        <v>1604</v>
      </c>
      <c r="F341" s="89" t="s">
        <v>1605</v>
      </c>
      <c r="G341" s="89" t="s">
        <v>114</v>
      </c>
      <c r="H341" s="89" t="s">
        <v>94</v>
      </c>
      <c r="I341" s="475" t="s">
        <v>125</v>
      </c>
      <c r="J341" s="89" t="s">
        <v>95</v>
      </c>
      <c r="K341" s="89">
        <v>1.0</v>
      </c>
      <c r="L341" s="85"/>
      <c r="M341" s="85"/>
      <c r="N341" s="85"/>
      <c r="O341" s="85"/>
      <c r="P341" s="89"/>
      <c r="Q341" s="138"/>
      <c r="R341" s="138"/>
      <c r="S341" s="138"/>
      <c r="T341" s="138"/>
      <c r="U341" s="138"/>
      <c r="V341" s="469"/>
      <c r="W341" s="469"/>
      <c r="X341" s="469"/>
      <c r="Y341" s="469"/>
      <c r="Z341" s="469"/>
      <c r="AA341" s="469"/>
      <c r="AB341" s="469"/>
      <c r="AC341" s="469"/>
      <c r="AD341" s="469"/>
      <c r="AE341" s="469"/>
      <c r="AF341" s="469"/>
      <c r="AG341" s="469"/>
      <c r="AH341" s="469"/>
      <c r="AI341" s="469"/>
      <c r="AJ341" s="469"/>
      <c r="AK341" s="469"/>
      <c r="AL341" s="469"/>
      <c r="AM341" s="465"/>
      <c r="AN341" s="465"/>
      <c r="AO341" s="465"/>
    </row>
    <row r="342">
      <c r="A342" s="85">
        <v>44947.0</v>
      </c>
      <c r="B342" s="293">
        <v>214.92</v>
      </c>
      <c r="C342" s="85">
        <v>44878.0</v>
      </c>
      <c r="D342" s="444" t="s">
        <v>2346</v>
      </c>
      <c r="E342" s="89" t="s">
        <v>2348</v>
      </c>
      <c r="F342" s="89" t="s">
        <v>2349</v>
      </c>
      <c r="G342" s="89" t="s">
        <v>114</v>
      </c>
      <c r="H342" s="89" t="s">
        <v>94</v>
      </c>
      <c r="I342" s="475" t="s">
        <v>94</v>
      </c>
      <c r="J342" s="89" t="s">
        <v>95</v>
      </c>
      <c r="K342" s="89">
        <v>1.0</v>
      </c>
      <c r="L342" s="89"/>
      <c r="M342" s="85"/>
      <c r="N342" s="85"/>
      <c r="O342" s="85"/>
      <c r="P342" s="89"/>
      <c r="Q342" s="138"/>
      <c r="R342" s="137"/>
      <c r="S342" s="138"/>
      <c r="T342" s="138"/>
      <c r="U342" s="138"/>
      <c r="V342" s="469"/>
      <c r="W342" s="469"/>
      <c r="X342" s="469"/>
      <c r="Y342" s="469"/>
      <c r="Z342" s="469"/>
      <c r="AA342" s="469"/>
      <c r="AB342" s="469"/>
      <c r="AC342" s="469"/>
      <c r="AD342" s="469"/>
      <c r="AE342" s="469"/>
      <c r="AF342" s="469"/>
      <c r="AG342" s="469"/>
      <c r="AH342" s="469"/>
      <c r="AI342" s="469"/>
      <c r="AJ342" s="469"/>
      <c r="AK342" s="469"/>
      <c r="AL342" s="469"/>
      <c r="AM342" s="465"/>
      <c r="AN342" s="465"/>
      <c r="AO342" s="465"/>
    </row>
    <row r="343">
      <c r="A343" s="85">
        <v>44947.0</v>
      </c>
      <c r="B343" s="86">
        <v>78.67</v>
      </c>
      <c r="C343" s="85">
        <v>44891.0</v>
      </c>
      <c r="D343" s="89" t="s">
        <v>2351</v>
      </c>
      <c r="E343" s="89" t="s">
        <v>2352</v>
      </c>
      <c r="F343" s="89" t="s">
        <v>2354</v>
      </c>
      <c r="G343" s="89" t="s">
        <v>114</v>
      </c>
      <c r="H343" s="89" t="s">
        <v>94</v>
      </c>
      <c r="I343" s="475" t="s">
        <v>94</v>
      </c>
      <c r="J343" s="89" t="s">
        <v>95</v>
      </c>
      <c r="K343" s="85"/>
      <c r="L343" s="89"/>
      <c r="M343" s="89">
        <v>1.0</v>
      </c>
      <c r="N343" s="89"/>
      <c r="O343" s="85"/>
      <c r="P343" s="89"/>
      <c r="Q343" s="137"/>
      <c r="R343" s="138"/>
      <c r="S343" s="138"/>
      <c r="T343" s="138"/>
      <c r="U343" s="138"/>
      <c r="V343" s="469"/>
      <c r="W343" s="469"/>
      <c r="X343" s="469"/>
      <c r="Y343" s="469"/>
      <c r="Z343" s="469"/>
      <c r="AA343" s="469"/>
      <c r="AB343" s="469"/>
      <c r="AC343" s="469"/>
      <c r="AD343" s="469"/>
      <c r="AE343" s="469"/>
      <c r="AF343" s="469"/>
      <c r="AG343" s="469"/>
      <c r="AH343" s="469"/>
      <c r="AI343" s="469"/>
      <c r="AJ343" s="469"/>
      <c r="AK343" s="469"/>
      <c r="AL343" s="469"/>
      <c r="AM343" s="465"/>
      <c r="AN343" s="465"/>
      <c r="AO343" s="465"/>
    </row>
    <row r="344">
      <c r="A344" s="85">
        <v>44947.0</v>
      </c>
      <c r="B344" s="86">
        <v>468.73</v>
      </c>
      <c r="C344" s="85">
        <v>44888.0</v>
      </c>
      <c r="D344" s="89" t="s">
        <v>2356</v>
      </c>
      <c r="E344" s="89" t="s">
        <v>2357</v>
      </c>
      <c r="F344" s="89" t="s">
        <v>2358</v>
      </c>
      <c r="G344" s="89" t="s">
        <v>114</v>
      </c>
      <c r="H344" s="89" t="s">
        <v>94</v>
      </c>
      <c r="I344" s="475" t="s">
        <v>94</v>
      </c>
      <c r="J344" s="89" t="s">
        <v>95</v>
      </c>
      <c r="K344" s="89">
        <v>2.0</v>
      </c>
      <c r="L344" s="89"/>
      <c r="M344" s="85"/>
      <c r="N344" s="89"/>
      <c r="O344" s="85"/>
      <c r="P344" s="89"/>
      <c r="Q344" s="138"/>
      <c r="R344" s="138"/>
      <c r="S344" s="138"/>
      <c r="T344" s="138"/>
      <c r="U344" s="138"/>
      <c r="V344" s="469"/>
      <c r="W344" s="469"/>
      <c r="X344" s="469"/>
      <c r="Y344" s="469"/>
      <c r="Z344" s="469"/>
      <c r="AA344" s="469"/>
      <c r="AB344" s="469"/>
      <c r="AC344" s="469"/>
      <c r="AD344" s="469"/>
      <c r="AE344" s="469"/>
      <c r="AF344" s="469"/>
      <c r="AG344" s="469"/>
      <c r="AH344" s="469"/>
      <c r="AI344" s="469"/>
      <c r="AJ344" s="469"/>
      <c r="AK344" s="469"/>
      <c r="AL344" s="469"/>
      <c r="AM344" s="465"/>
      <c r="AN344" s="465"/>
      <c r="AO344" s="465"/>
    </row>
    <row r="345">
      <c r="A345" s="85">
        <v>44947.0</v>
      </c>
      <c r="B345" s="86">
        <v>257.9</v>
      </c>
      <c r="C345" s="85">
        <v>44105.0</v>
      </c>
      <c r="D345" s="89" t="s">
        <v>2363</v>
      </c>
      <c r="E345" s="89" t="s">
        <v>2364</v>
      </c>
      <c r="F345" s="89" t="s">
        <v>2365</v>
      </c>
      <c r="G345" s="89" t="s">
        <v>114</v>
      </c>
      <c r="H345" s="89" t="s">
        <v>170</v>
      </c>
      <c r="I345" s="475" t="s">
        <v>170</v>
      </c>
      <c r="J345" s="89" t="s">
        <v>95</v>
      </c>
      <c r="K345" s="89"/>
      <c r="L345" s="89">
        <v>1.0</v>
      </c>
      <c r="M345" s="85"/>
      <c r="N345" s="85"/>
      <c r="O345" s="85"/>
      <c r="P345" s="89"/>
      <c r="Q345" s="138"/>
      <c r="R345" s="138"/>
      <c r="S345" s="138"/>
      <c r="T345" s="138"/>
      <c r="U345" s="138"/>
      <c r="V345" s="469"/>
      <c r="W345" s="469"/>
      <c r="X345" s="469"/>
      <c r="Y345" s="469"/>
      <c r="Z345" s="469"/>
      <c r="AA345" s="469"/>
      <c r="AB345" s="469"/>
      <c r="AC345" s="469"/>
      <c r="AD345" s="469"/>
      <c r="AE345" s="469"/>
      <c r="AF345" s="469"/>
      <c r="AG345" s="469"/>
      <c r="AH345" s="469"/>
      <c r="AI345" s="469"/>
      <c r="AJ345" s="469"/>
      <c r="AK345" s="469"/>
      <c r="AL345" s="469"/>
      <c r="AM345" s="465"/>
      <c r="AN345" s="465"/>
      <c r="AO345" s="465"/>
    </row>
    <row r="346">
      <c r="A346" s="85">
        <v>44947.0</v>
      </c>
      <c r="B346" s="86">
        <v>230.94</v>
      </c>
      <c r="C346" s="85">
        <v>44555.0</v>
      </c>
      <c r="D346" s="89" t="s">
        <v>2369</v>
      </c>
      <c r="E346" s="89" t="s">
        <v>2370</v>
      </c>
      <c r="F346" s="89" t="s">
        <v>2371</v>
      </c>
      <c r="G346" s="89" t="s">
        <v>114</v>
      </c>
      <c r="H346" s="89" t="s">
        <v>94</v>
      </c>
      <c r="I346" s="475" t="s">
        <v>94</v>
      </c>
      <c r="J346" s="89" t="s">
        <v>95</v>
      </c>
      <c r="K346" s="89">
        <v>1.0</v>
      </c>
      <c r="L346" s="85"/>
      <c r="M346" s="85"/>
      <c r="N346" s="85"/>
      <c r="O346" s="85"/>
      <c r="P346" s="89"/>
      <c r="Q346" s="138"/>
      <c r="R346" s="138"/>
      <c r="S346" s="138"/>
      <c r="T346" s="138"/>
      <c r="U346" s="138"/>
      <c r="V346" s="469"/>
      <c r="W346" s="469"/>
      <c r="X346" s="469"/>
      <c r="Y346" s="469"/>
      <c r="Z346" s="469"/>
      <c r="AA346" s="469"/>
      <c r="AB346" s="469"/>
      <c r="AC346" s="469"/>
      <c r="AD346" s="469"/>
      <c r="AE346" s="469"/>
      <c r="AF346" s="469"/>
      <c r="AG346" s="469"/>
      <c r="AH346" s="469"/>
      <c r="AI346" s="469"/>
      <c r="AJ346" s="469"/>
      <c r="AK346" s="469"/>
      <c r="AL346" s="469"/>
      <c r="AM346" s="465"/>
      <c r="AN346" s="465"/>
      <c r="AO346" s="465"/>
    </row>
    <row r="347">
      <c r="A347" s="85">
        <v>44947.0</v>
      </c>
      <c r="B347" s="86">
        <v>748.4</v>
      </c>
      <c r="C347" s="85">
        <v>44104.0</v>
      </c>
      <c r="D347" s="89" t="s">
        <v>2372</v>
      </c>
      <c r="E347" s="130" t="s">
        <v>2373</v>
      </c>
      <c r="F347" s="89" t="s">
        <v>2374</v>
      </c>
      <c r="G347" s="89" t="s">
        <v>114</v>
      </c>
      <c r="H347" s="89" t="s">
        <v>170</v>
      </c>
      <c r="I347" s="475" t="s">
        <v>125</v>
      </c>
      <c r="J347" s="89" t="s">
        <v>95</v>
      </c>
      <c r="K347" s="89"/>
      <c r="L347" s="89">
        <v>3.0</v>
      </c>
      <c r="M347" s="85"/>
      <c r="N347" s="85"/>
      <c r="O347" s="89">
        <v>3.0</v>
      </c>
      <c r="P347" s="89"/>
      <c r="Q347" s="138"/>
      <c r="R347" s="138"/>
      <c r="S347" s="138"/>
      <c r="T347" s="138"/>
      <c r="U347" s="138"/>
      <c r="V347" s="469"/>
      <c r="W347" s="469"/>
      <c r="X347" s="469"/>
      <c r="Y347" s="469"/>
      <c r="Z347" s="469"/>
      <c r="AA347" s="469"/>
      <c r="AB347" s="469"/>
      <c r="AC347" s="469"/>
      <c r="AD347" s="469"/>
      <c r="AE347" s="469"/>
      <c r="AF347" s="469"/>
      <c r="AG347" s="469"/>
      <c r="AH347" s="469"/>
      <c r="AI347" s="469"/>
      <c r="AJ347" s="469"/>
      <c r="AK347" s="469"/>
      <c r="AL347" s="469"/>
      <c r="AM347" s="469"/>
      <c r="AN347" s="469"/>
      <c r="AO347" s="469"/>
    </row>
    <row r="348">
      <c r="A348" s="85">
        <v>44947.0</v>
      </c>
      <c r="B348" s="86">
        <v>249.43</v>
      </c>
      <c r="C348" s="85">
        <v>44859.0</v>
      </c>
      <c r="D348" s="89" t="s">
        <v>2376</v>
      </c>
      <c r="E348" s="89" t="s">
        <v>2377</v>
      </c>
      <c r="F348" s="89" t="s">
        <v>2378</v>
      </c>
      <c r="G348" s="89" t="s">
        <v>114</v>
      </c>
      <c r="H348" s="89" t="s">
        <v>94</v>
      </c>
      <c r="I348" s="475" t="s">
        <v>196</v>
      </c>
      <c r="J348" s="89" t="s">
        <v>95</v>
      </c>
      <c r="K348" s="89">
        <v>1.0</v>
      </c>
      <c r="L348" s="89"/>
      <c r="M348" s="85"/>
      <c r="N348" s="85"/>
      <c r="O348" s="85"/>
      <c r="P348" s="89">
        <v>1.0</v>
      </c>
      <c r="Q348" s="138"/>
      <c r="R348" s="138"/>
      <c r="S348" s="138"/>
      <c r="T348" s="138"/>
      <c r="U348" s="138"/>
      <c r="V348" s="469"/>
      <c r="W348" s="469"/>
      <c r="X348" s="469"/>
      <c r="Y348" s="469"/>
      <c r="Z348" s="469"/>
      <c r="AA348" s="469"/>
      <c r="AB348" s="469"/>
      <c r="AC348" s="469"/>
      <c r="AD348" s="469"/>
      <c r="AE348" s="469"/>
      <c r="AF348" s="469"/>
      <c r="AG348" s="469"/>
      <c r="AH348" s="469"/>
      <c r="AI348" s="469"/>
      <c r="AJ348" s="469"/>
      <c r="AK348" s="469"/>
      <c r="AL348" s="469"/>
      <c r="AM348" s="469"/>
      <c r="AN348" s="469"/>
      <c r="AO348" s="469"/>
    </row>
    <row r="349">
      <c r="A349" s="85">
        <v>44947.0</v>
      </c>
      <c r="B349" s="339">
        <v>229.49</v>
      </c>
      <c r="C349" s="85">
        <v>44888.0</v>
      </c>
      <c r="D349" s="89" t="s">
        <v>2379</v>
      </c>
      <c r="E349" s="89" t="s">
        <v>2380</v>
      </c>
      <c r="F349" s="89" t="s">
        <v>2381</v>
      </c>
      <c r="G349" s="89" t="s">
        <v>114</v>
      </c>
      <c r="H349" s="89" t="s">
        <v>94</v>
      </c>
      <c r="I349" s="89" t="s">
        <v>94</v>
      </c>
      <c r="J349" s="89" t="s">
        <v>95</v>
      </c>
      <c r="K349" s="89">
        <v>1.0</v>
      </c>
      <c r="L349" s="85"/>
      <c r="M349" s="85"/>
      <c r="N349" s="85"/>
      <c r="O349" s="85"/>
      <c r="P349" s="89"/>
      <c r="Q349" s="138"/>
      <c r="R349" s="138"/>
      <c r="S349" s="138"/>
      <c r="T349" s="138"/>
      <c r="U349" s="138"/>
      <c r="V349" s="469"/>
      <c r="W349" s="469"/>
      <c r="X349" s="469"/>
      <c r="Y349" s="469"/>
      <c r="Z349" s="469"/>
      <c r="AA349" s="469"/>
      <c r="AB349" s="469"/>
      <c r="AC349" s="469"/>
      <c r="AD349" s="469"/>
      <c r="AE349" s="469"/>
      <c r="AF349" s="469"/>
      <c r="AG349" s="469"/>
      <c r="AH349" s="469"/>
      <c r="AI349" s="469"/>
      <c r="AJ349" s="469"/>
      <c r="AK349" s="469"/>
      <c r="AL349" s="469"/>
      <c r="AM349" s="469"/>
      <c r="AN349" s="469"/>
      <c r="AO349" s="469"/>
    </row>
    <row r="350">
      <c r="A350" s="85">
        <v>44947.0</v>
      </c>
      <c r="B350" s="339">
        <v>364.93</v>
      </c>
      <c r="C350" s="85">
        <v>44865.0</v>
      </c>
      <c r="D350" s="89" t="s">
        <v>2383</v>
      </c>
      <c r="E350" s="89" t="s">
        <v>2384</v>
      </c>
      <c r="F350" s="89" t="s">
        <v>2385</v>
      </c>
      <c r="G350" s="89" t="s">
        <v>114</v>
      </c>
      <c r="H350" s="89" t="s">
        <v>94</v>
      </c>
      <c r="I350" s="89" t="s">
        <v>94</v>
      </c>
      <c r="J350" s="89" t="s">
        <v>95</v>
      </c>
      <c r="K350" s="85"/>
      <c r="L350" s="89">
        <v>1.0</v>
      </c>
      <c r="M350" s="85"/>
      <c r="N350" s="89">
        <v>1.0</v>
      </c>
      <c r="O350" s="85"/>
      <c r="P350" s="85"/>
      <c r="Q350" s="137">
        <v>1.0</v>
      </c>
      <c r="R350" s="138"/>
      <c r="S350" s="138"/>
      <c r="T350" s="138"/>
      <c r="U350" s="138"/>
      <c r="V350" s="469"/>
      <c r="W350" s="469"/>
      <c r="X350" s="469"/>
      <c r="Y350" s="469"/>
      <c r="Z350" s="469"/>
      <c r="AA350" s="469"/>
      <c r="AB350" s="469"/>
      <c r="AC350" s="469"/>
      <c r="AD350" s="469"/>
      <c r="AE350" s="469"/>
      <c r="AF350" s="469"/>
      <c r="AG350" s="469"/>
      <c r="AH350" s="469"/>
      <c r="AI350" s="469"/>
      <c r="AJ350" s="469"/>
      <c r="AK350" s="469"/>
      <c r="AL350" s="469"/>
      <c r="AM350" s="469"/>
      <c r="AN350" s="469"/>
      <c r="AO350" s="469"/>
    </row>
    <row r="351">
      <c r="A351" s="85">
        <v>44947.0</v>
      </c>
      <c r="B351" s="86">
        <v>260.01</v>
      </c>
      <c r="C351" s="85">
        <v>44864.0</v>
      </c>
      <c r="D351" s="1" t="s">
        <v>2386</v>
      </c>
      <c r="E351" s="89" t="s">
        <v>2387</v>
      </c>
      <c r="F351" s="89" t="s">
        <v>2388</v>
      </c>
      <c r="G351" s="89" t="s">
        <v>114</v>
      </c>
      <c r="H351" s="89" t="s">
        <v>94</v>
      </c>
      <c r="I351" s="89" t="s">
        <v>125</v>
      </c>
      <c r="J351" s="89" t="s">
        <v>95</v>
      </c>
      <c r="K351" s="89">
        <v>1.0</v>
      </c>
      <c r="L351" s="85"/>
      <c r="M351" s="85"/>
      <c r="N351" s="89">
        <v>1.0</v>
      </c>
      <c r="O351" s="85"/>
      <c r="P351" s="89"/>
      <c r="Q351" s="138"/>
      <c r="R351" s="138"/>
      <c r="S351" s="138"/>
      <c r="T351" s="138"/>
      <c r="U351" s="138"/>
      <c r="V351" s="469"/>
      <c r="W351" s="469"/>
      <c r="X351" s="469"/>
      <c r="Y351" s="469"/>
      <c r="Z351" s="469"/>
      <c r="AA351" s="469"/>
      <c r="AB351" s="469"/>
      <c r="AC351" s="469"/>
      <c r="AD351" s="469"/>
      <c r="AE351" s="469"/>
      <c r="AF351" s="469"/>
      <c r="AG351" s="469"/>
      <c r="AH351" s="469"/>
      <c r="AI351" s="469"/>
      <c r="AJ351" s="469"/>
      <c r="AK351" s="469"/>
      <c r="AL351" s="469"/>
      <c r="AM351" s="469"/>
      <c r="AN351" s="469"/>
      <c r="AO351" s="469"/>
    </row>
    <row r="352">
      <c r="A352" s="85">
        <v>44947.0</v>
      </c>
      <c r="B352" s="86">
        <v>319.93</v>
      </c>
      <c r="C352" s="85">
        <v>44893.0</v>
      </c>
      <c r="D352" s="89" t="s">
        <v>2389</v>
      </c>
      <c r="E352" s="89" t="s">
        <v>2390</v>
      </c>
      <c r="F352" s="89" t="s">
        <v>2391</v>
      </c>
      <c r="G352" s="89" t="s">
        <v>114</v>
      </c>
      <c r="H352" s="89" t="s">
        <v>94</v>
      </c>
      <c r="I352" s="89" t="s">
        <v>94</v>
      </c>
      <c r="J352" s="89" t="s">
        <v>95</v>
      </c>
      <c r="K352" s="89">
        <v>1.0</v>
      </c>
      <c r="L352" s="89"/>
      <c r="M352" s="89">
        <v>1.0</v>
      </c>
      <c r="N352" s="85"/>
      <c r="O352" s="85"/>
      <c r="P352" s="89"/>
      <c r="Q352" s="138"/>
      <c r="R352" s="138"/>
      <c r="S352" s="138"/>
      <c r="T352" s="138"/>
      <c r="U352" s="138"/>
      <c r="V352" s="469"/>
      <c r="W352" s="469"/>
      <c r="X352" s="469"/>
      <c r="Y352" s="469"/>
      <c r="Z352" s="469"/>
      <c r="AA352" s="469"/>
      <c r="AB352" s="469"/>
      <c r="AC352" s="469"/>
      <c r="AD352" s="469"/>
      <c r="AE352" s="469"/>
      <c r="AF352" s="469"/>
      <c r="AG352" s="469"/>
      <c r="AH352" s="469"/>
      <c r="AI352" s="469"/>
      <c r="AJ352" s="469"/>
      <c r="AK352" s="469"/>
      <c r="AL352" s="469"/>
      <c r="AM352" s="469"/>
      <c r="AN352" s="469"/>
      <c r="AO352" s="469"/>
    </row>
    <row r="353">
      <c r="A353" s="85">
        <v>44947.0</v>
      </c>
      <c r="B353" s="339">
        <v>319.94</v>
      </c>
      <c r="C353" s="85">
        <v>44872.0</v>
      </c>
      <c r="D353" s="89" t="s">
        <v>2393</v>
      </c>
      <c r="E353" s="89" t="s">
        <v>2394</v>
      </c>
      <c r="F353" s="89" t="s">
        <v>2395</v>
      </c>
      <c r="G353" s="89" t="s">
        <v>114</v>
      </c>
      <c r="H353" s="89" t="s">
        <v>94</v>
      </c>
      <c r="I353" s="89" t="s">
        <v>94</v>
      </c>
      <c r="J353" s="89" t="s">
        <v>95</v>
      </c>
      <c r="K353" s="89"/>
      <c r="L353" s="89">
        <v>1.0</v>
      </c>
      <c r="M353" s="85"/>
      <c r="N353" s="85"/>
      <c r="O353" s="85"/>
      <c r="P353" s="89"/>
      <c r="Q353" s="138"/>
      <c r="R353" s="138"/>
      <c r="S353" s="138"/>
      <c r="T353" s="138"/>
      <c r="U353" s="138"/>
      <c r="V353" s="469"/>
      <c r="W353" s="469"/>
      <c r="X353" s="469"/>
      <c r="Y353" s="469"/>
      <c r="Z353" s="469"/>
      <c r="AA353" s="469"/>
      <c r="AB353" s="469"/>
      <c r="AC353" s="469"/>
      <c r="AD353" s="469"/>
      <c r="AE353" s="469"/>
      <c r="AF353" s="469"/>
      <c r="AG353" s="469"/>
      <c r="AH353" s="469"/>
      <c r="AI353" s="469"/>
      <c r="AJ353" s="469"/>
      <c r="AK353" s="469"/>
      <c r="AL353" s="469"/>
      <c r="AM353" s="469"/>
      <c r="AN353" s="469"/>
      <c r="AO353" s="469"/>
    </row>
    <row r="354">
      <c r="A354" s="85">
        <v>44947.0</v>
      </c>
      <c r="B354" s="339">
        <v>229.0</v>
      </c>
      <c r="C354" s="85">
        <v>44884.0</v>
      </c>
      <c r="D354" s="89" t="s">
        <v>2396</v>
      </c>
      <c r="E354" s="89" t="s">
        <v>2397</v>
      </c>
      <c r="F354" s="89" t="s">
        <v>2398</v>
      </c>
      <c r="G354" s="89" t="s">
        <v>114</v>
      </c>
      <c r="H354" s="89" t="s">
        <v>94</v>
      </c>
      <c r="I354" s="89" t="s">
        <v>94</v>
      </c>
      <c r="J354" s="89" t="s">
        <v>95</v>
      </c>
      <c r="K354" s="89">
        <v>1.0</v>
      </c>
      <c r="L354" s="85"/>
      <c r="M354" s="89"/>
      <c r="N354" s="89"/>
      <c r="O354" s="85"/>
      <c r="P354" s="89"/>
      <c r="Q354" s="138"/>
      <c r="R354" s="138"/>
      <c r="S354" s="138"/>
      <c r="T354" s="138"/>
      <c r="U354" s="138"/>
      <c r="V354" s="469"/>
      <c r="W354" s="469"/>
      <c r="X354" s="469"/>
      <c r="Y354" s="469"/>
      <c r="Z354" s="469"/>
      <c r="AA354" s="469"/>
      <c r="AB354" s="469"/>
      <c r="AC354" s="469"/>
      <c r="AD354" s="469"/>
      <c r="AE354" s="469"/>
      <c r="AF354" s="469"/>
      <c r="AG354" s="469"/>
      <c r="AH354" s="469"/>
      <c r="AI354" s="469"/>
      <c r="AJ354" s="469"/>
      <c r="AK354" s="469"/>
      <c r="AL354" s="469"/>
      <c r="AM354" s="469"/>
      <c r="AN354" s="469"/>
      <c r="AO354" s="469"/>
    </row>
    <row r="355">
      <c r="A355" s="85">
        <v>44947.0</v>
      </c>
      <c r="B355" s="339">
        <v>324.53</v>
      </c>
      <c r="C355" s="85">
        <v>44880.0</v>
      </c>
      <c r="D355" s="1" t="s">
        <v>2399</v>
      </c>
      <c r="E355" s="89" t="s">
        <v>2400</v>
      </c>
      <c r="F355" s="89" t="s">
        <v>2401</v>
      </c>
      <c r="G355" s="89" t="s">
        <v>114</v>
      </c>
      <c r="H355" s="89" t="s">
        <v>94</v>
      </c>
      <c r="I355" s="89" t="s">
        <v>94</v>
      </c>
      <c r="J355" s="89" t="s">
        <v>95</v>
      </c>
      <c r="K355" s="89">
        <v>1.0</v>
      </c>
      <c r="L355" s="85"/>
      <c r="M355" s="85"/>
      <c r="N355" s="85"/>
      <c r="O355" s="85"/>
      <c r="P355" s="89"/>
      <c r="Q355" s="138"/>
      <c r="R355" s="138"/>
      <c r="S355" s="138"/>
      <c r="T355" s="138"/>
      <c r="U355" s="138"/>
      <c r="V355" s="469"/>
      <c r="W355" s="469"/>
      <c r="X355" s="469"/>
      <c r="Y355" s="469"/>
      <c r="Z355" s="469"/>
      <c r="AA355" s="469"/>
      <c r="AB355" s="469"/>
      <c r="AC355" s="469"/>
      <c r="AD355" s="469"/>
      <c r="AE355" s="469"/>
      <c r="AF355" s="469"/>
      <c r="AG355" s="469"/>
      <c r="AH355" s="469"/>
      <c r="AI355" s="469"/>
      <c r="AJ355" s="469"/>
      <c r="AK355" s="469"/>
      <c r="AL355" s="469"/>
      <c r="AM355" s="469"/>
      <c r="AN355" s="469"/>
      <c r="AO355" s="469"/>
    </row>
    <row r="356">
      <c r="A356" s="85">
        <v>44947.0</v>
      </c>
      <c r="B356" s="339">
        <v>259.26</v>
      </c>
      <c r="C356" s="85">
        <v>44612.0</v>
      </c>
      <c r="D356" s="1" t="s">
        <v>2403</v>
      </c>
      <c r="E356" s="89" t="s">
        <v>2404</v>
      </c>
      <c r="F356" s="89" t="s">
        <v>2405</v>
      </c>
      <c r="G356" s="89" t="s">
        <v>114</v>
      </c>
      <c r="H356" s="89" t="s">
        <v>94</v>
      </c>
      <c r="I356" s="89" t="s">
        <v>486</v>
      </c>
      <c r="J356" s="89" t="s">
        <v>95</v>
      </c>
      <c r="K356" s="89">
        <v>1.0</v>
      </c>
      <c r="L356" s="85"/>
      <c r="M356" s="89"/>
      <c r="N356" s="85"/>
      <c r="O356" s="89">
        <v>1.0</v>
      </c>
      <c r="P356" s="89"/>
      <c r="Q356" s="138"/>
      <c r="R356" s="138"/>
      <c r="S356" s="138"/>
      <c r="T356" s="138"/>
      <c r="U356" s="138"/>
      <c r="V356" s="469"/>
      <c r="W356" s="469"/>
      <c r="X356" s="469"/>
      <c r="Y356" s="469"/>
      <c r="Z356" s="469"/>
      <c r="AA356" s="469"/>
      <c r="AB356" s="469"/>
      <c r="AC356" s="469"/>
      <c r="AD356" s="469"/>
      <c r="AE356" s="469"/>
      <c r="AF356" s="469"/>
      <c r="AG356" s="469"/>
      <c r="AH356" s="469"/>
      <c r="AI356" s="469"/>
      <c r="AJ356" s="469"/>
      <c r="AK356" s="469"/>
      <c r="AL356" s="469"/>
      <c r="AM356" s="469"/>
      <c r="AN356" s="469"/>
      <c r="AO356" s="469"/>
    </row>
    <row r="357">
      <c r="A357" s="85">
        <v>44948.0</v>
      </c>
      <c r="B357" s="86">
        <v>206.0</v>
      </c>
      <c r="C357" s="85">
        <v>44396.0</v>
      </c>
      <c r="D357" s="89" t="s">
        <v>2406</v>
      </c>
      <c r="E357" s="89" t="s">
        <v>2407</v>
      </c>
      <c r="F357" s="89" t="s">
        <v>2408</v>
      </c>
      <c r="G357" s="89" t="s">
        <v>114</v>
      </c>
      <c r="H357" s="89" t="s">
        <v>161</v>
      </c>
      <c r="I357" s="89" t="s">
        <v>125</v>
      </c>
      <c r="J357" s="89" t="s">
        <v>95</v>
      </c>
      <c r="K357" s="89">
        <v>1.0</v>
      </c>
      <c r="L357" s="85"/>
      <c r="M357" s="85"/>
      <c r="N357" s="85"/>
      <c r="O357" s="85"/>
      <c r="P357" s="89"/>
      <c r="Q357" s="138"/>
      <c r="R357" s="138"/>
      <c r="S357" s="138"/>
      <c r="T357" s="138"/>
      <c r="U357" s="138"/>
      <c r="V357" s="469"/>
      <c r="W357" s="469"/>
      <c r="X357" s="469"/>
      <c r="Y357" s="469"/>
      <c r="Z357" s="469"/>
      <c r="AA357" s="469"/>
      <c r="AB357" s="469"/>
      <c r="AC357" s="469"/>
      <c r="AD357" s="469"/>
      <c r="AE357" s="469"/>
      <c r="AF357" s="469"/>
      <c r="AG357" s="469"/>
      <c r="AH357" s="469"/>
      <c r="AI357" s="469"/>
      <c r="AJ357" s="469"/>
      <c r="AK357" s="469"/>
      <c r="AL357" s="469"/>
      <c r="AM357" s="469"/>
      <c r="AN357" s="469"/>
      <c r="AO357" s="469"/>
    </row>
    <row r="358">
      <c r="A358" s="85">
        <v>44949.0</v>
      </c>
      <c r="B358" s="86">
        <v>325.91</v>
      </c>
      <c r="C358" s="85">
        <v>44875.0</v>
      </c>
      <c r="D358" s="477" t="s">
        <v>2410</v>
      </c>
      <c r="E358" s="89" t="s">
        <v>2411</v>
      </c>
      <c r="F358" s="89" t="s">
        <v>2412</v>
      </c>
      <c r="G358" s="89" t="s">
        <v>114</v>
      </c>
      <c r="H358" s="89" t="s">
        <v>94</v>
      </c>
      <c r="I358" s="89" t="s">
        <v>94</v>
      </c>
      <c r="J358" s="89" t="s">
        <v>95</v>
      </c>
      <c r="K358" s="89">
        <v>1.0</v>
      </c>
      <c r="L358" s="85"/>
      <c r="M358" s="85"/>
      <c r="N358" s="85"/>
      <c r="O358" s="85"/>
      <c r="P358" s="89"/>
      <c r="Q358" s="138"/>
      <c r="R358" s="138"/>
      <c r="S358" s="138"/>
      <c r="T358" s="138"/>
      <c r="U358" s="138"/>
      <c r="V358" s="469"/>
      <c r="W358" s="469"/>
      <c r="X358" s="469"/>
      <c r="Y358" s="469"/>
      <c r="Z358" s="469"/>
      <c r="AA358" s="469"/>
      <c r="AB358" s="469"/>
      <c r="AC358" s="469"/>
      <c r="AD358" s="469"/>
      <c r="AE358" s="469"/>
      <c r="AF358" s="469"/>
      <c r="AG358" s="469"/>
      <c r="AH358" s="469"/>
      <c r="AI358" s="469"/>
      <c r="AJ358" s="469"/>
      <c r="AK358" s="469"/>
      <c r="AL358" s="469"/>
      <c r="AM358" s="469"/>
      <c r="AN358" s="469"/>
      <c r="AO358" s="469"/>
    </row>
    <row r="359">
      <c r="A359" s="85">
        <v>44949.0</v>
      </c>
      <c r="B359" s="86">
        <v>247.9</v>
      </c>
      <c r="C359" s="85">
        <v>44894.0</v>
      </c>
      <c r="D359" s="89" t="s">
        <v>2413</v>
      </c>
      <c r="E359" s="89" t="s">
        <v>2414</v>
      </c>
      <c r="F359" s="89" t="s">
        <v>2415</v>
      </c>
      <c r="G359" s="89" t="s">
        <v>114</v>
      </c>
      <c r="H359" s="89" t="s">
        <v>94</v>
      </c>
      <c r="I359" s="89" t="s">
        <v>94</v>
      </c>
      <c r="J359" s="89" t="s">
        <v>95</v>
      </c>
      <c r="K359" s="89">
        <v>1.0</v>
      </c>
      <c r="L359" s="85"/>
      <c r="M359" s="85"/>
      <c r="N359" s="89"/>
      <c r="O359" s="85"/>
      <c r="P359" s="89"/>
      <c r="Q359" s="138"/>
      <c r="R359" s="138"/>
      <c r="S359" s="138"/>
      <c r="T359" s="138"/>
      <c r="U359" s="138"/>
      <c r="V359" s="469"/>
      <c r="W359" s="469"/>
      <c r="X359" s="469"/>
      <c r="Y359" s="469"/>
      <c r="Z359" s="469"/>
      <c r="AA359" s="469"/>
      <c r="AB359" s="469"/>
      <c r="AC359" s="469"/>
      <c r="AD359" s="469"/>
      <c r="AE359" s="469"/>
      <c r="AF359" s="469"/>
      <c r="AG359" s="469"/>
      <c r="AH359" s="469"/>
      <c r="AI359" s="469"/>
      <c r="AJ359" s="469"/>
      <c r="AK359" s="469"/>
      <c r="AL359" s="469"/>
      <c r="AM359" s="469"/>
      <c r="AN359" s="469"/>
      <c r="AO359" s="469"/>
    </row>
    <row r="360">
      <c r="A360" s="85">
        <v>44949.0</v>
      </c>
      <c r="B360" s="86">
        <v>331.0</v>
      </c>
      <c r="C360" s="85">
        <v>44681.0</v>
      </c>
      <c r="D360" s="89" t="s">
        <v>2416</v>
      </c>
      <c r="E360" s="89" t="s">
        <v>2417</v>
      </c>
      <c r="F360" s="89" t="s">
        <v>2418</v>
      </c>
      <c r="G360" s="89" t="s">
        <v>114</v>
      </c>
      <c r="H360" s="89" t="s">
        <v>94</v>
      </c>
      <c r="I360" s="89" t="s">
        <v>94</v>
      </c>
      <c r="J360" s="89" t="s">
        <v>95</v>
      </c>
      <c r="K360" s="89"/>
      <c r="L360" s="89">
        <v>1.0</v>
      </c>
      <c r="M360" s="85"/>
      <c r="N360" s="85"/>
      <c r="O360" s="85"/>
      <c r="P360" s="89"/>
      <c r="Q360" s="138"/>
      <c r="R360" s="138"/>
      <c r="S360" s="138"/>
      <c r="T360" s="138"/>
      <c r="U360" s="138"/>
      <c r="V360" s="469"/>
      <c r="W360" s="469"/>
      <c r="X360" s="469"/>
      <c r="Y360" s="469"/>
      <c r="Z360" s="469"/>
      <c r="AA360" s="469"/>
      <c r="AB360" s="469"/>
      <c r="AC360" s="469"/>
      <c r="AD360" s="469"/>
      <c r="AE360" s="469"/>
      <c r="AF360" s="469"/>
      <c r="AG360" s="469"/>
      <c r="AH360" s="469"/>
      <c r="AI360" s="469"/>
      <c r="AJ360" s="469"/>
      <c r="AK360" s="469"/>
      <c r="AL360" s="469"/>
      <c r="AM360" s="469"/>
      <c r="AN360" s="469"/>
      <c r="AO360" s="469"/>
    </row>
    <row r="361">
      <c r="A361" s="85">
        <v>44949.0</v>
      </c>
      <c r="B361" s="86">
        <v>32.63</v>
      </c>
      <c r="C361" s="85">
        <v>44893.0</v>
      </c>
      <c r="D361" s="89" t="s">
        <v>734</v>
      </c>
      <c r="E361" s="89" t="s">
        <v>735</v>
      </c>
      <c r="F361" s="89" t="s">
        <v>736</v>
      </c>
      <c r="G361" s="89" t="s">
        <v>114</v>
      </c>
      <c r="H361" s="89" t="s">
        <v>94</v>
      </c>
      <c r="I361" s="89" t="s">
        <v>94</v>
      </c>
      <c r="J361" s="89" t="s">
        <v>95</v>
      </c>
      <c r="K361" s="89"/>
      <c r="L361" s="85"/>
      <c r="M361" s="89">
        <v>1.0</v>
      </c>
      <c r="N361" s="85"/>
      <c r="O361" s="85"/>
      <c r="P361" s="89"/>
      <c r="Q361" s="138"/>
      <c r="R361" s="138"/>
      <c r="S361" s="138"/>
      <c r="T361" s="138"/>
      <c r="U361" s="138"/>
      <c r="V361" s="469"/>
      <c r="W361" s="469"/>
      <c r="X361" s="469"/>
      <c r="Y361" s="469"/>
      <c r="Z361" s="469"/>
      <c r="AA361" s="469"/>
      <c r="AB361" s="469"/>
      <c r="AC361" s="469"/>
      <c r="AD361" s="469"/>
      <c r="AE361" s="469"/>
      <c r="AF361" s="469"/>
      <c r="AG361" s="469"/>
      <c r="AH361" s="469"/>
      <c r="AI361" s="469"/>
      <c r="AJ361" s="469"/>
      <c r="AK361" s="469"/>
      <c r="AL361" s="469"/>
      <c r="AM361" s="469"/>
      <c r="AN361" s="469"/>
      <c r="AO361" s="469"/>
    </row>
    <row r="362">
      <c r="A362" s="85">
        <v>44949.0</v>
      </c>
      <c r="B362" s="86">
        <v>245.61</v>
      </c>
      <c r="C362" s="85">
        <v>44888.0</v>
      </c>
      <c r="D362" s="89" t="s">
        <v>2420</v>
      </c>
      <c r="E362" s="89" t="s">
        <v>2421</v>
      </c>
      <c r="F362" s="89" t="s">
        <v>2422</v>
      </c>
      <c r="G362" s="89" t="s">
        <v>114</v>
      </c>
      <c r="H362" s="89" t="s">
        <v>94</v>
      </c>
      <c r="I362" s="89" t="s">
        <v>94</v>
      </c>
      <c r="J362" s="89" t="s">
        <v>95</v>
      </c>
      <c r="K362" s="89">
        <v>1.0</v>
      </c>
      <c r="L362" s="85"/>
      <c r="M362" s="89"/>
      <c r="N362" s="85"/>
      <c r="O362" s="85"/>
      <c r="P362" s="89"/>
      <c r="Q362" s="138"/>
      <c r="R362" s="138"/>
      <c r="S362" s="138"/>
      <c r="T362" s="138"/>
      <c r="U362" s="138"/>
      <c r="V362" s="469"/>
      <c r="W362" s="469"/>
      <c r="X362" s="469"/>
      <c r="Y362" s="469"/>
      <c r="Z362" s="469"/>
      <c r="AA362" s="469"/>
      <c r="AB362" s="469"/>
      <c r="AC362" s="469"/>
      <c r="AD362" s="469"/>
      <c r="AE362" s="469"/>
      <c r="AF362" s="469"/>
      <c r="AG362" s="469"/>
      <c r="AH362" s="469"/>
      <c r="AI362" s="469"/>
      <c r="AJ362" s="469"/>
      <c r="AK362" s="469"/>
      <c r="AL362" s="469"/>
      <c r="AM362" s="469"/>
      <c r="AN362" s="469"/>
      <c r="AO362" s="469"/>
    </row>
    <row r="363">
      <c r="A363" s="85">
        <v>44949.0</v>
      </c>
      <c r="B363" s="86">
        <v>230.94</v>
      </c>
      <c r="C363" s="85">
        <v>44133.0</v>
      </c>
      <c r="D363" s="89" t="s">
        <v>2423</v>
      </c>
      <c r="E363" s="89" t="s">
        <v>2424</v>
      </c>
      <c r="F363" s="89" t="s">
        <v>2425</v>
      </c>
      <c r="G363" s="89" t="s">
        <v>114</v>
      </c>
      <c r="H363" s="89" t="s">
        <v>94</v>
      </c>
      <c r="I363" s="89" t="s">
        <v>94</v>
      </c>
      <c r="J363" s="89" t="s">
        <v>95</v>
      </c>
      <c r="K363" s="89">
        <v>1.0</v>
      </c>
      <c r="L363" s="85"/>
      <c r="M363" s="85"/>
      <c r="N363" s="85"/>
      <c r="O363" s="85"/>
      <c r="P363" s="89"/>
      <c r="Q363" s="138"/>
      <c r="R363" s="138"/>
      <c r="S363" s="138"/>
      <c r="T363" s="138"/>
      <c r="U363" s="138"/>
      <c r="V363" s="469"/>
      <c r="W363" s="469"/>
      <c r="X363" s="469"/>
      <c r="Y363" s="469"/>
      <c r="Z363" s="469"/>
      <c r="AA363" s="469"/>
      <c r="AB363" s="469"/>
      <c r="AC363" s="469"/>
      <c r="AD363" s="469"/>
      <c r="AE363" s="469"/>
      <c r="AF363" s="469"/>
      <c r="AG363" s="469"/>
      <c r="AH363" s="469"/>
      <c r="AI363" s="469"/>
      <c r="AJ363" s="469"/>
      <c r="AK363" s="469"/>
      <c r="AL363" s="469"/>
      <c r="AM363" s="469"/>
      <c r="AN363" s="469"/>
      <c r="AO363" s="469"/>
    </row>
    <row r="364">
      <c r="A364" s="85">
        <v>44949.0</v>
      </c>
      <c r="B364" s="86">
        <v>285.78</v>
      </c>
      <c r="C364" s="85">
        <v>44860.0</v>
      </c>
      <c r="D364" s="89" t="s">
        <v>2427</v>
      </c>
      <c r="E364" s="89" t="s">
        <v>434</v>
      </c>
      <c r="F364" s="89" t="s">
        <v>435</v>
      </c>
      <c r="G364" s="89" t="s">
        <v>114</v>
      </c>
      <c r="H364" s="89" t="s">
        <v>94</v>
      </c>
      <c r="I364" s="89" t="s">
        <v>94</v>
      </c>
      <c r="J364" s="89" t="s">
        <v>95</v>
      </c>
      <c r="K364" s="89"/>
      <c r="L364" s="89">
        <v>1.0</v>
      </c>
      <c r="M364" s="85"/>
      <c r="N364" s="89">
        <v>1.0</v>
      </c>
      <c r="O364" s="85"/>
      <c r="P364" s="89">
        <v>1.0</v>
      </c>
      <c r="Q364" s="138"/>
      <c r="R364" s="138"/>
      <c r="S364" s="138"/>
      <c r="T364" s="138"/>
      <c r="U364" s="138"/>
      <c r="V364" s="469"/>
      <c r="W364" s="469"/>
      <c r="X364" s="469"/>
      <c r="Y364" s="469"/>
      <c r="Z364" s="469"/>
      <c r="AA364" s="469"/>
      <c r="AB364" s="469"/>
      <c r="AC364" s="469"/>
      <c r="AD364" s="469"/>
      <c r="AE364" s="469"/>
      <c r="AF364" s="469"/>
      <c r="AG364" s="469"/>
      <c r="AH364" s="469"/>
      <c r="AI364" s="469"/>
      <c r="AJ364" s="469"/>
      <c r="AK364" s="469"/>
      <c r="AL364" s="469"/>
      <c r="AM364" s="469"/>
      <c r="AN364" s="469"/>
      <c r="AO364" s="469"/>
    </row>
    <row r="365">
      <c r="A365" s="85">
        <v>44949.0</v>
      </c>
      <c r="B365" s="86">
        <v>345.62</v>
      </c>
      <c r="C365" s="85">
        <v>44875.0</v>
      </c>
      <c r="D365" s="89" t="s">
        <v>2428</v>
      </c>
      <c r="E365" s="89" t="s">
        <v>2429</v>
      </c>
      <c r="F365" s="89" t="s">
        <v>2430</v>
      </c>
      <c r="G365" s="89" t="s">
        <v>114</v>
      </c>
      <c r="H365" s="89" t="s">
        <v>94</v>
      </c>
      <c r="I365" s="89" t="s">
        <v>94</v>
      </c>
      <c r="J365" s="89" t="s">
        <v>95</v>
      </c>
      <c r="K365" s="89">
        <v>1.0</v>
      </c>
      <c r="L365" s="85"/>
      <c r="M365" s="89">
        <v>1.0</v>
      </c>
      <c r="N365" s="89">
        <v>1.0</v>
      </c>
      <c r="O365" s="85"/>
      <c r="P365" s="89">
        <v>1.0</v>
      </c>
      <c r="Q365" s="138"/>
      <c r="R365" s="138"/>
      <c r="S365" s="138"/>
      <c r="T365" s="138"/>
      <c r="U365" s="138"/>
      <c r="V365" s="469"/>
      <c r="W365" s="469"/>
      <c r="X365" s="469"/>
      <c r="Y365" s="469"/>
      <c r="Z365" s="469"/>
      <c r="AA365" s="469"/>
      <c r="AB365" s="469"/>
      <c r="AC365" s="469"/>
      <c r="AD365" s="469"/>
      <c r="AE365" s="469"/>
      <c r="AF365" s="469"/>
      <c r="AG365" s="469"/>
      <c r="AH365" s="469"/>
      <c r="AI365" s="469"/>
      <c r="AJ365" s="469"/>
      <c r="AK365" s="469"/>
      <c r="AL365" s="469"/>
      <c r="AM365" s="469"/>
      <c r="AN365" s="469"/>
      <c r="AO365" s="469"/>
    </row>
    <row r="366">
      <c r="A366" s="85">
        <v>44949.0</v>
      </c>
      <c r="B366" s="86">
        <v>232.14</v>
      </c>
      <c r="C366" s="85">
        <v>44864.0</v>
      </c>
      <c r="D366" s="89" t="s">
        <v>2431</v>
      </c>
      <c r="E366" s="89" t="s">
        <v>2432</v>
      </c>
      <c r="F366" s="89" t="s">
        <v>2433</v>
      </c>
      <c r="G366" s="89" t="s">
        <v>114</v>
      </c>
      <c r="H366" s="89" t="s">
        <v>94</v>
      </c>
      <c r="I366" s="89" t="s">
        <v>94</v>
      </c>
      <c r="J366" s="89" t="s">
        <v>95</v>
      </c>
      <c r="K366" s="89">
        <v>1.0</v>
      </c>
      <c r="L366" s="85"/>
      <c r="M366" s="85"/>
      <c r="N366" s="89"/>
      <c r="O366" s="85"/>
      <c r="P366" s="89"/>
      <c r="Q366" s="138"/>
      <c r="R366" s="138"/>
      <c r="S366" s="138"/>
      <c r="T366" s="138"/>
      <c r="U366" s="138"/>
      <c r="V366" s="469"/>
      <c r="W366" s="469"/>
      <c r="X366" s="469"/>
      <c r="Y366" s="469"/>
      <c r="Z366" s="469"/>
      <c r="AA366" s="469"/>
      <c r="AB366" s="469"/>
      <c r="AC366" s="469"/>
      <c r="AD366" s="469"/>
      <c r="AE366" s="469"/>
      <c r="AF366" s="469"/>
      <c r="AG366" s="469"/>
      <c r="AH366" s="469"/>
      <c r="AI366" s="469"/>
      <c r="AJ366" s="469"/>
      <c r="AK366" s="469"/>
      <c r="AL366" s="469"/>
      <c r="AM366" s="469"/>
      <c r="AN366" s="469"/>
      <c r="AO366" s="469"/>
    </row>
    <row r="367">
      <c r="A367" s="85">
        <v>44949.0</v>
      </c>
      <c r="B367" s="86">
        <v>30.0</v>
      </c>
      <c r="C367" s="85">
        <v>44888.0</v>
      </c>
      <c r="D367" s="89" t="s">
        <v>1307</v>
      </c>
      <c r="E367" s="89" t="s">
        <v>1308</v>
      </c>
      <c r="F367" s="89" t="s">
        <v>1309</v>
      </c>
      <c r="G367" s="89" t="s">
        <v>114</v>
      </c>
      <c r="H367" s="89" t="s">
        <v>94</v>
      </c>
      <c r="I367" s="89" t="s">
        <v>2434</v>
      </c>
      <c r="J367" s="89" t="s">
        <v>95</v>
      </c>
      <c r="K367" s="85"/>
      <c r="L367" s="85"/>
      <c r="M367" s="89"/>
      <c r="N367" s="85"/>
      <c r="O367" s="85"/>
      <c r="P367" s="85"/>
      <c r="Q367" s="138"/>
      <c r="R367" s="138"/>
      <c r="S367" s="138"/>
      <c r="T367" s="138"/>
      <c r="U367" s="138"/>
      <c r="V367" s="469"/>
      <c r="W367" s="469"/>
      <c r="X367" s="469"/>
      <c r="Y367" s="469"/>
      <c r="Z367" s="469"/>
      <c r="AA367" s="469"/>
      <c r="AB367" s="469"/>
      <c r="AC367" s="469"/>
      <c r="AD367" s="469"/>
      <c r="AE367" s="469"/>
      <c r="AF367" s="469"/>
      <c r="AG367" s="469"/>
      <c r="AH367" s="469"/>
      <c r="AI367" s="469"/>
      <c r="AJ367" s="469"/>
      <c r="AK367" s="469"/>
      <c r="AL367" s="469"/>
      <c r="AM367" s="469"/>
      <c r="AN367" s="469"/>
      <c r="AO367" s="469"/>
    </row>
    <row r="368">
      <c r="A368" s="85">
        <v>44949.0</v>
      </c>
      <c r="B368" s="86">
        <v>242.74</v>
      </c>
      <c r="C368" s="85">
        <v>44882.0</v>
      </c>
      <c r="D368" s="370" t="s">
        <v>2435</v>
      </c>
      <c r="E368" s="89" t="s">
        <v>2436</v>
      </c>
      <c r="F368" s="89" t="s">
        <v>2437</v>
      </c>
      <c r="G368" s="89" t="s">
        <v>114</v>
      </c>
      <c r="H368" s="89" t="s">
        <v>94</v>
      </c>
      <c r="I368" s="89" t="s">
        <v>94</v>
      </c>
      <c r="J368" s="89" t="s">
        <v>95</v>
      </c>
      <c r="K368" s="89">
        <v>1.0</v>
      </c>
      <c r="L368" s="85"/>
      <c r="M368" s="89"/>
      <c r="N368" s="89"/>
      <c r="O368" s="85"/>
      <c r="P368" s="89">
        <v>1.0</v>
      </c>
      <c r="Q368" s="137"/>
      <c r="R368" s="138"/>
      <c r="S368" s="138"/>
      <c r="T368" s="137"/>
      <c r="U368" s="138"/>
      <c r="V368" s="469"/>
      <c r="W368" s="469"/>
      <c r="X368" s="469"/>
      <c r="Y368" s="469"/>
      <c r="Z368" s="469"/>
      <c r="AA368" s="469"/>
      <c r="AB368" s="469"/>
      <c r="AC368" s="469"/>
      <c r="AD368" s="469"/>
      <c r="AE368" s="469"/>
      <c r="AF368" s="469"/>
      <c r="AG368" s="469"/>
      <c r="AH368" s="469"/>
      <c r="AI368" s="469"/>
      <c r="AJ368" s="469"/>
      <c r="AK368" s="469"/>
      <c r="AL368" s="469"/>
      <c r="AM368" s="469"/>
      <c r="AN368" s="469"/>
      <c r="AO368" s="469"/>
    </row>
    <row r="369">
      <c r="A369" s="85">
        <v>44949.0</v>
      </c>
      <c r="B369" s="86">
        <v>219.0</v>
      </c>
      <c r="C369" s="85">
        <v>44491.0</v>
      </c>
      <c r="D369" s="89" t="s">
        <v>2438</v>
      </c>
      <c r="E369" s="89" t="s">
        <v>2439</v>
      </c>
      <c r="F369" s="89" t="s">
        <v>2440</v>
      </c>
      <c r="G369" s="89" t="s">
        <v>114</v>
      </c>
      <c r="H369" s="89" t="s">
        <v>94</v>
      </c>
      <c r="I369" s="89" t="s">
        <v>94</v>
      </c>
      <c r="J369" s="89" t="s">
        <v>95</v>
      </c>
      <c r="K369" s="89">
        <v>1.0</v>
      </c>
      <c r="L369" s="89"/>
      <c r="M369" s="85"/>
      <c r="N369" s="89"/>
      <c r="O369" s="85"/>
      <c r="P369" s="89"/>
      <c r="Q369" s="137"/>
      <c r="R369" s="138"/>
      <c r="S369" s="138"/>
      <c r="T369" s="138"/>
      <c r="U369" s="138"/>
      <c r="V369" s="469"/>
      <c r="W369" s="469"/>
      <c r="X369" s="469"/>
      <c r="Y369" s="469"/>
      <c r="Z369" s="469"/>
      <c r="AA369" s="469"/>
      <c r="AB369" s="469"/>
      <c r="AC369" s="469"/>
      <c r="AD369" s="469"/>
      <c r="AE369" s="469"/>
      <c r="AF369" s="469"/>
      <c r="AG369" s="469"/>
      <c r="AH369" s="469"/>
      <c r="AI369" s="469"/>
      <c r="AJ369" s="469"/>
      <c r="AK369" s="469"/>
      <c r="AL369" s="469"/>
      <c r="AM369" s="469"/>
      <c r="AN369" s="469"/>
      <c r="AO369" s="469"/>
    </row>
    <row r="370">
      <c r="A370" s="85">
        <v>44949.0</v>
      </c>
      <c r="B370" s="86">
        <v>279.0</v>
      </c>
      <c r="C370" s="85">
        <v>44593.0</v>
      </c>
      <c r="D370" s="89" t="s">
        <v>2441</v>
      </c>
      <c r="E370" s="89" t="s">
        <v>2442</v>
      </c>
      <c r="F370" s="89" t="s">
        <v>2444</v>
      </c>
      <c r="G370" s="89" t="s">
        <v>114</v>
      </c>
      <c r="H370" s="89" t="s">
        <v>94</v>
      </c>
      <c r="I370" s="89" t="s">
        <v>125</v>
      </c>
      <c r="J370" s="89" t="s">
        <v>95</v>
      </c>
      <c r="K370" s="89"/>
      <c r="L370" s="89">
        <v>1.0</v>
      </c>
      <c r="M370" s="89"/>
      <c r="N370" s="89"/>
      <c r="O370" s="85"/>
      <c r="P370" s="89"/>
      <c r="Q370" s="138"/>
      <c r="R370" s="138"/>
      <c r="S370" s="138"/>
      <c r="T370" s="138"/>
      <c r="U370" s="138"/>
      <c r="V370" s="469"/>
      <c r="W370" s="469"/>
      <c r="X370" s="469"/>
      <c r="Y370" s="469"/>
      <c r="Z370" s="469"/>
      <c r="AA370" s="469"/>
      <c r="AB370" s="469"/>
      <c r="AC370" s="469"/>
      <c r="AD370" s="469"/>
      <c r="AE370" s="469"/>
      <c r="AF370" s="469"/>
      <c r="AG370" s="469"/>
      <c r="AH370" s="469"/>
      <c r="AI370" s="469"/>
      <c r="AJ370" s="469"/>
      <c r="AK370" s="469"/>
      <c r="AL370" s="469"/>
      <c r="AM370" s="469"/>
      <c r="AN370" s="469"/>
      <c r="AO370" s="469"/>
    </row>
    <row r="371">
      <c r="A371" s="85">
        <v>44949.0</v>
      </c>
      <c r="B371" s="86">
        <v>85.41</v>
      </c>
      <c r="C371" s="85">
        <v>44892.0</v>
      </c>
      <c r="D371" s="89" t="s">
        <v>2445</v>
      </c>
      <c r="E371" s="89" t="s">
        <v>2446</v>
      </c>
      <c r="F371" s="89" t="s">
        <v>2447</v>
      </c>
      <c r="G371" s="89" t="s">
        <v>114</v>
      </c>
      <c r="H371" s="89" t="s">
        <v>94</v>
      </c>
      <c r="I371" s="89" t="s">
        <v>94</v>
      </c>
      <c r="J371" s="89" t="s">
        <v>95</v>
      </c>
      <c r="K371" s="85"/>
      <c r="L371" s="89"/>
      <c r="M371" s="89">
        <v>1.0</v>
      </c>
      <c r="N371" s="89"/>
      <c r="O371" s="85"/>
      <c r="P371" s="89"/>
      <c r="Q371" s="138"/>
      <c r="R371" s="138"/>
      <c r="S371" s="138"/>
      <c r="T371" s="138"/>
      <c r="U371" s="138"/>
      <c r="V371" s="469"/>
      <c r="W371" s="469"/>
      <c r="X371" s="469"/>
      <c r="Y371" s="469"/>
      <c r="Z371" s="469"/>
      <c r="AA371" s="469"/>
      <c r="AB371" s="469"/>
      <c r="AC371" s="469"/>
      <c r="AD371" s="469"/>
      <c r="AE371" s="469"/>
      <c r="AF371" s="469"/>
      <c r="AG371" s="469"/>
      <c r="AH371" s="469"/>
      <c r="AI371" s="469"/>
      <c r="AJ371" s="469"/>
      <c r="AK371" s="469"/>
      <c r="AL371" s="469"/>
      <c r="AM371" s="469"/>
      <c r="AN371" s="469"/>
      <c r="AO371" s="469"/>
    </row>
    <row r="372">
      <c r="A372" s="85">
        <v>44950.0</v>
      </c>
      <c r="B372" s="86">
        <v>350.7</v>
      </c>
      <c r="C372" s="85">
        <v>44851.0</v>
      </c>
      <c r="D372" s="89" t="s">
        <v>2448</v>
      </c>
      <c r="E372" s="89" t="s">
        <v>2449</v>
      </c>
      <c r="F372" s="89" t="s">
        <v>2450</v>
      </c>
      <c r="G372" s="89" t="s">
        <v>114</v>
      </c>
      <c r="H372" s="89" t="s">
        <v>94</v>
      </c>
      <c r="I372" s="89" t="s">
        <v>196</v>
      </c>
      <c r="J372" s="89" t="s">
        <v>95</v>
      </c>
      <c r="K372" s="85"/>
      <c r="L372" s="89">
        <v>1.0</v>
      </c>
      <c r="M372" s="85"/>
      <c r="N372" s="89">
        <v>1.0</v>
      </c>
      <c r="O372" s="85"/>
      <c r="P372" s="89">
        <v>1.0</v>
      </c>
      <c r="Q372" s="138"/>
      <c r="R372" s="138"/>
      <c r="S372" s="138"/>
      <c r="T372" s="138"/>
      <c r="U372" s="138"/>
      <c r="V372" s="469"/>
      <c r="W372" s="469"/>
      <c r="X372" s="469"/>
      <c r="Y372" s="469"/>
      <c r="Z372" s="469"/>
      <c r="AA372" s="469"/>
      <c r="AB372" s="469"/>
      <c r="AC372" s="469"/>
      <c r="AD372" s="469"/>
      <c r="AE372" s="469"/>
      <c r="AF372" s="469"/>
      <c r="AG372" s="469"/>
      <c r="AH372" s="469"/>
      <c r="AI372" s="469"/>
      <c r="AJ372" s="469"/>
      <c r="AK372" s="469"/>
      <c r="AL372" s="469"/>
      <c r="AM372" s="469"/>
      <c r="AN372" s="469"/>
      <c r="AO372" s="469"/>
    </row>
    <row r="373">
      <c r="A373" s="85">
        <v>44951.0</v>
      </c>
      <c r="B373" s="500">
        <v>242.74</v>
      </c>
      <c r="C373" s="501">
        <v>44883.0</v>
      </c>
      <c r="D373" s="98" t="s">
        <v>2451</v>
      </c>
      <c r="E373" s="98" t="s">
        <v>2452</v>
      </c>
      <c r="F373" s="98" t="s">
        <v>2453</v>
      </c>
      <c r="G373" s="89" t="s">
        <v>114</v>
      </c>
      <c r="H373" s="89" t="s">
        <v>94</v>
      </c>
      <c r="I373" s="89" t="s">
        <v>94</v>
      </c>
      <c r="J373" s="89" t="s">
        <v>95</v>
      </c>
      <c r="K373" s="89">
        <v>1.0</v>
      </c>
      <c r="L373" s="85"/>
      <c r="M373" s="89"/>
      <c r="N373" s="85"/>
      <c r="O373" s="85"/>
      <c r="P373" s="89"/>
      <c r="Q373" s="138"/>
      <c r="R373" s="138"/>
      <c r="S373" s="138"/>
      <c r="T373" s="138"/>
      <c r="U373" s="138"/>
      <c r="V373" s="469"/>
      <c r="W373" s="469"/>
      <c r="X373" s="469"/>
      <c r="Y373" s="469"/>
      <c r="Z373" s="469"/>
      <c r="AA373" s="469"/>
      <c r="AB373" s="469"/>
      <c r="AC373" s="469"/>
      <c r="AD373" s="469"/>
      <c r="AE373" s="469"/>
      <c r="AF373" s="469"/>
      <c r="AG373" s="469"/>
      <c r="AH373" s="469"/>
      <c r="AI373" s="469"/>
      <c r="AJ373" s="469"/>
      <c r="AK373" s="469"/>
      <c r="AL373" s="469"/>
      <c r="AM373" s="469"/>
      <c r="AN373" s="469"/>
      <c r="AO373" s="469"/>
    </row>
    <row r="374">
      <c r="A374" s="85">
        <v>44951.0</v>
      </c>
      <c r="B374" s="86">
        <v>322.29</v>
      </c>
      <c r="C374" s="85">
        <v>44684.0</v>
      </c>
      <c r="D374" s="89" t="s">
        <v>2454</v>
      </c>
      <c r="E374" s="89" t="s">
        <v>2455</v>
      </c>
      <c r="F374" s="89" t="s">
        <v>2456</v>
      </c>
      <c r="G374" s="89" t="s">
        <v>114</v>
      </c>
      <c r="H374" s="89" t="s">
        <v>94</v>
      </c>
      <c r="I374" s="89" t="s">
        <v>94</v>
      </c>
      <c r="J374" s="89" t="s">
        <v>95</v>
      </c>
      <c r="K374" s="89"/>
      <c r="L374" s="89">
        <v>1.0</v>
      </c>
      <c r="M374" s="89"/>
      <c r="N374" s="89">
        <v>1.0</v>
      </c>
      <c r="O374" s="85"/>
      <c r="P374" s="89"/>
      <c r="Q374" s="138"/>
      <c r="R374" s="138"/>
      <c r="S374" s="138"/>
      <c r="T374" s="138"/>
      <c r="U374" s="138"/>
      <c r="V374" s="469"/>
      <c r="W374" s="469"/>
      <c r="X374" s="469"/>
      <c r="Y374" s="469"/>
      <c r="Z374" s="469"/>
      <c r="AA374" s="469"/>
      <c r="AB374" s="469"/>
      <c r="AC374" s="469"/>
      <c r="AD374" s="469"/>
      <c r="AE374" s="469"/>
      <c r="AF374" s="469"/>
      <c r="AG374" s="469"/>
      <c r="AH374" s="469"/>
      <c r="AI374" s="469"/>
      <c r="AJ374" s="469"/>
      <c r="AK374" s="469"/>
      <c r="AL374" s="469"/>
      <c r="AM374" s="469"/>
      <c r="AN374" s="469"/>
      <c r="AO374" s="469"/>
    </row>
    <row r="375">
      <c r="A375" s="85">
        <v>44951.0</v>
      </c>
      <c r="B375" s="86">
        <v>74.2</v>
      </c>
      <c r="C375" s="85">
        <v>44883.0</v>
      </c>
      <c r="D375" s="89" t="s">
        <v>2457</v>
      </c>
      <c r="E375" s="89" t="s">
        <v>2458</v>
      </c>
      <c r="F375" s="89" t="s">
        <v>2459</v>
      </c>
      <c r="G375" s="89" t="s">
        <v>114</v>
      </c>
      <c r="H375" s="89" t="s">
        <v>94</v>
      </c>
      <c r="I375" s="89" t="s">
        <v>94</v>
      </c>
      <c r="J375" s="89" t="s">
        <v>95</v>
      </c>
      <c r="K375" s="85"/>
      <c r="L375" s="85"/>
      <c r="M375" s="89">
        <v>1.0</v>
      </c>
      <c r="N375" s="85"/>
      <c r="O375" s="85"/>
      <c r="P375" s="85"/>
      <c r="Q375" s="138"/>
      <c r="R375" s="138"/>
      <c r="S375" s="138"/>
      <c r="T375" s="138"/>
      <c r="U375" s="138"/>
      <c r="V375" s="469"/>
      <c r="W375" s="469"/>
      <c r="X375" s="469"/>
      <c r="Y375" s="469"/>
      <c r="Z375" s="469"/>
      <c r="AA375" s="469"/>
      <c r="AB375" s="469"/>
      <c r="AC375" s="469"/>
      <c r="AD375" s="469"/>
      <c r="AE375" s="469"/>
      <c r="AF375" s="469"/>
      <c r="AG375" s="469"/>
      <c r="AH375" s="469"/>
      <c r="AI375" s="469"/>
      <c r="AJ375" s="469"/>
      <c r="AK375" s="469"/>
      <c r="AL375" s="469"/>
      <c r="AM375" s="469"/>
      <c r="AN375" s="469"/>
      <c r="AO375" s="469"/>
    </row>
    <row r="376">
      <c r="A376" s="85">
        <v>44951.0</v>
      </c>
      <c r="B376" s="86">
        <v>248.18</v>
      </c>
      <c r="C376" s="85">
        <v>44885.0</v>
      </c>
      <c r="D376" s="89" t="s">
        <v>2461</v>
      </c>
      <c r="E376" s="89" t="s">
        <v>2462</v>
      </c>
      <c r="F376" s="89" t="s">
        <v>2463</v>
      </c>
      <c r="G376" s="89" t="s">
        <v>114</v>
      </c>
      <c r="H376" s="89" t="s">
        <v>94</v>
      </c>
      <c r="I376" s="89" t="s">
        <v>94</v>
      </c>
      <c r="J376" s="89" t="s">
        <v>95</v>
      </c>
      <c r="K376" s="89">
        <v>1.0</v>
      </c>
      <c r="L376" s="85"/>
      <c r="M376" s="85"/>
      <c r="N376" s="89"/>
      <c r="O376" s="85"/>
      <c r="P376" s="89">
        <v>1.0</v>
      </c>
      <c r="Q376" s="138"/>
      <c r="R376" s="138"/>
      <c r="S376" s="138"/>
      <c r="T376" s="138"/>
      <c r="U376" s="138"/>
      <c r="V376" s="469"/>
      <c r="W376" s="469"/>
      <c r="X376" s="469"/>
      <c r="Y376" s="469"/>
      <c r="Z376" s="469"/>
      <c r="AA376" s="469"/>
      <c r="AB376" s="469"/>
      <c r="AC376" s="469"/>
      <c r="AD376" s="469"/>
      <c r="AE376" s="469"/>
      <c r="AF376" s="469"/>
      <c r="AG376" s="469"/>
      <c r="AH376" s="469"/>
      <c r="AI376" s="469"/>
      <c r="AJ376" s="469"/>
      <c r="AK376" s="469"/>
      <c r="AL376" s="469"/>
      <c r="AM376" s="469"/>
      <c r="AN376" s="469"/>
      <c r="AO376" s="469"/>
    </row>
    <row r="377">
      <c r="A377" s="85">
        <v>44951.0</v>
      </c>
      <c r="B377" s="86">
        <v>247.32</v>
      </c>
      <c r="C377" s="85">
        <v>44894.0</v>
      </c>
      <c r="D377" s="89" t="s">
        <v>2465</v>
      </c>
      <c r="E377" s="89" t="s">
        <v>2466</v>
      </c>
      <c r="F377" s="89" t="s">
        <v>2467</v>
      </c>
      <c r="G377" s="89" t="s">
        <v>114</v>
      </c>
      <c r="H377" s="89" t="s">
        <v>94</v>
      </c>
      <c r="I377" s="89" t="s">
        <v>94</v>
      </c>
      <c r="J377" s="89" t="s">
        <v>95</v>
      </c>
      <c r="K377" s="89">
        <v>1.0</v>
      </c>
      <c r="L377" s="89"/>
      <c r="M377" s="85"/>
      <c r="N377" s="89"/>
      <c r="O377" s="85"/>
      <c r="P377" s="89">
        <v>1.0</v>
      </c>
      <c r="Q377" s="138"/>
      <c r="R377" s="138"/>
      <c r="S377" s="138"/>
      <c r="T377" s="138"/>
      <c r="U377" s="138"/>
      <c r="V377" s="469"/>
      <c r="W377" s="469"/>
      <c r="X377" s="469"/>
      <c r="Y377" s="469"/>
      <c r="Z377" s="469"/>
      <c r="AA377" s="469"/>
      <c r="AB377" s="469"/>
      <c r="AC377" s="469"/>
      <c r="AD377" s="469"/>
      <c r="AE377" s="469"/>
      <c r="AF377" s="469"/>
      <c r="AG377" s="469"/>
      <c r="AH377" s="469"/>
      <c r="AI377" s="469"/>
      <c r="AJ377" s="469"/>
      <c r="AK377" s="469"/>
      <c r="AL377" s="469"/>
      <c r="AM377" s="469"/>
      <c r="AN377" s="469"/>
      <c r="AO377" s="469"/>
    </row>
    <row r="378">
      <c r="A378" s="85">
        <v>44951.0</v>
      </c>
      <c r="B378" s="86">
        <v>244.43</v>
      </c>
      <c r="C378" s="85">
        <v>44892.0</v>
      </c>
      <c r="D378" s="89" t="s">
        <v>2468</v>
      </c>
      <c r="E378" s="89" t="s">
        <v>2469</v>
      </c>
      <c r="F378" s="89" t="s">
        <v>2470</v>
      </c>
      <c r="G378" s="89" t="s">
        <v>114</v>
      </c>
      <c r="H378" s="89" t="s">
        <v>2471</v>
      </c>
      <c r="I378" s="89" t="s">
        <v>94</v>
      </c>
      <c r="J378" s="89" t="s">
        <v>95</v>
      </c>
      <c r="K378" s="89">
        <v>1.0</v>
      </c>
      <c r="L378" s="89"/>
      <c r="M378" s="85"/>
      <c r="N378" s="85"/>
      <c r="O378" s="85"/>
      <c r="P378" s="89">
        <v>1.0</v>
      </c>
      <c r="Q378" s="138"/>
      <c r="R378" s="138"/>
      <c r="S378" s="138"/>
      <c r="T378" s="138"/>
      <c r="U378" s="138"/>
      <c r="V378" s="469"/>
      <c r="W378" s="469"/>
      <c r="X378" s="469"/>
      <c r="Y378" s="469"/>
      <c r="Z378" s="469"/>
      <c r="AA378" s="469"/>
      <c r="AB378" s="469"/>
      <c r="AC378" s="469"/>
      <c r="AD378" s="469"/>
      <c r="AE378" s="469"/>
      <c r="AF378" s="469"/>
      <c r="AG378" s="469"/>
      <c r="AH378" s="469"/>
      <c r="AI378" s="469"/>
      <c r="AJ378" s="469"/>
      <c r="AK378" s="469"/>
      <c r="AL378" s="469"/>
      <c r="AM378" s="469"/>
      <c r="AN378" s="469"/>
      <c r="AO378" s="469"/>
    </row>
    <row r="379">
      <c r="A379" s="85">
        <v>44951.0</v>
      </c>
      <c r="B379" s="86">
        <v>233.78</v>
      </c>
      <c r="C379" s="85">
        <v>44861.0</v>
      </c>
      <c r="D379" s="89" t="s">
        <v>2472</v>
      </c>
      <c r="E379" s="89" t="s">
        <v>2473</v>
      </c>
      <c r="F379" s="89" t="s">
        <v>2474</v>
      </c>
      <c r="G379" s="89" t="s">
        <v>114</v>
      </c>
      <c r="H379" s="89" t="s">
        <v>94</v>
      </c>
      <c r="I379" s="89" t="s">
        <v>94</v>
      </c>
      <c r="J379" s="89" t="s">
        <v>95</v>
      </c>
      <c r="K379" s="89">
        <v>1.0</v>
      </c>
      <c r="L379" s="85"/>
      <c r="M379" s="85"/>
      <c r="N379" s="85"/>
      <c r="O379" s="85"/>
      <c r="P379" s="89">
        <v>1.0</v>
      </c>
      <c r="Q379" s="138"/>
      <c r="R379" s="138"/>
      <c r="S379" s="138"/>
      <c r="T379" s="138"/>
      <c r="U379" s="138"/>
      <c r="V379" s="469"/>
      <c r="W379" s="469"/>
      <c r="X379" s="469"/>
      <c r="Y379" s="469"/>
      <c r="Z379" s="469"/>
      <c r="AA379" s="469"/>
      <c r="AB379" s="469"/>
      <c r="AC379" s="469"/>
      <c r="AD379" s="469"/>
      <c r="AE379" s="469"/>
      <c r="AF379" s="469"/>
      <c r="AG379" s="469"/>
      <c r="AH379" s="469"/>
      <c r="AI379" s="469"/>
      <c r="AJ379" s="469"/>
      <c r="AK379" s="469"/>
      <c r="AL379" s="469"/>
      <c r="AM379" s="469"/>
      <c r="AN379" s="469"/>
      <c r="AO379" s="469"/>
    </row>
    <row r="380">
      <c r="A380" s="85">
        <v>44951.0</v>
      </c>
      <c r="B380" s="86">
        <v>295.19</v>
      </c>
      <c r="C380" s="85">
        <v>44724.0</v>
      </c>
      <c r="D380" s="89" t="s">
        <v>2475</v>
      </c>
      <c r="E380" s="89" t="s">
        <v>2476</v>
      </c>
      <c r="F380" s="89" t="s">
        <v>2477</v>
      </c>
      <c r="G380" s="89" t="s">
        <v>1552</v>
      </c>
      <c r="H380" s="89" t="s">
        <v>94</v>
      </c>
      <c r="I380" s="89" t="s">
        <v>94</v>
      </c>
      <c r="J380" s="89" t="s">
        <v>95</v>
      </c>
      <c r="K380" s="85"/>
      <c r="L380" s="89">
        <v>1.0</v>
      </c>
      <c r="M380" s="85"/>
      <c r="N380" s="89"/>
      <c r="O380" s="85"/>
      <c r="P380" s="89"/>
      <c r="Q380" s="137"/>
      <c r="R380" s="138"/>
      <c r="S380" s="138"/>
      <c r="T380" s="138"/>
      <c r="U380" s="138"/>
      <c r="V380" s="469"/>
      <c r="W380" s="469"/>
      <c r="X380" s="469"/>
      <c r="Y380" s="469"/>
      <c r="Z380" s="469"/>
      <c r="AA380" s="469"/>
      <c r="AB380" s="469"/>
      <c r="AC380" s="469"/>
      <c r="AD380" s="469"/>
      <c r="AE380" s="469"/>
      <c r="AF380" s="469"/>
      <c r="AG380" s="469"/>
      <c r="AH380" s="469"/>
      <c r="AI380" s="469"/>
      <c r="AJ380" s="469"/>
      <c r="AK380" s="469"/>
      <c r="AL380" s="469"/>
      <c r="AM380" s="469"/>
      <c r="AN380" s="469"/>
      <c r="AO380" s="469"/>
    </row>
    <row r="381">
      <c r="A381" s="85">
        <v>44951.0</v>
      </c>
      <c r="B381" s="86">
        <v>369.0</v>
      </c>
      <c r="C381" s="85">
        <v>44347.0</v>
      </c>
      <c r="D381" s="89" t="s">
        <v>2478</v>
      </c>
      <c r="E381" s="89" t="s">
        <v>2479</v>
      </c>
      <c r="F381" s="89" t="s">
        <v>2480</v>
      </c>
      <c r="G381" s="89" t="s">
        <v>114</v>
      </c>
      <c r="H381" s="89" t="s">
        <v>94</v>
      </c>
      <c r="I381" s="89" t="s">
        <v>94</v>
      </c>
      <c r="J381" s="89" t="s">
        <v>95</v>
      </c>
      <c r="K381" s="89">
        <v>2.0</v>
      </c>
      <c r="L381" s="85"/>
      <c r="M381" s="85"/>
      <c r="N381" s="85"/>
      <c r="O381" s="85"/>
      <c r="P381" s="85"/>
      <c r="Q381" s="138"/>
      <c r="R381" s="138"/>
      <c r="S381" s="138"/>
      <c r="T381" s="138"/>
      <c r="U381" s="138"/>
      <c r="V381" s="469"/>
      <c r="W381" s="469"/>
      <c r="X381" s="469"/>
      <c r="Y381" s="469"/>
      <c r="Z381" s="469"/>
      <c r="AA381" s="469"/>
      <c r="AB381" s="469"/>
      <c r="AC381" s="469"/>
      <c r="AD381" s="469"/>
      <c r="AE381" s="469"/>
      <c r="AF381" s="469"/>
      <c r="AG381" s="469"/>
      <c r="AH381" s="469"/>
      <c r="AI381" s="469"/>
      <c r="AJ381" s="469"/>
      <c r="AK381" s="469"/>
      <c r="AL381" s="469"/>
      <c r="AM381" s="469"/>
      <c r="AN381" s="469"/>
      <c r="AO381" s="469"/>
    </row>
    <row r="382">
      <c r="A382" s="85">
        <v>44951.0</v>
      </c>
      <c r="B382" s="86">
        <v>315.32</v>
      </c>
      <c r="C382" s="85">
        <v>44852.0</v>
      </c>
      <c r="D382" s="89" t="s">
        <v>2481</v>
      </c>
      <c r="E382" s="89" t="s">
        <v>2482</v>
      </c>
      <c r="F382" s="194" t="s">
        <v>2483</v>
      </c>
      <c r="G382" s="89" t="s">
        <v>114</v>
      </c>
      <c r="H382" s="89" t="s">
        <v>94</v>
      </c>
      <c r="I382" s="89" t="s">
        <v>125</v>
      </c>
      <c r="J382" s="89" t="s">
        <v>95</v>
      </c>
      <c r="K382" s="89">
        <v>1.0</v>
      </c>
      <c r="L382" s="85"/>
      <c r="M382" s="89">
        <v>1.0</v>
      </c>
      <c r="N382" s="85"/>
      <c r="O382" s="85"/>
      <c r="P382" s="89">
        <v>1.0</v>
      </c>
      <c r="Q382" s="138"/>
      <c r="R382" s="138"/>
      <c r="S382" s="138"/>
      <c r="T382" s="138"/>
      <c r="U382" s="138"/>
      <c r="V382" s="469"/>
      <c r="W382" s="469"/>
      <c r="X382" s="469"/>
      <c r="Y382" s="469"/>
      <c r="Z382" s="469"/>
      <c r="AA382" s="469"/>
      <c r="AB382" s="469"/>
      <c r="AC382" s="469"/>
      <c r="AD382" s="469"/>
      <c r="AE382" s="469"/>
      <c r="AF382" s="469"/>
      <c r="AG382" s="469"/>
      <c r="AH382" s="469"/>
      <c r="AI382" s="469"/>
      <c r="AJ382" s="469"/>
      <c r="AK382" s="469"/>
      <c r="AL382" s="469"/>
      <c r="AM382" s="469"/>
      <c r="AN382" s="469"/>
      <c r="AO382" s="469"/>
    </row>
    <row r="383">
      <c r="A383" s="85">
        <v>44951.0</v>
      </c>
      <c r="B383" s="86">
        <v>269.0</v>
      </c>
      <c r="C383" s="85">
        <v>44628.0</v>
      </c>
      <c r="D383" s="89" t="s">
        <v>2484</v>
      </c>
      <c r="E383" s="89" t="s">
        <v>2485</v>
      </c>
      <c r="F383" s="89" t="s">
        <v>2486</v>
      </c>
      <c r="G383" s="89" t="s">
        <v>114</v>
      </c>
      <c r="H383" s="89" t="s">
        <v>94</v>
      </c>
      <c r="I383" s="89" t="s">
        <v>94</v>
      </c>
      <c r="J383" s="89" t="s">
        <v>95</v>
      </c>
      <c r="K383" s="85"/>
      <c r="L383" s="89">
        <v>1.0</v>
      </c>
      <c r="M383" s="85"/>
      <c r="N383" s="85"/>
      <c r="O383" s="85"/>
      <c r="P383" s="89"/>
      <c r="Q383" s="138"/>
      <c r="R383" s="138"/>
      <c r="S383" s="138"/>
      <c r="T383" s="138"/>
      <c r="U383" s="138"/>
      <c r="V383" s="469"/>
      <c r="W383" s="469"/>
      <c r="X383" s="469"/>
      <c r="Y383" s="469"/>
      <c r="Z383" s="469"/>
      <c r="AA383" s="469"/>
      <c r="AB383" s="469"/>
      <c r="AC383" s="469"/>
      <c r="AD383" s="469"/>
      <c r="AE383" s="469"/>
      <c r="AF383" s="469"/>
      <c r="AG383" s="469"/>
      <c r="AH383" s="469"/>
      <c r="AI383" s="469"/>
      <c r="AJ383" s="469"/>
      <c r="AK383" s="469"/>
      <c r="AL383" s="469"/>
      <c r="AM383" s="469"/>
      <c r="AN383" s="469"/>
      <c r="AO383" s="469"/>
    </row>
    <row r="384">
      <c r="A384" s="85">
        <v>44951.0</v>
      </c>
      <c r="B384" s="86">
        <v>234.33</v>
      </c>
      <c r="C384" s="85">
        <v>44657.0</v>
      </c>
      <c r="D384" s="89" t="s">
        <v>2487</v>
      </c>
      <c r="E384" s="89" t="s">
        <v>2488</v>
      </c>
      <c r="F384" s="89" t="s">
        <v>2489</v>
      </c>
      <c r="G384" s="89" t="s">
        <v>114</v>
      </c>
      <c r="H384" s="89" t="s">
        <v>94</v>
      </c>
      <c r="I384" s="89" t="s">
        <v>94</v>
      </c>
      <c r="J384" s="89" t="s">
        <v>95</v>
      </c>
      <c r="K384" s="89">
        <v>1.0</v>
      </c>
      <c r="L384" s="89"/>
      <c r="M384" s="85"/>
      <c r="N384" s="85"/>
      <c r="O384" s="85"/>
      <c r="P384" s="89"/>
      <c r="Q384" s="138"/>
      <c r="R384" s="138"/>
      <c r="S384" s="138"/>
      <c r="T384" s="138"/>
      <c r="U384" s="138"/>
      <c r="V384" s="469"/>
      <c r="W384" s="469"/>
      <c r="X384" s="469"/>
      <c r="Y384" s="469"/>
      <c r="Z384" s="469"/>
      <c r="AA384" s="469"/>
      <c r="AB384" s="469"/>
      <c r="AC384" s="469"/>
      <c r="AD384" s="469"/>
      <c r="AE384" s="469"/>
      <c r="AF384" s="469"/>
      <c r="AG384" s="469"/>
      <c r="AH384" s="469"/>
      <c r="AI384" s="469"/>
      <c r="AJ384" s="469"/>
      <c r="AK384" s="469"/>
      <c r="AL384" s="469"/>
      <c r="AM384" s="469"/>
      <c r="AN384" s="469"/>
      <c r="AO384" s="469"/>
    </row>
    <row r="385">
      <c r="A385" s="85">
        <v>44951.0</v>
      </c>
      <c r="B385" s="86">
        <v>247.32</v>
      </c>
      <c r="C385" s="85">
        <v>44883.0</v>
      </c>
      <c r="D385" s="89" t="s">
        <v>2491</v>
      </c>
      <c r="E385" s="89" t="s">
        <v>2492</v>
      </c>
      <c r="F385" s="89" t="s">
        <v>2493</v>
      </c>
      <c r="G385" s="89" t="s">
        <v>114</v>
      </c>
      <c r="H385" s="89" t="s">
        <v>94</v>
      </c>
      <c r="I385" s="89" t="s">
        <v>94</v>
      </c>
      <c r="J385" s="89" t="s">
        <v>95</v>
      </c>
      <c r="K385" s="89">
        <v>1.0</v>
      </c>
      <c r="L385" s="85"/>
      <c r="M385" s="85"/>
      <c r="N385" s="89"/>
      <c r="O385" s="85"/>
      <c r="P385" s="89">
        <v>1.0</v>
      </c>
      <c r="Q385" s="138"/>
      <c r="R385" s="138"/>
      <c r="S385" s="138"/>
      <c r="T385" s="138"/>
      <c r="U385" s="138"/>
      <c r="V385" s="469"/>
      <c r="W385" s="469"/>
      <c r="X385" s="469"/>
      <c r="Y385" s="469"/>
      <c r="Z385" s="469"/>
      <c r="AA385" s="469"/>
      <c r="AB385" s="469"/>
      <c r="AC385" s="469"/>
      <c r="AD385" s="469"/>
      <c r="AE385" s="469"/>
      <c r="AF385" s="469"/>
      <c r="AG385" s="469"/>
      <c r="AH385" s="469"/>
      <c r="AI385" s="469"/>
      <c r="AJ385" s="469"/>
      <c r="AK385" s="469"/>
      <c r="AL385" s="469"/>
      <c r="AM385" s="469"/>
      <c r="AN385" s="469"/>
      <c r="AO385" s="469"/>
    </row>
    <row r="386">
      <c r="A386" s="85">
        <v>44951.0</v>
      </c>
      <c r="B386" s="86">
        <v>249.04</v>
      </c>
      <c r="C386" s="85">
        <v>44893.0</v>
      </c>
      <c r="D386" s="89" t="s">
        <v>2494</v>
      </c>
      <c r="E386" s="89" t="s">
        <v>2495</v>
      </c>
      <c r="F386" s="89" t="s">
        <v>2496</v>
      </c>
      <c r="G386" s="89" t="s">
        <v>114</v>
      </c>
      <c r="H386" s="89" t="s">
        <v>94</v>
      </c>
      <c r="I386" s="89" t="s">
        <v>94</v>
      </c>
      <c r="J386" s="89" t="s">
        <v>95</v>
      </c>
      <c r="K386" s="89">
        <v>1.0</v>
      </c>
      <c r="L386" s="89"/>
      <c r="M386" s="85"/>
      <c r="N386" s="85"/>
      <c r="O386" s="85"/>
      <c r="P386" s="89">
        <v>1.0</v>
      </c>
      <c r="Q386" s="138"/>
      <c r="R386" s="138"/>
      <c r="S386" s="138"/>
      <c r="T386" s="138"/>
      <c r="U386" s="138"/>
      <c r="V386" s="469"/>
      <c r="W386" s="469"/>
      <c r="X386" s="469"/>
      <c r="Y386" s="469"/>
      <c r="Z386" s="469"/>
      <c r="AA386" s="469"/>
      <c r="AB386" s="469"/>
      <c r="AC386" s="469"/>
      <c r="AD386" s="469"/>
      <c r="AE386" s="469"/>
      <c r="AF386" s="469"/>
      <c r="AG386" s="469"/>
      <c r="AH386" s="469"/>
      <c r="AI386" s="469"/>
      <c r="AJ386" s="469"/>
      <c r="AK386" s="469"/>
      <c r="AL386" s="469"/>
      <c r="AM386" s="469"/>
      <c r="AN386" s="469"/>
      <c r="AO386" s="469"/>
    </row>
    <row r="387">
      <c r="A387" s="85">
        <v>44951.0</v>
      </c>
      <c r="B387" s="86">
        <v>315.14</v>
      </c>
      <c r="C387" s="85">
        <v>44890.0</v>
      </c>
      <c r="D387" s="89" t="s">
        <v>2497</v>
      </c>
      <c r="E387" s="89" t="s">
        <v>2498</v>
      </c>
      <c r="F387" s="89" t="s">
        <v>2499</v>
      </c>
      <c r="G387" s="89" t="s">
        <v>114</v>
      </c>
      <c r="H387" s="89" t="s">
        <v>94</v>
      </c>
      <c r="I387" s="89" t="s">
        <v>94</v>
      </c>
      <c r="J387" s="89" t="s">
        <v>95</v>
      </c>
      <c r="K387" s="89">
        <v>1.0</v>
      </c>
      <c r="L387" s="89"/>
      <c r="M387" s="89">
        <v>1.0</v>
      </c>
      <c r="N387" s="89"/>
      <c r="O387" s="85"/>
      <c r="P387" s="89">
        <v>1.0</v>
      </c>
      <c r="Q387" s="138"/>
      <c r="R387" s="138"/>
      <c r="S387" s="138"/>
      <c r="T387" s="138"/>
      <c r="U387" s="138"/>
      <c r="V387" s="469"/>
      <c r="W387" s="469"/>
      <c r="X387" s="469"/>
      <c r="Y387" s="469"/>
      <c r="Z387" s="469"/>
      <c r="AA387" s="469"/>
      <c r="AB387" s="469"/>
      <c r="AC387" s="469"/>
      <c r="AD387" s="469"/>
      <c r="AE387" s="469"/>
      <c r="AF387" s="469"/>
      <c r="AG387" s="469"/>
      <c r="AH387" s="469"/>
      <c r="AI387" s="469"/>
      <c r="AJ387" s="469"/>
      <c r="AK387" s="469"/>
      <c r="AL387" s="469"/>
      <c r="AM387" s="469"/>
      <c r="AN387" s="469"/>
      <c r="AO387" s="469"/>
    </row>
    <row r="388">
      <c r="A388" s="85">
        <v>44951.0</v>
      </c>
      <c r="B388" s="86">
        <v>210.94</v>
      </c>
      <c r="C388" s="85">
        <v>44883.0</v>
      </c>
      <c r="D388" s="89" t="s">
        <v>2500</v>
      </c>
      <c r="E388" s="89" t="s">
        <v>2501</v>
      </c>
      <c r="F388" s="89" t="s">
        <v>2502</v>
      </c>
      <c r="G388" s="89" t="s">
        <v>114</v>
      </c>
      <c r="H388" s="89" t="s">
        <v>94</v>
      </c>
      <c r="I388" s="89" t="s">
        <v>94</v>
      </c>
      <c r="J388" s="89" t="s">
        <v>95</v>
      </c>
      <c r="K388" s="89">
        <v>1.0</v>
      </c>
      <c r="L388" s="89"/>
      <c r="M388" s="85"/>
      <c r="N388" s="89"/>
      <c r="O388" s="85"/>
      <c r="P388" s="89">
        <v>1.0</v>
      </c>
      <c r="Q388" s="138"/>
      <c r="R388" s="138"/>
      <c r="S388" s="138"/>
      <c r="T388" s="138"/>
      <c r="U388" s="138"/>
      <c r="V388" s="469"/>
      <c r="W388" s="469"/>
      <c r="X388" s="469"/>
      <c r="Y388" s="469"/>
      <c r="Z388" s="469"/>
      <c r="AA388" s="469"/>
      <c r="AB388" s="469"/>
      <c r="AC388" s="469"/>
      <c r="AD388" s="469"/>
      <c r="AE388" s="469"/>
      <c r="AF388" s="469"/>
      <c r="AG388" s="469"/>
      <c r="AH388" s="469"/>
      <c r="AI388" s="469"/>
      <c r="AJ388" s="469"/>
      <c r="AK388" s="469"/>
      <c r="AL388" s="469"/>
      <c r="AM388" s="469"/>
      <c r="AN388" s="469"/>
      <c r="AO388" s="469"/>
    </row>
    <row r="389">
      <c r="A389" s="85">
        <v>44951.0</v>
      </c>
      <c r="B389" s="86">
        <v>343.03</v>
      </c>
      <c r="C389" s="85">
        <v>44842.0</v>
      </c>
      <c r="D389" s="89" t="s">
        <v>2503</v>
      </c>
      <c r="E389" s="89" t="s">
        <v>2504</v>
      </c>
      <c r="F389" s="89" t="s">
        <v>2505</v>
      </c>
      <c r="G389" s="89" t="s">
        <v>114</v>
      </c>
      <c r="H389" s="89" t="s">
        <v>94</v>
      </c>
      <c r="I389" s="89" t="s">
        <v>196</v>
      </c>
      <c r="J389" s="89" t="s">
        <v>95</v>
      </c>
      <c r="K389" s="89">
        <v>1.0</v>
      </c>
      <c r="L389" s="89"/>
      <c r="M389" s="89">
        <v>1.0</v>
      </c>
      <c r="N389" s="89">
        <v>1.0</v>
      </c>
      <c r="O389" s="85"/>
      <c r="P389" s="89">
        <v>1.0</v>
      </c>
      <c r="Q389" s="137"/>
      <c r="R389" s="138"/>
      <c r="S389" s="138"/>
      <c r="T389" s="138"/>
      <c r="U389" s="138"/>
      <c r="V389" s="469"/>
      <c r="W389" s="469"/>
      <c r="X389" s="469"/>
      <c r="Y389" s="469"/>
      <c r="Z389" s="469"/>
      <c r="AA389" s="469"/>
      <c r="AB389" s="469"/>
      <c r="AC389" s="469"/>
      <c r="AD389" s="469"/>
      <c r="AE389" s="469"/>
      <c r="AF389" s="469"/>
      <c r="AG389" s="469"/>
      <c r="AH389" s="469"/>
      <c r="AI389" s="469"/>
      <c r="AJ389" s="469"/>
      <c r="AK389" s="469"/>
      <c r="AL389" s="469"/>
      <c r="AM389" s="469"/>
      <c r="AN389" s="469"/>
      <c r="AO389" s="469"/>
    </row>
    <row r="390">
      <c r="A390" s="85">
        <v>44951.0</v>
      </c>
      <c r="B390" s="86">
        <v>305.81</v>
      </c>
      <c r="C390" s="85">
        <v>44856.0</v>
      </c>
      <c r="D390" s="89" t="s">
        <v>2506</v>
      </c>
      <c r="E390" s="89" t="s">
        <v>2507</v>
      </c>
      <c r="F390" s="89" t="s">
        <v>2508</v>
      </c>
      <c r="G390" s="89" t="s">
        <v>114</v>
      </c>
      <c r="H390" s="89" t="s">
        <v>94</v>
      </c>
      <c r="I390" s="89" t="s">
        <v>94</v>
      </c>
      <c r="J390" s="89" t="s">
        <v>95</v>
      </c>
      <c r="K390" s="89">
        <v>1.0</v>
      </c>
      <c r="L390" s="85"/>
      <c r="M390" s="89">
        <v>1.0</v>
      </c>
      <c r="N390" s="85"/>
      <c r="O390" s="85"/>
      <c r="P390" s="89">
        <v>1.0</v>
      </c>
      <c r="Q390" s="138"/>
      <c r="R390" s="138"/>
      <c r="S390" s="138"/>
      <c r="T390" s="138"/>
      <c r="U390" s="138"/>
      <c r="V390" s="469"/>
      <c r="W390" s="469"/>
      <c r="X390" s="469"/>
      <c r="Y390" s="469"/>
      <c r="Z390" s="469"/>
      <c r="AA390" s="469"/>
      <c r="AB390" s="469"/>
      <c r="AC390" s="469"/>
      <c r="AD390" s="469"/>
      <c r="AE390" s="469"/>
      <c r="AF390" s="469"/>
      <c r="AG390" s="469"/>
      <c r="AH390" s="469"/>
      <c r="AI390" s="469"/>
      <c r="AJ390" s="469"/>
      <c r="AK390" s="469"/>
      <c r="AL390" s="469"/>
      <c r="AM390" s="469"/>
      <c r="AN390" s="469"/>
      <c r="AO390" s="469"/>
    </row>
    <row r="391">
      <c r="A391" s="85">
        <v>44951.0</v>
      </c>
      <c r="B391" s="86">
        <v>332.56</v>
      </c>
      <c r="C391" s="85">
        <v>44867.0</v>
      </c>
      <c r="D391" s="89" t="s">
        <v>2510</v>
      </c>
      <c r="E391" s="89" t="s">
        <v>2511</v>
      </c>
      <c r="F391" s="89" t="s">
        <v>2512</v>
      </c>
      <c r="G391" s="89" t="s">
        <v>114</v>
      </c>
      <c r="H391" s="89" t="s">
        <v>94</v>
      </c>
      <c r="I391" s="89" t="s">
        <v>94</v>
      </c>
      <c r="J391" s="89" t="s">
        <v>95</v>
      </c>
      <c r="K391" s="85"/>
      <c r="L391" s="89">
        <v>1.0</v>
      </c>
      <c r="M391" s="85"/>
      <c r="N391" s="89">
        <v>1.0</v>
      </c>
      <c r="O391" s="85"/>
      <c r="P391" s="89">
        <v>1.0</v>
      </c>
      <c r="Q391" s="138"/>
      <c r="R391" s="138"/>
      <c r="S391" s="138"/>
      <c r="T391" s="138"/>
      <c r="U391" s="138"/>
      <c r="V391" s="469"/>
      <c r="W391" s="469"/>
      <c r="X391" s="469"/>
      <c r="Y391" s="469"/>
      <c r="Z391" s="469"/>
      <c r="AA391" s="469"/>
      <c r="AB391" s="469"/>
      <c r="AC391" s="469"/>
      <c r="AD391" s="469"/>
      <c r="AE391" s="469"/>
      <c r="AF391" s="469"/>
      <c r="AG391" s="469"/>
      <c r="AH391" s="469"/>
      <c r="AI391" s="469"/>
      <c r="AJ391" s="469"/>
      <c r="AK391" s="469"/>
      <c r="AL391" s="469"/>
      <c r="AM391" s="469"/>
      <c r="AN391" s="469"/>
      <c r="AO391" s="469"/>
    </row>
    <row r="392">
      <c r="A392" s="85">
        <v>44951.0</v>
      </c>
      <c r="B392" s="86">
        <v>269.0</v>
      </c>
      <c r="C392" s="85">
        <v>44627.0</v>
      </c>
      <c r="D392" s="89" t="s">
        <v>2513</v>
      </c>
      <c r="E392" s="89" t="s">
        <v>2514</v>
      </c>
      <c r="F392" s="89" t="s">
        <v>2515</v>
      </c>
      <c r="G392" s="89" t="s">
        <v>114</v>
      </c>
      <c r="H392" s="89" t="s">
        <v>94</v>
      </c>
      <c r="I392" s="89" t="s">
        <v>486</v>
      </c>
      <c r="J392" s="89" t="s">
        <v>95</v>
      </c>
      <c r="K392" s="89">
        <v>1.0</v>
      </c>
      <c r="L392" s="85"/>
      <c r="M392" s="85"/>
      <c r="N392" s="85"/>
      <c r="O392" s="85"/>
      <c r="P392" s="89"/>
      <c r="Q392" s="138"/>
      <c r="R392" s="138"/>
      <c r="S392" s="138"/>
      <c r="T392" s="138"/>
      <c r="U392" s="138"/>
      <c r="V392" s="469"/>
      <c r="W392" s="469"/>
      <c r="X392" s="469"/>
      <c r="Y392" s="469"/>
      <c r="Z392" s="469"/>
      <c r="AA392" s="469"/>
      <c r="AB392" s="469"/>
      <c r="AC392" s="469"/>
      <c r="AD392" s="469"/>
      <c r="AE392" s="469"/>
      <c r="AF392" s="469"/>
      <c r="AG392" s="469"/>
      <c r="AH392" s="469"/>
      <c r="AI392" s="469"/>
      <c r="AJ392" s="469"/>
      <c r="AK392" s="469"/>
      <c r="AL392" s="469"/>
      <c r="AM392" s="469"/>
      <c r="AN392" s="469"/>
      <c r="AO392" s="469"/>
    </row>
    <row r="393">
      <c r="A393" s="85"/>
      <c r="B393" s="502"/>
      <c r="C393" s="85"/>
      <c r="D393" s="153"/>
      <c r="E393" s="89"/>
      <c r="F393" s="89"/>
      <c r="G393" s="89"/>
      <c r="H393" s="89"/>
      <c r="I393" s="89"/>
      <c r="J393" s="89"/>
      <c r="K393" s="85"/>
      <c r="L393" s="89"/>
      <c r="M393" s="85"/>
      <c r="N393" s="85"/>
      <c r="O393" s="85"/>
      <c r="P393" s="89"/>
      <c r="Q393" s="138"/>
      <c r="R393" s="138"/>
      <c r="S393" s="138"/>
      <c r="T393" s="138"/>
      <c r="U393" s="138"/>
      <c r="V393" s="469"/>
      <c r="W393" s="469"/>
      <c r="X393" s="469"/>
      <c r="Y393" s="469"/>
      <c r="Z393" s="469"/>
      <c r="AA393" s="469"/>
      <c r="AB393" s="469"/>
      <c r="AC393" s="469"/>
      <c r="AD393" s="469"/>
      <c r="AE393" s="469"/>
      <c r="AF393" s="469"/>
      <c r="AG393" s="469"/>
      <c r="AH393" s="469"/>
      <c r="AI393" s="469"/>
      <c r="AJ393" s="469"/>
      <c r="AK393" s="469"/>
      <c r="AL393" s="469"/>
      <c r="AM393" s="469"/>
      <c r="AN393" s="469"/>
      <c r="AO393" s="469"/>
    </row>
    <row r="394">
      <c r="A394" s="85">
        <v>44951.0</v>
      </c>
      <c r="B394" s="86">
        <v>258.14</v>
      </c>
      <c r="C394" s="85">
        <v>44840.0</v>
      </c>
      <c r="D394" s="89" t="s">
        <v>2516</v>
      </c>
      <c r="E394" s="89" t="s">
        <v>2517</v>
      </c>
      <c r="F394" s="89" t="s">
        <v>2518</v>
      </c>
      <c r="G394" s="89" t="s">
        <v>114</v>
      </c>
      <c r="H394" s="89" t="s">
        <v>94</v>
      </c>
      <c r="I394" s="89" t="s">
        <v>94</v>
      </c>
      <c r="J394" s="89" t="s">
        <v>95</v>
      </c>
      <c r="K394" s="89">
        <v>1.0</v>
      </c>
      <c r="L394" s="89"/>
      <c r="M394" s="85"/>
      <c r="N394" s="85"/>
      <c r="O394" s="85"/>
      <c r="P394" s="89">
        <v>1.0</v>
      </c>
      <c r="Q394" s="137">
        <v>1.0</v>
      </c>
      <c r="R394" s="138"/>
      <c r="S394" s="138"/>
      <c r="T394" s="138"/>
      <c r="U394" s="138"/>
      <c r="V394" s="469"/>
      <c r="W394" s="469"/>
      <c r="X394" s="469"/>
      <c r="Y394" s="469"/>
      <c r="Z394" s="469"/>
      <c r="AA394" s="469"/>
      <c r="AB394" s="469"/>
      <c r="AC394" s="469"/>
      <c r="AD394" s="469"/>
      <c r="AE394" s="469"/>
      <c r="AF394" s="469"/>
      <c r="AG394" s="469"/>
      <c r="AH394" s="469"/>
      <c r="AI394" s="469"/>
      <c r="AJ394" s="469"/>
      <c r="AK394" s="469"/>
      <c r="AL394" s="469"/>
      <c r="AM394" s="469"/>
      <c r="AN394" s="469"/>
      <c r="AO394" s="469"/>
    </row>
    <row r="395">
      <c r="A395" s="85">
        <v>44951.0</v>
      </c>
      <c r="B395" s="86">
        <v>333.72</v>
      </c>
      <c r="C395" s="85">
        <v>44721.0</v>
      </c>
      <c r="D395" s="89" t="s">
        <v>2519</v>
      </c>
      <c r="E395" s="89" t="s">
        <v>2520</v>
      </c>
      <c r="F395" s="89" t="s">
        <v>2521</v>
      </c>
      <c r="G395" s="89" t="s">
        <v>114</v>
      </c>
      <c r="H395" s="89" t="s">
        <v>94</v>
      </c>
      <c r="I395" s="89" t="s">
        <v>94</v>
      </c>
      <c r="J395" s="89" t="s">
        <v>95</v>
      </c>
      <c r="K395" s="85"/>
      <c r="L395" s="89">
        <v>1.0</v>
      </c>
      <c r="M395" s="85"/>
      <c r="N395" s="89">
        <v>1.0</v>
      </c>
      <c r="O395" s="85"/>
      <c r="P395" s="89">
        <v>1.0</v>
      </c>
      <c r="Q395" s="138"/>
      <c r="R395" s="138"/>
      <c r="S395" s="138"/>
      <c r="T395" s="138"/>
      <c r="U395" s="138"/>
      <c r="V395" s="469"/>
      <c r="W395" s="469"/>
      <c r="X395" s="469"/>
      <c r="Y395" s="469"/>
      <c r="Z395" s="469"/>
      <c r="AA395" s="469"/>
      <c r="AB395" s="469"/>
      <c r="AC395" s="469"/>
      <c r="AD395" s="469"/>
      <c r="AE395" s="469"/>
      <c r="AF395" s="469"/>
      <c r="AG395" s="469"/>
      <c r="AH395" s="469"/>
      <c r="AI395" s="469"/>
      <c r="AJ395" s="469"/>
      <c r="AK395" s="469"/>
      <c r="AL395" s="469"/>
      <c r="AM395" s="469"/>
      <c r="AN395" s="469"/>
      <c r="AO395" s="469"/>
    </row>
    <row r="396">
      <c r="A396" s="85">
        <v>44951.0</v>
      </c>
      <c r="B396" s="86">
        <v>234.33</v>
      </c>
      <c r="C396" s="85">
        <v>44868.0</v>
      </c>
      <c r="D396" s="89" t="s">
        <v>2522</v>
      </c>
      <c r="E396" s="89" t="s">
        <v>2523</v>
      </c>
      <c r="F396" s="89" t="s">
        <v>2524</v>
      </c>
      <c r="G396" s="89" t="s">
        <v>114</v>
      </c>
      <c r="H396" s="89" t="s">
        <v>94</v>
      </c>
      <c r="I396" s="89" t="s">
        <v>94</v>
      </c>
      <c r="J396" s="89" t="s">
        <v>95</v>
      </c>
      <c r="K396" s="89">
        <v>1.0</v>
      </c>
      <c r="L396" s="89"/>
      <c r="M396" s="85"/>
      <c r="N396" s="85"/>
      <c r="O396" s="85"/>
      <c r="P396" s="89">
        <v>1.0</v>
      </c>
      <c r="Q396" s="138"/>
      <c r="R396" s="138"/>
      <c r="S396" s="138"/>
      <c r="T396" s="138"/>
      <c r="U396" s="138"/>
      <c r="V396" s="469"/>
      <c r="W396" s="469"/>
      <c r="X396" s="469"/>
      <c r="Y396" s="469"/>
      <c r="Z396" s="469"/>
      <c r="AA396" s="469"/>
      <c r="AB396" s="469"/>
      <c r="AC396" s="469"/>
      <c r="AD396" s="469"/>
      <c r="AE396" s="469"/>
      <c r="AF396" s="469"/>
      <c r="AG396" s="469"/>
      <c r="AH396" s="469"/>
      <c r="AI396" s="469"/>
      <c r="AJ396" s="469"/>
      <c r="AK396" s="469"/>
      <c r="AL396" s="469"/>
      <c r="AM396" s="469"/>
      <c r="AN396" s="469"/>
      <c r="AO396" s="469"/>
    </row>
    <row r="397">
      <c r="A397" s="85">
        <v>44951.0</v>
      </c>
      <c r="B397" s="86">
        <v>235.43</v>
      </c>
      <c r="C397" s="85">
        <v>44869.0</v>
      </c>
      <c r="D397" s="89" t="s">
        <v>2526</v>
      </c>
      <c r="E397" s="89" t="s">
        <v>2527</v>
      </c>
      <c r="F397" s="89" t="s">
        <v>2528</v>
      </c>
      <c r="G397" s="89" t="s">
        <v>114</v>
      </c>
      <c r="H397" s="89" t="s">
        <v>94</v>
      </c>
      <c r="I397" s="89" t="s">
        <v>94</v>
      </c>
      <c r="J397" s="89" t="s">
        <v>95</v>
      </c>
      <c r="K397" s="89">
        <v>1.0</v>
      </c>
      <c r="L397" s="85"/>
      <c r="M397" s="85"/>
      <c r="N397" s="85"/>
      <c r="O397" s="85"/>
      <c r="P397" s="89">
        <v>1.0</v>
      </c>
      <c r="Q397" s="138"/>
      <c r="R397" s="138"/>
      <c r="S397" s="138"/>
      <c r="T397" s="138"/>
      <c r="U397" s="138"/>
      <c r="V397" s="469"/>
      <c r="W397" s="469"/>
      <c r="X397" s="469"/>
      <c r="Y397" s="469"/>
      <c r="Z397" s="469"/>
      <c r="AA397" s="469"/>
      <c r="AB397" s="469"/>
      <c r="AC397" s="469"/>
      <c r="AD397" s="469"/>
      <c r="AE397" s="469"/>
      <c r="AF397" s="469"/>
      <c r="AG397" s="469"/>
      <c r="AH397" s="469"/>
      <c r="AI397" s="469"/>
      <c r="AJ397" s="469"/>
      <c r="AK397" s="469"/>
      <c r="AL397" s="469"/>
      <c r="AM397" s="469"/>
      <c r="AN397" s="469"/>
      <c r="AO397" s="469"/>
    </row>
    <row r="398">
      <c r="A398" s="85">
        <v>44951.0</v>
      </c>
      <c r="B398" s="86">
        <v>243.32</v>
      </c>
      <c r="C398" s="85">
        <v>44874.0</v>
      </c>
      <c r="D398" s="89" t="s">
        <v>2529</v>
      </c>
      <c r="E398" s="89" t="s">
        <v>2530</v>
      </c>
      <c r="F398" s="89" t="s">
        <v>2531</v>
      </c>
      <c r="G398" s="89" t="s">
        <v>114</v>
      </c>
      <c r="H398" s="89" t="s">
        <v>94</v>
      </c>
      <c r="I398" s="89" t="s">
        <v>94</v>
      </c>
      <c r="J398" s="89" t="s">
        <v>95</v>
      </c>
      <c r="K398" s="89">
        <v>1.0</v>
      </c>
      <c r="L398" s="85"/>
      <c r="M398" s="85"/>
      <c r="N398" s="85"/>
      <c r="O398" s="85"/>
      <c r="P398" s="89">
        <v>1.0</v>
      </c>
      <c r="Q398" s="138"/>
      <c r="R398" s="138"/>
      <c r="S398" s="138"/>
      <c r="T398" s="138"/>
      <c r="U398" s="138"/>
      <c r="V398" s="469"/>
      <c r="W398" s="469"/>
      <c r="X398" s="469"/>
      <c r="Y398" s="469"/>
      <c r="Z398" s="469"/>
      <c r="AA398" s="469"/>
      <c r="AB398" s="469"/>
      <c r="AC398" s="469"/>
      <c r="AD398" s="469"/>
      <c r="AE398" s="469"/>
      <c r="AF398" s="469"/>
      <c r="AG398" s="469"/>
      <c r="AH398" s="469"/>
      <c r="AI398" s="469"/>
      <c r="AJ398" s="469"/>
      <c r="AK398" s="469"/>
      <c r="AL398" s="469"/>
      <c r="AM398" s="469"/>
      <c r="AN398" s="469"/>
      <c r="AO398" s="469"/>
    </row>
    <row r="399">
      <c r="A399" s="85">
        <v>44951.0</v>
      </c>
      <c r="B399" s="86">
        <v>296.0</v>
      </c>
      <c r="C399" s="85">
        <v>44572.0</v>
      </c>
      <c r="D399" s="89" t="s">
        <v>2533</v>
      </c>
      <c r="E399" s="89" t="s">
        <v>2534</v>
      </c>
      <c r="F399" s="89" t="s">
        <v>2535</v>
      </c>
      <c r="G399" s="89" t="s">
        <v>114</v>
      </c>
      <c r="H399" s="89" t="s">
        <v>94</v>
      </c>
      <c r="I399" s="89" t="s">
        <v>94</v>
      </c>
      <c r="J399" s="89" t="s">
        <v>95</v>
      </c>
      <c r="K399" s="85"/>
      <c r="L399" s="89">
        <v>1.0</v>
      </c>
      <c r="M399" s="85"/>
      <c r="N399" s="89">
        <v>1.0</v>
      </c>
      <c r="O399" s="85"/>
      <c r="P399" s="85"/>
      <c r="Q399" s="138"/>
      <c r="R399" s="138"/>
      <c r="S399" s="138"/>
      <c r="T399" s="138"/>
      <c r="U399" s="138"/>
      <c r="V399" s="469"/>
      <c r="W399" s="469"/>
      <c r="X399" s="469"/>
      <c r="Y399" s="469"/>
      <c r="Z399" s="469"/>
      <c r="AA399" s="469"/>
      <c r="AB399" s="469"/>
      <c r="AC399" s="469"/>
      <c r="AD399" s="469"/>
      <c r="AE399" s="469"/>
      <c r="AF399" s="469"/>
      <c r="AG399" s="469"/>
      <c r="AH399" s="469"/>
      <c r="AI399" s="469"/>
      <c r="AJ399" s="469"/>
      <c r="AK399" s="469"/>
      <c r="AL399" s="469"/>
      <c r="AM399" s="469"/>
      <c r="AN399" s="469"/>
      <c r="AO399" s="469"/>
    </row>
    <row r="400">
      <c r="A400" s="85">
        <v>44951.0</v>
      </c>
      <c r="B400" s="86">
        <v>224.1</v>
      </c>
      <c r="C400" s="85">
        <v>44893.0</v>
      </c>
      <c r="D400" s="89" t="s">
        <v>2537</v>
      </c>
      <c r="E400" s="89" t="s">
        <v>2538</v>
      </c>
      <c r="F400" s="89" t="s">
        <v>2539</v>
      </c>
      <c r="G400" s="89" t="s">
        <v>114</v>
      </c>
      <c r="H400" s="89" t="s">
        <v>94</v>
      </c>
      <c r="I400" s="89" t="s">
        <v>94</v>
      </c>
      <c r="J400" s="89" t="s">
        <v>95</v>
      </c>
      <c r="K400" s="89">
        <v>1.0</v>
      </c>
      <c r="L400" s="89"/>
      <c r="M400" s="85"/>
      <c r="N400" s="85"/>
      <c r="O400" s="85"/>
      <c r="P400" s="89">
        <v>1.0</v>
      </c>
      <c r="Q400" s="138"/>
      <c r="R400" s="138"/>
      <c r="S400" s="138"/>
      <c r="T400" s="138"/>
      <c r="U400" s="138"/>
      <c r="V400" s="469"/>
      <c r="W400" s="469"/>
      <c r="X400" s="469"/>
      <c r="Y400" s="469"/>
      <c r="Z400" s="469"/>
      <c r="AA400" s="469"/>
      <c r="AB400" s="469"/>
      <c r="AC400" s="469"/>
      <c r="AD400" s="469"/>
      <c r="AE400" s="469"/>
      <c r="AF400" s="469"/>
      <c r="AG400" s="469"/>
      <c r="AH400" s="469"/>
      <c r="AI400" s="469"/>
      <c r="AJ400" s="469"/>
      <c r="AK400" s="469"/>
      <c r="AL400" s="469"/>
      <c r="AM400" s="469"/>
      <c r="AN400" s="469"/>
      <c r="AO400" s="469"/>
    </row>
    <row r="401">
      <c r="A401" s="85">
        <v>44951.0</v>
      </c>
      <c r="B401" s="86">
        <v>340.35</v>
      </c>
      <c r="C401" s="85">
        <v>44880.0</v>
      </c>
      <c r="D401" s="89" t="s">
        <v>2540</v>
      </c>
      <c r="E401" s="89" t="s">
        <v>2541</v>
      </c>
      <c r="F401" s="89" t="s">
        <v>2542</v>
      </c>
      <c r="G401" s="89" t="s">
        <v>114</v>
      </c>
      <c r="H401" s="89" t="s">
        <v>94</v>
      </c>
      <c r="I401" s="89" t="s">
        <v>94</v>
      </c>
      <c r="J401" s="89" t="s">
        <v>95</v>
      </c>
      <c r="K401" s="89">
        <v>1.0</v>
      </c>
      <c r="L401" s="85"/>
      <c r="M401" s="85"/>
      <c r="N401" s="89">
        <v>1.0</v>
      </c>
      <c r="O401" s="85"/>
      <c r="P401" s="89">
        <v>1.0</v>
      </c>
      <c r="Q401" s="137">
        <v>1.0</v>
      </c>
      <c r="R401" s="138"/>
      <c r="S401" s="138"/>
      <c r="T401" s="138"/>
      <c r="U401" s="138"/>
      <c r="V401" s="469"/>
      <c r="W401" s="469"/>
      <c r="X401" s="469"/>
      <c r="Y401" s="469"/>
      <c r="Z401" s="469"/>
      <c r="AA401" s="469"/>
      <c r="AB401" s="469"/>
      <c r="AC401" s="469"/>
      <c r="AD401" s="469"/>
      <c r="AE401" s="469"/>
      <c r="AF401" s="469"/>
      <c r="AG401" s="469"/>
      <c r="AH401" s="469"/>
      <c r="AI401" s="469"/>
      <c r="AJ401" s="469"/>
      <c r="AK401" s="469"/>
      <c r="AL401" s="469"/>
      <c r="AM401" s="469"/>
      <c r="AN401" s="469"/>
      <c r="AO401" s="469"/>
    </row>
    <row r="402">
      <c r="A402" s="85">
        <v>44951.0</v>
      </c>
      <c r="B402" s="86">
        <v>345.61</v>
      </c>
      <c r="C402" s="85">
        <v>44888.0</v>
      </c>
      <c r="D402" s="89" t="s">
        <v>2543</v>
      </c>
      <c r="E402" s="89" t="s">
        <v>2544</v>
      </c>
      <c r="F402" s="89" t="s">
        <v>2545</v>
      </c>
      <c r="G402" s="89" t="s">
        <v>114</v>
      </c>
      <c r="H402" s="89" t="s">
        <v>2471</v>
      </c>
      <c r="I402" s="89" t="s">
        <v>94</v>
      </c>
      <c r="J402" s="89" t="s">
        <v>95</v>
      </c>
      <c r="K402" s="89">
        <v>1.0</v>
      </c>
      <c r="L402" s="85"/>
      <c r="M402" s="89">
        <v>1.0</v>
      </c>
      <c r="N402" s="89">
        <v>1.0</v>
      </c>
      <c r="O402" s="85"/>
      <c r="P402" s="89">
        <v>1.0</v>
      </c>
      <c r="Q402" s="138"/>
      <c r="R402" s="138"/>
      <c r="S402" s="138"/>
      <c r="T402" s="138"/>
      <c r="U402" s="138"/>
      <c r="V402" s="469"/>
      <c r="W402" s="469"/>
      <c r="X402" s="469"/>
      <c r="Y402" s="469"/>
      <c r="Z402" s="469"/>
      <c r="AA402" s="469"/>
      <c r="AB402" s="469"/>
      <c r="AC402" s="469"/>
      <c r="AD402" s="469"/>
      <c r="AE402" s="469"/>
      <c r="AF402" s="469"/>
      <c r="AG402" s="469"/>
      <c r="AH402" s="469"/>
      <c r="AI402" s="469"/>
      <c r="AJ402" s="469"/>
      <c r="AK402" s="469"/>
      <c r="AL402" s="469"/>
      <c r="AM402" s="469"/>
      <c r="AN402" s="469"/>
      <c r="AO402" s="469"/>
    </row>
    <row r="403">
      <c r="A403" s="85">
        <v>44951.0</v>
      </c>
      <c r="B403" s="86">
        <v>317.99</v>
      </c>
      <c r="C403" s="85">
        <v>44881.0</v>
      </c>
      <c r="D403" s="89" t="s">
        <v>2546</v>
      </c>
      <c r="E403" s="89" t="s">
        <v>2547</v>
      </c>
      <c r="F403" s="89" t="s">
        <v>2548</v>
      </c>
      <c r="G403" s="89" t="s">
        <v>114</v>
      </c>
      <c r="H403" s="89" t="s">
        <v>94</v>
      </c>
      <c r="I403" s="89" t="s">
        <v>94</v>
      </c>
      <c r="J403" s="89" t="s">
        <v>95</v>
      </c>
      <c r="K403" s="89">
        <v>1.0</v>
      </c>
      <c r="L403" s="85"/>
      <c r="M403" s="89">
        <v>1.0</v>
      </c>
      <c r="N403" s="85"/>
      <c r="O403" s="85"/>
      <c r="P403" s="89">
        <v>1.0</v>
      </c>
      <c r="Q403" s="138"/>
      <c r="R403" s="138"/>
      <c r="S403" s="138"/>
      <c r="T403" s="138"/>
      <c r="U403" s="138"/>
      <c r="V403" s="469"/>
      <c r="W403" s="469"/>
      <c r="X403" s="469"/>
      <c r="Y403" s="469"/>
      <c r="Z403" s="469"/>
      <c r="AA403" s="469"/>
      <c r="AB403" s="469"/>
      <c r="AC403" s="469"/>
      <c r="AD403" s="469"/>
      <c r="AE403" s="469"/>
      <c r="AF403" s="469"/>
      <c r="AG403" s="469"/>
      <c r="AH403" s="469"/>
      <c r="AI403" s="469"/>
      <c r="AJ403" s="469"/>
      <c r="AK403" s="469"/>
      <c r="AL403" s="469"/>
      <c r="AM403" s="469"/>
      <c r="AN403" s="469"/>
      <c r="AO403" s="469"/>
    </row>
    <row r="404">
      <c r="A404" s="85">
        <v>44951.0</v>
      </c>
      <c r="B404" s="86">
        <v>214.92</v>
      </c>
      <c r="C404" s="85">
        <v>44889.0</v>
      </c>
      <c r="D404" s="89" t="s">
        <v>2550</v>
      </c>
      <c r="E404" s="89" t="s">
        <v>2551</v>
      </c>
      <c r="F404" s="89" t="s">
        <v>2552</v>
      </c>
      <c r="G404" s="89" t="s">
        <v>114</v>
      </c>
      <c r="H404" s="89" t="s">
        <v>94</v>
      </c>
      <c r="I404" s="89" t="s">
        <v>94</v>
      </c>
      <c r="J404" s="89" t="s">
        <v>95</v>
      </c>
      <c r="K404" s="89">
        <v>1.0</v>
      </c>
      <c r="L404" s="89"/>
      <c r="M404" s="85"/>
      <c r="N404" s="85"/>
      <c r="O404" s="85"/>
      <c r="P404" s="89"/>
      <c r="Q404" s="138"/>
      <c r="R404" s="138"/>
      <c r="S404" s="138"/>
      <c r="T404" s="138"/>
      <c r="U404" s="138"/>
      <c r="V404" s="469"/>
      <c r="W404" s="469"/>
      <c r="X404" s="469"/>
      <c r="Y404" s="469"/>
      <c r="Z404" s="469"/>
      <c r="AA404" s="469"/>
      <c r="AB404" s="469"/>
      <c r="AC404" s="469"/>
      <c r="AD404" s="469"/>
      <c r="AE404" s="469"/>
      <c r="AF404" s="469"/>
      <c r="AG404" s="469"/>
      <c r="AH404" s="469"/>
      <c r="AI404" s="469"/>
      <c r="AJ404" s="469"/>
      <c r="AK404" s="469"/>
      <c r="AL404" s="469"/>
      <c r="AM404" s="469"/>
      <c r="AN404" s="469"/>
      <c r="AO404" s="469"/>
    </row>
    <row r="405">
      <c r="A405" s="85">
        <v>44952.0</v>
      </c>
      <c r="B405" s="86">
        <v>235.11</v>
      </c>
      <c r="C405" s="85">
        <v>44862.0</v>
      </c>
      <c r="D405" s="89" t="s">
        <v>2553</v>
      </c>
      <c r="E405" s="89" t="s">
        <v>2554</v>
      </c>
      <c r="F405" s="89" t="s">
        <v>2555</v>
      </c>
      <c r="G405" s="89" t="s">
        <v>114</v>
      </c>
      <c r="H405" s="89" t="s">
        <v>94</v>
      </c>
      <c r="I405" s="89" t="s">
        <v>94</v>
      </c>
      <c r="J405" s="89" t="s">
        <v>95</v>
      </c>
      <c r="K405" s="89">
        <v>1.0</v>
      </c>
      <c r="L405" s="89"/>
      <c r="M405" s="85"/>
      <c r="N405" s="85"/>
      <c r="O405" s="85"/>
      <c r="P405" s="89"/>
      <c r="Q405" s="138"/>
      <c r="R405" s="138"/>
      <c r="S405" s="138"/>
      <c r="T405" s="138"/>
      <c r="U405" s="138"/>
      <c r="V405" s="469"/>
      <c r="W405" s="469"/>
      <c r="X405" s="469"/>
      <c r="Y405" s="469"/>
      <c r="Z405" s="469"/>
      <c r="AA405" s="469"/>
      <c r="AB405" s="469"/>
      <c r="AC405" s="469"/>
      <c r="AD405" s="469"/>
      <c r="AE405" s="469"/>
      <c r="AF405" s="469"/>
      <c r="AG405" s="469"/>
      <c r="AH405" s="469"/>
      <c r="AI405" s="469"/>
      <c r="AJ405" s="469"/>
      <c r="AK405" s="469"/>
      <c r="AL405" s="469"/>
      <c r="AM405" s="469"/>
      <c r="AN405" s="469"/>
      <c r="AO405" s="469"/>
    </row>
    <row r="406">
      <c r="A406" s="85">
        <v>44952.0</v>
      </c>
      <c r="B406" s="86">
        <v>265.0</v>
      </c>
      <c r="C406" s="85">
        <v>44371.0</v>
      </c>
      <c r="D406" s="89" t="s">
        <v>2556</v>
      </c>
      <c r="E406" s="89" t="s">
        <v>2557</v>
      </c>
      <c r="F406" s="89" t="s">
        <v>2558</v>
      </c>
      <c r="G406" s="89" t="s">
        <v>114</v>
      </c>
      <c r="H406" s="89" t="s">
        <v>94</v>
      </c>
      <c r="I406" s="89" t="s">
        <v>94</v>
      </c>
      <c r="J406" s="89" t="s">
        <v>95</v>
      </c>
      <c r="K406" s="89"/>
      <c r="L406" s="89">
        <v>1.0</v>
      </c>
      <c r="M406" s="89"/>
      <c r="N406" s="85"/>
      <c r="O406" s="85"/>
      <c r="P406" s="89"/>
      <c r="Q406" s="138"/>
      <c r="R406" s="138"/>
      <c r="S406" s="138"/>
      <c r="T406" s="138"/>
      <c r="U406" s="138"/>
      <c r="V406" s="469"/>
      <c r="W406" s="469"/>
      <c r="X406" s="469"/>
      <c r="Y406" s="469"/>
      <c r="Z406" s="469"/>
      <c r="AA406" s="469"/>
      <c r="AB406" s="469"/>
      <c r="AC406" s="469"/>
      <c r="AD406" s="469"/>
      <c r="AE406" s="469"/>
      <c r="AF406" s="469"/>
      <c r="AG406" s="469"/>
      <c r="AH406" s="469"/>
      <c r="AI406" s="469"/>
      <c r="AJ406" s="469"/>
      <c r="AK406" s="469"/>
      <c r="AL406" s="469"/>
      <c r="AM406" s="469"/>
      <c r="AN406" s="469"/>
      <c r="AO406" s="469"/>
    </row>
    <row r="407">
      <c r="A407" s="85">
        <v>44952.0</v>
      </c>
      <c r="B407" s="86">
        <v>362.25</v>
      </c>
      <c r="C407" s="85">
        <v>44891.0</v>
      </c>
      <c r="D407" s="89" t="s">
        <v>2559</v>
      </c>
      <c r="E407" s="89" t="s">
        <v>2560</v>
      </c>
      <c r="F407" s="89" t="s">
        <v>2561</v>
      </c>
      <c r="G407" s="89" t="s">
        <v>114</v>
      </c>
      <c r="H407" s="89" t="s">
        <v>94</v>
      </c>
      <c r="I407" s="89" t="s">
        <v>94</v>
      </c>
      <c r="J407" s="89" t="s">
        <v>95</v>
      </c>
      <c r="K407" s="89">
        <v>1.0</v>
      </c>
      <c r="L407" s="89"/>
      <c r="M407" s="89">
        <v>1.0</v>
      </c>
      <c r="N407" s="89"/>
      <c r="O407" s="85"/>
      <c r="P407" s="89"/>
      <c r="Q407" s="137"/>
      <c r="R407" s="138"/>
      <c r="S407" s="138"/>
      <c r="T407" s="138"/>
      <c r="U407" s="138"/>
      <c r="V407" s="469"/>
      <c r="W407" s="469"/>
      <c r="X407" s="469"/>
      <c r="Y407" s="469"/>
      <c r="Z407" s="469"/>
      <c r="AA407" s="469"/>
      <c r="AB407" s="469"/>
      <c r="AC407" s="469"/>
      <c r="AD407" s="469"/>
      <c r="AE407" s="469"/>
      <c r="AF407" s="469"/>
      <c r="AG407" s="469"/>
      <c r="AH407" s="469"/>
      <c r="AI407" s="469"/>
      <c r="AJ407" s="469"/>
      <c r="AK407" s="469"/>
      <c r="AL407" s="469"/>
      <c r="AM407" s="469"/>
      <c r="AN407" s="469"/>
      <c r="AO407" s="469"/>
    </row>
    <row r="408">
      <c r="A408" s="85">
        <v>44952.0</v>
      </c>
      <c r="B408" s="86">
        <v>251.33</v>
      </c>
      <c r="C408" s="85">
        <v>44879.0</v>
      </c>
      <c r="D408" s="89" t="s">
        <v>2563</v>
      </c>
      <c r="E408" s="89" t="s">
        <v>2564</v>
      </c>
      <c r="F408" s="89" t="s">
        <v>2565</v>
      </c>
      <c r="G408" s="89" t="s">
        <v>114</v>
      </c>
      <c r="H408" s="89" t="s">
        <v>94</v>
      </c>
      <c r="I408" s="89" t="s">
        <v>94</v>
      </c>
      <c r="J408" s="89" t="s">
        <v>95</v>
      </c>
      <c r="K408" s="89">
        <v>1.0</v>
      </c>
      <c r="L408" s="85"/>
      <c r="M408" s="85"/>
      <c r="N408" s="85"/>
      <c r="O408" s="85"/>
      <c r="P408" s="89"/>
      <c r="Q408" s="137"/>
      <c r="R408" s="138"/>
      <c r="S408" s="138"/>
      <c r="T408" s="138"/>
      <c r="U408" s="138"/>
      <c r="V408" s="469"/>
      <c r="W408" s="469"/>
      <c r="X408" s="469"/>
      <c r="Y408" s="469"/>
      <c r="Z408" s="469"/>
      <c r="AA408" s="469"/>
      <c r="AB408" s="469"/>
      <c r="AC408" s="469"/>
      <c r="AD408" s="469"/>
      <c r="AE408" s="469"/>
      <c r="AF408" s="469"/>
      <c r="AG408" s="469"/>
      <c r="AH408" s="469"/>
      <c r="AI408" s="469"/>
      <c r="AJ408" s="469"/>
      <c r="AK408" s="469"/>
      <c r="AL408" s="469"/>
      <c r="AM408" s="469"/>
      <c r="AN408" s="469"/>
      <c r="AO408" s="469"/>
    </row>
    <row r="409">
      <c r="A409" s="85">
        <v>44952.0</v>
      </c>
      <c r="B409" s="86">
        <v>268.14</v>
      </c>
      <c r="C409" s="85">
        <v>44892.0</v>
      </c>
      <c r="D409" s="477" t="s">
        <v>2567</v>
      </c>
      <c r="E409" s="89" t="s">
        <v>2568</v>
      </c>
      <c r="F409" s="89" t="s">
        <v>2569</v>
      </c>
      <c r="G409" s="89" t="s">
        <v>114</v>
      </c>
      <c r="H409" s="89" t="s">
        <v>94</v>
      </c>
      <c r="I409" s="89" t="s">
        <v>94</v>
      </c>
      <c r="J409" s="89" t="s">
        <v>95</v>
      </c>
      <c r="K409" s="89">
        <v>1.0</v>
      </c>
      <c r="L409" s="89"/>
      <c r="M409" s="85"/>
      <c r="N409" s="89"/>
      <c r="O409" s="85"/>
      <c r="P409" s="89">
        <v>1.0</v>
      </c>
      <c r="Q409" s="137"/>
      <c r="R409" s="138"/>
      <c r="S409" s="138"/>
      <c r="T409" s="138"/>
      <c r="U409" s="138"/>
      <c r="V409" s="469"/>
      <c r="W409" s="469"/>
      <c r="X409" s="469"/>
      <c r="Y409" s="469"/>
      <c r="Z409" s="469"/>
      <c r="AA409" s="469"/>
      <c r="AB409" s="469"/>
      <c r="AC409" s="469"/>
      <c r="AD409" s="469"/>
      <c r="AE409" s="469"/>
      <c r="AF409" s="469"/>
      <c r="AG409" s="469"/>
      <c r="AH409" s="469"/>
      <c r="AI409" s="469"/>
      <c r="AJ409" s="469"/>
      <c r="AK409" s="469"/>
      <c r="AL409" s="469"/>
      <c r="AM409" s="469"/>
      <c r="AN409" s="469"/>
      <c r="AO409" s="469"/>
    </row>
    <row r="410">
      <c r="A410" s="85">
        <v>44952.0</v>
      </c>
      <c r="B410" s="86">
        <v>301.34</v>
      </c>
      <c r="C410" s="85">
        <v>44652.0</v>
      </c>
      <c r="D410" s="89" t="s">
        <v>2571</v>
      </c>
      <c r="E410" s="89" t="s">
        <v>2572</v>
      </c>
      <c r="F410" s="89" t="s">
        <v>2573</v>
      </c>
      <c r="G410" s="89" t="s">
        <v>114</v>
      </c>
      <c r="H410" s="89" t="s">
        <v>94</v>
      </c>
      <c r="I410" s="89" t="s">
        <v>94</v>
      </c>
      <c r="J410" s="89" t="s">
        <v>95</v>
      </c>
      <c r="K410" s="89"/>
      <c r="L410" s="89">
        <v>1.0</v>
      </c>
      <c r="M410" s="85"/>
      <c r="N410" s="85"/>
      <c r="O410" s="85"/>
      <c r="P410" s="89"/>
      <c r="Q410" s="138"/>
      <c r="R410" s="138"/>
      <c r="S410" s="138"/>
      <c r="T410" s="138"/>
      <c r="U410" s="138"/>
      <c r="V410" s="469"/>
      <c r="W410" s="469"/>
      <c r="X410" s="469"/>
      <c r="Y410" s="469"/>
      <c r="Z410" s="469"/>
      <c r="AA410" s="469"/>
      <c r="AB410" s="469"/>
      <c r="AC410" s="469"/>
      <c r="AD410" s="469"/>
      <c r="AE410" s="469"/>
      <c r="AF410" s="469"/>
      <c r="AG410" s="469"/>
      <c r="AH410" s="469"/>
      <c r="AI410" s="469"/>
      <c r="AJ410" s="469"/>
      <c r="AK410" s="469"/>
      <c r="AL410" s="469"/>
      <c r="AM410" s="469"/>
      <c r="AN410" s="469"/>
      <c r="AO410" s="469"/>
    </row>
    <row r="411">
      <c r="A411" s="85">
        <v>44952.0</v>
      </c>
      <c r="B411" s="86">
        <v>334.27</v>
      </c>
      <c r="C411" s="85">
        <v>44894.0</v>
      </c>
      <c r="D411" s="89" t="s">
        <v>2574</v>
      </c>
      <c r="E411" s="89" t="s">
        <v>2575</v>
      </c>
      <c r="F411" s="89" t="s">
        <v>2576</v>
      </c>
      <c r="G411" s="89" t="s">
        <v>114</v>
      </c>
      <c r="H411" s="89" t="s">
        <v>94</v>
      </c>
      <c r="I411" s="89" t="s">
        <v>94</v>
      </c>
      <c r="J411" s="89" t="s">
        <v>95</v>
      </c>
      <c r="K411" s="89">
        <v>1.0</v>
      </c>
      <c r="L411" s="89"/>
      <c r="M411" s="89">
        <v>1.0</v>
      </c>
      <c r="N411" s="89">
        <v>1.0</v>
      </c>
      <c r="O411" s="85"/>
      <c r="P411" s="89"/>
      <c r="Q411" s="138"/>
      <c r="R411" s="138"/>
      <c r="S411" s="138"/>
      <c r="T411" s="138"/>
      <c r="U411" s="138"/>
      <c r="V411" s="469"/>
      <c r="W411" s="469"/>
      <c r="X411" s="469"/>
      <c r="Y411" s="469"/>
      <c r="Z411" s="469"/>
      <c r="AA411" s="469"/>
      <c r="AB411" s="469"/>
      <c r="AC411" s="469"/>
      <c r="AD411" s="469"/>
      <c r="AE411" s="469"/>
      <c r="AF411" s="469"/>
      <c r="AG411" s="469"/>
      <c r="AH411" s="469"/>
      <c r="AI411" s="469"/>
      <c r="AJ411" s="469"/>
      <c r="AK411" s="469"/>
      <c r="AL411" s="469"/>
      <c r="AM411" s="469"/>
      <c r="AN411" s="469"/>
      <c r="AO411" s="469"/>
    </row>
    <row r="412">
      <c r="A412" s="85">
        <v>44952.0</v>
      </c>
      <c r="B412" s="86">
        <v>299.08</v>
      </c>
      <c r="C412" s="85">
        <v>44733.0</v>
      </c>
      <c r="D412" s="89" t="s">
        <v>2577</v>
      </c>
      <c r="E412" s="89" t="s">
        <v>2578</v>
      </c>
      <c r="F412" s="89" t="s">
        <v>2579</v>
      </c>
      <c r="G412" s="89" t="s">
        <v>114</v>
      </c>
      <c r="H412" s="89" t="s">
        <v>94</v>
      </c>
      <c r="I412" s="89" t="s">
        <v>94</v>
      </c>
      <c r="J412" s="89" t="s">
        <v>95</v>
      </c>
      <c r="K412" s="85"/>
      <c r="L412" s="89">
        <v>1.0</v>
      </c>
      <c r="M412" s="85"/>
      <c r="N412" s="89"/>
      <c r="O412" s="85"/>
      <c r="P412" s="89"/>
      <c r="Q412" s="137"/>
      <c r="R412" s="138"/>
      <c r="S412" s="138"/>
      <c r="T412" s="138"/>
      <c r="U412" s="138"/>
      <c r="V412" s="469"/>
      <c r="W412" s="469"/>
      <c r="X412" s="469"/>
      <c r="Y412" s="469"/>
      <c r="Z412" s="469"/>
      <c r="AA412" s="469"/>
      <c r="AB412" s="469"/>
      <c r="AC412" s="469"/>
      <c r="AD412" s="469"/>
      <c r="AE412" s="469"/>
      <c r="AF412" s="469"/>
      <c r="AG412" s="469"/>
      <c r="AH412" s="469"/>
      <c r="AI412" s="469"/>
      <c r="AJ412" s="469"/>
      <c r="AK412" s="469"/>
      <c r="AL412" s="469"/>
      <c r="AM412" s="469"/>
      <c r="AN412" s="469"/>
      <c r="AO412" s="469"/>
    </row>
    <row r="413">
      <c r="A413" s="85">
        <v>44952.0</v>
      </c>
      <c r="B413" s="86">
        <v>319.28</v>
      </c>
      <c r="C413" s="85">
        <v>44678.0</v>
      </c>
      <c r="D413" s="89" t="s">
        <v>561</v>
      </c>
      <c r="E413" s="89" t="s">
        <v>562</v>
      </c>
      <c r="F413" s="89" t="s">
        <v>563</v>
      </c>
      <c r="G413" s="89" t="s">
        <v>114</v>
      </c>
      <c r="H413" s="89" t="s">
        <v>94</v>
      </c>
      <c r="I413" s="89" t="s">
        <v>664</v>
      </c>
      <c r="J413" s="89" t="s">
        <v>95</v>
      </c>
      <c r="K413" s="89">
        <v>1.0</v>
      </c>
      <c r="L413" s="89"/>
      <c r="M413" s="89"/>
      <c r="N413" s="89"/>
      <c r="O413" s="85"/>
      <c r="P413" s="89"/>
      <c r="Q413" s="138"/>
      <c r="R413" s="138"/>
      <c r="S413" s="138"/>
      <c r="T413" s="138"/>
      <c r="U413" s="138"/>
      <c r="V413" s="469"/>
      <c r="W413" s="469"/>
      <c r="X413" s="469"/>
      <c r="Y413" s="469"/>
      <c r="Z413" s="469"/>
      <c r="AA413" s="469"/>
      <c r="AB413" s="469"/>
      <c r="AC413" s="469"/>
      <c r="AD413" s="469"/>
      <c r="AE413" s="469"/>
      <c r="AF413" s="469"/>
      <c r="AG413" s="469"/>
      <c r="AH413" s="469"/>
      <c r="AI413" s="469"/>
      <c r="AJ413" s="469"/>
      <c r="AK413" s="469"/>
      <c r="AL413" s="469"/>
      <c r="AM413" s="469"/>
      <c r="AN413" s="469"/>
      <c r="AO413" s="469"/>
    </row>
    <row r="414">
      <c r="A414" s="85">
        <v>44952.0</v>
      </c>
      <c r="B414" s="86">
        <v>353.43</v>
      </c>
      <c r="C414" s="85">
        <v>44862.0</v>
      </c>
      <c r="D414" s="89" t="s">
        <v>2581</v>
      </c>
      <c r="E414" s="89" t="s">
        <v>2582</v>
      </c>
      <c r="F414" s="89" t="s">
        <v>2583</v>
      </c>
      <c r="G414" s="89" t="s">
        <v>114</v>
      </c>
      <c r="H414" s="89" t="s">
        <v>94</v>
      </c>
      <c r="I414" s="89" t="s">
        <v>94</v>
      </c>
      <c r="J414" s="89" t="s">
        <v>95</v>
      </c>
      <c r="K414" s="89">
        <v>1.0</v>
      </c>
      <c r="L414" s="89"/>
      <c r="M414" s="85"/>
      <c r="N414" s="89"/>
      <c r="O414" s="85"/>
      <c r="P414" s="89"/>
      <c r="Q414" s="138"/>
      <c r="R414" s="138"/>
      <c r="S414" s="138"/>
      <c r="T414" s="138"/>
      <c r="U414" s="138"/>
      <c r="V414" s="469"/>
      <c r="W414" s="469"/>
      <c r="X414" s="469"/>
      <c r="Y414" s="469"/>
      <c r="Z414" s="469"/>
      <c r="AA414" s="469"/>
      <c r="AB414" s="469"/>
      <c r="AC414" s="469"/>
      <c r="AD414" s="469"/>
      <c r="AE414" s="469"/>
      <c r="AF414" s="469"/>
      <c r="AG414" s="469"/>
      <c r="AH414" s="469"/>
      <c r="AI414" s="469"/>
      <c r="AJ414" s="469"/>
      <c r="AK414" s="469"/>
      <c r="AL414" s="469"/>
      <c r="AM414" s="469"/>
      <c r="AN414" s="469"/>
      <c r="AO414" s="469"/>
    </row>
    <row r="415">
      <c r="A415" s="85">
        <v>44952.0</v>
      </c>
      <c r="B415" s="293">
        <v>307.06</v>
      </c>
      <c r="C415" s="85">
        <v>44854.0</v>
      </c>
      <c r="D415" s="89" t="s">
        <v>2585</v>
      </c>
      <c r="E415" s="89" t="s">
        <v>2586</v>
      </c>
      <c r="F415" s="89" t="s">
        <v>2587</v>
      </c>
      <c r="G415" s="89" t="s">
        <v>114</v>
      </c>
      <c r="H415" s="89" t="s">
        <v>94</v>
      </c>
      <c r="I415" s="89" t="s">
        <v>94</v>
      </c>
      <c r="J415" s="89" t="s">
        <v>95</v>
      </c>
      <c r="K415" s="85"/>
      <c r="L415" s="89">
        <v>1.0</v>
      </c>
      <c r="M415" s="85"/>
      <c r="N415" s="85"/>
      <c r="O415" s="85"/>
      <c r="P415" s="89"/>
      <c r="Q415" s="138"/>
      <c r="R415" s="138"/>
      <c r="S415" s="138"/>
      <c r="T415" s="138"/>
      <c r="U415" s="138"/>
      <c r="V415" s="469"/>
      <c r="W415" s="469"/>
      <c r="X415" s="469"/>
      <c r="Y415" s="469"/>
      <c r="Z415" s="469"/>
      <c r="AA415" s="469"/>
      <c r="AB415" s="469"/>
      <c r="AC415" s="469"/>
      <c r="AD415" s="469"/>
      <c r="AE415" s="469"/>
      <c r="AF415" s="469"/>
      <c r="AG415" s="469"/>
      <c r="AH415" s="469"/>
      <c r="AI415" s="469"/>
      <c r="AJ415" s="469"/>
      <c r="AK415" s="469"/>
      <c r="AL415" s="469"/>
      <c r="AM415" s="469"/>
      <c r="AN415" s="469"/>
      <c r="AO415" s="469"/>
    </row>
    <row r="416">
      <c r="A416" s="231">
        <v>44952.0</v>
      </c>
      <c r="B416" s="232">
        <v>362.65</v>
      </c>
      <c r="C416" s="231">
        <v>44853.0</v>
      </c>
      <c r="D416" s="233" t="s">
        <v>2588</v>
      </c>
      <c r="E416" s="233" t="s">
        <v>2589</v>
      </c>
      <c r="F416" s="233" t="s">
        <v>2590</v>
      </c>
      <c r="G416" s="233" t="s">
        <v>114</v>
      </c>
      <c r="H416" s="233" t="s">
        <v>94</v>
      </c>
      <c r="I416" s="233" t="s">
        <v>125</v>
      </c>
      <c r="J416" s="233" t="s">
        <v>95</v>
      </c>
      <c r="K416" s="233">
        <v>1.0</v>
      </c>
      <c r="L416" s="231"/>
      <c r="M416" s="231"/>
      <c r="N416" s="231"/>
      <c r="O416" s="231"/>
      <c r="P416" s="233"/>
      <c r="Q416" s="235"/>
      <c r="R416" s="235"/>
      <c r="S416" s="235"/>
      <c r="T416" s="235"/>
      <c r="U416" s="235"/>
      <c r="V416" s="507"/>
      <c r="W416" s="507"/>
      <c r="X416" s="507"/>
      <c r="Y416" s="507"/>
      <c r="Z416" s="507"/>
      <c r="AA416" s="507"/>
      <c r="AB416" s="507"/>
      <c r="AC416" s="507"/>
      <c r="AD416" s="507"/>
      <c r="AE416" s="507"/>
      <c r="AF416" s="507"/>
      <c r="AG416" s="507"/>
      <c r="AH416" s="507"/>
      <c r="AI416" s="507"/>
      <c r="AJ416" s="507"/>
      <c r="AK416" s="507"/>
      <c r="AL416" s="507"/>
      <c r="AM416" s="507"/>
      <c r="AN416" s="507"/>
      <c r="AO416" s="507"/>
    </row>
    <row r="417">
      <c r="A417" s="85">
        <v>44952.0</v>
      </c>
      <c r="B417" s="86">
        <v>211.44</v>
      </c>
      <c r="C417" s="85">
        <v>44874.0</v>
      </c>
      <c r="D417" s="89" t="s">
        <v>2592</v>
      </c>
      <c r="E417" s="89" t="s">
        <v>2593</v>
      </c>
      <c r="F417" s="89" t="s">
        <v>2594</v>
      </c>
      <c r="G417" s="89" t="s">
        <v>114</v>
      </c>
      <c r="H417" s="89" t="s">
        <v>94</v>
      </c>
      <c r="I417" s="89" t="s">
        <v>94</v>
      </c>
      <c r="J417" s="89" t="s">
        <v>95</v>
      </c>
      <c r="K417" s="89">
        <v>1.0</v>
      </c>
      <c r="L417" s="85"/>
      <c r="M417" s="89"/>
      <c r="N417" s="89"/>
      <c r="O417" s="85"/>
      <c r="P417" s="89"/>
      <c r="Q417" s="138"/>
      <c r="R417" s="138"/>
      <c r="S417" s="138"/>
      <c r="T417" s="138"/>
      <c r="U417" s="138"/>
      <c r="V417" s="469"/>
      <c r="W417" s="469"/>
      <c r="X417" s="469"/>
      <c r="Y417" s="469"/>
      <c r="Z417" s="469"/>
      <c r="AA417" s="469"/>
      <c r="AB417" s="469"/>
      <c r="AC417" s="469"/>
      <c r="AD417" s="469"/>
      <c r="AE417" s="469"/>
      <c r="AF417" s="469"/>
      <c r="AG417" s="469"/>
      <c r="AH417" s="469"/>
      <c r="AI417" s="469"/>
      <c r="AJ417" s="469"/>
      <c r="AK417" s="469"/>
      <c r="AL417" s="469"/>
      <c r="AM417" s="469"/>
      <c r="AN417" s="469"/>
      <c r="AO417" s="469"/>
    </row>
    <row r="418">
      <c r="A418" s="85">
        <v>44952.0</v>
      </c>
      <c r="B418" s="86">
        <v>326.22</v>
      </c>
      <c r="C418" s="85">
        <v>44891.0</v>
      </c>
      <c r="D418" s="89" t="s">
        <v>2595</v>
      </c>
      <c r="E418" s="89" t="s">
        <v>2596</v>
      </c>
      <c r="F418" s="89" t="s">
        <v>2597</v>
      </c>
      <c r="G418" s="89" t="s">
        <v>114</v>
      </c>
      <c r="H418" s="89" t="s">
        <v>94</v>
      </c>
      <c r="I418" s="89" t="s">
        <v>94</v>
      </c>
      <c r="J418" s="89" t="s">
        <v>95</v>
      </c>
      <c r="K418" s="89">
        <v>1.0</v>
      </c>
      <c r="L418" s="89"/>
      <c r="M418" s="89">
        <v>1.0</v>
      </c>
      <c r="N418" s="89"/>
      <c r="O418" s="85"/>
      <c r="P418" s="89"/>
      <c r="Q418" s="137"/>
      <c r="R418" s="138"/>
      <c r="S418" s="138"/>
      <c r="T418" s="138"/>
      <c r="U418" s="138"/>
      <c r="V418" s="469"/>
      <c r="W418" s="469"/>
      <c r="X418" s="469"/>
      <c r="Y418" s="469"/>
      <c r="Z418" s="469"/>
      <c r="AA418" s="469"/>
      <c r="AB418" s="469"/>
      <c r="AC418" s="469"/>
      <c r="AD418" s="469"/>
      <c r="AE418" s="469"/>
      <c r="AF418" s="469"/>
      <c r="AG418" s="469"/>
      <c r="AH418" s="469"/>
      <c r="AI418" s="469"/>
      <c r="AJ418" s="469"/>
      <c r="AK418" s="469"/>
      <c r="AL418" s="469"/>
      <c r="AM418" s="469"/>
      <c r="AN418" s="469"/>
      <c r="AO418" s="469"/>
    </row>
    <row r="419">
      <c r="A419" s="85">
        <v>44952.0</v>
      </c>
      <c r="B419" s="86">
        <v>318.81</v>
      </c>
      <c r="C419" s="85">
        <v>44880.0</v>
      </c>
      <c r="D419" s="89" t="s">
        <v>2598</v>
      </c>
      <c r="E419" s="89" t="s">
        <v>2599</v>
      </c>
      <c r="F419" s="89" t="s">
        <v>2600</v>
      </c>
      <c r="G419" s="89" t="s">
        <v>114</v>
      </c>
      <c r="H419" s="89" t="s">
        <v>94</v>
      </c>
      <c r="I419" s="89" t="s">
        <v>94</v>
      </c>
      <c r="J419" s="89" t="s">
        <v>95</v>
      </c>
      <c r="K419" s="89">
        <v>1.0</v>
      </c>
      <c r="L419" s="85"/>
      <c r="M419" s="89">
        <v>1.0</v>
      </c>
      <c r="N419" s="85"/>
      <c r="O419" s="85"/>
      <c r="P419" s="89"/>
      <c r="Q419" s="138"/>
      <c r="R419" s="138"/>
      <c r="S419" s="138"/>
      <c r="T419" s="138"/>
      <c r="U419" s="138"/>
      <c r="V419" s="469"/>
      <c r="W419" s="469"/>
      <c r="X419" s="469"/>
      <c r="Y419" s="469"/>
      <c r="Z419" s="469"/>
      <c r="AA419" s="469"/>
      <c r="AB419" s="469"/>
      <c r="AC419" s="469"/>
      <c r="AD419" s="469"/>
      <c r="AE419" s="469"/>
      <c r="AF419" s="469"/>
      <c r="AG419" s="469"/>
      <c r="AH419" s="469"/>
      <c r="AI419" s="469"/>
      <c r="AJ419" s="469"/>
      <c r="AK419" s="469"/>
      <c r="AL419" s="469"/>
      <c r="AM419" s="469"/>
      <c r="AN419" s="469"/>
      <c r="AO419" s="469"/>
    </row>
    <row r="420">
      <c r="A420" s="85">
        <v>44952.0</v>
      </c>
      <c r="B420" s="86">
        <v>240.69</v>
      </c>
      <c r="C420" s="89" t="s">
        <v>2602</v>
      </c>
      <c r="D420" s="89" t="s">
        <v>2603</v>
      </c>
      <c r="E420" s="89" t="s">
        <v>2604</v>
      </c>
      <c r="F420" s="89" t="s">
        <v>2605</v>
      </c>
      <c r="G420" s="89" t="s">
        <v>114</v>
      </c>
      <c r="H420" s="89" t="s">
        <v>94</v>
      </c>
      <c r="I420" s="89" t="s">
        <v>94</v>
      </c>
      <c r="J420" s="89" t="s">
        <v>2606</v>
      </c>
      <c r="K420" s="89">
        <v>1.0</v>
      </c>
      <c r="L420" s="89"/>
      <c r="M420" s="85"/>
      <c r="N420" s="85"/>
      <c r="O420" s="85"/>
      <c r="P420" s="89"/>
      <c r="Q420" s="137"/>
      <c r="R420" s="138"/>
      <c r="S420" s="138"/>
      <c r="T420" s="138"/>
      <c r="U420" s="138"/>
      <c r="V420" s="469"/>
      <c r="W420" s="469"/>
      <c r="X420" s="469"/>
      <c r="Y420" s="469"/>
      <c r="Z420" s="469"/>
      <c r="AA420" s="469"/>
      <c r="AB420" s="469"/>
      <c r="AC420" s="469"/>
      <c r="AD420" s="469"/>
      <c r="AE420" s="469"/>
      <c r="AF420" s="469"/>
      <c r="AG420" s="469"/>
      <c r="AH420" s="469"/>
      <c r="AI420" s="469"/>
      <c r="AJ420" s="469"/>
      <c r="AK420" s="469"/>
      <c r="AL420" s="469"/>
      <c r="AM420" s="469"/>
      <c r="AN420" s="469"/>
      <c r="AO420" s="469"/>
    </row>
    <row r="421">
      <c r="A421" s="85">
        <v>44952.0</v>
      </c>
      <c r="B421" s="86">
        <v>249.0</v>
      </c>
      <c r="C421" s="85">
        <v>44685.0</v>
      </c>
      <c r="D421" s="89" t="s">
        <v>2607</v>
      </c>
      <c r="E421" s="89" t="s">
        <v>2608</v>
      </c>
      <c r="F421" s="89" t="s">
        <v>2609</v>
      </c>
      <c r="G421" s="89" t="s">
        <v>114</v>
      </c>
      <c r="H421" s="89" t="s">
        <v>94</v>
      </c>
      <c r="I421" s="89" t="s">
        <v>94</v>
      </c>
      <c r="J421" s="89" t="s">
        <v>328</v>
      </c>
      <c r="K421" s="89">
        <v>1.0</v>
      </c>
      <c r="L421" s="85"/>
      <c r="M421" s="89"/>
      <c r="N421" s="89">
        <v>1.0</v>
      </c>
      <c r="O421" s="85"/>
      <c r="P421" s="89">
        <v>1.0</v>
      </c>
      <c r="Q421" s="138"/>
      <c r="R421" s="138"/>
      <c r="S421" s="138"/>
      <c r="T421" s="138"/>
      <c r="U421" s="138"/>
      <c r="V421" s="469"/>
      <c r="W421" s="469"/>
      <c r="X421" s="469"/>
      <c r="Y421" s="469"/>
      <c r="Z421" s="469"/>
      <c r="AA421" s="469"/>
      <c r="AB421" s="469"/>
      <c r="AC421" s="469"/>
      <c r="AD421" s="469"/>
      <c r="AE421" s="469"/>
      <c r="AF421" s="469"/>
      <c r="AG421" s="469"/>
      <c r="AH421" s="469"/>
      <c r="AI421" s="469"/>
      <c r="AJ421" s="469"/>
      <c r="AK421" s="469"/>
      <c r="AL421" s="469"/>
      <c r="AM421" s="469"/>
      <c r="AN421" s="469"/>
      <c r="AO421" s="469"/>
    </row>
    <row r="422">
      <c r="A422" s="85">
        <v>44952.0</v>
      </c>
      <c r="B422" s="86">
        <v>294.54</v>
      </c>
      <c r="C422" s="85">
        <v>44646.0</v>
      </c>
      <c r="D422" s="89" t="s">
        <v>2610</v>
      </c>
      <c r="E422" s="89" t="s">
        <v>2611</v>
      </c>
      <c r="F422" s="89" t="s">
        <v>2612</v>
      </c>
      <c r="G422" s="89" t="s">
        <v>114</v>
      </c>
      <c r="H422" s="89" t="s">
        <v>94</v>
      </c>
      <c r="I422" s="89" t="s">
        <v>94</v>
      </c>
      <c r="J422" s="89" t="s">
        <v>95</v>
      </c>
      <c r="K422" s="89"/>
      <c r="L422" s="89">
        <v>1.0</v>
      </c>
      <c r="M422" s="85"/>
      <c r="N422" s="85"/>
      <c r="O422" s="85"/>
      <c r="P422" s="89"/>
      <c r="Q422" s="138"/>
      <c r="R422" s="138"/>
      <c r="S422" s="138"/>
      <c r="T422" s="138"/>
      <c r="U422" s="138"/>
      <c r="V422" s="469"/>
      <c r="W422" s="469"/>
      <c r="X422" s="469"/>
      <c r="Y422" s="469"/>
      <c r="Z422" s="469"/>
      <c r="AA422" s="469"/>
      <c r="AB422" s="469"/>
      <c r="AC422" s="469"/>
      <c r="AD422" s="469"/>
      <c r="AE422" s="469"/>
      <c r="AF422" s="469"/>
      <c r="AG422" s="469"/>
      <c r="AH422" s="469"/>
      <c r="AI422" s="469"/>
      <c r="AJ422" s="469"/>
      <c r="AK422" s="469"/>
      <c r="AL422" s="469"/>
      <c r="AM422" s="469"/>
      <c r="AN422" s="469"/>
      <c r="AO422" s="469"/>
    </row>
    <row r="423">
      <c r="A423" s="85">
        <v>44952.0</v>
      </c>
      <c r="B423" s="86">
        <v>307.79</v>
      </c>
      <c r="C423" s="85">
        <v>44742.0</v>
      </c>
      <c r="D423" s="89" t="s">
        <v>2614</v>
      </c>
      <c r="E423" s="89" t="s">
        <v>2615</v>
      </c>
      <c r="F423" s="89" t="s">
        <v>2616</v>
      </c>
      <c r="G423" s="89" t="s">
        <v>114</v>
      </c>
      <c r="H423" s="89" t="s">
        <v>94</v>
      </c>
      <c r="I423" s="89" t="s">
        <v>94</v>
      </c>
      <c r="J423" s="89" t="s">
        <v>95</v>
      </c>
      <c r="K423" s="89"/>
      <c r="L423" s="89">
        <v>1.0</v>
      </c>
      <c r="M423" s="85"/>
      <c r="N423" s="85"/>
      <c r="O423" s="85"/>
      <c r="P423" s="89"/>
      <c r="Q423" s="137"/>
      <c r="R423" s="138"/>
      <c r="S423" s="138"/>
      <c r="T423" s="138"/>
      <c r="U423" s="138"/>
      <c r="V423" s="469"/>
      <c r="W423" s="469"/>
      <c r="X423" s="469"/>
      <c r="Y423" s="469"/>
      <c r="Z423" s="469"/>
      <c r="AA423" s="469"/>
      <c r="AB423" s="469"/>
      <c r="AC423" s="469"/>
      <c r="AD423" s="469"/>
      <c r="AE423" s="469"/>
      <c r="AF423" s="469"/>
      <c r="AG423" s="469"/>
      <c r="AH423" s="469"/>
      <c r="AI423" s="469"/>
      <c r="AJ423" s="469"/>
      <c r="AK423" s="469"/>
      <c r="AL423" s="469"/>
      <c r="AM423" s="469"/>
      <c r="AN423" s="469"/>
      <c r="AO423" s="469"/>
    </row>
    <row r="424">
      <c r="A424" s="85">
        <v>44952.0</v>
      </c>
      <c r="B424" s="86">
        <v>365.7</v>
      </c>
      <c r="C424" s="85">
        <v>44887.0</v>
      </c>
      <c r="D424" s="89" t="s">
        <v>2617</v>
      </c>
      <c r="E424" s="89" t="s">
        <v>2618</v>
      </c>
      <c r="F424" s="89" t="s">
        <v>2619</v>
      </c>
      <c r="G424" s="89" t="s">
        <v>114</v>
      </c>
      <c r="H424" s="89" t="s">
        <v>94</v>
      </c>
      <c r="I424" s="89" t="s">
        <v>94</v>
      </c>
      <c r="J424" s="89" t="s">
        <v>95</v>
      </c>
      <c r="K424" s="89">
        <v>1.0</v>
      </c>
      <c r="L424" s="89"/>
      <c r="M424" s="89">
        <v>1.0</v>
      </c>
      <c r="N424" s="89">
        <v>1.0</v>
      </c>
      <c r="O424" s="85"/>
      <c r="P424" s="89"/>
      <c r="Q424" s="137">
        <v>1.0</v>
      </c>
      <c r="R424" s="138"/>
      <c r="S424" s="138"/>
      <c r="T424" s="138"/>
      <c r="U424" s="138"/>
      <c r="V424" s="469"/>
      <c r="W424" s="469"/>
      <c r="X424" s="469"/>
      <c r="Y424" s="469"/>
      <c r="Z424" s="469"/>
      <c r="AA424" s="469"/>
      <c r="AB424" s="469"/>
      <c r="AC424" s="469"/>
      <c r="AD424" s="469"/>
      <c r="AE424" s="469"/>
      <c r="AF424" s="469"/>
      <c r="AG424" s="469"/>
      <c r="AH424" s="469"/>
      <c r="AI424" s="469"/>
      <c r="AJ424" s="469"/>
      <c r="AK424" s="469"/>
      <c r="AL424" s="469"/>
      <c r="AM424" s="469"/>
      <c r="AN424" s="469"/>
      <c r="AO424" s="469"/>
    </row>
    <row r="425">
      <c r="A425" s="85">
        <v>44952.0</v>
      </c>
      <c r="B425" s="86">
        <v>92.02</v>
      </c>
      <c r="C425" s="85">
        <v>44885.0</v>
      </c>
      <c r="D425" s="89" t="s">
        <v>2620</v>
      </c>
      <c r="E425" s="89" t="s">
        <v>2621</v>
      </c>
      <c r="F425" s="89" t="s">
        <v>2622</v>
      </c>
      <c r="G425" s="89" t="s">
        <v>114</v>
      </c>
      <c r="H425" s="89" t="s">
        <v>94</v>
      </c>
      <c r="I425" s="89" t="s">
        <v>94</v>
      </c>
      <c r="J425" s="89" t="s">
        <v>95</v>
      </c>
      <c r="K425" s="85"/>
      <c r="L425" s="89"/>
      <c r="M425" s="89">
        <v>1.0</v>
      </c>
      <c r="N425" s="89"/>
      <c r="O425" s="85"/>
      <c r="P425" s="89"/>
      <c r="Q425" s="138"/>
      <c r="R425" s="138"/>
      <c r="S425" s="138"/>
      <c r="T425" s="138"/>
      <c r="U425" s="138"/>
      <c r="V425" s="469"/>
      <c r="W425" s="469"/>
      <c r="X425" s="469"/>
      <c r="Y425" s="469"/>
      <c r="Z425" s="469"/>
      <c r="AA425" s="469"/>
      <c r="AB425" s="469"/>
      <c r="AC425" s="469"/>
      <c r="AD425" s="469"/>
      <c r="AE425" s="469"/>
      <c r="AF425" s="469"/>
      <c r="AG425" s="469"/>
      <c r="AH425" s="469"/>
      <c r="AI425" s="469"/>
      <c r="AJ425" s="469"/>
      <c r="AK425" s="469"/>
      <c r="AL425" s="469"/>
      <c r="AM425" s="469"/>
      <c r="AN425" s="469"/>
      <c r="AO425" s="469"/>
    </row>
    <row r="426">
      <c r="A426" s="85">
        <v>44952.0</v>
      </c>
      <c r="B426" s="86">
        <v>361.8</v>
      </c>
      <c r="C426" s="85">
        <v>44863.0</v>
      </c>
      <c r="D426" s="89" t="s">
        <v>2623</v>
      </c>
      <c r="E426" s="89" t="s">
        <v>2624</v>
      </c>
      <c r="F426" s="89" t="s">
        <v>2625</v>
      </c>
      <c r="G426" s="89" t="s">
        <v>114</v>
      </c>
      <c r="H426" s="89" t="s">
        <v>94</v>
      </c>
      <c r="I426" s="89" t="s">
        <v>94</v>
      </c>
      <c r="J426" s="89" t="s">
        <v>95</v>
      </c>
      <c r="K426" s="89">
        <v>1.0</v>
      </c>
      <c r="L426" s="85"/>
      <c r="M426" s="89">
        <v>1.0</v>
      </c>
      <c r="N426" s="89">
        <v>1.0</v>
      </c>
      <c r="O426" s="85"/>
      <c r="P426" s="89"/>
      <c r="Q426" s="137">
        <v>1.0</v>
      </c>
      <c r="R426" s="138"/>
      <c r="S426" s="138"/>
      <c r="T426" s="138"/>
      <c r="U426" s="138"/>
      <c r="V426" s="469"/>
      <c r="W426" s="469"/>
      <c r="X426" s="469"/>
      <c r="Y426" s="469"/>
      <c r="Z426" s="469"/>
      <c r="AA426" s="469"/>
      <c r="AB426" s="469"/>
      <c r="AC426" s="469"/>
      <c r="AD426" s="469"/>
      <c r="AE426" s="469"/>
      <c r="AF426" s="469"/>
      <c r="AG426" s="469"/>
      <c r="AH426" s="469"/>
      <c r="AI426" s="469"/>
      <c r="AJ426" s="469"/>
      <c r="AK426" s="469"/>
      <c r="AL426" s="469"/>
      <c r="AM426" s="469"/>
      <c r="AN426" s="469"/>
      <c r="AO426" s="469"/>
    </row>
    <row r="427">
      <c r="A427" s="85">
        <v>44952.0</v>
      </c>
      <c r="B427" s="86">
        <v>248.76</v>
      </c>
      <c r="C427" s="85">
        <v>44892.0</v>
      </c>
      <c r="D427" s="89" t="s">
        <v>2626</v>
      </c>
      <c r="E427" s="89" t="s">
        <v>2627</v>
      </c>
      <c r="F427" s="89" t="s">
        <v>2628</v>
      </c>
      <c r="G427" s="89" t="s">
        <v>114</v>
      </c>
      <c r="H427" s="89" t="s">
        <v>94</v>
      </c>
      <c r="I427" s="89" t="s">
        <v>94</v>
      </c>
      <c r="J427" s="89" t="s">
        <v>95</v>
      </c>
      <c r="K427" s="89">
        <v>1.0</v>
      </c>
      <c r="L427" s="85"/>
      <c r="M427" s="89"/>
      <c r="N427" s="85"/>
      <c r="O427" s="85"/>
      <c r="P427" s="85"/>
      <c r="Q427" s="138"/>
      <c r="R427" s="138"/>
      <c r="S427" s="138"/>
      <c r="T427" s="138"/>
      <c r="U427" s="138"/>
      <c r="V427" s="469"/>
      <c r="W427" s="469"/>
      <c r="X427" s="469"/>
      <c r="Y427" s="469"/>
      <c r="Z427" s="469"/>
      <c r="AA427" s="469"/>
      <c r="AB427" s="469"/>
      <c r="AC427" s="469"/>
      <c r="AD427" s="469"/>
      <c r="AE427" s="469"/>
      <c r="AF427" s="469"/>
      <c r="AG427" s="469"/>
      <c r="AH427" s="469"/>
      <c r="AI427" s="469"/>
      <c r="AJ427" s="469"/>
      <c r="AK427" s="469"/>
      <c r="AL427" s="469"/>
      <c r="AM427" s="469"/>
      <c r="AN427" s="469"/>
      <c r="AO427" s="469"/>
    </row>
    <row r="428">
      <c r="A428" s="512">
        <v>44952.0</v>
      </c>
      <c r="B428" s="513">
        <v>231.44</v>
      </c>
      <c r="C428" s="512">
        <v>44646.0</v>
      </c>
      <c r="D428" s="514" t="s">
        <v>2629</v>
      </c>
      <c r="E428" s="514" t="s">
        <v>2630</v>
      </c>
      <c r="F428" s="514" t="s">
        <v>2631</v>
      </c>
      <c r="G428" s="514" t="s">
        <v>114</v>
      </c>
      <c r="H428" s="514" t="s">
        <v>94</v>
      </c>
      <c r="I428" s="514"/>
      <c r="J428" s="514" t="s">
        <v>95</v>
      </c>
      <c r="K428" s="514">
        <v>1.0</v>
      </c>
      <c r="L428" s="514"/>
      <c r="M428" s="512"/>
      <c r="N428" s="512"/>
      <c r="O428" s="512"/>
      <c r="P428" s="514"/>
      <c r="Q428" s="515"/>
      <c r="R428" s="515"/>
      <c r="S428" s="515"/>
      <c r="T428" s="515"/>
      <c r="U428" s="515"/>
      <c r="V428" s="516"/>
      <c r="W428" s="516"/>
      <c r="X428" s="516"/>
      <c r="Y428" s="516"/>
      <c r="Z428" s="516"/>
      <c r="AA428" s="516"/>
      <c r="AB428" s="516"/>
      <c r="AC428" s="516"/>
      <c r="AD428" s="516"/>
      <c r="AE428" s="516"/>
      <c r="AF428" s="516"/>
      <c r="AG428" s="516"/>
      <c r="AH428" s="516"/>
      <c r="AI428" s="516"/>
      <c r="AJ428" s="516"/>
      <c r="AK428" s="516"/>
      <c r="AL428" s="516"/>
      <c r="AM428" s="516"/>
      <c r="AN428" s="516"/>
      <c r="AO428" s="516"/>
    </row>
    <row r="429">
      <c r="A429" s="85">
        <v>44952.0</v>
      </c>
      <c r="B429" s="86">
        <v>244.46</v>
      </c>
      <c r="C429" s="85">
        <v>44875.0</v>
      </c>
      <c r="D429" s="89" t="s">
        <v>2632</v>
      </c>
      <c r="E429" s="89" t="s">
        <v>2633</v>
      </c>
      <c r="F429" s="89" t="s">
        <v>2634</v>
      </c>
      <c r="G429" s="89" t="s">
        <v>114</v>
      </c>
      <c r="H429" s="89" t="s">
        <v>94</v>
      </c>
      <c r="I429" s="89" t="s">
        <v>94</v>
      </c>
      <c r="J429" s="89" t="s">
        <v>95</v>
      </c>
      <c r="K429" s="89">
        <v>1.0</v>
      </c>
      <c r="L429" s="85"/>
      <c r="M429" s="89"/>
      <c r="N429" s="85"/>
      <c r="O429" s="85"/>
      <c r="P429" s="89">
        <v>1.0</v>
      </c>
      <c r="Q429" s="138"/>
      <c r="R429" s="138"/>
      <c r="S429" s="138"/>
      <c r="T429" s="138"/>
      <c r="U429" s="138"/>
      <c r="V429" s="469"/>
      <c r="W429" s="469"/>
      <c r="X429" s="469"/>
      <c r="Y429" s="469"/>
      <c r="Z429" s="469"/>
      <c r="AA429" s="469"/>
      <c r="AB429" s="469"/>
      <c r="AC429" s="469"/>
      <c r="AD429" s="469"/>
      <c r="AE429" s="469"/>
      <c r="AF429" s="469"/>
      <c r="AG429" s="469"/>
      <c r="AH429" s="469"/>
      <c r="AI429" s="469"/>
      <c r="AJ429" s="469"/>
      <c r="AK429" s="469"/>
      <c r="AL429" s="469"/>
      <c r="AM429" s="469"/>
      <c r="AN429" s="469"/>
      <c r="AO429" s="469"/>
    </row>
    <row r="430">
      <c r="A430" s="85">
        <v>44952.0</v>
      </c>
      <c r="B430" s="86">
        <v>324.04</v>
      </c>
      <c r="C430" s="85">
        <v>44872.0</v>
      </c>
      <c r="D430" s="89" t="s">
        <v>2635</v>
      </c>
      <c r="E430" s="89" t="s">
        <v>2636</v>
      </c>
      <c r="F430" s="89" t="s">
        <v>2637</v>
      </c>
      <c r="G430" s="89" t="s">
        <v>114</v>
      </c>
      <c r="H430" s="89" t="s">
        <v>94</v>
      </c>
      <c r="I430" s="89" t="s">
        <v>94</v>
      </c>
      <c r="J430" s="89" t="s">
        <v>95</v>
      </c>
      <c r="K430" s="89"/>
      <c r="L430" s="89">
        <v>1.0</v>
      </c>
      <c r="M430" s="85"/>
      <c r="N430" s="89"/>
      <c r="O430" s="85"/>
      <c r="P430" s="89">
        <v>1.0</v>
      </c>
      <c r="Q430" s="137"/>
      <c r="R430" s="138"/>
      <c r="S430" s="138"/>
      <c r="T430" s="138"/>
      <c r="U430" s="138"/>
      <c r="V430" s="469"/>
      <c r="W430" s="469"/>
      <c r="X430" s="469"/>
      <c r="Y430" s="469"/>
      <c r="Z430" s="469"/>
      <c r="AA430" s="469"/>
      <c r="AB430" s="469"/>
      <c r="AC430" s="469"/>
      <c r="AD430" s="469"/>
      <c r="AE430" s="469"/>
      <c r="AF430" s="469"/>
      <c r="AG430" s="469"/>
      <c r="AH430" s="469"/>
      <c r="AI430" s="469"/>
      <c r="AJ430" s="469"/>
      <c r="AK430" s="469"/>
      <c r="AL430" s="469"/>
      <c r="AM430" s="469"/>
      <c r="AN430" s="469"/>
      <c r="AO430" s="469"/>
    </row>
    <row r="431">
      <c r="A431" s="85">
        <v>44952.0</v>
      </c>
      <c r="B431" s="86">
        <v>253.64</v>
      </c>
      <c r="C431" s="85">
        <v>44866.0</v>
      </c>
      <c r="D431" s="89" t="s">
        <v>2638</v>
      </c>
      <c r="E431" s="89" t="s">
        <v>2639</v>
      </c>
      <c r="F431" s="89" t="s">
        <v>2640</v>
      </c>
      <c r="G431" s="89" t="s">
        <v>114</v>
      </c>
      <c r="H431" s="89" t="s">
        <v>94</v>
      </c>
      <c r="I431" s="89" t="s">
        <v>94</v>
      </c>
      <c r="J431" s="89" t="s">
        <v>95</v>
      </c>
      <c r="K431" s="89">
        <v>1.0</v>
      </c>
      <c r="L431" s="85"/>
      <c r="M431" s="85"/>
      <c r="N431" s="85"/>
      <c r="O431" s="85"/>
      <c r="P431" s="89">
        <v>1.0</v>
      </c>
      <c r="Q431" s="137">
        <v>1.0</v>
      </c>
      <c r="R431" s="138"/>
      <c r="S431" s="138"/>
      <c r="T431" s="138"/>
      <c r="U431" s="138"/>
      <c r="V431" s="469"/>
      <c r="W431" s="469"/>
      <c r="X431" s="469"/>
      <c r="Y431" s="469"/>
      <c r="Z431" s="469"/>
      <c r="AA431" s="469"/>
      <c r="AB431" s="469"/>
      <c r="AC431" s="469"/>
      <c r="AD431" s="469"/>
      <c r="AE431" s="469"/>
      <c r="AF431" s="469"/>
      <c r="AG431" s="469"/>
      <c r="AH431" s="469"/>
      <c r="AI431" s="469"/>
      <c r="AJ431" s="469"/>
      <c r="AK431" s="469"/>
      <c r="AL431" s="469"/>
      <c r="AM431" s="469"/>
      <c r="AN431" s="469"/>
      <c r="AO431" s="469"/>
    </row>
    <row r="432">
      <c r="A432" s="85">
        <v>44952.0</v>
      </c>
      <c r="B432" s="86">
        <v>288.48</v>
      </c>
      <c r="C432" s="85">
        <v>44890.0</v>
      </c>
      <c r="D432" s="89" t="s">
        <v>2641</v>
      </c>
      <c r="E432" s="89" t="s">
        <v>2642</v>
      </c>
      <c r="F432" s="89" t="s">
        <v>2643</v>
      </c>
      <c r="G432" s="89" t="s">
        <v>114</v>
      </c>
      <c r="H432" s="89" t="s">
        <v>94</v>
      </c>
      <c r="I432" s="89" t="s">
        <v>94</v>
      </c>
      <c r="J432" s="89" t="s">
        <v>95</v>
      </c>
      <c r="K432" s="89">
        <v>1.0</v>
      </c>
      <c r="L432" s="89"/>
      <c r="M432" s="85"/>
      <c r="N432" s="89">
        <v>1.0</v>
      </c>
      <c r="O432" s="85"/>
      <c r="P432" s="89">
        <v>1.0</v>
      </c>
      <c r="Q432" s="137">
        <v>1.0</v>
      </c>
      <c r="R432" s="138"/>
      <c r="S432" s="138"/>
      <c r="T432" s="138"/>
      <c r="U432" s="138"/>
      <c r="V432" s="469"/>
      <c r="W432" s="469"/>
      <c r="X432" s="469"/>
      <c r="Y432" s="469"/>
      <c r="Z432" s="469"/>
      <c r="AA432" s="469"/>
      <c r="AB432" s="469"/>
      <c r="AC432" s="469"/>
      <c r="AD432" s="469"/>
      <c r="AE432" s="469"/>
      <c r="AF432" s="469"/>
      <c r="AG432" s="469"/>
      <c r="AH432" s="469"/>
      <c r="AI432" s="469"/>
      <c r="AJ432" s="469"/>
      <c r="AK432" s="469"/>
      <c r="AL432" s="469"/>
      <c r="AM432" s="469"/>
      <c r="AN432" s="469"/>
      <c r="AO432" s="469"/>
    </row>
    <row r="433">
      <c r="A433" s="85">
        <v>44952.0</v>
      </c>
      <c r="B433" s="86">
        <v>322.92</v>
      </c>
      <c r="C433" s="85">
        <v>44880.0</v>
      </c>
      <c r="D433" s="89" t="s">
        <v>2644</v>
      </c>
      <c r="E433" s="89" t="s">
        <v>2645</v>
      </c>
      <c r="F433" s="89" t="s">
        <v>2646</v>
      </c>
      <c r="G433" s="89" t="s">
        <v>114</v>
      </c>
      <c r="H433" s="89" t="s">
        <v>94</v>
      </c>
      <c r="I433" s="89" t="s">
        <v>94</v>
      </c>
      <c r="J433" s="89" t="s">
        <v>95</v>
      </c>
      <c r="K433" s="89"/>
      <c r="L433" s="89">
        <v>1.0</v>
      </c>
      <c r="M433" s="89"/>
      <c r="N433" s="89"/>
      <c r="O433" s="85"/>
      <c r="P433" s="89">
        <v>1.0</v>
      </c>
      <c r="Q433" s="137"/>
      <c r="R433" s="138"/>
      <c r="S433" s="138"/>
      <c r="T433" s="138"/>
      <c r="U433" s="138"/>
      <c r="V433" s="469"/>
      <c r="W433" s="469"/>
      <c r="X433" s="469"/>
      <c r="Y433" s="469"/>
      <c r="Z433" s="469"/>
      <c r="AA433" s="469"/>
      <c r="AB433" s="469"/>
      <c r="AC433" s="469"/>
      <c r="AD433" s="469"/>
      <c r="AE433" s="469"/>
      <c r="AF433" s="469"/>
      <c r="AG433" s="469"/>
      <c r="AH433" s="469"/>
      <c r="AI433" s="469"/>
      <c r="AJ433" s="469"/>
      <c r="AK433" s="469"/>
      <c r="AL433" s="469"/>
      <c r="AM433" s="469"/>
      <c r="AN433" s="469"/>
      <c r="AO433" s="469"/>
    </row>
    <row r="434">
      <c r="A434" s="85">
        <v>44952.0</v>
      </c>
      <c r="B434" s="86">
        <v>233.24</v>
      </c>
      <c r="C434" s="85">
        <v>44568.0</v>
      </c>
      <c r="D434" s="89" t="s">
        <v>2647</v>
      </c>
      <c r="E434" s="89" t="s">
        <v>2648</v>
      </c>
      <c r="F434" s="89" t="s">
        <v>2649</v>
      </c>
      <c r="G434" s="89" t="s">
        <v>114</v>
      </c>
      <c r="H434" s="89" t="s">
        <v>94</v>
      </c>
      <c r="I434" s="89" t="s">
        <v>94</v>
      </c>
      <c r="J434" s="89" t="s">
        <v>95</v>
      </c>
      <c r="K434" s="89">
        <v>1.0</v>
      </c>
      <c r="L434" s="85"/>
      <c r="M434" s="85"/>
      <c r="N434" s="89">
        <v>1.0</v>
      </c>
      <c r="O434" s="85"/>
      <c r="P434" s="89">
        <v>1.0</v>
      </c>
      <c r="Q434" s="138"/>
      <c r="R434" s="138"/>
      <c r="S434" s="138"/>
      <c r="T434" s="138"/>
      <c r="U434" s="138"/>
      <c r="V434" s="469"/>
      <c r="W434" s="469"/>
      <c r="X434" s="469"/>
      <c r="Y434" s="469"/>
      <c r="Z434" s="469"/>
      <c r="AA434" s="469"/>
      <c r="AB434" s="469"/>
      <c r="AC434" s="469"/>
      <c r="AD434" s="469"/>
      <c r="AE434" s="469"/>
      <c r="AF434" s="469"/>
      <c r="AG434" s="469"/>
      <c r="AH434" s="469"/>
      <c r="AI434" s="469"/>
      <c r="AJ434" s="469"/>
      <c r="AK434" s="469"/>
      <c r="AL434" s="469"/>
      <c r="AM434" s="469"/>
      <c r="AN434" s="469"/>
      <c r="AO434" s="469"/>
    </row>
    <row r="435">
      <c r="A435" s="85">
        <v>44952.0</v>
      </c>
      <c r="B435" s="86">
        <v>315.82</v>
      </c>
      <c r="C435" s="85">
        <v>44892.0</v>
      </c>
      <c r="D435" s="89" t="s">
        <v>2650</v>
      </c>
      <c r="E435" s="89" t="s">
        <v>2651</v>
      </c>
      <c r="F435" s="89" t="s">
        <v>2652</v>
      </c>
      <c r="G435" s="89" t="s">
        <v>114</v>
      </c>
      <c r="H435" s="89" t="s">
        <v>94</v>
      </c>
      <c r="I435" s="89" t="s">
        <v>94</v>
      </c>
      <c r="J435" s="89" t="s">
        <v>95</v>
      </c>
      <c r="K435" s="89">
        <v>1.0</v>
      </c>
      <c r="L435" s="89"/>
      <c r="M435" s="89">
        <v>1.0</v>
      </c>
      <c r="N435" s="89"/>
      <c r="O435" s="85"/>
      <c r="P435" s="89">
        <v>1.0</v>
      </c>
      <c r="Q435" s="137"/>
      <c r="R435" s="138"/>
      <c r="S435" s="138"/>
      <c r="T435" s="138"/>
      <c r="U435" s="138"/>
      <c r="V435" s="469"/>
      <c r="W435" s="469"/>
      <c r="X435" s="469"/>
      <c r="Y435" s="469"/>
      <c r="Z435" s="469"/>
      <c r="AA435" s="469"/>
      <c r="AB435" s="469"/>
      <c r="AC435" s="469"/>
      <c r="AD435" s="469"/>
      <c r="AE435" s="469"/>
      <c r="AF435" s="469"/>
      <c r="AG435" s="469"/>
      <c r="AH435" s="469"/>
      <c r="AI435" s="469"/>
      <c r="AJ435" s="469"/>
      <c r="AK435" s="469"/>
      <c r="AL435" s="469"/>
      <c r="AM435" s="469"/>
      <c r="AN435" s="469"/>
      <c r="AO435" s="469"/>
    </row>
    <row r="436">
      <c r="A436" s="85">
        <v>44952.0</v>
      </c>
      <c r="B436" s="86">
        <v>287.0</v>
      </c>
      <c r="C436" s="85">
        <v>44482.0</v>
      </c>
      <c r="D436" s="89" t="s">
        <v>2653</v>
      </c>
      <c r="E436" s="89" t="s">
        <v>2654</v>
      </c>
      <c r="F436" s="89" t="s">
        <v>2655</v>
      </c>
      <c r="G436" s="89" t="s">
        <v>114</v>
      </c>
      <c r="H436" s="89" t="s">
        <v>94</v>
      </c>
      <c r="I436" s="89" t="s">
        <v>94</v>
      </c>
      <c r="J436" s="89" t="s">
        <v>95</v>
      </c>
      <c r="K436" s="89"/>
      <c r="L436" s="89">
        <v>1.0</v>
      </c>
      <c r="M436" s="85"/>
      <c r="N436" s="89"/>
      <c r="O436" s="85"/>
      <c r="P436" s="89">
        <v>1.0</v>
      </c>
      <c r="Q436" s="138"/>
      <c r="R436" s="138"/>
      <c r="S436" s="138"/>
      <c r="T436" s="138"/>
      <c r="U436" s="138"/>
      <c r="V436" s="469"/>
      <c r="W436" s="469"/>
      <c r="X436" s="469"/>
      <c r="Y436" s="469"/>
      <c r="Z436" s="469"/>
      <c r="AA436" s="469"/>
      <c r="AB436" s="469"/>
      <c r="AC436" s="469"/>
      <c r="AD436" s="469"/>
      <c r="AE436" s="469"/>
      <c r="AF436" s="469"/>
      <c r="AG436" s="469"/>
      <c r="AH436" s="469"/>
      <c r="AI436" s="469"/>
      <c r="AJ436" s="469"/>
      <c r="AK436" s="469"/>
      <c r="AL436" s="469"/>
      <c r="AM436" s="469"/>
      <c r="AN436" s="469"/>
      <c r="AO436" s="469"/>
    </row>
    <row r="437">
      <c r="A437" s="85">
        <v>44952.0</v>
      </c>
      <c r="B437" s="86">
        <v>364.93</v>
      </c>
      <c r="C437" s="85">
        <v>44855.0</v>
      </c>
      <c r="D437" s="89" t="s">
        <v>2656</v>
      </c>
      <c r="E437" s="89" t="s">
        <v>2657</v>
      </c>
      <c r="F437" s="89" t="s">
        <v>2658</v>
      </c>
      <c r="G437" s="89" t="s">
        <v>114</v>
      </c>
      <c r="H437" s="89" t="s">
        <v>94</v>
      </c>
      <c r="I437" s="89" t="s">
        <v>94</v>
      </c>
      <c r="J437" s="89" t="s">
        <v>95</v>
      </c>
      <c r="K437" s="89">
        <v>1.0</v>
      </c>
      <c r="L437" s="89"/>
      <c r="M437" s="89">
        <v>1.0</v>
      </c>
      <c r="N437" s="89">
        <v>1.0</v>
      </c>
      <c r="O437" s="85"/>
      <c r="P437" s="89">
        <v>1.0</v>
      </c>
      <c r="Q437" s="137">
        <v>1.0</v>
      </c>
      <c r="R437" s="138"/>
      <c r="S437" s="138"/>
      <c r="T437" s="138"/>
      <c r="U437" s="138"/>
      <c r="V437" s="469"/>
      <c r="W437" s="469"/>
      <c r="X437" s="469"/>
      <c r="Y437" s="469"/>
      <c r="Z437" s="469"/>
      <c r="AA437" s="469"/>
      <c r="AB437" s="469"/>
      <c r="AC437" s="469"/>
      <c r="AD437" s="469"/>
      <c r="AE437" s="469"/>
      <c r="AF437" s="469"/>
      <c r="AG437" s="469"/>
      <c r="AH437" s="469"/>
      <c r="AI437" s="469"/>
      <c r="AJ437" s="469"/>
      <c r="AK437" s="469"/>
      <c r="AL437" s="469"/>
      <c r="AM437" s="469"/>
      <c r="AN437" s="469"/>
      <c r="AO437" s="469"/>
    </row>
    <row r="438">
      <c r="A438" s="85">
        <v>44952.0</v>
      </c>
      <c r="B438" s="86">
        <v>241.44</v>
      </c>
      <c r="C438" s="85">
        <v>44873.0</v>
      </c>
      <c r="D438" s="89" t="s">
        <v>2659</v>
      </c>
      <c r="E438" s="89" t="s">
        <v>2660</v>
      </c>
      <c r="F438" s="89" t="s">
        <v>2661</v>
      </c>
      <c r="G438" s="89" t="s">
        <v>114</v>
      </c>
      <c r="H438" s="89" t="s">
        <v>94</v>
      </c>
      <c r="I438" s="89" t="s">
        <v>94</v>
      </c>
      <c r="J438" s="89" t="s">
        <v>95</v>
      </c>
      <c r="K438" s="89">
        <v>1.0</v>
      </c>
      <c r="L438" s="89"/>
      <c r="M438" s="85"/>
      <c r="N438" s="85"/>
      <c r="O438" s="85"/>
      <c r="P438" s="89">
        <v>1.0</v>
      </c>
      <c r="Q438" s="138"/>
      <c r="R438" s="138"/>
      <c r="S438" s="138"/>
      <c r="T438" s="138"/>
      <c r="U438" s="138"/>
      <c r="V438" s="469"/>
      <c r="W438" s="469"/>
      <c r="X438" s="469"/>
      <c r="Y438" s="469"/>
      <c r="Z438" s="469"/>
      <c r="AA438" s="469"/>
      <c r="AB438" s="469"/>
      <c r="AC438" s="469"/>
      <c r="AD438" s="469"/>
      <c r="AE438" s="469"/>
      <c r="AF438" s="469"/>
      <c r="AG438" s="469"/>
      <c r="AH438" s="469"/>
      <c r="AI438" s="469"/>
      <c r="AJ438" s="469"/>
      <c r="AK438" s="469"/>
      <c r="AL438" s="469"/>
      <c r="AM438" s="469"/>
      <c r="AN438" s="469"/>
      <c r="AO438" s="469"/>
    </row>
    <row r="439">
      <c r="A439" s="85">
        <v>44952.0</v>
      </c>
      <c r="B439" s="86">
        <v>295.23</v>
      </c>
      <c r="C439" s="85">
        <v>44877.0</v>
      </c>
      <c r="D439" s="89" t="s">
        <v>2662</v>
      </c>
      <c r="E439" s="89" t="s">
        <v>2663</v>
      </c>
      <c r="F439" s="89" t="s">
        <v>2664</v>
      </c>
      <c r="G439" s="89" t="s">
        <v>114</v>
      </c>
      <c r="H439" s="89" t="s">
        <v>94</v>
      </c>
      <c r="I439" s="89" t="s">
        <v>94</v>
      </c>
      <c r="J439" s="89" t="s">
        <v>95</v>
      </c>
      <c r="K439" s="89"/>
      <c r="L439" s="89">
        <v>1.0</v>
      </c>
      <c r="M439" s="85"/>
      <c r="N439" s="89"/>
      <c r="O439" s="85"/>
      <c r="P439" s="89">
        <v>1.0</v>
      </c>
      <c r="Q439" s="137"/>
      <c r="R439" s="138"/>
      <c r="S439" s="138"/>
      <c r="T439" s="138"/>
      <c r="U439" s="138"/>
      <c r="V439" s="469"/>
      <c r="W439" s="469"/>
      <c r="X439" s="469"/>
      <c r="Y439" s="469"/>
      <c r="Z439" s="469"/>
      <c r="AA439" s="469"/>
      <c r="AB439" s="469"/>
      <c r="AC439" s="469"/>
      <c r="AD439" s="469"/>
      <c r="AE439" s="469"/>
      <c r="AF439" s="469"/>
      <c r="AG439" s="469"/>
      <c r="AH439" s="469"/>
      <c r="AI439" s="469"/>
      <c r="AJ439" s="469"/>
      <c r="AK439" s="469"/>
      <c r="AL439" s="469"/>
      <c r="AM439" s="469"/>
      <c r="AN439" s="469"/>
      <c r="AO439" s="469"/>
    </row>
    <row r="440">
      <c r="A440" s="85">
        <v>44952.0</v>
      </c>
      <c r="B440" s="86">
        <v>365.7</v>
      </c>
      <c r="C440" s="85">
        <v>44886.0</v>
      </c>
      <c r="D440" s="89" t="s">
        <v>2665</v>
      </c>
      <c r="E440" s="89" t="s">
        <v>2666</v>
      </c>
      <c r="F440" s="89" t="s">
        <v>2667</v>
      </c>
      <c r="G440" s="89" t="s">
        <v>114</v>
      </c>
      <c r="H440" s="89" t="s">
        <v>94</v>
      </c>
      <c r="I440" s="89" t="s">
        <v>94</v>
      </c>
      <c r="J440" s="89" t="s">
        <v>95</v>
      </c>
      <c r="K440" s="89">
        <v>1.0</v>
      </c>
      <c r="L440" s="85"/>
      <c r="M440" s="89">
        <v>1.0</v>
      </c>
      <c r="N440" s="89">
        <v>1.0</v>
      </c>
      <c r="O440" s="85"/>
      <c r="P440" s="89">
        <v>1.0</v>
      </c>
      <c r="Q440" s="137">
        <v>1.0</v>
      </c>
      <c r="R440" s="138"/>
      <c r="S440" s="138"/>
      <c r="T440" s="138"/>
      <c r="U440" s="138"/>
      <c r="V440" s="469"/>
      <c r="W440" s="469"/>
      <c r="X440" s="469"/>
      <c r="Y440" s="469"/>
      <c r="Z440" s="469"/>
      <c r="AA440" s="469"/>
      <c r="AB440" s="469"/>
      <c r="AC440" s="469"/>
      <c r="AD440" s="469"/>
      <c r="AE440" s="469"/>
      <c r="AF440" s="469"/>
      <c r="AG440" s="469"/>
      <c r="AH440" s="469"/>
      <c r="AI440" s="469"/>
      <c r="AJ440" s="469"/>
      <c r="AK440" s="469"/>
      <c r="AL440" s="469"/>
      <c r="AM440" s="469"/>
      <c r="AN440" s="469"/>
      <c r="AO440" s="469"/>
    </row>
    <row r="441">
      <c r="A441" s="85">
        <v>44952.0</v>
      </c>
      <c r="B441" s="86">
        <v>273.88</v>
      </c>
      <c r="C441" s="85">
        <v>44891.0</v>
      </c>
      <c r="D441" s="89" t="s">
        <v>2668</v>
      </c>
      <c r="E441" s="89" t="s">
        <v>2669</v>
      </c>
      <c r="F441" s="89" t="s">
        <v>2670</v>
      </c>
      <c r="G441" s="89" t="s">
        <v>114</v>
      </c>
      <c r="H441" s="89" t="s">
        <v>94</v>
      </c>
      <c r="I441" s="89" t="s">
        <v>94</v>
      </c>
      <c r="J441" s="89" t="s">
        <v>95</v>
      </c>
      <c r="K441" s="89">
        <v>1.0</v>
      </c>
      <c r="L441" s="89"/>
      <c r="M441" s="85"/>
      <c r="N441" s="89">
        <v>1.0</v>
      </c>
      <c r="O441" s="85"/>
      <c r="P441" s="89">
        <v>1.0</v>
      </c>
      <c r="Q441" s="137"/>
      <c r="R441" s="138"/>
      <c r="S441" s="138"/>
      <c r="T441" s="138"/>
      <c r="U441" s="138"/>
      <c r="V441" s="469"/>
      <c r="W441" s="469"/>
      <c r="X441" s="469"/>
      <c r="Y441" s="469"/>
      <c r="Z441" s="469"/>
      <c r="AA441" s="469"/>
      <c r="AB441" s="469"/>
      <c r="AC441" s="469"/>
      <c r="AD441" s="469"/>
      <c r="AE441" s="469"/>
      <c r="AF441" s="469"/>
      <c r="AG441" s="469"/>
      <c r="AH441" s="469"/>
      <c r="AI441" s="469"/>
      <c r="AJ441" s="469"/>
      <c r="AK441" s="469"/>
      <c r="AL441" s="469"/>
      <c r="AM441" s="469"/>
      <c r="AN441" s="469"/>
      <c r="AO441" s="469"/>
    </row>
    <row r="442">
      <c r="A442" s="85">
        <v>44952.0</v>
      </c>
      <c r="B442" s="86">
        <v>323.0</v>
      </c>
      <c r="C442" s="85">
        <v>44882.0</v>
      </c>
      <c r="D442" s="89" t="s">
        <v>2671</v>
      </c>
      <c r="E442" s="89" t="s">
        <v>2672</v>
      </c>
      <c r="F442" s="89" t="s">
        <v>2673</v>
      </c>
      <c r="G442" s="89" t="s">
        <v>114</v>
      </c>
      <c r="H442" s="89" t="s">
        <v>94</v>
      </c>
      <c r="I442" s="89" t="s">
        <v>94</v>
      </c>
      <c r="J442" s="89" t="s">
        <v>95</v>
      </c>
      <c r="K442" s="89">
        <v>1.0</v>
      </c>
      <c r="L442" s="89"/>
      <c r="M442" s="89">
        <v>1.0</v>
      </c>
      <c r="N442" s="89">
        <v>1.0</v>
      </c>
      <c r="O442" s="85"/>
      <c r="P442" s="89">
        <v>1.0</v>
      </c>
      <c r="Q442" s="138"/>
      <c r="R442" s="138"/>
      <c r="S442" s="138"/>
      <c r="T442" s="138"/>
      <c r="U442" s="138"/>
      <c r="V442" s="469"/>
      <c r="W442" s="469"/>
      <c r="X442" s="469"/>
      <c r="Y442" s="469"/>
      <c r="Z442" s="469"/>
      <c r="AA442" s="469"/>
      <c r="AB442" s="469"/>
      <c r="AC442" s="469"/>
      <c r="AD442" s="469"/>
      <c r="AE442" s="469"/>
      <c r="AF442" s="469"/>
      <c r="AG442" s="469"/>
      <c r="AH442" s="469"/>
      <c r="AI442" s="469"/>
      <c r="AJ442" s="469"/>
      <c r="AK442" s="469"/>
      <c r="AL442" s="469"/>
      <c r="AM442" s="469"/>
      <c r="AN442" s="469"/>
      <c r="AO442" s="469"/>
    </row>
    <row r="443">
      <c r="A443" s="85">
        <v>44952.0</v>
      </c>
      <c r="B443" s="86">
        <v>236.52</v>
      </c>
      <c r="C443" s="85">
        <v>44860.0</v>
      </c>
      <c r="D443" s="89" t="s">
        <v>2674</v>
      </c>
      <c r="E443" s="89" t="s">
        <v>2675</v>
      </c>
      <c r="F443" s="89" t="s">
        <v>2676</v>
      </c>
      <c r="G443" s="89" t="s">
        <v>114</v>
      </c>
      <c r="H443" s="89" t="s">
        <v>94</v>
      </c>
      <c r="I443" s="89" t="s">
        <v>94</v>
      </c>
      <c r="J443" s="89" t="s">
        <v>95</v>
      </c>
      <c r="K443" s="89">
        <v>1.0</v>
      </c>
      <c r="L443" s="85"/>
      <c r="M443" s="85"/>
      <c r="N443" s="85"/>
      <c r="O443" s="85"/>
      <c r="P443" s="89">
        <v>1.0</v>
      </c>
      <c r="Q443" s="138"/>
      <c r="R443" s="138"/>
      <c r="S443" s="138"/>
      <c r="T443" s="138"/>
      <c r="U443" s="138"/>
      <c r="V443" s="469"/>
      <c r="W443" s="469"/>
      <c r="X443" s="469"/>
      <c r="Y443" s="469"/>
      <c r="Z443" s="469"/>
      <c r="AA443" s="469"/>
      <c r="AB443" s="469"/>
      <c r="AC443" s="469"/>
      <c r="AD443" s="469"/>
      <c r="AE443" s="469"/>
      <c r="AF443" s="469"/>
      <c r="AG443" s="469"/>
      <c r="AH443" s="469"/>
      <c r="AI443" s="469"/>
      <c r="AJ443" s="469"/>
      <c r="AK443" s="469"/>
      <c r="AL443" s="469"/>
      <c r="AM443" s="469"/>
      <c r="AN443" s="469"/>
      <c r="AO443" s="469"/>
    </row>
    <row r="444">
      <c r="A444" s="85">
        <v>44952.0</v>
      </c>
      <c r="B444" s="86">
        <v>328.62</v>
      </c>
      <c r="C444" s="85">
        <v>44642.0</v>
      </c>
      <c r="D444" s="89" t="s">
        <v>2677</v>
      </c>
      <c r="E444" s="89" t="s">
        <v>2678</v>
      </c>
      <c r="F444" s="89" t="s">
        <v>2679</v>
      </c>
      <c r="G444" s="89" t="s">
        <v>114</v>
      </c>
      <c r="H444" s="89" t="s">
        <v>94</v>
      </c>
      <c r="I444" s="89" t="s">
        <v>94</v>
      </c>
      <c r="J444" s="89" t="s">
        <v>95</v>
      </c>
      <c r="K444" s="89"/>
      <c r="L444" s="89">
        <v>1.0</v>
      </c>
      <c r="M444" s="85"/>
      <c r="N444" s="89">
        <v>1.0</v>
      </c>
      <c r="O444" s="85"/>
      <c r="P444" s="89">
        <v>1.0</v>
      </c>
      <c r="Q444" s="138"/>
      <c r="R444" s="138"/>
      <c r="S444" s="138"/>
      <c r="T444" s="138"/>
      <c r="U444" s="138"/>
      <c r="V444" s="469"/>
      <c r="W444" s="469"/>
      <c r="X444" s="469"/>
      <c r="Y444" s="469"/>
      <c r="Z444" s="469"/>
      <c r="AA444" s="469"/>
      <c r="AB444" s="469"/>
      <c r="AC444" s="469"/>
      <c r="AD444" s="469"/>
      <c r="AE444" s="469"/>
      <c r="AF444" s="469"/>
      <c r="AG444" s="469"/>
      <c r="AH444" s="469"/>
      <c r="AI444" s="469"/>
      <c r="AJ444" s="469"/>
      <c r="AK444" s="469"/>
      <c r="AL444" s="469"/>
      <c r="AM444" s="469"/>
      <c r="AN444" s="469"/>
      <c r="AO444" s="469"/>
    </row>
    <row r="445">
      <c r="A445" s="85">
        <v>44952.0</v>
      </c>
      <c r="B445" s="86">
        <v>244.6</v>
      </c>
      <c r="C445" s="85">
        <v>44103.0</v>
      </c>
      <c r="D445" s="89" t="s">
        <v>2680</v>
      </c>
      <c r="E445" s="89" t="s">
        <v>2681</v>
      </c>
      <c r="F445" s="89" t="s">
        <v>2682</v>
      </c>
      <c r="G445" s="89" t="s">
        <v>114</v>
      </c>
      <c r="H445" s="89" t="s">
        <v>170</v>
      </c>
      <c r="I445" s="89" t="s">
        <v>486</v>
      </c>
      <c r="J445" s="89" t="s">
        <v>95</v>
      </c>
      <c r="K445" s="89"/>
      <c r="L445" s="89">
        <v>1.0</v>
      </c>
      <c r="M445" s="89"/>
      <c r="N445" s="89"/>
      <c r="O445" s="85"/>
      <c r="P445" s="89"/>
      <c r="Q445" s="138"/>
      <c r="R445" s="138"/>
      <c r="S445" s="138"/>
      <c r="T445" s="138"/>
      <c r="U445" s="138"/>
      <c r="V445" s="469"/>
      <c r="W445" s="469"/>
      <c r="X445" s="469"/>
      <c r="Y445" s="469"/>
      <c r="Z445" s="469"/>
      <c r="AA445" s="469"/>
      <c r="AB445" s="469"/>
      <c r="AC445" s="469"/>
      <c r="AD445" s="469"/>
      <c r="AE445" s="469"/>
      <c r="AF445" s="469"/>
      <c r="AG445" s="469"/>
      <c r="AH445" s="469"/>
      <c r="AI445" s="469"/>
      <c r="AJ445" s="469"/>
      <c r="AK445" s="469"/>
      <c r="AL445" s="469"/>
      <c r="AM445" s="469"/>
      <c r="AN445" s="469"/>
      <c r="AO445" s="469"/>
    </row>
    <row r="446">
      <c r="A446" s="85">
        <v>44952.0</v>
      </c>
      <c r="B446" s="86">
        <v>312.83</v>
      </c>
      <c r="C446" s="85">
        <v>44864.0</v>
      </c>
      <c r="D446" s="89" t="s">
        <v>2683</v>
      </c>
      <c r="E446" s="89" t="s">
        <v>2684</v>
      </c>
      <c r="F446" s="89" t="s">
        <v>2685</v>
      </c>
      <c r="G446" s="89" t="s">
        <v>114</v>
      </c>
      <c r="H446" s="89" t="s">
        <v>94</v>
      </c>
      <c r="I446" s="89" t="s">
        <v>94</v>
      </c>
      <c r="J446" s="89" t="s">
        <v>95</v>
      </c>
      <c r="K446" s="89">
        <v>1.0</v>
      </c>
      <c r="L446" s="89"/>
      <c r="M446" s="89">
        <v>1.0</v>
      </c>
      <c r="N446" s="89"/>
      <c r="O446" s="85"/>
      <c r="P446" s="89">
        <v>1.0</v>
      </c>
      <c r="Q446" s="137"/>
      <c r="R446" s="138"/>
      <c r="S446" s="138"/>
      <c r="T446" s="138"/>
      <c r="U446" s="138"/>
      <c r="V446" s="469"/>
      <c r="W446" s="469"/>
      <c r="X446" s="469"/>
      <c r="Y446" s="469"/>
      <c r="Z446" s="469"/>
      <c r="AA446" s="469"/>
      <c r="AB446" s="469"/>
      <c r="AC446" s="469"/>
      <c r="AD446" s="469"/>
      <c r="AE446" s="469"/>
      <c r="AF446" s="469"/>
      <c r="AG446" s="469"/>
      <c r="AH446" s="469"/>
      <c r="AI446" s="469"/>
      <c r="AJ446" s="469"/>
      <c r="AK446" s="469"/>
      <c r="AL446" s="469"/>
      <c r="AM446" s="469"/>
      <c r="AN446" s="469"/>
      <c r="AO446" s="469"/>
    </row>
    <row r="447">
      <c r="A447" s="85">
        <v>44952.0</v>
      </c>
      <c r="B447" s="86">
        <v>74.9</v>
      </c>
      <c r="C447" s="85">
        <v>44883.0</v>
      </c>
      <c r="D447" s="89" t="s">
        <v>2686</v>
      </c>
      <c r="E447" s="89" t="s">
        <v>2687</v>
      </c>
      <c r="F447" s="89" t="s">
        <v>2688</v>
      </c>
      <c r="G447" s="89" t="s">
        <v>114</v>
      </c>
      <c r="H447" s="89" t="s">
        <v>94</v>
      </c>
      <c r="I447" s="89" t="s">
        <v>94</v>
      </c>
      <c r="J447" s="89" t="s">
        <v>95</v>
      </c>
      <c r="K447" s="89"/>
      <c r="L447" s="85"/>
      <c r="M447" s="89">
        <v>1.0</v>
      </c>
      <c r="N447" s="89"/>
      <c r="O447" s="85"/>
      <c r="P447" s="89"/>
      <c r="Q447" s="137"/>
      <c r="R447" s="138"/>
      <c r="S447" s="138"/>
      <c r="T447" s="138"/>
      <c r="U447" s="138"/>
      <c r="V447" s="469"/>
      <c r="W447" s="469"/>
      <c r="X447" s="469"/>
      <c r="Y447" s="469"/>
      <c r="Z447" s="469"/>
      <c r="AA447" s="469"/>
      <c r="AB447" s="469"/>
      <c r="AC447" s="469"/>
      <c r="AD447" s="469"/>
      <c r="AE447" s="469"/>
      <c r="AF447" s="469"/>
      <c r="AG447" s="469"/>
      <c r="AH447" s="469"/>
      <c r="AI447" s="469"/>
      <c r="AJ447" s="469"/>
      <c r="AK447" s="469"/>
      <c r="AL447" s="469"/>
      <c r="AM447" s="469"/>
      <c r="AN447" s="469"/>
      <c r="AO447" s="469"/>
    </row>
    <row r="448">
      <c r="A448" s="85">
        <v>44952.0</v>
      </c>
      <c r="B448" s="86">
        <v>309.08</v>
      </c>
      <c r="C448" s="85">
        <v>44875.0</v>
      </c>
      <c r="D448" s="89" t="s">
        <v>2689</v>
      </c>
      <c r="E448" s="89" t="s">
        <v>2690</v>
      </c>
      <c r="F448" s="89" t="s">
        <v>2691</v>
      </c>
      <c r="G448" s="89" t="s">
        <v>114</v>
      </c>
      <c r="H448" s="89" t="s">
        <v>94</v>
      </c>
      <c r="I448" s="89" t="s">
        <v>94</v>
      </c>
      <c r="J448" s="89" t="s">
        <v>95</v>
      </c>
      <c r="K448" s="89"/>
      <c r="L448" s="89">
        <v>1.0</v>
      </c>
      <c r="M448" s="89"/>
      <c r="N448" s="89"/>
      <c r="O448" s="85"/>
      <c r="P448" s="89">
        <v>1.0</v>
      </c>
      <c r="Q448" s="137"/>
      <c r="R448" s="138"/>
      <c r="S448" s="138"/>
      <c r="T448" s="138"/>
      <c r="U448" s="138"/>
      <c r="V448" s="469"/>
      <c r="W448" s="469"/>
      <c r="X448" s="469"/>
      <c r="Y448" s="469"/>
      <c r="Z448" s="469"/>
      <c r="AA448" s="469"/>
      <c r="AB448" s="469"/>
      <c r="AC448" s="469"/>
      <c r="AD448" s="469"/>
      <c r="AE448" s="469"/>
      <c r="AF448" s="469"/>
      <c r="AG448" s="469"/>
      <c r="AH448" s="469"/>
      <c r="AI448" s="469"/>
      <c r="AJ448" s="469"/>
      <c r="AK448" s="469"/>
      <c r="AL448" s="469"/>
      <c r="AM448" s="469"/>
      <c r="AN448" s="469"/>
      <c r="AO448" s="469"/>
    </row>
    <row r="449">
      <c r="A449" s="85">
        <v>44952.0</v>
      </c>
      <c r="B449" s="86">
        <v>244.43</v>
      </c>
      <c r="C449" s="85">
        <v>44885.0</v>
      </c>
      <c r="D449" s="89" t="s">
        <v>2692</v>
      </c>
      <c r="E449" s="89" t="s">
        <v>2693</v>
      </c>
      <c r="F449" s="89" t="s">
        <v>2694</v>
      </c>
      <c r="G449" s="89" t="s">
        <v>114</v>
      </c>
      <c r="H449" s="89" t="s">
        <v>94</v>
      </c>
      <c r="I449" s="89" t="s">
        <v>94</v>
      </c>
      <c r="J449" s="89" t="s">
        <v>95</v>
      </c>
      <c r="K449" s="89">
        <v>1.0</v>
      </c>
      <c r="L449" s="85"/>
      <c r="M449" s="85"/>
      <c r="N449" s="85"/>
      <c r="O449" s="85"/>
      <c r="P449" s="89">
        <v>1.0</v>
      </c>
      <c r="Q449" s="138"/>
      <c r="R449" s="138"/>
      <c r="S449" s="138"/>
      <c r="T449" s="138"/>
      <c r="U449" s="138"/>
      <c r="V449" s="469"/>
      <c r="W449" s="469"/>
      <c r="X449" s="469"/>
      <c r="Y449" s="469"/>
      <c r="Z449" s="469"/>
      <c r="AA449" s="469"/>
      <c r="AB449" s="469"/>
      <c r="AC449" s="469"/>
      <c r="AD449" s="469"/>
      <c r="AE449" s="469"/>
      <c r="AF449" s="469"/>
      <c r="AG449" s="469"/>
      <c r="AH449" s="469"/>
      <c r="AI449" s="469"/>
      <c r="AJ449" s="469"/>
      <c r="AK449" s="469"/>
      <c r="AL449" s="469"/>
      <c r="AM449" s="469"/>
      <c r="AN449" s="469"/>
      <c r="AO449" s="469"/>
    </row>
    <row r="450">
      <c r="A450" s="85">
        <v>44952.0</v>
      </c>
      <c r="B450" s="86">
        <v>245.61</v>
      </c>
      <c r="C450" s="85">
        <v>44884.0</v>
      </c>
      <c r="D450" s="89" t="s">
        <v>2695</v>
      </c>
      <c r="E450" s="89" t="s">
        <v>2696</v>
      </c>
      <c r="F450" s="89" t="s">
        <v>2697</v>
      </c>
      <c r="G450" s="89" t="s">
        <v>114</v>
      </c>
      <c r="H450" s="89" t="s">
        <v>94</v>
      </c>
      <c r="I450" s="89" t="s">
        <v>94</v>
      </c>
      <c r="J450" s="89" t="s">
        <v>95</v>
      </c>
      <c r="K450" s="89">
        <v>1.0</v>
      </c>
      <c r="L450" s="85"/>
      <c r="M450" s="85"/>
      <c r="N450" s="85"/>
      <c r="O450" s="85"/>
      <c r="P450" s="89">
        <v>1.0</v>
      </c>
      <c r="Q450" s="138"/>
      <c r="R450" s="138"/>
      <c r="S450" s="138"/>
      <c r="T450" s="138"/>
      <c r="U450" s="138"/>
      <c r="V450" s="469"/>
      <c r="W450" s="469"/>
      <c r="X450" s="469"/>
      <c r="Y450" s="469"/>
      <c r="Z450" s="469"/>
      <c r="AA450" s="469"/>
      <c r="AB450" s="469"/>
      <c r="AC450" s="469"/>
      <c r="AD450" s="469"/>
      <c r="AE450" s="469"/>
      <c r="AF450" s="469"/>
      <c r="AG450" s="469"/>
      <c r="AH450" s="469"/>
      <c r="AI450" s="469"/>
      <c r="AJ450" s="469"/>
      <c r="AK450" s="469"/>
      <c r="AL450" s="469"/>
      <c r="AM450" s="469"/>
      <c r="AN450" s="469"/>
      <c r="AO450" s="469"/>
    </row>
    <row r="451">
      <c r="A451" s="85">
        <v>44952.0</v>
      </c>
      <c r="B451" s="86">
        <v>206.0</v>
      </c>
      <c r="C451" s="85">
        <v>44649.0</v>
      </c>
      <c r="D451" s="89" t="s">
        <v>2698</v>
      </c>
      <c r="E451" s="89" t="s">
        <v>2699</v>
      </c>
      <c r="F451" s="89" t="s">
        <v>2700</v>
      </c>
      <c r="G451" s="89" t="s">
        <v>114</v>
      </c>
      <c r="H451" s="89" t="s">
        <v>94</v>
      </c>
      <c r="I451" s="89" t="s">
        <v>94</v>
      </c>
      <c r="J451" s="89" t="s">
        <v>95</v>
      </c>
      <c r="K451" s="89">
        <v>1.0</v>
      </c>
      <c r="L451" s="85"/>
      <c r="M451" s="89"/>
      <c r="N451" s="89"/>
      <c r="O451" s="85"/>
      <c r="P451" s="89"/>
      <c r="Q451" s="138"/>
      <c r="R451" s="138"/>
      <c r="S451" s="138"/>
      <c r="T451" s="138"/>
      <c r="U451" s="138"/>
      <c r="V451" s="469"/>
      <c r="W451" s="469"/>
      <c r="X451" s="469"/>
      <c r="Y451" s="469"/>
      <c r="Z451" s="469"/>
      <c r="AA451" s="469"/>
      <c r="AB451" s="469"/>
      <c r="AC451" s="469"/>
      <c r="AD451" s="469"/>
      <c r="AE451" s="469"/>
      <c r="AF451" s="469"/>
      <c r="AG451" s="469"/>
      <c r="AH451" s="469"/>
      <c r="AI451" s="469"/>
      <c r="AJ451" s="469"/>
      <c r="AK451" s="469"/>
      <c r="AL451" s="469"/>
      <c r="AM451" s="469"/>
      <c r="AN451" s="469"/>
      <c r="AO451" s="469"/>
    </row>
    <row r="452">
      <c r="A452" s="85">
        <v>44952.0</v>
      </c>
      <c r="B452" s="86">
        <v>325.61</v>
      </c>
      <c r="C452" s="85">
        <v>44873.0</v>
      </c>
      <c r="D452" s="89" t="s">
        <v>2701</v>
      </c>
      <c r="E452" s="89" t="s">
        <v>2702</v>
      </c>
      <c r="F452" s="89" t="s">
        <v>2703</v>
      </c>
      <c r="G452" s="89" t="s">
        <v>114</v>
      </c>
      <c r="H452" s="89" t="s">
        <v>94</v>
      </c>
      <c r="I452" s="89" t="s">
        <v>94</v>
      </c>
      <c r="J452" s="89" t="s">
        <v>95</v>
      </c>
      <c r="K452" s="89"/>
      <c r="L452" s="89">
        <v>1.0</v>
      </c>
      <c r="M452" s="89"/>
      <c r="N452" s="85"/>
      <c r="O452" s="85"/>
      <c r="P452" s="89">
        <v>1.0</v>
      </c>
      <c r="Q452" s="138"/>
      <c r="R452" s="138"/>
      <c r="S452" s="138"/>
      <c r="T452" s="138"/>
      <c r="U452" s="138"/>
      <c r="V452" s="469"/>
      <c r="W452" s="469"/>
      <c r="X452" s="469"/>
      <c r="Y452" s="469"/>
      <c r="Z452" s="469"/>
      <c r="AA452" s="469"/>
      <c r="AB452" s="469"/>
      <c r="AC452" s="469"/>
      <c r="AD452" s="469"/>
      <c r="AE452" s="469"/>
      <c r="AF452" s="469"/>
      <c r="AG452" s="469"/>
      <c r="AH452" s="469"/>
      <c r="AI452" s="469"/>
      <c r="AJ452" s="469"/>
      <c r="AK452" s="469"/>
      <c r="AL452" s="469"/>
      <c r="AM452" s="469"/>
      <c r="AN452" s="469"/>
      <c r="AO452" s="469"/>
    </row>
    <row r="453">
      <c r="A453" s="85">
        <v>44952.0</v>
      </c>
      <c r="B453" s="293">
        <v>345.0</v>
      </c>
      <c r="C453" s="85">
        <v>44872.0</v>
      </c>
      <c r="D453" s="89" t="s">
        <v>2704</v>
      </c>
      <c r="E453" s="89" t="s">
        <v>2705</v>
      </c>
      <c r="F453" s="89" t="s">
        <v>2706</v>
      </c>
      <c r="G453" s="89" t="s">
        <v>114</v>
      </c>
      <c r="H453" s="89" t="s">
        <v>94</v>
      </c>
      <c r="I453" s="89" t="s">
        <v>94</v>
      </c>
      <c r="J453" s="89" t="s">
        <v>95</v>
      </c>
      <c r="K453" s="89"/>
      <c r="L453" s="89">
        <v>1.0</v>
      </c>
      <c r="M453" s="89"/>
      <c r="N453" s="89">
        <v>1.0</v>
      </c>
      <c r="O453" s="85"/>
      <c r="P453" s="89">
        <v>1.0</v>
      </c>
      <c r="Q453" s="137">
        <v>1.0</v>
      </c>
      <c r="R453" s="138"/>
      <c r="S453" s="138"/>
      <c r="T453" s="138"/>
      <c r="U453" s="138"/>
      <c r="V453" s="469"/>
      <c r="W453" s="469"/>
      <c r="X453" s="469"/>
      <c r="Y453" s="469"/>
      <c r="Z453" s="469"/>
      <c r="AA453" s="469"/>
      <c r="AB453" s="469"/>
      <c r="AC453" s="469"/>
      <c r="AD453" s="469"/>
      <c r="AE453" s="469"/>
      <c r="AF453" s="469"/>
      <c r="AG453" s="469"/>
      <c r="AH453" s="469"/>
      <c r="AI453" s="469"/>
      <c r="AJ453" s="469"/>
      <c r="AK453" s="469"/>
      <c r="AL453" s="469"/>
      <c r="AM453" s="469"/>
      <c r="AN453" s="469"/>
      <c r="AO453" s="469"/>
    </row>
    <row r="454">
      <c r="A454" s="85">
        <v>44952.0</v>
      </c>
      <c r="B454" s="86">
        <v>325.54</v>
      </c>
      <c r="C454" s="85">
        <v>44881.0</v>
      </c>
      <c r="D454" s="89" t="s">
        <v>2707</v>
      </c>
      <c r="E454" s="89" t="s">
        <v>2708</v>
      </c>
      <c r="F454" s="89" t="s">
        <v>2709</v>
      </c>
      <c r="G454" s="89" t="s">
        <v>114</v>
      </c>
      <c r="H454" s="89" t="s">
        <v>94</v>
      </c>
      <c r="I454" s="89" t="s">
        <v>94</v>
      </c>
      <c r="J454" s="89" t="s">
        <v>95</v>
      </c>
      <c r="K454" s="89">
        <v>1.0</v>
      </c>
      <c r="L454" s="85"/>
      <c r="M454" s="89">
        <v>1.0</v>
      </c>
      <c r="N454" s="85"/>
      <c r="O454" s="85"/>
      <c r="P454" s="89">
        <v>1.0</v>
      </c>
      <c r="Q454" s="138"/>
      <c r="R454" s="138"/>
      <c r="S454" s="138"/>
      <c r="T454" s="138"/>
      <c r="U454" s="138"/>
      <c r="V454" s="469"/>
      <c r="W454" s="469"/>
      <c r="X454" s="469"/>
      <c r="Y454" s="469"/>
      <c r="Z454" s="469"/>
      <c r="AA454" s="469"/>
      <c r="AB454" s="469"/>
      <c r="AC454" s="469"/>
      <c r="AD454" s="469"/>
      <c r="AE454" s="469"/>
      <c r="AF454" s="469"/>
      <c r="AG454" s="469"/>
      <c r="AH454" s="469"/>
      <c r="AI454" s="469"/>
      <c r="AJ454" s="469"/>
      <c r="AK454" s="469"/>
      <c r="AL454" s="469"/>
      <c r="AM454" s="469"/>
      <c r="AN454" s="469"/>
      <c r="AO454" s="469"/>
    </row>
    <row r="455">
      <c r="A455" s="85">
        <v>44952.0</v>
      </c>
      <c r="B455" s="86">
        <v>289.0</v>
      </c>
      <c r="C455" s="85">
        <v>44665.0</v>
      </c>
      <c r="D455" s="89" t="s">
        <v>2710</v>
      </c>
      <c r="E455" s="89" t="s">
        <v>2711</v>
      </c>
      <c r="F455" s="89" t="s">
        <v>2712</v>
      </c>
      <c r="G455" s="89" t="s">
        <v>114</v>
      </c>
      <c r="H455" s="89" t="s">
        <v>94</v>
      </c>
      <c r="I455" s="89" t="s">
        <v>94</v>
      </c>
      <c r="J455" s="89" t="s">
        <v>95</v>
      </c>
      <c r="K455" s="85"/>
      <c r="L455" s="89">
        <v>1.0</v>
      </c>
      <c r="M455" s="85"/>
      <c r="N455" s="89"/>
      <c r="O455" s="85"/>
      <c r="P455" s="89"/>
      <c r="Q455" s="138"/>
      <c r="R455" s="138"/>
      <c r="S455" s="138"/>
      <c r="T455" s="138"/>
      <c r="U455" s="138"/>
      <c r="V455" s="469"/>
      <c r="W455" s="469"/>
      <c r="X455" s="469"/>
      <c r="Y455" s="469"/>
      <c r="Z455" s="469"/>
      <c r="AA455" s="469"/>
      <c r="AB455" s="469"/>
      <c r="AC455" s="469"/>
      <c r="AD455" s="469"/>
      <c r="AE455" s="469"/>
      <c r="AF455" s="469"/>
      <c r="AG455" s="469"/>
      <c r="AH455" s="469"/>
      <c r="AI455" s="469"/>
      <c r="AJ455" s="469"/>
      <c r="AK455" s="469"/>
      <c r="AL455" s="469"/>
      <c r="AM455" s="469"/>
      <c r="AN455" s="469"/>
      <c r="AO455" s="469"/>
    </row>
    <row r="456">
      <c r="A456" s="85">
        <v>44952.0</v>
      </c>
      <c r="B456" s="86">
        <v>299.0</v>
      </c>
      <c r="C456" s="85">
        <v>44877.0</v>
      </c>
      <c r="D456" s="89" t="s">
        <v>2713</v>
      </c>
      <c r="E456" s="89" t="s">
        <v>2714</v>
      </c>
      <c r="F456" s="89" t="s">
        <v>2715</v>
      </c>
      <c r="G456" s="89" t="s">
        <v>114</v>
      </c>
      <c r="H456" s="89" t="s">
        <v>94</v>
      </c>
      <c r="I456" s="89" t="s">
        <v>94</v>
      </c>
      <c r="J456" s="89" t="s">
        <v>328</v>
      </c>
      <c r="K456" s="89"/>
      <c r="L456" s="89">
        <v>1.0</v>
      </c>
      <c r="M456" s="85"/>
      <c r="N456" s="85"/>
      <c r="O456" s="85"/>
      <c r="P456" s="89">
        <v>1.0</v>
      </c>
      <c r="Q456" s="138"/>
      <c r="R456" s="138"/>
      <c r="S456" s="138"/>
      <c r="T456" s="138"/>
      <c r="U456" s="138"/>
      <c r="V456" s="469"/>
      <c r="W456" s="469"/>
      <c r="X456" s="469"/>
      <c r="Y456" s="469"/>
      <c r="Z456" s="469"/>
      <c r="AA456" s="469"/>
      <c r="AB456" s="469"/>
      <c r="AC456" s="469"/>
      <c r="AD456" s="469"/>
      <c r="AE456" s="469"/>
      <c r="AF456" s="469"/>
      <c r="AG456" s="469"/>
      <c r="AH456" s="469"/>
      <c r="AI456" s="469"/>
      <c r="AJ456" s="469"/>
      <c r="AK456" s="469"/>
      <c r="AL456" s="469"/>
      <c r="AM456" s="469"/>
      <c r="AN456" s="469"/>
      <c r="AO456" s="469"/>
    </row>
    <row r="457">
      <c r="A457" s="85">
        <v>44952.0</v>
      </c>
      <c r="B457" s="86">
        <v>249.61</v>
      </c>
      <c r="C457" s="85">
        <v>44887.0</v>
      </c>
      <c r="D457" s="89" t="s">
        <v>2716</v>
      </c>
      <c r="E457" s="89" t="s">
        <v>2717</v>
      </c>
      <c r="F457" s="89" t="s">
        <v>2718</v>
      </c>
      <c r="G457" s="89" t="s">
        <v>114</v>
      </c>
      <c r="H457" s="89" t="s">
        <v>94</v>
      </c>
      <c r="I457" s="89" t="s">
        <v>94</v>
      </c>
      <c r="J457" s="89" t="s">
        <v>95</v>
      </c>
      <c r="K457" s="89">
        <v>1.0</v>
      </c>
      <c r="L457" s="85"/>
      <c r="M457" s="85"/>
      <c r="N457" s="85"/>
      <c r="O457" s="85"/>
      <c r="P457" s="89"/>
      <c r="Q457" s="138"/>
      <c r="R457" s="138"/>
      <c r="S457" s="138"/>
      <c r="T457" s="138"/>
      <c r="U457" s="138"/>
      <c r="V457" s="469"/>
      <c r="W457" s="469"/>
      <c r="X457" s="469"/>
      <c r="Y457" s="469"/>
      <c r="Z457" s="469"/>
      <c r="AA457" s="469"/>
      <c r="AB457" s="469"/>
      <c r="AC457" s="469"/>
      <c r="AD457" s="469"/>
      <c r="AE457" s="469"/>
      <c r="AF457" s="469"/>
      <c r="AG457" s="469"/>
      <c r="AH457" s="469"/>
      <c r="AI457" s="469"/>
      <c r="AJ457" s="469"/>
      <c r="AK457" s="469"/>
      <c r="AL457" s="469"/>
      <c r="AM457" s="469"/>
      <c r="AN457" s="469"/>
      <c r="AO457" s="469"/>
    </row>
    <row r="458">
      <c r="A458" s="85">
        <v>44952.0</v>
      </c>
      <c r="B458" s="86">
        <v>241.12</v>
      </c>
      <c r="C458" s="85">
        <v>44649.0</v>
      </c>
      <c r="D458" s="89" t="s">
        <v>2719</v>
      </c>
      <c r="E458" s="89" t="s">
        <v>2720</v>
      </c>
      <c r="F458" s="89" t="s">
        <v>2721</v>
      </c>
      <c r="G458" s="89" t="s">
        <v>114</v>
      </c>
      <c r="H458" s="89" t="s">
        <v>94</v>
      </c>
      <c r="I458" s="89" t="s">
        <v>94</v>
      </c>
      <c r="J458" s="89" t="s">
        <v>95</v>
      </c>
      <c r="K458" s="89">
        <v>1.0</v>
      </c>
      <c r="L458" s="85"/>
      <c r="M458" s="85"/>
      <c r="N458" s="85"/>
      <c r="O458" s="85"/>
      <c r="P458" s="89"/>
      <c r="Q458" s="138"/>
      <c r="R458" s="138"/>
      <c r="S458" s="138"/>
      <c r="T458" s="138"/>
      <c r="U458" s="138"/>
      <c r="V458" s="469"/>
      <c r="W458" s="469"/>
      <c r="X458" s="469"/>
      <c r="Y458" s="469"/>
      <c r="Z458" s="469"/>
      <c r="AA458" s="469"/>
      <c r="AB458" s="469"/>
      <c r="AC458" s="469"/>
      <c r="AD458" s="469"/>
      <c r="AE458" s="469"/>
      <c r="AF458" s="469"/>
      <c r="AG458" s="469"/>
      <c r="AH458" s="469"/>
      <c r="AI458" s="469"/>
      <c r="AJ458" s="469"/>
      <c r="AK458" s="469"/>
      <c r="AL458" s="469"/>
      <c r="AM458" s="469"/>
      <c r="AN458" s="469"/>
      <c r="AO458" s="469"/>
    </row>
    <row r="459">
      <c r="A459" s="85">
        <v>44952.0</v>
      </c>
      <c r="B459" s="86">
        <v>335.0</v>
      </c>
      <c r="C459" s="85">
        <v>44857.0</v>
      </c>
      <c r="D459" s="89" t="s">
        <v>2722</v>
      </c>
      <c r="E459" s="89" t="s">
        <v>2723</v>
      </c>
      <c r="F459" s="89" t="s">
        <v>2724</v>
      </c>
      <c r="G459" s="89" t="s">
        <v>114</v>
      </c>
      <c r="H459" s="89" t="s">
        <v>94</v>
      </c>
      <c r="I459" s="89" t="s">
        <v>94</v>
      </c>
      <c r="J459" s="89" t="s">
        <v>95</v>
      </c>
      <c r="K459" s="89">
        <v>1.0</v>
      </c>
      <c r="L459" s="85"/>
      <c r="M459" s="89">
        <v>1.0</v>
      </c>
      <c r="N459" s="89">
        <v>1.0</v>
      </c>
      <c r="O459" s="85"/>
      <c r="P459" s="89">
        <v>1.0</v>
      </c>
      <c r="Q459" s="137">
        <v>1.0</v>
      </c>
      <c r="R459" s="138"/>
      <c r="S459" s="138"/>
      <c r="T459" s="138"/>
      <c r="U459" s="138"/>
      <c r="V459" s="469"/>
      <c r="W459" s="469"/>
      <c r="X459" s="469"/>
      <c r="Y459" s="469"/>
      <c r="Z459" s="469"/>
      <c r="AA459" s="469"/>
      <c r="AB459" s="469"/>
      <c r="AC459" s="469"/>
      <c r="AD459" s="469"/>
      <c r="AE459" s="469"/>
      <c r="AF459" s="469"/>
      <c r="AG459" s="469"/>
      <c r="AH459" s="469"/>
      <c r="AI459" s="469"/>
      <c r="AJ459" s="469"/>
      <c r="AK459" s="469"/>
      <c r="AL459" s="469"/>
      <c r="AM459" s="469"/>
      <c r="AN459" s="469"/>
      <c r="AO459" s="469"/>
    </row>
    <row r="460">
      <c r="A460" s="85">
        <v>44952.0</v>
      </c>
      <c r="B460" s="86">
        <v>260.07</v>
      </c>
      <c r="C460" s="85">
        <v>44888.0</v>
      </c>
      <c r="D460" s="89" t="s">
        <v>2725</v>
      </c>
      <c r="E460" s="1" t="s">
        <v>2726</v>
      </c>
      <c r="F460" s="89" t="s">
        <v>2727</v>
      </c>
      <c r="G460" s="89" t="s">
        <v>114</v>
      </c>
      <c r="H460" s="89" t="s">
        <v>94</v>
      </c>
      <c r="I460" s="89" t="s">
        <v>94</v>
      </c>
      <c r="J460" s="89" t="s">
        <v>95</v>
      </c>
      <c r="K460" s="89">
        <v>1.0</v>
      </c>
      <c r="L460" s="85"/>
      <c r="M460" s="89"/>
      <c r="N460" s="85"/>
      <c r="O460" s="85"/>
      <c r="P460" s="85"/>
      <c r="Q460" s="138"/>
      <c r="R460" s="138"/>
      <c r="S460" s="138"/>
      <c r="T460" s="137">
        <v>1.0</v>
      </c>
      <c r="U460" s="138"/>
      <c r="V460" s="469"/>
      <c r="W460" s="469"/>
      <c r="X460" s="469"/>
      <c r="Y460" s="469"/>
      <c r="Z460" s="469"/>
      <c r="AA460" s="469"/>
      <c r="AB460" s="469"/>
      <c r="AC460" s="469"/>
      <c r="AD460" s="469"/>
      <c r="AE460" s="469"/>
      <c r="AF460" s="469"/>
      <c r="AG460" s="469"/>
      <c r="AH460" s="469"/>
      <c r="AI460" s="469"/>
      <c r="AJ460" s="469"/>
      <c r="AK460" s="469"/>
      <c r="AL460" s="469"/>
      <c r="AM460" s="469"/>
      <c r="AN460" s="469"/>
      <c r="AO460" s="469"/>
    </row>
    <row r="461">
      <c r="A461" s="85">
        <v>44952.0</v>
      </c>
      <c r="B461" s="86">
        <v>271.4</v>
      </c>
      <c r="C461" s="85">
        <v>44872.0</v>
      </c>
      <c r="D461" s="89" t="s">
        <v>2728</v>
      </c>
      <c r="E461" s="89" t="s">
        <v>2729</v>
      </c>
      <c r="F461" s="89" t="s">
        <v>2730</v>
      </c>
      <c r="G461" s="89" t="s">
        <v>114</v>
      </c>
      <c r="H461" s="89" t="s">
        <v>94</v>
      </c>
      <c r="I461" s="89" t="s">
        <v>94</v>
      </c>
      <c r="J461" s="89" t="s">
        <v>95</v>
      </c>
      <c r="K461" s="89">
        <v>1.0</v>
      </c>
      <c r="L461" s="85"/>
      <c r="M461" s="85"/>
      <c r="N461" s="89">
        <v>1.0</v>
      </c>
      <c r="O461" s="85"/>
      <c r="P461" s="89"/>
      <c r="Q461" s="138"/>
      <c r="R461" s="138"/>
      <c r="S461" s="138"/>
      <c r="T461" s="138"/>
      <c r="U461" s="138"/>
      <c r="V461" s="469"/>
      <c r="W461" s="469"/>
      <c r="X461" s="469"/>
      <c r="Y461" s="469"/>
      <c r="Z461" s="469"/>
      <c r="AA461" s="469"/>
      <c r="AB461" s="469"/>
      <c r="AC461" s="469"/>
      <c r="AD461" s="469"/>
      <c r="AE461" s="469"/>
      <c r="AF461" s="469"/>
      <c r="AG461" s="469"/>
      <c r="AH461" s="469"/>
      <c r="AI461" s="469"/>
      <c r="AJ461" s="469"/>
      <c r="AK461" s="469"/>
      <c r="AL461" s="469"/>
      <c r="AM461" s="469"/>
      <c r="AN461" s="469"/>
      <c r="AO461" s="469"/>
    </row>
    <row r="462">
      <c r="A462" s="85">
        <v>44952.0</v>
      </c>
      <c r="B462" s="86">
        <v>234.6</v>
      </c>
      <c r="C462" s="85">
        <v>44859.0</v>
      </c>
      <c r="D462" s="89" t="s">
        <v>475</v>
      </c>
      <c r="E462" s="89" t="s">
        <v>477</v>
      </c>
      <c r="F462" s="89" t="s">
        <v>479</v>
      </c>
      <c r="G462" s="89" t="s">
        <v>114</v>
      </c>
      <c r="H462" s="89" t="s">
        <v>94</v>
      </c>
      <c r="I462" s="89" t="s">
        <v>94</v>
      </c>
      <c r="J462" s="89" t="s">
        <v>95</v>
      </c>
      <c r="K462" s="89">
        <v>1.0</v>
      </c>
      <c r="L462" s="85"/>
      <c r="M462" s="85"/>
      <c r="N462" s="85"/>
      <c r="O462" s="85"/>
      <c r="P462" s="89"/>
      <c r="Q462" s="138"/>
      <c r="R462" s="138"/>
      <c r="S462" s="138"/>
      <c r="T462" s="138"/>
      <c r="U462" s="138"/>
      <c r="V462" s="469"/>
      <c r="W462" s="469"/>
      <c r="X462" s="469"/>
      <c r="Y462" s="469"/>
      <c r="Z462" s="469"/>
      <c r="AA462" s="469"/>
      <c r="AB462" s="469"/>
      <c r="AC462" s="469"/>
      <c r="AD462" s="469"/>
      <c r="AE462" s="469"/>
      <c r="AF462" s="469"/>
      <c r="AG462" s="469"/>
      <c r="AH462" s="469"/>
      <c r="AI462" s="469"/>
      <c r="AJ462" s="469"/>
      <c r="AK462" s="469"/>
      <c r="AL462" s="469"/>
      <c r="AM462" s="469"/>
      <c r="AN462" s="469"/>
      <c r="AO462" s="469"/>
    </row>
    <row r="463">
      <c r="A463" s="85">
        <v>44953.0</v>
      </c>
      <c r="B463" s="293">
        <v>275.2</v>
      </c>
      <c r="C463" s="85">
        <v>44103.0</v>
      </c>
      <c r="D463" s="89" t="s">
        <v>2731</v>
      </c>
      <c r="E463" s="89" t="s">
        <v>2732</v>
      </c>
      <c r="F463" s="89" t="s">
        <v>2733</v>
      </c>
      <c r="G463" s="89" t="s">
        <v>114</v>
      </c>
      <c r="H463" s="89" t="s">
        <v>170</v>
      </c>
      <c r="I463" s="89" t="s">
        <v>135</v>
      </c>
      <c r="J463" s="89" t="s">
        <v>95</v>
      </c>
      <c r="K463" s="85"/>
      <c r="L463" s="89">
        <v>1.0</v>
      </c>
      <c r="M463" s="85"/>
      <c r="N463" s="89">
        <v>1.0</v>
      </c>
      <c r="O463" s="85"/>
      <c r="P463" s="89">
        <v>1.0</v>
      </c>
      <c r="Q463" s="138"/>
      <c r="R463" s="138"/>
      <c r="S463" s="138"/>
      <c r="T463" s="138"/>
      <c r="U463" s="138"/>
      <c r="V463" s="469"/>
      <c r="W463" s="469"/>
      <c r="X463" s="469"/>
      <c r="Y463" s="469"/>
      <c r="Z463" s="469"/>
      <c r="AA463" s="469"/>
      <c r="AB463" s="469"/>
      <c r="AC463" s="469"/>
      <c r="AD463" s="469"/>
      <c r="AE463" s="469"/>
      <c r="AF463" s="469"/>
      <c r="AG463" s="469"/>
      <c r="AH463" s="469"/>
      <c r="AI463" s="469"/>
      <c r="AJ463" s="469"/>
      <c r="AK463" s="469"/>
      <c r="AL463" s="469"/>
      <c r="AM463" s="469"/>
      <c r="AN463" s="469"/>
      <c r="AO463" s="469"/>
    </row>
    <row r="464">
      <c r="A464" s="85">
        <v>44953.0</v>
      </c>
      <c r="B464" s="86">
        <v>269.0</v>
      </c>
      <c r="C464" s="85">
        <v>44873.0</v>
      </c>
      <c r="D464" s="89" t="s">
        <v>2734</v>
      </c>
      <c r="E464" s="89" t="s">
        <v>2735</v>
      </c>
      <c r="F464" s="89" t="s">
        <v>2736</v>
      </c>
      <c r="G464" s="89" t="s">
        <v>114</v>
      </c>
      <c r="H464" s="89" t="s">
        <v>94</v>
      </c>
      <c r="I464" s="89" t="s">
        <v>94</v>
      </c>
      <c r="J464" s="89" t="s">
        <v>95</v>
      </c>
      <c r="K464" s="85"/>
      <c r="L464" s="89">
        <v>1.0</v>
      </c>
      <c r="M464" s="85"/>
      <c r="N464" s="85"/>
      <c r="O464" s="85"/>
      <c r="P464" s="89"/>
      <c r="Q464" s="138"/>
      <c r="R464" s="138"/>
      <c r="S464" s="138"/>
      <c r="T464" s="138"/>
      <c r="U464" s="138"/>
      <c r="V464" s="469"/>
      <c r="W464" s="469"/>
      <c r="X464" s="469"/>
      <c r="Y464" s="469"/>
      <c r="Z464" s="469"/>
      <c r="AA464" s="469"/>
      <c r="AB464" s="469"/>
      <c r="AC464" s="469"/>
      <c r="AD464" s="469"/>
      <c r="AE464" s="469"/>
      <c r="AF464" s="469"/>
      <c r="AG464" s="469"/>
      <c r="AH464" s="469"/>
      <c r="AI464" s="469"/>
      <c r="AJ464" s="469"/>
      <c r="AK464" s="469"/>
      <c r="AL464" s="469"/>
      <c r="AM464" s="469"/>
      <c r="AN464" s="469"/>
      <c r="AO464" s="469"/>
    </row>
    <row r="465">
      <c r="A465" s="85">
        <v>44953.0</v>
      </c>
      <c r="B465" s="86">
        <v>219.0</v>
      </c>
      <c r="C465" s="85">
        <v>44511.0</v>
      </c>
      <c r="D465" s="89" t="s">
        <v>2737</v>
      </c>
      <c r="E465" s="89" t="s">
        <v>2738</v>
      </c>
      <c r="F465" s="89" t="s">
        <v>2739</v>
      </c>
      <c r="G465" s="89" t="s">
        <v>1552</v>
      </c>
      <c r="H465" s="89" t="s">
        <v>94</v>
      </c>
      <c r="I465" s="89" t="s">
        <v>125</v>
      </c>
      <c r="J465" s="1" t="s">
        <v>95</v>
      </c>
      <c r="K465" s="89">
        <v>1.0</v>
      </c>
      <c r="L465" s="85"/>
      <c r="M465" s="89"/>
      <c r="N465" s="85"/>
      <c r="O465" s="85"/>
      <c r="P465" s="89"/>
      <c r="Q465" s="138"/>
      <c r="R465" s="138"/>
      <c r="S465" s="138"/>
      <c r="T465" s="138"/>
      <c r="U465" s="138"/>
      <c r="V465" s="469"/>
      <c r="W465" s="469"/>
      <c r="X465" s="469"/>
      <c r="Y465" s="469"/>
      <c r="Z465" s="469"/>
      <c r="AA465" s="469"/>
      <c r="AB465" s="469"/>
      <c r="AC465" s="469"/>
      <c r="AD465" s="469"/>
      <c r="AE465" s="469"/>
      <c r="AF465" s="469"/>
      <c r="AG465" s="469"/>
      <c r="AH465" s="469"/>
      <c r="AI465" s="469"/>
      <c r="AJ465" s="469"/>
      <c r="AK465" s="469"/>
      <c r="AL465" s="469"/>
      <c r="AM465" s="469"/>
      <c r="AN465" s="469"/>
      <c r="AO465" s="469"/>
    </row>
    <row r="466">
      <c r="A466" s="85">
        <v>44953.0</v>
      </c>
      <c r="B466" s="86">
        <v>243.32</v>
      </c>
      <c r="C466" s="89" t="s">
        <v>2740</v>
      </c>
      <c r="D466" s="89" t="s">
        <v>2741</v>
      </c>
      <c r="E466" s="89" t="s">
        <v>2742</v>
      </c>
      <c r="F466" s="89" t="s">
        <v>2743</v>
      </c>
      <c r="G466" s="89" t="s">
        <v>114</v>
      </c>
      <c r="H466" s="89" t="s">
        <v>94</v>
      </c>
      <c r="I466" s="89" t="s">
        <v>94</v>
      </c>
      <c r="J466" s="89" t="s">
        <v>95</v>
      </c>
      <c r="K466" s="89">
        <v>1.0</v>
      </c>
      <c r="L466" s="85"/>
      <c r="M466" s="85"/>
      <c r="N466" s="85"/>
      <c r="O466" s="85"/>
      <c r="P466" s="85"/>
      <c r="Q466" s="138"/>
      <c r="R466" s="138"/>
      <c r="S466" s="138"/>
      <c r="T466" s="138"/>
      <c r="U466" s="138"/>
      <c r="V466" s="469"/>
      <c r="W466" s="469"/>
      <c r="X466" s="469"/>
      <c r="Y466" s="469"/>
      <c r="Z466" s="469"/>
      <c r="AA466" s="469"/>
      <c r="AB466" s="469"/>
      <c r="AC466" s="469"/>
      <c r="AD466" s="469"/>
      <c r="AE466" s="469"/>
      <c r="AF466" s="469"/>
      <c r="AG466" s="469"/>
      <c r="AH466" s="469"/>
      <c r="AI466" s="469"/>
      <c r="AJ466" s="469"/>
      <c r="AK466" s="469"/>
      <c r="AL466" s="469"/>
      <c r="AM466" s="469"/>
      <c r="AN466" s="469"/>
      <c r="AO466" s="469"/>
    </row>
    <row r="467">
      <c r="A467" s="85">
        <v>44953.0</v>
      </c>
      <c r="B467" s="86">
        <v>266.4</v>
      </c>
      <c r="C467" s="85">
        <v>44202.0</v>
      </c>
      <c r="D467" s="89" t="s">
        <v>2744</v>
      </c>
      <c r="E467" s="89" t="s">
        <v>2745</v>
      </c>
      <c r="F467" s="89" t="s">
        <v>2746</v>
      </c>
      <c r="G467" s="89" t="s">
        <v>114</v>
      </c>
      <c r="H467" s="89" t="s">
        <v>170</v>
      </c>
      <c r="I467" s="89" t="s">
        <v>170</v>
      </c>
      <c r="J467" s="89" t="s">
        <v>95</v>
      </c>
      <c r="K467" s="85"/>
      <c r="L467" s="89">
        <v>1.0</v>
      </c>
      <c r="M467" s="85"/>
      <c r="N467" s="89">
        <v>1.0</v>
      </c>
      <c r="O467" s="85"/>
      <c r="P467" s="89"/>
      <c r="Q467" s="138"/>
      <c r="R467" s="138"/>
      <c r="S467" s="138"/>
      <c r="T467" s="138"/>
      <c r="U467" s="138"/>
      <c r="V467" s="469"/>
      <c r="W467" s="469"/>
      <c r="X467" s="469"/>
      <c r="Y467" s="469"/>
      <c r="Z467" s="469"/>
      <c r="AA467" s="469"/>
      <c r="AB467" s="469"/>
      <c r="AC467" s="469"/>
      <c r="AD467" s="469"/>
      <c r="AE467" s="469"/>
      <c r="AF467" s="469"/>
      <c r="AG467" s="469"/>
      <c r="AH467" s="469"/>
      <c r="AI467" s="469"/>
      <c r="AJ467" s="469"/>
      <c r="AK467" s="469"/>
      <c r="AL467" s="469"/>
      <c r="AM467" s="469"/>
      <c r="AN467" s="469"/>
      <c r="AO467" s="469"/>
    </row>
    <row r="468">
      <c r="A468" s="85">
        <v>44953.0</v>
      </c>
      <c r="B468" s="86">
        <v>609.33</v>
      </c>
      <c r="C468" s="85">
        <v>44603.0</v>
      </c>
      <c r="D468" s="89" t="s">
        <v>2747</v>
      </c>
      <c r="E468" s="89" t="s">
        <v>2748</v>
      </c>
      <c r="F468" s="89" t="s">
        <v>2749</v>
      </c>
      <c r="G468" s="89" t="s">
        <v>114</v>
      </c>
      <c r="H468" s="89" t="s">
        <v>94</v>
      </c>
      <c r="I468" s="89" t="s">
        <v>94</v>
      </c>
      <c r="J468" s="89" t="s">
        <v>95</v>
      </c>
      <c r="K468" s="89"/>
      <c r="L468" s="89">
        <v>2.0</v>
      </c>
      <c r="M468" s="85"/>
      <c r="N468" s="89">
        <v>1.0</v>
      </c>
      <c r="O468" s="85"/>
      <c r="P468" s="89">
        <v>1.0</v>
      </c>
      <c r="Q468" s="138"/>
      <c r="R468" s="138"/>
      <c r="S468" s="138"/>
      <c r="T468" s="138"/>
      <c r="U468" s="138"/>
      <c r="V468" s="469"/>
      <c r="W468" s="469"/>
      <c r="X468" s="469"/>
      <c r="Y468" s="469"/>
      <c r="Z468" s="469"/>
      <c r="AA468" s="469"/>
      <c r="AB468" s="469"/>
      <c r="AC468" s="469"/>
      <c r="AD468" s="469"/>
      <c r="AE468" s="469"/>
      <c r="AF468" s="469"/>
      <c r="AG468" s="469"/>
      <c r="AH468" s="469"/>
      <c r="AI468" s="469"/>
      <c r="AJ468" s="469"/>
      <c r="AK468" s="469"/>
      <c r="AL468" s="469"/>
      <c r="AM468" s="469"/>
      <c r="AN468" s="469"/>
      <c r="AO468" s="469"/>
    </row>
    <row r="469">
      <c r="A469" s="85">
        <v>44953.0</v>
      </c>
      <c r="B469" s="86">
        <v>206.0</v>
      </c>
      <c r="C469" s="85">
        <v>44762.0</v>
      </c>
      <c r="D469" s="89" t="s">
        <v>2750</v>
      </c>
      <c r="E469" s="89" t="s">
        <v>2751</v>
      </c>
      <c r="F469" s="89" t="s">
        <v>2752</v>
      </c>
      <c r="G469" s="89" t="s">
        <v>114</v>
      </c>
      <c r="H469" s="89" t="s">
        <v>94</v>
      </c>
      <c r="I469" s="89" t="s">
        <v>94</v>
      </c>
      <c r="J469" s="89" t="s">
        <v>95</v>
      </c>
      <c r="K469" s="89">
        <v>1.0</v>
      </c>
      <c r="L469" s="85"/>
      <c r="M469" s="85"/>
      <c r="N469" s="85"/>
      <c r="O469" s="85"/>
      <c r="P469" s="89"/>
      <c r="Q469" s="138"/>
      <c r="R469" s="138"/>
      <c r="S469" s="138"/>
      <c r="T469" s="138"/>
      <c r="U469" s="138"/>
      <c r="V469" s="469"/>
      <c r="W469" s="469"/>
      <c r="X469" s="469"/>
      <c r="Y469" s="469"/>
      <c r="Z469" s="469"/>
      <c r="AA469" s="469"/>
      <c r="AB469" s="469"/>
      <c r="AC469" s="469"/>
      <c r="AD469" s="469"/>
      <c r="AE469" s="469"/>
      <c r="AF469" s="469"/>
      <c r="AG469" s="469"/>
      <c r="AH469" s="469"/>
      <c r="AI469" s="469"/>
      <c r="AJ469" s="469"/>
      <c r="AK469" s="469"/>
      <c r="AL469" s="469"/>
      <c r="AM469" s="469"/>
      <c r="AN469" s="469"/>
      <c r="AO469" s="469"/>
    </row>
    <row r="470">
      <c r="A470" s="85">
        <v>44953.0</v>
      </c>
      <c r="B470" s="86">
        <v>266.39</v>
      </c>
      <c r="C470" s="85">
        <v>44676.0</v>
      </c>
      <c r="D470" s="89" t="s">
        <v>2753</v>
      </c>
      <c r="E470" s="89" t="s">
        <v>2754</v>
      </c>
      <c r="F470" s="89" t="s">
        <v>2755</v>
      </c>
      <c r="G470" s="89" t="s">
        <v>114</v>
      </c>
      <c r="H470" s="89" t="s">
        <v>94</v>
      </c>
      <c r="I470" s="89" t="s">
        <v>94</v>
      </c>
      <c r="J470" s="89" t="s">
        <v>95</v>
      </c>
      <c r="K470" s="89">
        <v>1.0</v>
      </c>
      <c r="L470" s="85"/>
      <c r="M470" s="89"/>
      <c r="N470" s="89">
        <v>1.0</v>
      </c>
      <c r="O470" s="85"/>
      <c r="P470" s="89"/>
      <c r="Q470" s="138"/>
      <c r="R470" s="138"/>
      <c r="S470" s="138"/>
      <c r="T470" s="138"/>
      <c r="U470" s="138"/>
      <c r="V470" s="469"/>
      <c r="W470" s="469"/>
      <c r="X470" s="469"/>
      <c r="Y470" s="469"/>
      <c r="Z470" s="469"/>
      <c r="AA470" s="469"/>
      <c r="AB470" s="469"/>
      <c r="AC470" s="469"/>
      <c r="AD470" s="469"/>
      <c r="AE470" s="469"/>
      <c r="AF470" s="469"/>
      <c r="AG470" s="469"/>
      <c r="AH470" s="469"/>
      <c r="AI470" s="469"/>
      <c r="AJ470" s="469"/>
      <c r="AK470" s="469"/>
      <c r="AL470" s="469"/>
      <c r="AM470" s="469"/>
      <c r="AN470" s="469"/>
      <c r="AO470" s="469"/>
    </row>
    <row r="471">
      <c r="A471" s="85">
        <v>44953.0</v>
      </c>
      <c r="B471" s="86">
        <v>229.55</v>
      </c>
      <c r="C471" s="85">
        <v>44815.0</v>
      </c>
      <c r="D471" s="89" t="s">
        <v>2756</v>
      </c>
      <c r="E471" s="89" t="s">
        <v>2757</v>
      </c>
      <c r="F471" s="89" t="s">
        <v>2758</v>
      </c>
      <c r="G471" s="89" t="s">
        <v>114</v>
      </c>
      <c r="H471" s="89" t="s">
        <v>94</v>
      </c>
      <c r="I471" s="89" t="s">
        <v>94</v>
      </c>
      <c r="J471" s="89" t="s">
        <v>95</v>
      </c>
      <c r="K471" s="89">
        <v>1.0</v>
      </c>
      <c r="L471" s="85"/>
      <c r="M471" s="85"/>
      <c r="N471" s="85"/>
      <c r="O471" s="85"/>
      <c r="P471" s="89"/>
      <c r="Q471" s="138"/>
      <c r="R471" s="138"/>
      <c r="S471" s="138"/>
      <c r="T471" s="138"/>
      <c r="U471" s="138"/>
      <c r="V471" s="469"/>
      <c r="W471" s="469"/>
      <c r="X471" s="469"/>
      <c r="Y471" s="469"/>
      <c r="Z471" s="469"/>
      <c r="AA471" s="469"/>
      <c r="AB471" s="469"/>
      <c r="AC471" s="469"/>
      <c r="AD471" s="469"/>
      <c r="AE471" s="469"/>
      <c r="AF471" s="469"/>
      <c r="AG471" s="469"/>
      <c r="AH471" s="469"/>
      <c r="AI471" s="469"/>
      <c r="AJ471" s="469"/>
      <c r="AK471" s="469"/>
      <c r="AL471" s="469"/>
      <c r="AM471" s="469"/>
      <c r="AN471" s="469"/>
      <c r="AO471" s="469"/>
    </row>
    <row r="472">
      <c r="A472" s="85">
        <v>44953.0</v>
      </c>
      <c r="B472" s="86">
        <v>245.3</v>
      </c>
      <c r="C472" s="85">
        <v>44100.0</v>
      </c>
      <c r="D472" s="89" t="s">
        <v>2759</v>
      </c>
      <c r="E472" s="89" t="s">
        <v>2760</v>
      </c>
      <c r="F472" s="89" t="s">
        <v>2761</v>
      </c>
      <c r="G472" s="89" t="s">
        <v>114</v>
      </c>
      <c r="H472" s="89" t="s">
        <v>170</v>
      </c>
      <c r="I472" s="89" t="s">
        <v>170</v>
      </c>
      <c r="J472" s="89" t="s">
        <v>95</v>
      </c>
      <c r="K472" s="89"/>
      <c r="L472" s="89">
        <v>1.0</v>
      </c>
      <c r="M472" s="89"/>
      <c r="N472" s="89"/>
      <c r="O472" s="85"/>
      <c r="P472" s="89"/>
      <c r="Q472" s="137"/>
      <c r="R472" s="138"/>
      <c r="S472" s="138"/>
      <c r="T472" s="138"/>
      <c r="U472" s="138"/>
      <c r="V472" s="469"/>
      <c r="W472" s="469"/>
      <c r="X472" s="469"/>
      <c r="Y472" s="469"/>
      <c r="Z472" s="469"/>
      <c r="AA472" s="469"/>
      <c r="AB472" s="469"/>
      <c r="AC472" s="469"/>
      <c r="AD472" s="469"/>
      <c r="AE472" s="469"/>
      <c r="AF472" s="469"/>
      <c r="AG472" s="469"/>
      <c r="AH472" s="469"/>
      <c r="AI472" s="469"/>
      <c r="AJ472" s="469"/>
      <c r="AK472" s="469"/>
      <c r="AL472" s="469"/>
      <c r="AM472" s="469"/>
      <c r="AN472" s="469"/>
      <c r="AO472" s="469"/>
    </row>
    <row r="473">
      <c r="A473" s="85">
        <v>44953.0</v>
      </c>
      <c r="B473" s="86">
        <v>335.71</v>
      </c>
      <c r="C473" s="85">
        <v>44771.0</v>
      </c>
      <c r="D473" s="496" t="s">
        <v>2762</v>
      </c>
      <c r="E473" s="89" t="s">
        <v>2763</v>
      </c>
      <c r="F473" s="89" t="s">
        <v>2764</v>
      </c>
      <c r="G473" s="89" t="s">
        <v>114</v>
      </c>
      <c r="H473" s="89" t="s">
        <v>94</v>
      </c>
      <c r="I473" s="89" t="s">
        <v>94</v>
      </c>
      <c r="J473" s="89" t="s">
        <v>95</v>
      </c>
      <c r="K473" s="89">
        <v>1.0</v>
      </c>
      <c r="L473" s="85"/>
      <c r="M473" s="89">
        <v>1.0</v>
      </c>
      <c r="N473" s="89">
        <v>1.0</v>
      </c>
      <c r="O473" s="85"/>
      <c r="P473" s="89"/>
      <c r="Q473" s="137"/>
      <c r="R473" s="138"/>
      <c r="S473" s="138"/>
      <c r="T473" s="138"/>
      <c r="U473" s="137"/>
      <c r="V473" s="469"/>
      <c r="W473" s="469"/>
      <c r="X473" s="469"/>
      <c r="Y473" s="469"/>
      <c r="Z473" s="469"/>
      <c r="AA473" s="469"/>
      <c r="AB473" s="469"/>
      <c r="AC473" s="469"/>
      <c r="AD473" s="469"/>
      <c r="AE473" s="469"/>
      <c r="AF473" s="469"/>
      <c r="AG473" s="469"/>
      <c r="AH473" s="469"/>
      <c r="AI473" s="469"/>
      <c r="AJ473" s="469"/>
      <c r="AK473" s="469"/>
      <c r="AL473" s="469"/>
      <c r="AM473" s="469"/>
      <c r="AN473" s="469"/>
      <c r="AO473" s="469"/>
    </row>
    <row r="474">
      <c r="A474" s="85">
        <v>44953.0</v>
      </c>
      <c r="B474" s="86">
        <v>243.0</v>
      </c>
      <c r="C474" s="85">
        <v>44866.0</v>
      </c>
      <c r="D474" s="89" t="s">
        <v>2765</v>
      </c>
      <c r="E474" s="89" t="s">
        <v>2766</v>
      </c>
      <c r="F474" s="89" t="s">
        <v>2767</v>
      </c>
      <c r="G474" s="89" t="s">
        <v>114</v>
      </c>
      <c r="H474" s="89" t="s">
        <v>94</v>
      </c>
      <c r="I474" s="89" t="s">
        <v>94</v>
      </c>
      <c r="J474" s="89" t="s">
        <v>95</v>
      </c>
      <c r="K474" s="89">
        <v>1.0</v>
      </c>
      <c r="L474" s="85"/>
      <c r="M474" s="85"/>
      <c r="N474" s="89">
        <v>1.0</v>
      </c>
      <c r="O474" s="85"/>
      <c r="P474" s="85"/>
      <c r="Q474" s="138"/>
      <c r="R474" s="138"/>
      <c r="S474" s="138"/>
      <c r="T474" s="138"/>
      <c r="U474" s="138"/>
      <c r="V474" s="469"/>
      <c r="W474" s="469"/>
      <c r="X474" s="469"/>
      <c r="Y474" s="469"/>
      <c r="Z474" s="469"/>
      <c r="AA474" s="469"/>
      <c r="AB474" s="469"/>
      <c r="AC474" s="469"/>
      <c r="AD474" s="469"/>
      <c r="AE474" s="469"/>
      <c r="AF474" s="469"/>
      <c r="AG474" s="469"/>
      <c r="AH474" s="469"/>
      <c r="AI474" s="469"/>
      <c r="AJ474" s="469"/>
      <c r="AK474" s="469"/>
      <c r="AL474" s="469"/>
      <c r="AM474" s="469"/>
      <c r="AN474" s="469"/>
      <c r="AO474" s="469"/>
    </row>
    <row r="475">
      <c r="A475" s="85">
        <v>44953.0</v>
      </c>
      <c r="B475" s="86">
        <v>279.0</v>
      </c>
      <c r="C475" s="85">
        <v>44730.0</v>
      </c>
      <c r="D475" s="89" t="s">
        <v>2768</v>
      </c>
      <c r="E475" s="89" t="s">
        <v>2769</v>
      </c>
      <c r="F475" s="89" t="s">
        <v>2770</v>
      </c>
      <c r="G475" s="89" t="s">
        <v>114</v>
      </c>
      <c r="H475" s="89" t="s">
        <v>94</v>
      </c>
      <c r="I475" s="89" t="s">
        <v>94</v>
      </c>
      <c r="J475" s="89" t="s">
        <v>95</v>
      </c>
      <c r="K475" s="89"/>
      <c r="L475" s="89">
        <v>1.0</v>
      </c>
      <c r="M475" s="89"/>
      <c r="N475" s="85"/>
      <c r="O475" s="85"/>
      <c r="P475" s="89"/>
      <c r="Q475" s="138"/>
      <c r="R475" s="138"/>
      <c r="S475" s="138"/>
      <c r="T475" s="138"/>
      <c r="U475" s="138"/>
      <c r="V475" s="469"/>
      <c r="W475" s="469"/>
      <c r="X475" s="469"/>
      <c r="Y475" s="469"/>
      <c r="Z475" s="469"/>
      <c r="AA475" s="469"/>
      <c r="AB475" s="469"/>
      <c r="AC475" s="469"/>
      <c r="AD475" s="469"/>
      <c r="AE475" s="469"/>
      <c r="AF475" s="469"/>
      <c r="AG475" s="469"/>
      <c r="AH475" s="469"/>
      <c r="AI475" s="469"/>
      <c r="AJ475" s="469"/>
      <c r="AK475" s="469"/>
      <c r="AL475" s="469"/>
      <c r="AM475" s="469"/>
      <c r="AN475" s="469"/>
      <c r="AO475" s="469"/>
    </row>
    <row r="476">
      <c r="A476" s="85">
        <v>44953.0</v>
      </c>
      <c r="B476" s="86">
        <v>350.05</v>
      </c>
      <c r="C476" s="85">
        <v>44877.0</v>
      </c>
      <c r="D476" s="89" t="s">
        <v>2771</v>
      </c>
      <c r="E476" s="89" t="s">
        <v>2772</v>
      </c>
      <c r="F476" s="89" t="s">
        <v>2773</v>
      </c>
      <c r="G476" s="89" t="s">
        <v>114</v>
      </c>
      <c r="H476" s="89" t="s">
        <v>94</v>
      </c>
      <c r="I476" s="89" t="s">
        <v>94</v>
      </c>
      <c r="J476" s="89" t="s">
        <v>95</v>
      </c>
      <c r="K476" s="89"/>
      <c r="L476" s="89">
        <v>1.0</v>
      </c>
      <c r="M476" s="85"/>
      <c r="N476" s="89">
        <v>1.0</v>
      </c>
      <c r="O476" s="85"/>
      <c r="P476" s="89"/>
      <c r="Q476" s="138"/>
      <c r="R476" s="138"/>
      <c r="S476" s="138"/>
      <c r="T476" s="138"/>
      <c r="U476" s="138"/>
      <c r="V476" s="469"/>
      <c r="W476" s="469"/>
      <c r="X476" s="469"/>
      <c r="Y476" s="469"/>
      <c r="Z476" s="469"/>
      <c r="AA476" s="469"/>
      <c r="AB476" s="469"/>
      <c r="AC476" s="469"/>
      <c r="AD476" s="469"/>
      <c r="AE476" s="469"/>
      <c r="AF476" s="469"/>
      <c r="AG476" s="469"/>
      <c r="AH476" s="469"/>
      <c r="AI476" s="469"/>
      <c r="AJ476" s="469"/>
      <c r="AK476" s="469"/>
      <c r="AL476" s="469"/>
      <c r="AM476" s="469"/>
      <c r="AN476" s="469"/>
      <c r="AO476" s="469"/>
    </row>
    <row r="477">
      <c r="A477" s="85">
        <v>44953.0</v>
      </c>
      <c r="B477" s="293">
        <v>327.42</v>
      </c>
      <c r="C477" s="85">
        <v>44870.0</v>
      </c>
      <c r="D477" s="89" t="s">
        <v>2774</v>
      </c>
      <c r="E477" s="89" t="s">
        <v>2775</v>
      </c>
      <c r="F477" s="89" t="s">
        <v>2776</v>
      </c>
      <c r="G477" s="89" t="s">
        <v>114</v>
      </c>
      <c r="H477" s="89" t="s">
        <v>94</v>
      </c>
      <c r="I477" s="89" t="s">
        <v>94</v>
      </c>
      <c r="J477" s="89" t="s">
        <v>95</v>
      </c>
      <c r="K477" s="89">
        <v>1.0</v>
      </c>
      <c r="L477" s="89"/>
      <c r="M477" s="89">
        <v>1.0</v>
      </c>
      <c r="N477" s="85"/>
      <c r="O477" s="85"/>
      <c r="P477" s="89"/>
      <c r="Q477" s="138"/>
      <c r="R477" s="138"/>
      <c r="S477" s="138"/>
      <c r="T477" s="138"/>
      <c r="U477" s="138"/>
      <c r="V477" s="469"/>
      <c r="W477" s="469"/>
      <c r="X477" s="469"/>
      <c r="Y477" s="469"/>
      <c r="Z477" s="469"/>
      <c r="AA477" s="469"/>
      <c r="AB477" s="469"/>
      <c r="AC477" s="469"/>
      <c r="AD477" s="469"/>
      <c r="AE477" s="469"/>
      <c r="AF477" s="469"/>
      <c r="AG477" s="469"/>
      <c r="AH477" s="469"/>
      <c r="AI477" s="469"/>
      <c r="AJ477" s="469"/>
      <c r="AK477" s="469"/>
      <c r="AL477" s="469"/>
      <c r="AM477" s="469"/>
      <c r="AN477" s="469"/>
      <c r="AO477" s="469"/>
    </row>
    <row r="478">
      <c r="A478" s="85">
        <v>44953.0</v>
      </c>
      <c r="B478" s="86">
        <v>341.31</v>
      </c>
      <c r="C478" s="85">
        <v>44874.0</v>
      </c>
      <c r="D478" s="496" t="s">
        <v>2777</v>
      </c>
      <c r="E478" s="89" t="s">
        <v>2778</v>
      </c>
      <c r="F478" s="89" t="s">
        <v>2779</v>
      </c>
      <c r="G478" s="89" t="s">
        <v>114</v>
      </c>
      <c r="H478" s="89" t="s">
        <v>94</v>
      </c>
      <c r="I478" s="89" t="s">
        <v>94</v>
      </c>
      <c r="J478" s="89" t="s">
        <v>95</v>
      </c>
      <c r="K478" s="89"/>
      <c r="L478" s="89">
        <v>1.0</v>
      </c>
      <c r="M478" s="89"/>
      <c r="N478" s="89">
        <v>1.0</v>
      </c>
      <c r="O478" s="85"/>
      <c r="P478" s="89"/>
      <c r="Q478" s="137"/>
      <c r="R478" s="138"/>
      <c r="S478" s="138"/>
      <c r="T478" s="138"/>
      <c r="U478" s="138"/>
      <c r="V478" s="469"/>
      <c r="W478" s="469"/>
      <c r="X478" s="469"/>
      <c r="Y478" s="469"/>
      <c r="Z478" s="469"/>
      <c r="AA478" s="469"/>
      <c r="AB478" s="469"/>
      <c r="AC478" s="469"/>
      <c r="AD478" s="469"/>
      <c r="AE478" s="469"/>
      <c r="AF478" s="469"/>
      <c r="AG478" s="469"/>
      <c r="AH478" s="469"/>
      <c r="AI478" s="469"/>
      <c r="AJ478" s="469"/>
      <c r="AK478" s="469"/>
      <c r="AL478" s="469"/>
      <c r="AM478" s="469"/>
      <c r="AN478" s="469"/>
      <c r="AO478" s="469"/>
    </row>
    <row r="479">
      <c r="A479" s="85">
        <v>44953.0</v>
      </c>
      <c r="B479" s="86">
        <v>209.0</v>
      </c>
      <c r="C479" s="89" t="s">
        <v>2780</v>
      </c>
      <c r="D479" s="89" t="s">
        <v>2781</v>
      </c>
      <c r="E479" s="89" t="s">
        <v>2782</v>
      </c>
      <c r="F479" s="89" t="s">
        <v>2783</v>
      </c>
      <c r="G479" s="89" t="s">
        <v>114</v>
      </c>
      <c r="H479" s="89" t="s">
        <v>94</v>
      </c>
      <c r="I479" s="89" t="s">
        <v>94</v>
      </c>
      <c r="J479" s="89" t="s">
        <v>95</v>
      </c>
      <c r="K479" s="89">
        <v>1.0</v>
      </c>
      <c r="L479" s="85"/>
      <c r="M479" s="85"/>
      <c r="N479" s="89"/>
      <c r="O479" s="85"/>
      <c r="P479" s="89"/>
      <c r="Q479" s="137"/>
      <c r="R479" s="138"/>
      <c r="S479" s="138"/>
      <c r="T479" s="138"/>
      <c r="U479" s="138"/>
      <c r="V479" s="469"/>
      <c r="W479" s="469"/>
      <c r="X479" s="469"/>
      <c r="Y479" s="469"/>
      <c r="Z479" s="469"/>
      <c r="AA479" s="469"/>
      <c r="AB479" s="469"/>
      <c r="AC479" s="469"/>
      <c r="AD479" s="469"/>
      <c r="AE479" s="469"/>
      <c r="AF479" s="469"/>
      <c r="AG479" s="469"/>
      <c r="AH479" s="469"/>
      <c r="AI479" s="469"/>
      <c r="AJ479" s="469"/>
      <c r="AK479" s="469"/>
      <c r="AL479" s="469"/>
      <c r="AM479" s="469"/>
      <c r="AN479" s="469"/>
      <c r="AO479" s="469"/>
    </row>
    <row r="480">
      <c r="A480" s="85">
        <v>44953.0</v>
      </c>
      <c r="B480" s="86">
        <v>323.0</v>
      </c>
      <c r="C480" s="89" t="s">
        <v>2784</v>
      </c>
      <c r="D480" s="89" t="s">
        <v>2785</v>
      </c>
      <c r="E480" s="89" t="s">
        <v>2786</v>
      </c>
      <c r="F480" s="89" t="s">
        <v>2787</v>
      </c>
      <c r="G480" s="89" t="s">
        <v>114</v>
      </c>
      <c r="H480" s="89" t="s">
        <v>94</v>
      </c>
      <c r="I480" s="89" t="s">
        <v>94</v>
      </c>
      <c r="J480" s="89" t="s">
        <v>2606</v>
      </c>
      <c r="K480" s="89">
        <v>1.0</v>
      </c>
      <c r="L480" s="85"/>
      <c r="M480" s="89">
        <v>1.0</v>
      </c>
      <c r="N480" s="89">
        <v>1.0</v>
      </c>
      <c r="O480" s="89"/>
      <c r="P480" s="89"/>
      <c r="Q480" s="137"/>
      <c r="R480" s="138"/>
      <c r="S480" s="138"/>
      <c r="T480" s="138"/>
      <c r="U480" s="138"/>
      <c r="V480" s="469"/>
      <c r="W480" s="469"/>
      <c r="X480" s="469"/>
      <c r="Y480" s="469"/>
      <c r="Z480" s="469"/>
      <c r="AA480" s="469"/>
      <c r="AB480" s="469"/>
      <c r="AC480" s="469"/>
      <c r="AD480" s="469"/>
      <c r="AE480" s="469"/>
      <c r="AF480" s="469"/>
      <c r="AG480" s="469"/>
      <c r="AH480" s="469"/>
      <c r="AI480" s="469"/>
      <c r="AJ480" s="469"/>
      <c r="AK480" s="469"/>
      <c r="AL480" s="469"/>
      <c r="AM480" s="469"/>
      <c r="AN480" s="469"/>
      <c r="AO480" s="469"/>
    </row>
    <row r="481">
      <c r="A481" s="85">
        <v>44953.0</v>
      </c>
      <c r="B481" s="293">
        <v>279.0</v>
      </c>
      <c r="C481" s="85">
        <v>44622.0</v>
      </c>
      <c r="D481" s="1" t="s">
        <v>2788</v>
      </c>
      <c r="E481" s="89" t="s">
        <v>2789</v>
      </c>
      <c r="F481" s="89" t="s">
        <v>2790</v>
      </c>
      <c r="G481" s="89" t="s">
        <v>114</v>
      </c>
      <c r="H481" s="89" t="s">
        <v>94</v>
      </c>
      <c r="I481" s="89" t="s">
        <v>94</v>
      </c>
      <c r="J481" s="89" t="s">
        <v>95</v>
      </c>
      <c r="K481" s="89"/>
      <c r="L481" s="89">
        <v>1.0</v>
      </c>
      <c r="M481" s="85"/>
      <c r="N481" s="85"/>
      <c r="O481" s="85"/>
      <c r="P481" s="89"/>
      <c r="Q481" s="138"/>
      <c r="R481" s="138"/>
      <c r="S481" s="138"/>
      <c r="T481" s="138"/>
      <c r="U481" s="138"/>
      <c r="V481" s="469"/>
      <c r="W481" s="469"/>
      <c r="X481" s="469"/>
      <c r="Y481" s="469"/>
      <c r="Z481" s="469"/>
      <c r="AA481" s="469"/>
      <c r="AB481" s="469"/>
      <c r="AC481" s="469"/>
      <c r="AD481" s="469"/>
      <c r="AE481" s="469"/>
      <c r="AF481" s="469"/>
      <c r="AG481" s="469"/>
      <c r="AH481" s="469"/>
      <c r="AI481" s="469"/>
      <c r="AJ481" s="469"/>
      <c r="AK481" s="469"/>
      <c r="AL481" s="469"/>
      <c r="AM481" s="469"/>
      <c r="AN481" s="469"/>
      <c r="AO481" s="469"/>
    </row>
    <row r="482">
      <c r="A482" s="85">
        <v>44953.0</v>
      </c>
      <c r="B482" s="86">
        <v>263.0</v>
      </c>
      <c r="C482" s="85">
        <v>44865.0</v>
      </c>
      <c r="D482" s="89" t="s">
        <v>2791</v>
      </c>
      <c r="E482" s="89" t="s">
        <v>2792</v>
      </c>
      <c r="F482" s="89" t="s">
        <v>2793</v>
      </c>
      <c r="G482" s="89" t="s">
        <v>114</v>
      </c>
      <c r="H482" s="89" t="s">
        <v>94</v>
      </c>
      <c r="I482" s="89" t="s">
        <v>135</v>
      </c>
      <c r="J482" s="89" t="s">
        <v>95</v>
      </c>
      <c r="K482" s="85"/>
      <c r="L482" s="89">
        <v>1.0</v>
      </c>
      <c r="M482" s="85"/>
      <c r="N482" s="85"/>
      <c r="O482" s="85"/>
      <c r="P482" s="89"/>
      <c r="Q482" s="138"/>
      <c r="R482" s="138"/>
      <c r="S482" s="138"/>
      <c r="T482" s="138"/>
      <c r="U482" s="138"/>
      <c r="V482" s="469"/>
      <c r="W482" s="469"/>
      <c r="X482" s="469"/>
      <c r="Y482" s="469"/>
      <c r="Z482" s="469"/>
      <c r="AA482" s="469"/>
      <c r="AB482" s="469"/>
      <c r="AC482" s="469"/>
      <c r="AD482" s="469"/>
      <c r="AE482" s="469"/>
      <c r="AF482" s="469"/>
      <c r="AG482" s="469"/>
      <c r="AH482" s="469"/>
      <c r="AI482" s="469"/>
      <c r="AJ482" s="469"/>
      <c r="AK482" s="469"/>
      <c r="AL482" s="469"/>
      <c r="AM482" s="469"/>
      <c r="AN482" s="469"/>
      <c r="AO482" s="469"/>
    </row>
    <row r="483">
      <c r="A483" s="85">
        <v>44953.0</v>
      </c>
      <c r="B483" s="86">
        <v>307.35</v>
      </c>
      <c r="C483" s="85">
        <v>44869.0</v>
      </c>
      <c r="D483" s="496" t="s">
        <v>2794</v>
      </c>
      <c r="E483" s="89" t="s">
        <v>2795</v>
      </c>
      <c r="F483" s="89" t="s">
        <v>2796</v>
      </c>
      <c r="G483" s="89" t="s">
        <v>114</v>
      </c>
      <c r="H483" s="89" t="s">
        <v>94</v>
      </c>
      <c r="I483" s="89" t="s">
        <v>94</v>
      </c>
      <c r="J483" s="89" t="s">
        <v>95</v>
      </c>
      <c r="K483" s="89"/>
      <c r="L483" s="89">
        <v>1.0</v>
      </c>
      <c r="M483" s="89"/>
      <c r="N483" s="85"/>
      <c r="O483" s="85"/>
      <c r="P483" s="85"/>
      <c r="Q483" s="138"/>
      <c r="R483" s="138"/>
      <c r="S483" s="138"/>
      <c r="T483" s="138"/>
      <c r="U483" s="138"/>
      <c r="V483" s="469"/>
      <c r="W483" s="469"/>
      <c r="X483" s="469"/>
      <c r="Y483" s="469"/>
      <c r="Z483" s="469"/>
      <c r="AA483" s="469"/>
      <c r="AB483" s="469"/>
      <c r="AC483" s="469"/>
      <c r="AD483" s="469"/>
      <c r="AE483" s="469"/>
      <c r="AF483" s="469"/>
      <c r="AG483" s="469"/>
      <c r="AH483" s="469"/>
      <c r="AI483" s="469"/>
      <c r="AJ483" s="469"/>
      <c r="AK483" s="469"/>
      <c r="AL483" s="469"/>
      <c r="AM483" s="469"/>
      <c r="AN483" s="469"/>
      <c r="AO483" s="469"/>
    </row>
    <row r="484">
      <c r="A484" s="85">
        <v>44953.0</v>
      </c>
      <c r="B484" s="86">
        <v>258.19</v>
      </c>
      <c r="C484" s="85">
        <v>44858.0</v>
      </c>
      <c r="D484" s="89" t="s">
        <v>2797</v>
      </c>
      <c r="E484" s="89" t="s">
        <v>2798</v>
      </c>
      <c r="F484" s="89" t="s">
        <v>2799</v>
      </c>
      <c r="G484" s="89" t="s">
        <v>114</v>
      </c>
      <c r="H484" s="89" t="s">
        <v>94</v>
      </c>
      <c r="I484" s="89" t="s">
        <v>94</v>
      </c>
      <c r="J484" s="89" t="s">
        <v>95</v>
      </c>
      <c r="K484" s="89">
        <v>1.0</v>
      </c>
      <c r="L484" s="85"/>
      <c r="M484" s="85"/>
      <c r="N484" s="89">
        <v>1.0</v>
      </c>
      <c r="O484" s="85"/>
      <c r="P484" s="89"/>
      <c r="Q484" s="138"/>
      <c r="R484" s="138"/>
      <c r="S484" s="138"/>
      <c r="T484" s="138"/>
      <c r="U484" s="138"/>
      <c r="V484" s="469"/>
      <c r="W484" s="469"/>
      <c r="X484" s="469"/>
      <c r="Y484" s="469"/>
      <c r="Z484" s="469"/>
      <c r="AA484" s="469"/>
      <c r="AB484" s="469"/>
      <c r="AC484" s="469"/>
      <c r="AD484" s="469"/>
      <c r="AE484" s="469"/>
      <c r="AF484" s="469"/>
      <c r="AG484" s="469"/>
      <c r="AH484" s="469"/>
      <c r="AI484" s="469"/>
      <c r="AJ484" s="469"/>
      <c r="AK484" s="469"/>
      <c r="AL484" s="469"/>
      <c r="AM484" s="469"/>
      <c r="AN484" s="469"/>
      <c r="AO484" s="469"/>
    </row>
    <row r="485">
      <c r="A485" s="85">
        <v>44953.0</v>
      </c>
      <c r="B485" s="86">
        <v>314.82</v>
      </c>
      <c r="C485" s="85">
        <v>44602.0</v>
      </c>
      <c r="D485" s="89" t="s">
        <v>2800</v>
      </c>
      <c r="E485" s="89" t="s">
        <v>2801</v>
      </c>
      <c r="F485" s="89" t="s">
        <v>2802</v>
      </c>
      <c r="G485" s="89" t="s">
        <v>114</v>
      </c>
      <c r="H485" s="89" t="s">
        <v>94</v>
      </c>
      <c r="I485" s="89" t="s">
        <v>125</v>
      </c>
      <c r="J485" s="89" t="s">
        <v>95</v>
      </c>
      <c r="K485" s="85"/>
      <c r="L485" s="89">
        <v>1.0</v>
      </c>
      <c r="M485" s="85"/>
      <c r="N485" s="89">
        <v>1.0</v>
      </c>
      <c r="O485" s="85"/>
      <c r="P485" s="89"/>
      <c r="Q485" s="138"/>
      <c r="R485" s="138"/>
      <c r="S485" s="138"/>
      <c r="T485" s="138"/>
      <c r="U485" s="138"/>
      <c r="V485" s="469"/>
      <c r="W485" s="469"/>
      <c r="X485" s="469"/>
      <c r="Y485" s="469"/>
      <c r="Z485" s="469"/>
      <c r="AA485" s="469"/>
      <c r="AB485" s="469"/>
      <c r="AC485" s="469"/>
      <c r="AD485" s="469"/>
      <c r="AE485" s="469"/>
      <c r="AF485" s="469"/>
      <c r="AG485" s="469"/>
      <c r="AH485" s="469"/>
      <c r="AI485" s="469"/>
      <c r="AJ485" s="469"/>
      <c r="AK485" s="469"/>
      <c r="AL485" s="469"/>
      <c r="AM485" s="469"/>
      <c r="AN485" s="469"/>
      <c r="AO485" s="469"/>
    </row>
    <row r="486">
      <c r="A486" s="85">
        <v>44953.0</v>
      </c>
      <c r="B486" s="293">
        <v>251.33</v>
      </c>
      <c r="C486" s="85">
        <v>44873.0</v>
      </c>
      <c r="D486" s="89" t="s">
        <v>2803</v>
      </c>
      <c r="E486" s="89" t="s">
        <v>2804</v>
      </c>
      <c r="F486" s="89" t="s">
        <v>2805</v>
      </c>
      <c r="G486" s="89" t="s">
        <v>114</v>
      </c>
      <c r="H486" s="89" t="s">
        <v>94</v>
      </c>
      <c r="I486" s="89" t="s">
        <v>94</v>
      </c>
      <c r="J486" s="89" t="s">
        <v>95</v>
      </c>
      <c r="K486" s="89">
        <v>1.0</v>
      </c>
      <c r="L486" s="85"/>
      <c r="M486" s="89"/>
      <c r="N486" s="85"/>
      <c r="O486" s="85"/>
      <c r="P486" s="89"/>
      <c r="Q486" s="138"/>
      <c r="R486" s="138"/>
      <c r="S486" s="138"/>
      <c r="T486" s="138"/>
      <c r="U486" s="138"/>
      <c r="V486" s="469"/>
      <c r="W486" s="469"/>
      <c r="X486" s="469"/>
      <c r="Y486" s="469"/>
      <c r="Z486" s="469"/>
      <c r="AA486" s="469"/>
      <c r="AB486" s="469"/>
      <c r="AC486" s="469"/>
      <c r="AD486" s="469"/>
      <c r="AE486" s="469"/>
      <c r="AF486" s="469"/>
      <c r="AG486" s="469"/>
      <c r="AH486" s="469"/>
      <c r="AI486" s="469"/>
      <c r="AJ486" s="469"/>
      <c r="AK486" s="469"/>
      <c r="AL486" s="469"/>
      <c r="AM486" s="469"/>
      <c r="AN486" s="469"/>
      <c r="AO486" s="469"/>
    </row>
    <row r="487">
      <c r="A487" s="85">
        <v>44953.0</v>
      </c>
      <c r="B487" s="86">
        <v>264.58</v>
      </c>
      <c r="C487" s="85">
        <v>44852.0</v>
      </c>
      <c r="D487" s="89" t="s">
        <v>2806</v>
      </c>
      <c r="E487" s="89" t="s">
        <v>2807</v>
      </c>
      <c r="F487" s="89" t="s">
        <v>2808</v>
      </c>
      <c r="G487" s="89" t="s">
        <v>114</v>
      </c>
      <c r="H487" s="89" t="s">
        <v>94</v>
      </c>
      <c r="I487" s="89" t="s">
        <v>94</v>
      </c>
      <c r="J487" s="89" t="s">
        <v>95</v>
      </c>
      <c r="K487" s="89">
        <v>1.0</v>
      </c>
      <c r="L487" s="85"/>
      <c r="M487" s="85"/>
      <c r="N487" s="89">
        <v>1.0</v>
      </c>
      <c r="O487" s="85"/>
      <c r="P487" s="89"/>
      <c r="Q487" s="138"/>
      <c r="R487" s="138"/>
      <c r="S487" s="138"/>
      <c r="T487" s="138"/>
      <c r="U487" s="138"/>
      <c r="V487" s="469"/>
      <c r="W487" s="469"/>
      <c r="X487" s="469"/>
      <c r="Y487" s="469"/>
      <c r="Z487" s="469"/>
      <c r="AA487" s="469"/>
      <c r="AB487" s="469"/>
      <c r="AC487" s="469"/>
      <c r="AD487" s="469"/>
      <c r="AE487" s="469"/>
      <c r="AF487" s="469"/>
      <c r="AG487" s="469"/>
      <c r="AH487" s="469"/>
      <c r="AI487" s="469"/>
      <c r="AJ487" s="469"/>
      <c r="AK487" s="469"/>
      <c r="AL487" s="469"/>
      <c r="AM487" s="469"/>
      <c r="AN487" s="469"/>
      <c r="AO487" s="469"/>
    </row>
    <row r="488">
      <c r="A488" s="85">
        <v>44953.0</v>
      </c>
      <c r="B488" s="293">
        <v>238.29</v>
      </c>
      <c r="C488" s="85">
        <v>44570.0</v>
      </c>
      <c r="D488" s="496" t="s">
        <v>2809</v>
      </c>
      <c r="E488" s="89" t="s">
        <v>2810</v>
      </c>
      <c r="F488" s="89" t="s">
        <v>2811</v>
      </c>
      <c r="G488" s="89" t="s">
        <v>114</v>
      </c>
      <c r="H488" s="89" t="s">
        <v>94</v>
      </c>
      <c r="I488" s="89" t="s">
        <v>94</v>
      </c>
      <c r="J488" s="89" t="s">
        <v>95</v>
      </c>
      <c r="K488" s="89">
        <v>1.0</v>
      </c>
      <c r="L488" s="85"/>
      <c r="M488" s="85"/>
      <c r="N488" s="85"/>
      <c r="O488" s="85"/>
      <c r="P488" s="89"/>
      <c r="Q488" s="138"/>
      <c r="R488" s="138"/>
      <c r="S488" s="138"/>
      <c r="T488" s="138"/>
      <c r="U488" s="138"/>
      <c r="V488" s="469"/>
      <c r="W488" s="469"/>
      <c r="X488" s="469"/>
      <c r="Y488" s="469"/>
      <c r="Z488" s="469"/>
      <c r="AA488" s="469"/>
      <c r="AB488" s="469"/>
      <c r="AC488" s="469"/>
      <c r="AD488" s="469"/>
      <c r="AE488" s="469"/>
      <c r="AF488" s="469"/>
      <c r="AG488" s="469"/>
      <c r="AH488" s="469"/>
      <c r="AI488" s="469"/>
      <c r="AJ488" s="469"/>
      <c r="AK488" s="469"/>
      <c r="AL488" s="469"/>
      <c r="AM488" s="469"/>
      <c r="AN488" s="469"/>
      <c r="AO488" s="469"/>
    </row>
    <row r="489">
      <c r="A489" s="85">
        <v>44953.0</v>
      </c>
      <c r="B489" s="517">
        <v>331.78</v>
      </c>
      <c r="C489" s="85">
        <v>44841.0</v>
      </c>
      <c r="D489" s="89" t="s">
        <v>2812</v>
      </c>
      <c r="E489" s="89" t="s">
        <v>2813</v>
      </c>
      <c r="F489" s="89" t="s">
        <v>2814</v>
      </c>
      <c r="G489" s="89" t="s">
        <v>114</v>
      </c>
      <c r="H489" s="89" t="s">
        <v>94</v>
      </c>
      <c r="I489" s="89" t="s">
        <v>125</v>
      </c>
      <c r="J489" s="89" t="s">
        <v>95</v>
      </c>
      <c r="K489" s="89">
        <v>1.0</v>
      </c>
      <c r="L489" s="85"/>
      <c r="M489" s="89">
        <v>1.0</v>
      </c>
      <c r="N489" s="89">
        <v>1.0</v>
      </c>
      <c r="O489" s="85"/>
      <c r="P489" s="89">
        <v>1.0</v>
      </c>
      <c r="Q489" s="137"/>
      <c r="R489" s="138"/>
      <c r="S489" s="138"/>
      <c r="T489" s="138"/>
      <c r="U489" s="138"/>
      <c r="V489" s="469"/>
      <c r="W489" s="469"/>
      <c r="X489" s="469"/>
      <c r="Y489" s="469"/>
      <c r="Z489" s="469"/>
      <c r="AA489" s="469"/>
      <c r="AB489" s="469"/>
      <c r="AC489" s="469"/>
      <c r="AD489" s="469"/>
      <c r="AE489" s="469"/>
      <c r="AF489" s="469"/>
      <c r="AG489" s="469"/>
      <c r="AH489" s="469"/>
      <c r="AI489" s="469"/>
      <c r="AJ489" s="469"/>
      <c r="AK489" s="469"/>
      <c r="AL489" s="469"/>
      <c r="AM489" s="469"/>
      <c r="AN489" s="469"/>
      <c r="AO489" s="469"/>
    </row>
    <row r="490">
      <c r="A490" s="85">
        <v>44953.0</v>
      </c>
      <c r="B490" s="86">
        <v>242.74</v>
      </c>
      <c r="C490" s="85">
        <v>44891.0</v>
      </c>
      <c r="D490" s="89" t="s">
        <v>2815</v>
      </c>
      <c r="E490" s="89" t="s">
        <v>2816</v>
      </c>
      <c r="F490" s="89" t="s">
        <v>2817</v>
      </c>
      <c r="G490" s="89" t="s">
        <v>114</v>
      </c>
      <c r="H490" s="89" t="s">
        <v>94</v>
      </c>
      <c r="I490" s="89" t="s">
        <v>94</v>
      </c>
      <c r="J490" s="89" t="s">
        <v>95</v>
      </c>
      <c r="K490" s="89">
        <v>1.0</v>
      </c>
      <c r="L490" s="85"/>
      <c r="M490" s="85"/>
      <c r="N490" s="85"/>
      <c r="O490" s="85"/>
      <c r="P490" s="89"/>
      <c r="Q490" s="138"/>
      <c r="R490" s="138"/>
      <c r="S490" s="138"/>
      <c r="T490" s="138"/>
      <c r="U490" s="138"/>
      <c r="V490" s="469"/>
      <c r="W490" s="469"/>
      <c r="X490" s="469"/>
      <c r="Y490" s="469"/>
      <c r="Z490" s="469"/>
      <c r="AA490" s="469"/>
      <c r="AB490" s="469"/>
      <c r="AC490" s="469"/>
      <c r="AD490" s="469"/>
      <c r="AE490" s="469"/>
      <c r="AF490" s="469"/>
      <c r="AG490" s="469"/>
      <c r="AH490" s="469"/>
      <c r="AI490" s="469"/>
      <c r="AJ490" s="469"/>
      <c r="AK490" s="469"/>
      <c r="AL490" s="469"/>
      <c r="AM490" s="469"/>
      <c r="AN490" s="469"/>
      <c r="AO490" s="469"/>
    </row>
    <row r="491">
      <c r="A491" s="85">
        <v>44953.0</v>
      </c>
      <c r="B491" s="86">
        <v>342.38</v>
      </c>
      <c r="C491" s="85">
        <v>44893.0</v>
      </c>
      <c r="D491" s="496" t="s">
        <v>2818</v>
      </c>
      <c r="E491" s="89" t="s">
        <v>2819</v>
      </c>
      <c r="F491" s="89" t="s">
        <v>2820</v>
      </c>
      <c r="G491" s="89" t="s">
        <v>114</v>
      </c>
      <c r="H491" s="89" t="s">
        <v>94</v>
      </c>
      <c r="I491" s="89" t="s">
        <v>94</v>
      </c>
      <c r="J491" s="89" t="s">
        <v>95</v>
      </c>
      <c r="K491" s="89">
        <v>1.0</v>
      </c>
      <c r="L491" s="85"/>
      <c r="M491" s="89">
        <v>1.0</v>
      </c>
      <c r="N491" s="89">
        <v>1.0</v>
      </c>
      <c r="O491" s="85"/>
      <c r="P491" s="89"/>
      <c r="Q491" s="138"/>
      <c r="R491" s="138"/>
      <c r="S491" s="138"/>
      <c r="T491" s="138"/>
      <c r="U491" s="138"/>
      <c r="V491" s="138"/>
      <c r="W491" s="469"/>
      <c r="X491" s="469"/>
      <c r="Y491" s="469"/>
      <c r="Z491" s="469"/>
      <c r="AA491" s="469"/>
      <c r="AB491" s="469"/>
      <c r="AC491" s="469"/>
      <c r="AD491" s="469"/>
      <c r="AE491" s="469"/>
      <c r="AF491" s="469"/>
      <c r="AG491" s="469"/>
      <c r="AH491" s="469"/>
      <c r="AI491" s="469"/>
      <c r="AJ491" s="469"/>
      <c r="AK491" s="469"/>
      <c r="AL491" s="469"/>
      <c r="AM491" s="469"/>
      <c r="AN491" s="469"/>
      <c r="AO491" s="469"/>
    </row>
    <row r="492">
      <c r="A492" s="85">
        <v>44953.0</v>
      </c>
      <c r="B492" s="86">
        <v>74.37</v>
      </c>
      <c r="C492" s="85">
        <v>44888.0</v>
      </c>
      <c r="D492" s="89" t="s">
        <v>2821</v>
      </c>
      <c r="E492" s="89" t="s">
        <v>2822</v>
      </c>
      <c r="F492" s="194" t="s">
        <v>2823</v>
      </c>
      <c r="G492" s="89" t="s">
        <v>114</v>
      </c>
      <c r="H492" s="89" t="s">
        <v>94</v>
      </c>
      <c r="I492" s="89" t="s">
        <v>94</v>
      </c>
      <c r="J492" s="89" t="s">
        <v>95</v>
      </c>
      <c r="K492" s="89"/>
      <c r="L492" s="89">
        <v>1.0</v>
      </c>
      <c r="M492" s="85"/>
      <c r="N492" s="85"/>
      <c r="O492" s="85"/>
      <c r="P492" s="89"/>
      <c r="Q492" s="138"/>
      <c r="R492" s="138"/>
      <c r="S492" s="138"/>
      <c r="T492" s="138"/>
      <c r="U492" s="138"/>
      <c r="V492" s="138"/>
      <c r="W492" s="469"/>
      <c r="X492" s="469"/>
      <c r="Y492" s="469"/>
      <c r="Z492" s="469"/>
      <c r="AA492" s="469"/>
      <c r="AB492" s="469"/>
      <c r="AC492" s="469"/>
      <c r="AD492" s="469"/>
      <c r="AE492" s="469"/>
      <c r="AF492" s="469"/>
      <c r="AG492" s="469"/>
      <c r="AH492" s="469"/>
      <c r="AI492" s="469"/>
      <c r="AJ492" s="469"/>
      <c r="AK492" s="469"/>
      <c r="AL492" s="469"/>
      <c r="AM492" s="469"/>
      <c r="AN492" s="469"/>
      <c r="AO492" s="85"/>
    </row>
    <row r="493">
      <c r="A493" s="85">
        <v>44953.0</v>
      </c>
      <c r="B493" s="293"/>
      <c r="C493" s="85"/>
      <c r="D493" s="153"/>
      <c r="E493" s="89"/>
      <c r="F493" s="89"/>
      <c r="G493" s="89"/>
      <c r="H493" s="89"/>
      <c r="I493" s="89"/>
      <c r="J493" s="89"/>
      <c r="K493" s="89"/>
      <c r="L493" s="85"/>
      <c r="M493" s="85"/>
      <c r="N493" s="89"/>
      <c r="O493" s="85"/>
      <c r="P493" s="89"/>
      <c r="Q493" s="137"/>
      <c r="R493" s="137"/>
      <c r="S493" s="138"/>
      <c r="T493" s="138"/>
      <c r="U493" s="138"/>
      <c r="V493" s="138"/>
      <c r="W493" s="469"/>
      <c r="X493" s="469"/>
      <c r="Y493" s="469"/>
      <c r="Z493" s="469"/>
      <c r="AA493" s="469"/>
      <c r="AB493" s="469"/>
      <c r="AC493" s="469"/>
      <c r="AD493" s="469"/>
      <c r="AE493" s="469"/>
      <c r="AF493" s="469"/>
      <c r="AG493" s="469"/>
      <c r="AH493" s="469"/>
      <c r="AI493" s="469"/>
      <c r="AJ493" s="469"/>
      <c r="AK493" s="469"/>
      <c r="AL493" s="469"/>
      <c r="AM493" s="469"/>
      <c r="AN493" s="469"/>
      <c r="AO493" s="469"/>
    </row>
    <row r="494">
      <c r="A494" s="85">
        <v>44953.0</v>
      </c>
      <c r="B494" s="86">
        <v>237.16</v>
      </c>
      <c r="C494" s="85">
        <v>44858.0</v>
      </c>
      <c r="D494" s="496" t="s">
        <v>2824</v>
      </c>
      <c r="E494" s="89" t="s">
        <v>2825</v>
      </c>
      <c r="F494" s="89" t="s">
        <v>2826</v>
      </c>
      <c r="G494" s="89" t="s">
        <v>114</v>
      </c>
      <c r="H494" s="89" t="s">
        <v>94</v>
      </c>
      <c r="I494" s="89" t="s">
        <v>94</v>
      </c>
      <c r="J494" s="89" t="s">
        <v>95</v>
      </c>
      <c r="K494" s="89">
        <v>1.0</v>
      </c>
      <c r="L494" s="85"/>
      <c r="M494" s="85"/>
      <c r="N494" s="85"/>
      <c r="O494" s="85"/>
      <c r="P494" s="89"/>
      <c r="Q494" s="138"/>
      <c r="R494" s="138"/>
      <c r="S494" s="138"/>
      <c r="T494" s="138"/>
      <c r="U494" s="138"/>
      <c r="V494" s="138"/>
      <c r="W494" s="469"/>
      <c r="X494" s="469"/>
      <c r="Y494" s="469"/>
      <c r="Z494" s="469"/>
      <c r="AA494" s="469"/>
      <c r="AB494" s="469"/>
      <c r="AC494" s="469"/>
      <c r="AD494" s="469"/>
      <c r="AE494" s="469"/>
      <c r="AF494" s="469"/>
      <c r="AG494" s="469"/>
      <c r="AH494" s="469"/>
      <c r="AI494" s="469"/>
      <c r="AJ494" s="469"/>
      <c r="AK494" s="469"/>
      <c r="AL494" s="469"/>
      <c r="AM494" s="469"/>
      <c r="AN494" s="469"/>
      <c r="AO494" s="469"/>
    </row>
    <row r="495">
      <c r="A495" s="85">
        <v>44953.0</v>
      </c>
      <c r="B495" s="518">
        <v>242.74</v>
      </c>
      <c r="C495" s="85">
        <v>44881.0</v>
      </c>
      <c r="D495" s="85" t="s">
        <v>2827</v>
      </c>
      <c r="E495" s="89" t="s">
        <v>2828</v>
      </c>
      <c r="F495" s="89" t="s">
        <v>2829</v>
      </c>
      <c r="G495" s="89" t="s">
        <v>114</v>
      </c>
      <c r="H495" s="89" t="s">
        <v>94</v>
      </c>
      <c r="I495" s="89" t="s">
        <v>94</v>
      </c>
      <c r="J495" s="89" t="s">
        <v>95</v>
      </c>
      <c r="K495" s="89">
        <v>1.0</v>
      </c>
      <c r="L495" s="85"/>
      <c r="M495" s="85"/>
      <c r="N495" s="85"/>
      <c r="O495" s="85"/>
      <c r="P495" s="89"/>
      <c r="Q495" s="138"/>
      <c r="R495" s="138"/>
      <c r="S495" s="138"/>
      <c r="T495" s="138"/>
      <c r="U495" s="138"/>
      <c r="V495" s="138"/>
      <c r="W495" s="469"/>
      <c r="X495" s="469"/>
      <c r="Y495" s="469"/>
      <c r="Z495" s="469"/>
      <c r="AA495" s="469"/>
      <c r="AB495" s="469"/>
      <c r="AC495" s="469"/>
      <c r="AD495" s="469"/>
      <c r="AE495" s="469"/>
      <c r="AF495" s="469"/>
      <c r="AG495" s="469"/>
      <c r="AH495" s="469"/>
      <c r="AI495" s="469"/>
      <c r="AJ495" s="469"/>
      <c r="AK495" s="469"/>
      <c r="AL495" s="469"/>
      <c r="AM495" s="469"/>
      <c r="AN495" s="469"/>
      <c r="AO495" s="469"/>
    </row>
    <row r="496">
      <c r="A496" s="85">
        <v>44953.0</v>
      </c>
      <c r="B496" s="86">
        <v>248.18</v>
      </c>
      <c r="C496" s="85">
        <v>44885.0</v>
      </c>
      <c r="D496" s="89" t="s">
        <v>2830</v>
      </c>
      <c r="E496" s="89" t="s">
        <v>2831</v>
      </c>
      <c r="F496" s="89" t="s">
        <v>2832</v>
      </c>
      <c r="G496" s="89" t="s">
        <v>114</v>
      </c>
      <c r="H496" s="89" t="s">
        <v>94</v>
      </c>
      <c r="I496" s="89" t="s">
        <v>94</v>
      </c>
      <c r="J496" s="89" t="s">
        <v>95</v>
      </c>
      <c r="K496" s="89">
        <v>1.0</v>
      </c>
      <c r="L496" s="85"/>
      <c r="M496" s="85"/>
      <c r="N496" s="85"/>
      <c r="O496" s="85"/>
      <c r="P496" s="89">
        <v>1.0</v>
      </c>
      <c r="Q496" s="138"/>
      <c r="R496" s="138"/>
      <c r="S496" s="138"/>
      <c r="T496" s="138"/>
      <c r="U496" s="138"/>
      <c r="V496" s="138"/>
      <c r="W496" s="469"/>
      <c r="X496" s="469"/>
      <c r="Y496" s="469"/>
      <c r="Z496" s="469"/>
      <c r="AA496" s="469"/>
      <c r="AB496" s="469"/>
      <c r="AC496" s="469"/>
      <c r="AD496" s="469"/>
      <c r="AE496" s="469"/>
      <c r="AF496" s="469"/>
      <c r="AG496" s="469"/>
      <c r="AH496" s="469"/>
      <c r="AI496" s="469"/>
      <c r="AJ496" s="469"/>
      <c r="AK496" s="469"/>
      <c r="AL496" s="469"/>
      <c r="AM496" s="469"/>
      <c r="AN496" s="469"/>
      <c r="AO496" s="469"/>
    </row>
    <row r="497">
      <c r="A497" s="85">
        <v>44953.0</v>
      </c>
      <c r="B497" s="86">
        <v>299.0</v>
      </c>
      <c r="C497" s="85">
        <v>44631.0</v>
      </c>
      <c r="D497" s="85" t="s">
        <v>2833</v>
      </c>
      <c r="E497" s="89" t="s">
        <v>2834</v>
      </c>
      <c r="F497" s="89" t="s">
        <v>2835</v>
      </c>
      <c r="G497" s="89" t="s">
        <v>114</v>
      </c>
      <c r="H497" s="89" t="s">
        <v>94</v>
      </c>
      <c r="I497" s="89" t="s">
        <v>94</v>
      </c>
      <c r="J497" s="89" t="s">
        <v>95</v>
      </c>
      <c r="K497" s="89"/>
      <c r="L497" s="89">
        <v>1.0</v>
      </c>
      <c r="M497" s="85"/>
      <c r="N497" s="89">
        <v>1.0</v>
      </c>
      <c r="O497" s="85"/>
      <c r="P497" s="89">
        <v>1.0</v>
      </c>
      <c r="Q497" s="138"/>
      <c r="R497" s="138"/>
      <c r="S497" s="138"/>
      <c r="T497" s="138"/>
      <c r="U497" s="138"/>
      <c r="V497" s="138"/>
      <c r="W497" s="469"/>
      <c r="X497" s="469"/>
      <c r="Y497" s="469"/>
      <c r="Z497" s="469"/>
      <c r="AA497" s="469"/>
      <c r="AB497" s="469"/>
      <c r="AC497" s="469"/>
      <c r="AD497" s="469"/>
      <c r="AE497" s="469"/>
      <c r="AF497" s="469"/>
      <c r="AG497" s="469"/>
      <c r="AH497" s="469"/>
      <c r="AI497" s="469"/>
      <c r="AJ497" s="469"/>
      <c r="AK497" s="469"/>
      <c r="AL497" s="469"/>
      <c r="AM497" s="469"/>
      <c r="AN497" s="469"/>
      <c r="AO497" s="469"/>
    </row>
    <row r="498">
      <c r="A498" s="85">
        <v>44953.0</v>
      </c>
      <c r="B498" s="293">
        <v>351.53</v>
      </c>
      <c r="C498" s="85">
        <v>44652.0</v>
      </c>
      <c r="D498" s="444" t="s">
        <v>2836</v>
      </c>
      <c r="E498" s="89" t="s">
        <v>2837</v>
      </c>
      <c r="F498" s="89" t="s">
        <v>2838</v>
      </c>
      <c r="G498" s="89" t="s">
        <v>114</v>
      </c>
      <c r="H498" s="89" t="s">
        <v>94</v>
      </c>
      <c r="I498" s="89" t="s">
        <v>94</v>
      </c>
      <c r="J498" s="89" t="s">
        <v>95</v>
      </c>
      <c r="K498" s="89"/>
      <c r="L498" s="89">
        <v>1.0</v>
      </c>
      <c r="M498" s="85"/>
      <c r="N498" s="89">
        <v>1.0</v>
      </c>
      <c r="O498" s="89">
        <v>1.0</v>
      </c>
      <c r="P498" s="89">
        <v>1.0</v>
      </c>
      <c r="Q498" s="138"/>
      <c r="R498" s="138"/>
      <c r="S498" s="138"/>
      <c r="T498" s="138"/>
      <c r="U498" s="138"/>
      <c r="V498" s="138"/>
      <c r="W498" s="469"/>
      <c r="X498" s="469"/>
      <c r="Y498" s="469"/>
      <c r="Z498" s="469"/>
      <c r="AA498" s="469"/>
      <c r="AB498" s="469"/>
      <c r="AC498" s="469"/>
      <c r="AD498" s="469"/>
      <c r="AE498" s="469"/>
      <c r="AF498" s="469"/>
      <c r="AG498" s="469"/>
      <c r="AH498" s="469"/>
      <c r="AI498" s="469"/>
      <c r="AJ498" s="469"/>
      <c r="AK498" s="469"/>
      <c r="AL498" s="469"/>
      <c r="AM498" s="469"/>
      <c r="AN498" s="469"/>
      <c r="AO498" s="469"/>
    </row>
    <row r="499">
      <c r="A499" s="85">
        <v>44953.0</v>
      </c>
      <c r="B499" s="339">
        <v>307.35</v>
      </c>
      <c r="C499" s="85">
        <v>44665.0</v>
      </c>
      <c r="D499" s="89" t="s">
        <v>2839</v>
      </c>
      <c r="E499" s="89" t="s">
        <v>2840</v>
      </c>
      <c r="F499" s="89" t="s">
        <v>2841</v>
      </c>
      <c r="G499" s="89" t="s">
        <v>114</v>
      </c>
      <c r="H499" s="89" t="s">
        <v>94</v>
      </c>
      <c r="I499" s="89" t="s">
        <v>664</v>
      </c>
      <c r="J499" s="89" t="s">
        <v>95</v>
      </c>
      <c r="K499" s="85"/>
      <c r="L499" s="89">
        <v>1.0</v>
      </c>
      <c r="M499" s="85"/>
      <c r="N499" s="85"/>
      <c r="O499" s="85"/>
      <c r="P499" s="89"/>
      <c r="Q499" s="138"/>
      <c r="R499" s="138"/>
      <c r="S499" s="138"/>
      <c r="T499" s="138"/>
      <c r="U499" s="138"/>
      <c r="V499" s="138"/>
      <c r="W499" s="469"/>
      <c r="X499" s="469"/>
      <c r="Y499" s="469"/>
      <c r="Z499" s="469"/>
      <c r="AA499" s="469"/>
      <c r="AB499" s="469"/>
      <c r="AC499" s="469"/>
      <c r="AD499" s="469"/>
      <c r="AE499" s="469"/>
      <c r="AF499" s="469"/>
      <c r="AG499" s="469"/>
      <c r="AH499" s="469"/>
      <c r="AI499" s="469"/>
      <c r="AJ499" s="469"/>
      <c r="AK499" s="469"/>
      <c r="AL499" s="469"/>
      <c r="AM499" s="469"/>
      <c r="AN499" s="469"/>
      <c r="AO499" s="469"/>
    </row>
    <row r="500">
      <c r="A500" s="85">
        <v>44953.0</v>
      </c>
      <c r="B500" s="293">
        <v>252.99</v>
      </c>
      <c r="C500" s="85">
        <v>44813.0</v>
      </c>
      <c r="D500" s="89" t="s">
        <v>2842</v>
      </c>
      <c r="E500" s="89" t="s">
        <v>2843</v>
      </c>
      <c r="F500" s="89" t="s">
        <v>2844</v>
      </c>
      <c r="G500" s="89" t="s">
        <v>114</v>
      </c>
      <c r="H500" s="89" t="s">
        <v>94</v>
      </c>
      <c r="I500" s="89" t="s">
        <v>94</v>
      </c>
      <c r="J500" s="89" t="s">
        <v>95</v>
      </c>
      <c r="K500" s="89">
        <v>1.0</v>
      </c>
      <c r="L500" s="85"/>
      <c r="M500" s="85"/>
      <c r="N500" s="89">
        <v>1.0</v>
      </c>
      <c r="O500" s="85"/>
      <c r="P500" s="89"/>
      <c r="Q500" s="138"/>
      <c r="R500" s="138"/>
      <c r="S500" s="138"/>
      <c r="T500" s="138"/>
      <c r="U500" s="138"/>
      <c r="V500" s="138"/>
      <c r="W500" s="469"/>
      <c r="X500" s="469"/>
      <c r="Y500" s="469"/>
      <c r="Z500" s="469"/>
      <c r="AA500" s="469"/>
      <c r="AB500" s="469"/>
      <c r="AC500" s="469"/>
      <c r="AD500" s="469"/>
      <c r="AE500" s="469"/>
      <c r="AF500" s="469"/>
      <c r="AG500" s="469"/>
      <c r="AH500" s="469"/>
      <c r="AI500" s="469"/>
      <c r="AJ500" s="469"/>
      <c r="AK500" s="469"/>
      <c r="AL500" s="469"/>
      <c r="AM500" s="469"/>
      <c r="AN500" s="469"/>
      <c r="AO500" s="469"/>
    </row>
    <row r="501">
      <c r="A501" s="85">
        <v>44953.0</v>
      </c>
      <c r="B501" s="293">
        <v>307.06</v>
      </c>
      <c r="C501" s="85">
        <v>44781.0</v>
      </c>
      <c r="D501" s="89" t="s">
        <v>2845</v>
      </c>
      <c r="E501" s="89" t="s">
        <v>2846</v>
      </c>
      <c r="F501" s="89" t="s">
        <v>2847</v>
      </c>
      <c r="G501" s="89" t="s">
        <v>114</v>
      </c>
      <c r="H501" s="89" t="s">
        <v>94</v>
      </c>
      <c r="I501" s="89" t="s">
        <v>94</v>
      </c>
      <c r="J501" s="89" t="s">
        <v>95</v>
      </c>
      <c r="K501" s="85"/>
      <c r="L501" s="89">
        <v>1.0</v>
      </c>
      <c r="M501" s="85"/>
      <c r="N501" s="85"/>
      <c r="O501" s="85"/>
      <c r="P501" s="89"/>
      <c r="Q501" s="138"/>
      <c r="R501" s="138"/>
      <c r="S501" s="138"/>
      <c r="T501" s="138"/>
      <c r="U501" s="138"/>
      <c r="V501" s="138"/>
      <c r="W501" s="469"/>
      <c r="X501" s="469"/>
      <c r="Y501" s="469"/>
      <c r="Z501" s="469"/>
      <c r="AA501" s="469"/>
      <c r="AB501" s="469"/>
      <c r="AC501" s="469"/>
      <c r="AD501" s="469"/>
      <c r="AE501" s="469"/>
      <c r="AF501" s="469"/>
      <c r="AG501" s="469"/>
      <c r="AH501" s="469"/>
      <c r="AI501" s="469"/>
      <c r="AJ501" s="469"/>
      <c r="AK501" s="469"/>
      <c r="AL501" s="469"/>
      <c r="AM501" s="469"/>
      <c r="AN501" s="469"/>
      <c r="AO501" s="469"/>
    </row>
    <row r="502">
      <c r="A502" s="85">
        <v>44953.0</v>
      </c>
      <c r="B502" s="86">
        <v>223.73</v>
      </c>
      <c r="C502" s="85">
        <v>44893.0</v>
      </c>
      <c r="D502" s="89" t="s">
        <v>2848</v>
      </c>
      <c r="E502" s="89" t="s">
        <v>2849</v>
      </c>
      <c r="F502" s="89" t="s">
        <v>2850</v>
      </c>
      <c r="G502" s="89" t="s">
        <v>114</v>
      </c>
      <c r="H502" s="89" t="s">
        <v>94</v>
      </c>
      <c r="I502" s="89" t="s">
        <v>94</v>
      </c>
      <c r="J502" s="89" t="s">
        <v>95</v>
      </c>
      <c r="K502" s="89">
        <v>1.0</v>
      </c>
      <c r="L502" s="85"/>
      <c r="M502" s="89"/>
      <c r="N502" s="89"/>
      <c r="O502" s="85"/>
      <c r="P502" s="89">
        <v>1.0</v>
      </c>
      <c r="Q502" s="137"/>
      <c r="R502" s="138"/>
      <c r="S502" s="138"/>
      <c r="T502" s="138"/>
      <c r="U502" s="138"/>
      <c r="V502" s="138"/>
      <c r="W502" s="469"/>
      <c r="X502" s="469"/>
      <c r="Y502" s="469"/>
      <c r="Z502" s="469"/>
      <c r="AA502" s="469"/>
      <c r="AB502" s="469"/>
      <c r="AC502" s="469"/>
      <c r="AD502" s="469"/>
      <c r="AE502" s="469"/>
      <c r="AF502" s="469"/>
      <c r="AG502" s="469"/>
      <c r="AH502" s="469"/>
      <c r="AI502" s="469"/>
      <c r="AJ502" s="469"/>
      <c r="AK502" s="469"/>
      <c r="AL502" s="469"/>
      <c r="AM502" s="469"/>
      <c r="AN502" s="469"/>
      <c r="AO502" s="469"/>
    </row>
    <row r="503">
      <c r="A503" s="85">
        <v>44953.0</v>
      </c>
      <c r="B503" s="86">
        <v>308.52</v>
      </c>
      <c r="C503" s="85">
        <v>44864.0</v>
      </c>
      <c r="D503" s="89" t="s">
        <v>2851</v>
      </c>
      <c r="E503" s="89" t="s">
        <v>2852</v>
      </c>
      <c r="F503" s="89" t="s">
        <v>2853</v>
      </c>
      <c r="G503" s="89" t="s">
        <v>114</v>
      </c>
      <c r="H503" s="89" t="s">
        <v>94</v>
      </c>
      <c r="I503" s="89" t="s">
        <v>94</v>
      </c>
      <c r="J503" s="89" t="s">
        <v>95</v>
      </c>
      <c r="K503" s="89">
        <v>1.0</v>
      </c>
      <c r="L503" s="89"/>
      <c r="M503" s="89">
        <v>1.0</v>
      </c>
      <c r="N503" s="85"/>
      <c r="O503" s="85"/>
      <c r="P503" s="89">
        <v>1.0</v>
      </c>
      <c r="Q503" s="138"/>
      <c r="R503" s="138"/>
      <c r="S503" s="138"/>
      <c r="T503" s="138"/>
      <c r="U503" s="138"/>
      <c r="V503" s="138"/>
      <c r="W503" s="469"/>
      <c r="X503" s="469"/>
      <c r="Y503" s="469"/>
      <c r="Z503" s="469"/>
      <c r="AA503" s="469"/>
      <c r="AB503" s="469"/>
      <c r="AC503" s="469"/>
      <c r="AD503" s="469"/>
      <c r="AE503" s="469"/>
      <c r="AF503" s="469"/>
      <c r="AG503" s="469"/>
      <c r="AH503" s="469"/>
      <c r="AI503" s="469"/>
      <c r="AJ503" s="469"/>
      <c r="AK503" s="469"/>
      <c r="AL503" s="469"/>
      <c r="AM503" s="469"/>
      <c r="AN503" s="469"/>
      <c r="AO503" s="469"/>
    </row>
    <row r="504">
      <c r="A504" s="85">
        <v>44953.0</v>
      </c>
      <c r="B504" s="86">
        <v>233.78</v>
      </c>
      <c r="C504" s="85">
        <v>44775.0</v>
      </c>
      <c r="D504" s="89" t="s">
        <v>2854</v>
      </c>
      <c r="E504" s="89" t="s">
        <v>2855</v>
      </c>
      <c r="F504" s="89" t="s">
        <v>2856</v>
      </c>
      <c r="G504" s="89" t="s">
        <v>114</v>
      </c>
      <c r="H504" s="89" t="s">
        <v>94</v>
      </c>
      <c r="I504" s="89" t="s">
        <v>94</v>
      </c>
      <c r="J504" s="89" t="s">
        <v>95</v>
      </c>
      <c r="K504" s="89">
        <v>1.0</v>
      </c>
      <c r="L504" s="85"/>
      <c r="M504" s="85"/>
      <c r="N504" s="85"/>
      <c r="O504" s="85"/>
      <c r="P504" s="89"/>
      <c r="Q504" s="138"/>
      <c r="R504" s="138"/>
      <c r="S504" s="138"/>
      <c r="T504" s="138"/>
      <c r="U504" s="138"/>
      <c r="V504" s="138"/>
      <c r="W504" s="469"/>
      <c r="X504" s="469"/>
      <c r="Y504" s="469"/>
      <c r="Z504" s="469"/>
      <c r="AA504" s="469"/>
      <c r="AB504" s="469"/>
      <c r="AC504" s="469"/>
      <c r="AD504" s="469"/>
      <c r="AE504" s="469"/>
      <c r="AF504" s="469"/>
      <c r="AG504" s="469"/>
      <c r="AH504" s="469"/>
      <c r="AI504" s="469"/>
      <c r="AJ504" s="469"/>
      <c r="AK504" s="469"/>
      <c r="AL504" s="469"/>
      <c r="AM504" s="469"/>
      <c r="AN504" s="469"/>
      <c r="AO504" s="469"/>
    </row>
    <row r="505">
      <c r="A505" s="85">
        <v>44953.0</v>
      </c>
      <c r="B505" s="86">
        <v>234.33</v>
      </c>
      <c r="C505" s="85">
        <v>44855.0</v>
      </c>
      <c r="D505" s="89" t="s">
        <v>2857</v>
      </c>
      <c r="E505" s="89" t="s">
        <v>2858</v>
      </c>
      <c r="F505" s="89" t="s">
        <v>2859</v>
      </c>
      <c r="G505" s="89" t="s">
        <v>114</v>
      </c>
      <c r="H505" s="89" t="s">
        <v>94</v>
      </c>
      <c r="I505" s="89" t="s">
        <v>94</v>
      </c>
      <c r="J505" s="89" t="s">
        <v>95</v>
      </c>
      <c r="K505" s="89">
        <v>1.0</v>
      </c>
      <c r="L505" s="85"/>
      <c r="M505" s="85"/>
      <c r="N505" s="85"/>
      <c r="O505" s="85"/>
      <c r="P505" s="89">
        <v>1.0</v>
      </c>
      <c r="Q505" s="138"/>
      <c r="R505" s="138"/>
      <c r="S505" s="138"/>
      <c r="T505" s="138"/>
      <c r="U505" s="138"/>
      <c r="V505" s="138"/>
      <c r="W505" s="469"/>
      <c r="X505" s="469"/>
      <c r="Y505" s="469"/>
      <c r="Z505" s="469"/>
      <c r="AA505" s="469"/>
      <c r="AB505" s="469"/>
      <c r="AC505" s="469"/>
      <c r="AD505" s="469"/>
      <c r="AE505" s="469"/>
      <c r="AF505" s="469"/>
      <c r="AG505" s="469"/>
      <c r="AH505" s="469"/>
      <c r="AI505" s="469"/>
      <c r="AJ505" s="469"/>
      <c r="AK505" s="469"/>
      <c r="AL505" s="469"/>
      <c r="AM505" s="469"/>
      <c r="AN505" s="469"/>
      <c r="AO505" s="469"/>
    </row>
    <row r="506">
      <c r="A506" s="85">
        <v>44953.0</v>
      </c>
      <c r="B506" s="86">
        <v>306.88</v>
      </c>
      <c r="C506" s="85">
        <v>44570.0</v>
      </c>
      <c r="D506" s="89" t="s">
        <v>2860</v>
      </c>
      <c r="E506" s="89" t="s">
        <v>2861</v>
      </c>
      <c r="F506" s="89" t="s">
        <v>2862</v>
      </c>
      <c r="G506" s="89" t="s">
        <v>114</v>
      </c>
      <c r="H506" s="89" t="s">
        <v>94</v>
      </c>
      <c r="I506" s="89" t="s">
        <v>94</v>
      </c>
      <c r="J506" s="89" t="s">
        <v>95</v>
      </c>
      <c r="K506" s="85"/>
      <c r="L506" s="89">
        <v>1.0</v>
      </c>
      <c r="M506" s="85"/>
      <c r="N506" s="89"/>
      <c r="O506" s="85"/>
      <c r="P506" s="89">
        <v>1.0</v>
      </c>
      <c r="Q506" s="138"/>
      <c r="R506" s="138"/>
      <c r="S506" s="138"/>
      <c r="T506" s="138"/>
      <c r="U506" s="138"/>
      <c r="V506" s="138"/>
      <c r="W506" s="469"/>
      <c r="X506" s="469"/>
      <c r="Y506" s="469"/>
      <c r="Z506" s="469"/>
      <c r="AA506" s="469"/>
      <c r="AB506" s="469"/>
      <c r="AC506" s="469"/>
      <c r="AD506" s="469"/>
      <c r="AE506" s="469"/>
      <c r="AF506" s="469"/>
      <c r="AG506" s="469"/>
      <c r="AH506" s="469"/>
      <c r="AI506" s="469"/>
      <c r="AJ506" s="469"/>
      <c r="AK506" s="469"/>
      <c r="AL506" s="469"/>
      <c r="AM506" s="469"/>
      <c r="AN506" s="469"/>
      <c r="AO506" s="469"/>
    </row>
    <row r="507">
      <c r="A507" s="85">
        <v>44953.0</v>
      </c>
      <c r="B507" s="86">
        <v>319.28</v>
      </c>
      <c r="C507" s="85">
        <v>44623.0</v>
      </c>
      <c r="D507" s="89" t="s">
        <v>2863</v>
      </c>
      <c r="E507" s="89" t="s">
        <v>2864</v>
      </c>
      <c r="F507" s="89" t="s">
        <v>2865</v>
      </c>
      <c r="G507" s="89" t="s">
        <v>114</v>
      </c>
      <c r="H507" s="89" t="s">
        <v>94</v>
      </c>
      <c r="I507" s="89" t="s">
        <v>94</v>
      </c>
      <c r="J507" s="89" t="s">
        <v>95</v>
      </c>
      <c r="K507" s="89"/>
      <c r="L507" s="89">
        <v>1.0</v>
      </c>
      <c r="M507" s="85"/>
      <c r="N507" s="89">
        <v>1.0</v>
      </c>
      <c r="O507" s="85"/>
      <c r="P507" s="89"/>
      <c r="Q507" s="138"/>
      <c r="R507" s="138"/>
      <c r="S507" s="138"/>
      <c r="T507" s="138"/>
      <c r="U507" s="138"/>
      <c r="V507" s="138"/>
      <c r="W507" s="469"/>
      <c r="X507" s="469"/>
      <c r="Y507" s="469"/>
      <c r="Z507" s="469"/>
      <c r="AA507" s="469"/>
      <c r="AB507" s="469"/>
      <c r="AC507" s="469"/>
      <c r="AD507" s="469"/>
      <c r="AE507" s="469"/>
      <c r="AF507" s="469"/>
      <c r="AG507" s="469"/>
      <c r="AH507" s="469"/>
      <c r="AI507" s="469"/>
      <c r="AJ507" s="469"/>
      <c r="AK507" s="469"/>
      <c r="AL507" s="469"/>
      <c r="AM507" s="469"/>
      <c r="AN507" s="469"/>
      <c r="AO507" s="469"/>
    </row>
    <row r="508">
      <c r="A508" s="85">
        <v>44954.0</v>
      </c>
      <c r="B508" s="86">
        <v>247.9</v>
      </c>
      <c r="C508" s="85">
        <v>44891.0</v>
      </c>
      <c r="D508" s="89" t="s">
        <v>2866</v>
      </c>
      <c r="E508" s="89" t="s">
        <v>2867</v>
      </c>
      <c r="F508" s="89" t="s">
        <v>2868</v>
      </c>
      <c r="G508" s="89" t="s">
        <v>114</v>
      </c>
      <c r="H508" s="89" t="s">
        <v>94</v>
      </c>
      <c r="I508" s="89" t="s">
        <v>94</v>
      </c>
      <c r="J508" s="89" t="s">
        <v>95</v>
      </c>
      <c r="K508" s="89">
        <v>1.0</v>
      </c>
      <c r="L508" s="89"/>
      <c r="M508" s="85"/>
      <c r="N508" s="89"/>
      <c r="O508" s="85"/>
      <c r="P508" s="89"/>
      <c r="Q508" s="138"/>
      <c r="R508" s="138"/>
      <c r="S508" s="138"/>
      <c r="T508" s="138"/>
      <c r="U508" s="138"/>
      <c r="V508" s="138"/>
      <c r="W508" s="469"/>
      <c r="X508" s="469"/>
      <c r="Y508" s="469"/>
      <c r="Z508" s="469"/>
      <c r="AA508" s="469"/>
      <c r="AB508" s="469"/>
      <c r="AC508" s="469"/>
      <c r="AD508" s="469"/>
      <c r="AE508" s="469"/>
      <c r="AF508" s="469"/>
      <c r="AG508" s="469"/>
      <c r="AH508" s="469"/>
      <c r="AI508" s="469"/>
      <c r="AJ508" s="469"/>
      <c r="AK508" s="469"/>
      <c r="AL508" s="469"/>
      <c r="AM508" s="469"/>
      <c r="AN508" s="469"/>
      <c r="AO508" s="469"/>
    </row>
    <row r="509">
      <c r="A509" s="85">
        <v>44954.0</v>
      </c>
      <c r="B509" s="293">
        <v>125.8</v>
      </c>
      <c r="C509" s="85">
        <v>44100.0</v>
      </c>
      <c r="D509" s="89" t="s">
        <v>2869</v>
      </c>
      <c r="E509" s="89" t="s">
        <v>2870</v>
      </c>
      <c r="F509" s="89" t="s">
        <v>2871</v>
      </c>
      <c r="G509" s="89" t="s">
        <v>114</v>
      </c>
      <c r="H509" s="89" t="s">
        <v>170</v>
      </c>
      <c r="I509" s="89" t="s">
        <v>170</v>
      </c>
      <c r="J509" s="89" t="s">
        <v>95</v>
      </c>
      <c r="K509" s="89">
        <v>1.0</v>
      </c>
      <c r="L509" s="89"/>
      <c r="M509" s="85"/>
      <c r="N509" s="85"/>
      <c r="O509" s="85"/>
      <c r="P509" s="89"/>
      <c r="Q509" s="138"/>
      <c r="R509" s="138"/>
      <c r="S509" s="138"/>
      <c r="T509" s="138"/>
      <c r="U509" s="138"/>
      <c r="V509" s="138"/>
      <c r="W509" s="469"/>
      <c r="X509" s="469"/>
      <c r="Y509" s="469"/>
      <c r="Z509" s="469"/>
      <c r="AA509" s="469"/>
      <c r="AB509" s="469"/>
      <c r="AC509" s="469"/>
      <c r="AD509" s="469"/>
      <c r="AE509" s="469"/>
      <c r="AF509" s="469"/>
      <c r="AG509" s="469"/>
      <c r="AH509" s="469"/>
      <c r="AI509" s="469"/>
      <c r="AJ509" s="469"/>
      <c r="AK509" s="469"/>
      <c r="AL509" s="469"/>
      <c r="AM509" s="469"/>
      <c r="AN509" s="469"/>
      <c r="AO509" s="469"/>
    </row>
    <row r="510">
      <c r="A510" s="85">
        <v>44954.0</v>
      </c>
      <c r="B510" s="86">
        <v>307.0</v>
      </c>
      <c r="C510" s="85">
        <v>44667.0</v>
      </c>
      <c r="D510" s="89" t="s">
        <v>2872</v>
      </c>
      <c r="E510" s="89" t="s">
        <v>2873</v>
      </c>
      <c r="F510" s="89" t="s">
        <v>2874</v>
      </c>
      <c r="G510" s="89" t="s">
        <v>114</v>
      </c>
      <c r="H510" s="89" t="s">
        <v>94</v>
      </c>
      <c r="I510" s="89" t="s">
        <v>94</v>
      </c>
      <c r="J510" s="89" t="s">
        <v>95</v>
      </c>
      <c r="K510" s="89"/>
      <c r="L510" s="89">
        <v>1.0</v>
      </c>
      <c r="M510" s="85"/>
      <c r="N510" s="89"/>
      <c r="O510" s="85"/>
      <c r="P510" s="89"/>
      <c r="Q510" s="138"/>
      <c r="R510" s="138"/>
      <c r="S510" s="138"/>
      <c r="T510" s="138"/>
      <c r="U510" s="138"/>
      <c r="V510" s="138"/>
      <c r="W510" s="469"/>
      <c r="X510" s="469"/>
      <c r="Y510" s="469"/>
      <c r="Z510" s="469"/>
      <c r="AA510" s="469"/>
      <c r="AB510" s="469"/>
      <c r="AC510" s="469"/>
      <c r="AD510" s="469"/>
      <c r="AE510" s="469"/>
      <c r="AF510" s="469"/>
      <c r="AG510" s="469"/>
      <c r="AH510" s="469"/>
      <c r="AI510" s="469"/>
      <c r="AJ510" s="469"/>
      <c r="AK510" s="469"/>
      <c r="AL510" s="469"/>
      <c r="AM510" s="469"/>
      <c r="AN510" s="469"/>
      <c r="AO510" s="469"/>
    </row>
    <row r="511">
      <c r="A511" s="85">
        <v>44954.0</v>
      </c>
      <c r="B511" s="86">
        <v>341.07</v>
      </c>
      <c r="C511" s="85">
        <v>44876.0</v>
      </c>
      <c r="D511" s="89" t="s">
        <v>2875</v>
      </c>
      <c r="E511" s="89" t="s">
        <v>2876</v>
      </c>
      <c r="F511" s="89" t="s">
        <v>2877</v>
      </c>
      <c r="G511" s="89" t="s">
        <v>114</v>
      </c>
      <c r="H511" s="89" t="s">
        <v>94</v>
      </c>
      <c r="I511" s="89" t="s">
        <v>94</v>
      </c>
      <c r="J511" s="89" t="s">
        <v>95</v>
      </c>
      <c r="K511" s="85"/>
      <c r="L511" s="89">
        <v>1.0</v>
      </c>
      <c r="M511" s="85"/>
      <c r="N511" s="85"/>
      <c r="O511" s="85"/>
      <c r="P511" s="89"/>
      <c r="Q511" s="137">
        <v>1.0</v>
      </c>
      <c r="R511" s="138"/>
      <c r="S511" s="138"/>
      <c r="T511" s="138"/>
      <c r="U511" s="138"/>
      <c r="V511" s="138"/>
      <c r="W511" s="469"/>
      <c r="X511" s="469"/>
      <c r="Y511" s="469"/>
      <c r="Z511" s="469"/>
      <c r="AA511" s="469"/>
      <c r="AB511" s="469"/>
      <c r="AC511" s="469"/>
      <c r="AD511" s="469"/>
      <c r="AE511" s="469"/>
      <c r="AF511" s="469"/>
      <c r="AG511" s="469"/>
      <c r="AH511" s="469"/>
      <c r="AI511" s="469"/>
      <c r="AJ511" s="469"/>
      <c r="AK511" s="469"/>
      <c r="AL511" s="469"/>
      <c r="AM511" s="469"/>
      <c r="AN511" s="469"/>
      <c r="AO511" s="469"/>
    </row>
    <row r="512">
      <c r="A512" s="85">
        <v>44954.0</v>
      </c>
      <c r="B512" s="293">
        <v>243.32</v>
      </c>
      <c r="C512" s="85">
        <v>44890.0</v>
      </c>
      <c r="D512" s="89" t="s">
        <v>2878</v>
      </c>
      <c r="E512" s="89" t="s">
        <v>2879</v>
      </c>
      <c r="F512" s="89" t="s">
        <v>2880</v>
      </c>
      <c r="G512" s="89" t="s">
        <v>114</v>
      </c>
      <c r="H512" s="89" t="s">
        <v>94</v>
      </c>
      <c r="I512" s="89" t="s">
        <v>94</v>
      </c>
      <c r="J512" s="89" t="s">
        <v>95</v>
      </c>
      <c r="K512" s="89">
        <v>1.0</v>
      </c>
      <c r="L512" s="89"/>
      <c r="M512" s="85"/>
      <c r="N512" s="85"/>
      <c r="O512" s="85"/>
      <c r="P512" s="89"/>
      <c r="Q512" s="138"/>
      <c r="R512" s="138"/>
      <c r="S512" s="138"/>
      <c r="T512" s="138"/>
      <c r="U512" s="138"/>
      <c r="V512" s="138"/>
      <c r="W512" s="469"/>
      <c r="X512" s="469"/>
      <c r="Y512" s="469"/>
      <c r="Z512" s="469"/>
      <c r="AA512" s="469"/>
      <c r="AB512" s="469"/>
      <c r="AC512" s="469"/>
      <c r="AD512" s="469"/>
      <c r="AE512" s="469"/>
      <c r="AF512" s="469"/>
      <c r="AG512" s="469"/>
      <c r="AH512" s="469"/>
      <c r="AI512" s="469"/>
      <c r="AJ512" s="469"/>
      <c r="AK512" s="469"/>
      <c r="AL512" s="469"/>
      <c r="AM512" s="469"/>
      <c r="AN512" s="469"/>
      <c r="AO512" s="469"/>
    </row>
    <row r="513">
      <c r="A513" s="85">
        <v>44954.0</v>
      </c>
      <c r="B513" s="86">
        <v>348.67</v>
      </c>
      <c r="C513" s="85">
        <v>44885.0</v>
      </c>
      <c r="D513" s="89" t="s">
        <v>2881</v>
      </c>
      <c r="E513" s="89" t="s">
        <v>2882</v>
      </c>
      <c r="F513" s="89" t="s">
        <v>2883</v>
      </c>
      <c r="G513" s="89" t="s">
        <v>114</v>
      </c>
      <c r="H513" s="89" t="s">
        <v>94</v>
      </c>
      <c r="I513" s="89" t="s">
        <v>94</v>
      </c>
      <c r="J513" s="89" t="s">
        <v>95</v>
      </c>
      <c r="K513" s="89">
        <v>1.0</v>
      </c>
      <c r="L513" s="85"/>
      <c r="M513" s="89">
        <v>1.0</v>
      </c>
      <c r="N513" s="85"/>
      <c r="O513" s="85"/>
      <c r="P513" s="89"/>
      <c r="Q513" s="137">
        <v>1.0</v>
      </c>
      <c r="R513" s="138"/>
      <c r="S513" s="138"/>
      <c r="T513" s="138"/>
      <c r="U513" s="138"/>
      <c r="V513" s="138"/>
      <c r="W513" s="469"/>
      <c r="X513" s="469"/>
      <c r="Y513" s="469"/>
      <c r="Z513" s="469"/>
      <c r="AA513" s="469"/>
      <c r="AB513" s="469"/>
      <c r="AC513" s="469"/>
      <c r="AD513" s="469"/>
      <c r="AE513" s="469"/>
      <c r="AF513" s="469"/>
      <c r="AG513" s="469"/>
      <c r="AH513" s="469"/>
      <c r="AI513" s="469"/>
      <c r="AJ513" s="469"/>
      <c r="AK513" s="469"/>
      <c r="AL513" s="469"/>
      <c r="AM513" s="469"/>
      <c r="AN513" s="469"/>
      <c r="AO513" s="469"/>
    </row>
    <row r="514">
      <c r="A514" s="85">
        <v>44954.0</v>
      </c>
      <c r="B514" s="86">
        <v>249.4</v>
      </c>
      <c r="C514" s="85">
        <v>44871.0</v>
      </c>
      <c r="D514" s="89" t="s">
        <v>2885</v>
      </c>
      <c r="E514" s="89" t="s">
        <v>2886</v>
      </c>
      <c r="F514" s="89" t="s">
        <v>2887</v>
      </c>
      <c r="G514" s="89" t="s">
        <v>114</v>
      </c>
      <c r="H514" s="89" t="s">
        <v>94</v>
      </c>
      <c r="I514" s="89" t="s">
        <v>94</v>
      </c>
      <c r="J514" s="89" t="s">
        <v>95</v>
      </c>
      <c r="K514" s="89">
        <v>1.0</v>
      </c>
      <c r="L514" s="85"/>
      <c r="M514" s="85"/>
      <c r="N514" s="85"/>
      <c r="O514" s="85"/>
      <c r="P514" s="89"/>
      <c r="Q514" s="138"/>
      <c r="R514" s="138"/>
      <c r="S514" s="138"/>
      <c r="T514" s="138"/>
      <c r="U514" s="138"/>
      <c r="V514" s="138"/>
      <c r="W514" s="469"/>
      <c r="X514" s="469"/>
      <c r="Y514" s="469"/>
      <c r="Z514" s="469"/>
      <c r="AA514" s="469"/>
      <c r="AB514" s="469"/>
      <c r="AC514" s="469"/>
      <c r="AD514" s="469"/>
      <c r="AE514" s="469"/>
      <c r="AF514" s="469"/>
      <c r="AG514" s="469"/>
      <c r="AH514" s="469"/>
      <c r="AI514" s="469"/>
      <c r="AJ514" s="469"/>
      <c r="AK514" s="469"/>
      <c r="AL514" s="469"/>
      <c r="AM514" s="469"/>
      <c r="AN514" s="469"/>
      <c r="AO514" s="469"/>
    </row>
    <row r="515">
      <c r="A515" s="85">
        <v>44954.0</v>
      </c>
      <c r="B515" s="86">
        <v>373.04</v>
      </c>
      <c r="C515" s="85">
        <v>44894.0</v>
      </c>
      <c r="D515" s="89" t="s">
        <v>2888</v>
      </c>
      <c r="E515" s="89" t="s">
        <v>2889</v>
      </c>
      <c r="F515" s="89" t="s">
        <v>2890</v>
      </c>
      <c r="G515" s="89" t="s">
        <v>114</v>
      </c>
      <c r="H515" s="89" t="s">
        <v>94</v>
      </c>
      <c r="I515" s="89" t="s">
        <v>94</v>
      </c>
      <c r="J515" s="89" t="s">
        <v>95</v>
      </c>
      <c r="K515" s="89">
        <v>1.0</v>
      </c>
      <c r="L515" s="85"/>
      <c r="M515" s="89">
        <v>1.0</v>
      </c>
      <c r="N515" s="89">
        <v>1.0</v>
      </c>
      <c r="O515" s="85"/>
      <c r="P515" s="89"/>
      <c r="Q515" s="137">
        <v>1.0</v>
      </c>
      <c r="R515" s="138"/>
      <c r="S515" s="138"/>
      <c r="T515" s="138"/>
      <c r="U515" s="138"/>
      <c r="V515" s="138"/>
      <c r="W515" s="469"/>
      <c r="X515" s="469"/>
      <c r="Y515" s="469"/>
      <c r="Z515" s="469"/>
      <c r="AA515" s="469"/>
      <c r="AB515" s="469"/>
      <c r="AC515" s="469"/>
      <c r="AD515" s="469"/>
      <c r="AE515" s="469"/>
      <c r="AF515" s="469"/>
      <c r="AG515" s="469"/>
      <c r="AH515" s="469"/>
      <c r="AI515" s="469"/>
      <c r="AJ515" s="469"/>
      <c r="AK515" s="469"/>
      <c r="AL515" s="469"/>
      <c r="AM515" s="469"/>
      <c r="AN515" s="469"/>
      <c r="AO515" s="469"/>
    </row>
    <row r="516">
      <c r="A516" s="85">
        <v>44954.0</v>
      </c>
      <c r="B516" s="86">
        <v>267.91</v>
      </c>
      <c r="C516" s="85">
        <v>44864.0</v>
      </c>
      <c r="D516" s="89" t="s">
        <v>2891</v>
      </c>
      <c r="E516" s="89" t="s">
        <v>2892</v>
      </c>
      <c r="F516" s="89" t="s">
        <v>2893</v>
      </c>
      <c r="G516" s="89" t="s">
        <v>114</v>
      </c>
      <c r="H516" s="89" t="s">
        <v>94</v>
      </c>
      <c r="I516" s="89" t="s">
        <v>94</v>
      </c>
      <c r="J516" s="89" t="s">
        <v>95</v>
      </c>
      <c r="K516" s="89">
        <v>1.0</v>
      </c>
      <c r="L516" s="85"/>
      <c r="M516" s="85"/>
      <c r="N516" s="89">
        <v>1.0</v>
      </c>
      <c r="O516" s="85"/>
      <c r="P516" s="89"/>
      <c r="Q516" s="138"/>
      <c r="R516" s="138"/>
      <c r="S516" s="138"/>
      <c r="T516" s="138"/>
      <c r="U516" s="138"/>
      <c r="V516" s="138"/>
      <c r="W516" s="469"/>
      <c r="X516" s="469"/>
      <c r="Y516" s="469"/>
      <c r="Z516" s="469"/>
      <c r="AA516" s="469"/>
      <c r="AB516" s="469"/>
      <c r="AC516" s="469"/>
      <c r="AD516" s="469"/>
      <c r="AE516" s="469"/>
      <c r="AF516" s="469"/>
      <c r="AG516" s="469"/>
      <c r="AH516" s="469"/>
      <c r="AI516" s="469"/>
      <c r="AJ516" s="469"/>
      <c r="AK516" s="469"/>
      <c r="AL516" s="469"/>
      <c r="AM516" s="469"/>
      <c r="AN516" s="469"/>
      <c r="AO516" s="469"/>
    </row>
    <row r="517">
      <c r="A517" s="85">
        <v>44954.0</v>
      </c>
      <c r="B517" s="86">
        <v>247.61</v>
      </c>
      <c r="C517" s="85">
        <v>44875.0</v>
      </c>
      <c r="D517" s="89" t="s">
        <v>2894</v>
      </c>
      <c r="E517" s="89" t="s">
        <v>2895</v>
      </c>
      <c r="F517" s="89" t="s">
        <v>2896</v>
      </c>
      <c r="G517" s="89" t="s">
        <v>114</v>
      </c>
      <c r="H517" s="89" t="s">
        <v>94</v>
      </c>
      <c r="I517" s="89" t="s">
        <v>94</v>
      </c>
      <c r="J517" s="89" t="s">
        <v>95</v>
      </c>
      <c r="K517" s="89">
        <v>1.0</v>
      </c>
      <c r="L517" s="85"/>
      <c r="M517" s="89"/>
      <c r="N517" s="89"/>
      <c r="O517" s="85"/>
      <c r="P517" s="89"/>
      <c r="Q517" s="138"/>
      <c r="R517" s="138"/>
      <c r="S517" s="138"/>
      <c r="T517" s="138"/>
      <c r="U517" s="138"/>
      <c r="V517" s="138"/>
      <c r="W517" s="469"/>
      <c r="X517" s="469"/>
      <c r="Y517" s="469"/>
      <c r="Z517" s="469"/>
      <c r="AA517" s="469"/>
      <c r="AB517" s="469"/>
      <c r="AC517" s="469"/>
      <c r="AD517" s="469"/>
      <c r="AE517" s="469"/>
      <c r="AF517" s="469"/>
      <c r="AG517" s="469"/>
      <c r="AH517" s="469"/>
      <c r="AI517" s="469"/>
      <c r="AJ517" s="469"/>
      <c r="AK517" s="469"/>
      <c r="AL517" s="469"/>
      <c r="AM517" s="469"/>
      <c r="AN517" s="469"/>
      <c r="AO517" s="469"/>
    </row>
    <row r="518">
      <c r="A518" s="85">
        <v>44954.0</v>
      </c>
      <c r="B518" s="86">
        <v>232.69</v>
      </c>
      <c r="C518" s="85">
        <v>44714.0</v>
      </c>
      <c r="D518" s="496" t="s">
        <v>2898</v>
      </c>
      <c r="E518" s="89" t="s">
        <v>2899</v>
      </c>
      <c r="F518" s="89" t="s">
        <v>2900</v>
      </c>
      <c r="G518" s="89" t="s">
        <v>114</v>
      </c>
      <c r="H518" s="89" t="s">
        <v>94</v>
      </c>
      <c r="I518" s="89" t="s">
        <v>94</v>
      </c>
      <c r="J518" s="89" t="s">
        <v>95</v>
      </c>
      <c r="K518" s="89">
        <v>1.0</v>
      </c>
      <c r="L518" s="85"/>
      <c r="M518" s="89"/>
      <c r="N518" s="89"/>
      <c r="O518" s="85"/>
      <c r="P518" s="89"/>
      <c r="Q518" s="137"/>
      <c r="R518" s="138"/>
      <c r="S518" s="138"/>
      <c r="T518" s="138"/>
      <c r="U518" s="138"/>
      <c r="V518" s="138"/>
      <c r="W518" s="469"/>
      <c r="X518" s="469"/>
      <c r="Y518" s="469"/>
      <c r="Z518" s="469"/>
      <c r="AA518" s="469"/>
      <c r="AB518" s="469"/>
      <c r="AC518" s="469"/>
      <c r="AD518" s="469"/>
      <c r="AE518" s="469"/>
      <c r="AF518" s="469"/>
      <c r="AG518" s="469"/>
      <c r="AH518" s="469"/>
      <c r="AI518" s="469"/>
      <c r="AJ518" s="469"/>
      <c r="AK518" s="469"/>
      <c r="AL518" s="469"/>
      <c r="AM518" s="469"/>
      <c r="AN518" s="469"/>
      <c r="AO518" s="469"/>
    </row>
    <row r="519">
      <c r="A519" s="85">
        <v>44954.0</v>
      </c>
      <c r="B519" s="86">
        <v>249.04</v>
      </c>
      <c r="C519" s="85">
        <v>44885.0</v>
      </c>
      <c r="D519" s="89" t="s">
        <v>2903</v>
      </c>
      <c r="E519" s="89" t="s">
        <v>2904</v>
      </c>
      <c r="F519" s="89" t="s">
        <v>2905</v>
      </c>
      <c r="G519" s="89" t="s">
        <v>114</v>
      </c>
      <c r="H519" s="89" t="s">
        <v>94</v>
      </c>
      <c r="I519" s="89" t="s">
        <v>94</v>
      </c>
      <c r="J519" s="89" t="s">
        <v>95</v>
      </c>
      <c r="K519" s="89">
        <v>1.0</v>
      </c>
      <c r="L519" s="89"/>
      <c r="M519" s="85"/>
      <c r="N519" s="89"/>
      <c r="O519" s="85"/>
      <c r="P519" s="89"/>
      <c r="Q519" s="137"/>
      <c r="R519" s="138"/>
      <c r="S519" s="138"/>
      <c r="T519" s="138"/>
      <c r="U519" s="138"/>
      <c r="V519" s="138"/>
      <c r="W519" s="469"/>
      <c r="X519" s="469"/>
      <c r="Y519" s="469"/>
      <c r="Z519" s="469"/>
      <c r="AA519" s="469"/>
      <c r="AB519" s="469"/>
      <c r="AC519" s="469"/>
      <c r="AD519" s="469"/>
      <c r="AE519" s="469"/>
      <c r="AF519" s="469"/>
      <c r="AG519" s="469"/>
      <c r="AH519" s="469"/>
      <c r="AI519" s="469"/>
      <c r="AJ519" s="469"/>
      <c r="AK519" s="469"/>
      <c r="AL519" s="469"/>
      <c r="AM519" s="469"/>
      <c r="AN519" s="469"/>
      <c r="AO519" s="469"/>
    </row>
    <row r="520">
      <c r="A520" s="85">
        <v>44954.0</v>
      </c>
      <c r="B520" s="86">
        <v>237.07</v>
      </c>
      <c r="C520" s="85">
        <v>44857.0</v>
      </c>
      <c r="D520" s="89" t="s">
        <v>2913</v>
      </c>
      <c r="E520" s="89" t="s">
        <v>2914</v>
      </c>
      <c r="F520" s="89" t="s">
        <v>2915</v>
      </c>
      <c r="G520" s="89" t="s">
        <v>114</v>
      </c>
      <c r="H520" s="89" t="s">
        <v>94</v>
      </c>
      <c r="I520" s="89" t="s">
        <v>94</v>
      </c>
      <c r="J520" s="89" t="s">
        <v>95</v>
      </c>
      <c r="K520" s="89">
        <v>1.0</v>
      </c>
      <c r="L520" s="85"/>
      <c r="M520" s="89"/>
      <c r="N520" s="85"/>
      <c r="O520" s="85"/>
      <c r="P520" s="89">
        <v>1.0</v>
      </c>
      <c r="Q520" s="138"/>
      <c r="R520" s="138"/>
      <c r="S520" s="138"/>
      <c r="T520" s="138"/>
      <c r="U520" s="138"/>
      <c r="V520" s="138"/>
      <c r="W520" s="469"/>
      <c r="X520" s="469"/>
      <c r="Y520" s="469"/>
      <c r="Z520" s="469"/>
      <c r="AA520" s="469"/>
      <c r="AB520" s="469"/>
      <c r="AC520" s="469"/>
      <c r="AD520" s="469"/>
      <c r="AE520" s="469"/>
      <c r="AF520" s="469"/>
      <c r="AG520" s="469"/>
      <c r="AH520" s="469"/>
      <c r="AI520" s="469"/>
      <c r="AJ520" s="469"/>
      <c r="AK520" s="469"/>
      <c r="AL520" s="469"/>
      <c r="AM520" s="469"/>
      <c r="AN520" s="469"/>
      <c r="AO520" s="469"/>
    </row>
    <row r="521">
      <c r="A521" s="85">
        <v>44954.0</v>
      </c>
      <c r="B521" s="476">
        <v>287.0</v>
      </c>
      <c r="C521" s="85">
        <v>44628.0</v>
      </c>
      <c r="D521" s="89" t="s">
        <v>2918</v>
      </c>
      <c r="E521" s="89" t="s">
        <v>2919</v>
      </c>
      <c r="F521" s="89" t="s">
        <v>2920</v>
      </c>
      <c r="G521" s="89" t="s">
        <v>114</v>
      </c>
      <c r="H521" s="89" t="s">
        <v>94</v>
      </c>
      <c r="I521" s="89" t="s">
        <v>94</v>
      </c>
      <c r="J521" s="89" t="s">
        <v>95</v>
      </c>
      <c r="K521" s="89"/>
      <c r="L521" s="89">
        <v>1.0</v>
      </c>
      <c r="M521" s="89"/>
      <c r="N521" s="89">
        <v>1.0</v>
      </c>
      <c r="O521" s="85"/>
      <c r="P521" s="89"/>
      <c r="Q521" s="137"/>
      <c r="R521" s="138"/>
      <c r="S521" s="138"/>
      <c r="T521" s="138"/>
      <c r="U521" s="138"/>
      <c r="V521" s="138"/>
      <c r="W521" s="469"/>
      <c r="X521" s="469"/>
      <c r="Y521" s="469"/>
      <c r="Z521" s="469"/>
      <c r="AA521" s="469"/>
      <c r="AB521" s="469"/>
      <c r="AC521" s="469"/>
      <c r="AD521" s="469"/>
      <c r="AE521" s="469"/>
      <c r="AF521" s="469"/>
      <c r="AG521" s="469"/>
      <c r="AH521" s="469"/>
      <c r="AI521" s="469"/>
      <c r="AJ521" s="469"/>
      <c r="AK521" s="469"/>
      <c r="AL521" s="469"/>
      <c r="AM521" s="469"/>
      <c r="AN521" s="469"/>
      <c r="AO521" s="469"/>
    </row>
    <row r="522">
      <c r="A522" s="400">
        <v>44954.0</v>
      </c>
      <c r="B522" s="401">
        <v>231.44</v>
      </c>
      <c r="C522" s="400">
        <v>44646.0</v>
      </c>
      <c r="D522" s="402" t="s">
        <v>2629</v>
      </c>
      <c r="E522" s="402" t="s">
        <v>2630</v>
      </c>
      <c r="F522" s="402" t="s">
        <v>2631</v>
      </c>
      <c r="G522" s="402" t="s">
        <v>114</v>
      </c>
      <c r="H522" s="402" t="s">
        <v>94</v>
      </c>
      <c r="I522" s="402" t="s">
        <v>125</v>
      </c>
      <c r="J522" s="402" t="s">
        <v>95</v>
      </c>
      <c r="K522" s="402">
        <v>1.0</v>
      </c>
      <c r="L522" s="402"/>
      <c r="M522" s="400"/>
      <c r="N522" s="400"/>
      <c r="O522" s="400"/>
      <c r="P522" s="402"/>
      <c r="Q522" s="404"/>
      <c r="R522" s="404"/>
      <c r="S522" s="404"/>
      <c r="T522" s="404"/>
      <c r="U522" s="404"/>
      <c r="V522" s="404"/>
      <c r="W522" s="545"/>
      <c r="X522" s="545"/>
      <c r="Y522" s="545"/>
      <c r="Z522" s="545"/>
      <c r="AA522" s="545"/>
      <c r="AB522" s="545"/>
      <c r="AC522" s="545"/>
      <c r="AD522" s="545"/>
      <c r="AE522" s="545"/>
      <c r="AF522" s="545"/>
      <c r="AG522" s="545"/>
      <c r="AH522" s="545"/>
      <c r="AI522" s="545"/>
      <c r="AJ522" s="545"/>
      <c r="AK522" s="545"/>
      <c r="AL522" s="545"/>
      <c r="AM522" s="545"/>
      <c r="AN522" s="545"/>
      <c r="AO522" s="545"/>
    </row>
    <row r="523">
      <c r="A523" s="85">
        <v>44955.0</v>
      </c>
      <c r="B523" s="86">
        <v>294.68</v>
      </c>
      <c r="C523" s="85">
        <v>44567.0</v>
      </c>
      <c r="D523" s="89" t="s">
        <v>2924</v>
      </c>
      <c r="E523" s="89" t="s">
        <v>2925</v>
      </c>
      <c r="F523" s="89" t="s">
        <v>2926</v>
      </c>
      <c r="G523" s="89" t="s">
        <v>114</v>
      </c>
      <c r="H523" s="89" t="s">
        <v>94</v>
      </c>
      <c r="I523" s="89" t="s">
        <v>94</v>
      </c>
      <c r="J523" s="89" t="s">
        <v>95</v>
      </c>
      <c r="K523" s="85"/>
      <c r="L523" s="89">
        <v>1.0</v>
      </c>
      <c r="M523" s="85"/>
      <c r="N523" s="89"/>
      <c r="O523" s="85"/>
      <c r="P523" s="89"/>
      <c r="Q523" s="137"/>
      <c r="R523" s="137"/>
      <c r="S523" s="138"/>
      <c r="T523" s="138"/>
      <c r="U523" s="138"/>
      <c r="V523" s="138"/>
      <c r="W523" s="469"/>
      <c r="X523" s="469"/>
      <c r="Y523" s="469"/>
      <c r="Z523" s="469"/>
      <c r="AA523" s="469"/>
      <c r="AB523" s="469"/>
      <c r="AC523" s="469"/>
      <c r="AD523" s="469"/>
      <c r="AE523" s="469"/>
      <c r="AF523" s="469"/>
      <c r="AG523" s="469"/>
      <c r="AH523" s="469"/>
      <c r="AI523" s="469"/>
      <c r="AJ523" s="469"/>
      <c r="AK523" s="469"/>
      <c r="AL523" s="469"/>
      <c r="AM523" s="469"/>
      <c r="AN523" s="469"/>
      <c r="AO523" s="469"/>
    </row>
    <row r="524">
      <c r="A524" s="85">
        <v>44955.0</v>
      </c>
      <c r="B524" s="86">
        <v>258.7</v>
      </c>
      <c r="C524" s="85">
        <v>44210.0</v>
      </c>
      <c r="D524" s="89" t="s">
        <v>2930</v>
      </c>
      <c r="E524" s="89" t="s">
        <v>2931</v>
      </c>
      <c r="F524" s="89" t="s">
        <v>2932</v>
      </c>
      <c r="G524" s="89" t="s">
        <v>114</v>
      </c>
      <c r="H524" s="89" t="s">
        <v>170</v>
      </c>
      <c r="I524" s="89" t="s">
        <v>170</v>
      </c>
      <c r="J524" s="89" t="s">
        <v>328</v>
      </c>
      <c r="K524" s="85"/>
      <c r="L524" s="89">
        <v>1.0</v>
      </c>
      <c r="M524" s="85"/>
      <c r="N524" s="85"/>
      <c r="O524" s="85"/>
      <c r="P524" s="89">
        <v>1.0</v>
      </c>
      <c r="Q524" s="138"/>
      <c r="R524" s="138"/>
      <c r="S524" s="138"/>
      <c r="T524" s="138"/>
      <c r="U524" s="138"/>
      <c r="V524" s="138"/>
      <c r="W524" s="469"/>
      <c r="X524" s="469"/>
      <c r="Y524" s="469"/>
      <c r="Z524" s="469"/>
      <c r="AA524" s="469"/>
      <c r="AB524" s="469"/>
      <c r="AC524" s="469"/>
      <c r="AD524" s="469"/>
      <c r="AE524" s="469"/>
      <c r="AF524" s="469"/>
      <c r="AG524" s="469"/>
      <c r="AH524" s="469"/>
      <c r="AI524" s="469"/>
      <c r="AJ524" s="469"/>
      <c r="AK524" s="469"/>
      <c r="AL524" s="469"/>
      <c r="AM524" s="469"/>
      <c r="AN524" s="469"/>
      <c r="AO524" s="469"/>
    </row>
    <row r="525">
      <c r="A525" s="550">
        <v>44955.0</v>
      </c>
      <c r="B525" s="86">
        <v>273.56</v>
      </c>
      <c r="C525" s="85">
        <v>44890.0</v>
      </c>
      <c r="D525" s="89" t="s">
        <v>2935</v>
      </c>
      <c r="E525" s="89" t="s">
        <v>2936</v>
      </c>
      <c r="F525" s="89" t="s">
        <v>2937</v>
      </c>
      <c r="G525" s="89" t="s">
        <v>114</v>
      </c>
      <c r="H525" s="89" t="s">
        <v>94</v>
      </c>
      <c r="I525" s="89" t="s">
        <v>94</v>
      </c>
      <c r="J525" s="89" t="s">
        <v>95</v>
      </c>
      <c r="K525" s="89">
        <v>1.0</v>
      </c>
      <c r="L525" s="89"/>
      <c r="M525" s="89"/>
      <c r="N525" s="89">
        <v>1.0</v>
      </c>
      <c r="O525" s="85"/>
      <c r="P525" s="89">
        <v>1.0</v>
      </c>
      <c r="Q525" s="137"/>
      <c r="R525" s="138"/>
      <c r="S525" s="138"/>
      <c r="T525" s="85"/>
      <c r="U525" s="85"/>
      <c r="V525" s="85"/>
      <c r="W525" s="138"/>
      <c r="X525" s="139"/>
      <c r="Y525" s="139"/>
      <c r="Z525" s="139"/>
      <c r="AA525" s="139"/>
      <c r="AB525" s="139"/>
      <c r="AC525" s="139"/>
      <c r="AD525" s="139"/>
      <c r="AE525" s="139"/>
      <c r="AF525" s="139"/>
      <c r="AG525" s="139"/>
      <c r="AH525" s="139"/>
      <c r="AI525" s="139"/>
      <c r="AJ525" s="139"/>
      <c r="AK525" s="139"/>
      <c r="AL525" s="139"/>
      <c r="AM525" s="139"/>
      <c r="AN525" s="139"/>
      <c r="AO525" s="423"/>
    </row>
    <row r="526">
      <c r="A526" s="85">
        <v>44955.0</v>
      </c>
      <c r="B526" s="86">
        <v>292.87</v>
      </c>
      <c r="C526" s="85">
        <v>44894.0</v>
      </c>
      <c r="D526" s="89" t="s">
        <v>2940</v>
      </c>
      <c r="E526" s="89" t="s">
        <v>2941</v>
      </c>
      <c r="F526" s="89" t="s">
        <v>2942</v>
      </c>
      <c r="G526" s="89" t="s">
        <v>114</v>
      </c>
      <c r="H526" s="89" t="s">
        <v>94</v>
      </c>
      <c r="I526" s="89" t="s">
        <v>94</v>
      </c>
      <c r="J526" s="89" t="s">
        <v>95</v>
      </c>
      <c r="K526" s="89">
        <v>1.0</v>
      </c>
      <c r="L526" s="85"/>
      <c r="M526" s="89">
        <v>1.0</v>
      </c>
      <c r="N526" s="85"/>
      <c r="O526" s="85"/>
      <c r="P526" s="89"/>
      <c r="Q526" s="137"/>
      <c r="R526" s="138"/>
      <c r="S526" s="138"/>
      <c r="T526" s="138"/>
      <c r="U526" s="138"/>
      <c r="V526" s="138"/>
      <c r="W526" s="469"/>
      <c r="X526" s="469"/>
      <c r="Y526" s="469"/>
      <c r="Z526" s="469"/>
      <c r="AA526" s="469"/>
      <c r="AB526" s="469"/>
      <c r="AC526" s="469"/>
      <c r="AD526" s="469"/>
      <c r="AE526" s="469"/>
      <c r="AF526" s="469"/>
      <c r="AG526" s="469"/>
      <c r="AH526" s="469"/>
      <c r="AI526" s="469"/>
      <c r="AJ526" s="469"/>
      <c r="AK526" s="469"/>
      <c r="AL526" s="469"/>
      <c r="AM526" s="469"/>
      <c r="AN526" s="469"/>
      <c r="AO526" s="469"/>
    </row>
    <row r="527">
      <c r="A527" s="85">
        <v>44955.0</v>
      </c>
      <c r="B527" s="86">
        <v>397.49</v>
      </c>
      <c r="C527" s="85">
        <v>44884.0</v>
      </c>
      <c r="D527" s="89" t="s">
        <v>2943</v>
      </c>
      <c r="E527" s="89" t="s">
        <v>2944</v>
      </c>
      <c r="F527" s="89" t="s">
        <v>2945</v>
      </c>
      <c r="G527" s="89" t="s">
        <v>114</v>
      </c>
      <c r="H527" s="89" t="s">
        <v>94</v>
      </c>
      <c r="I527" s="89" t="s">
        <v>94</v>
      </c>
      <c r="J527" s="89" t="s">
        <v>95</v>
      </c>
      <c r="K527" s="89">
        <v>1.0</v>
      </c>
      <c r="L527" s="85"/>
      <c r="M527" s="89">
        <v>1.0</v>
      </c>
      <c r="N527" s="89">
        <v>1.0</v>
      </c>
      <c r="O527" s="85"/>
      <c r="P527" s="89">
        <v>1.0</v>
      </c>
      <c r="Q527" s="137">
        <v>1.0</v>
      </c>
      <c r="R527" s="138"/>
      <c r="S527" s="138"/>
      <c r="T527" s="138"/>
      <c r="U527" s="137">
        <v>1.0</v>
      </c>
      <c r="V527" s="138"/>
      <c r="W527" s="469"/>
      <c r="X527" s="469"/>
      <c r="Y527" s="469"/>
      <c r="Z527" s="469"/>
      <c r="AA527" s="469"/>
      <c r="AB527" s="469"/>
      <c r="AC527" s="469"/>
      <c r="AD527" s="469"/>
      <c r="AE527" s="469"/>
      <c r="AF527" s="469"/>
      <c r="AG527" s="469"/>
      <c r="AH527" s="469"/>
      <c r="AI527" s="469"/>
      <c r="AJ527" s="469"/>
      <c r="AK527" s="469"/>
      <c r="AL527" s="469"/>
      <c r="AM527" s="469"/>
      <c r="AN527" s="469"/>
      <c r="AO527" s="469"/>
    </row>
    <row r="528">
      <c r="A528" s="85">
        <v>44955.0</v>
      </c>
      <c r="B528" s="86">
        <v>231.05</v>
      </c>
      <c r="C528" s="85">
        <v>44555.0</v>
      </c>
      <c r="D528" s="89" t="s">
        <v>2947</v>
      </c>
      <c r="E528" s="89" t="s">
        <v>2948</v>
      </c>
      <c r="F528" s="89" t="s">
        <v>2949</v>
      </c>
      <c r="G528" s="89" t="s">
        <v>114</v>
      </c>
      <c r="H528" s="89" t="s">
        <v>94</v>
      </c>
      <c r="I528" s="89" t="s">
        <v>94</v>
      </c>
      <c r="J528" s="89" t="s">
        <v>95</v>
      </c>
      <c r="K528" s="89">
        <v>1.0</v>
      </c>
      <c r="L528" s="85"/>
      <c r="M528" s="89"/>
      <c r="N528" s="89"/>
      <c r="O528" s="85"/>
      <c r="P528" s="89"/>
      <c r="Q528" s="138"/>
      <c r="R528" s="138"/>
      <c r="S528" s="138"/>
      <c r="T528" s="138"/>
      <c r="U528" s="138"/>
      <c r="V528" s="138"/>
      <c r="W528" s="469"/>
      <c r="X528" s="469"/>
      <c r="Y528" s="469"/>
      <c r="Z528" s="469"/>
      <c r="AA528" s="469"/>
      <c r="AB528" s="469"/>
      <c r="AC528" s="469"/>
      <c r="AD528" s="469"/>
      <c r="AE528" s="469"/>
      <c r="AF528" s="469"/>
      <c r="AG528" s="469"/>
      <c r="AH528" s="469"/>
      <c r="AI528" s="469"/>
      <c r="AJ528" s="469"/>
      <c r="AK528" s="469"/>
      <c r="AL528" s="469"/>
      <c r="AM528" s="469"/>
      <c r="AN528" s="469"/>
      <c r="AO528" s="469"/>
    </row>
    <row r="529">
      <c r="A529" s="85">
        <v>44955.0</v>
      </c>
      <c r="B529" s="293">
        <v>323.21</v>
      </c>
      <c r="C529" s="85">
        <v>44872.0</v>
      </c>
      <c r="D529" s="89" t="s">
        <v>2951</v>
      </c>
      <c r="E529" s="89" t="s">
        <v>2952</v>
      </c>
      <c r="F529" s="89" t="s">
        <v>2953</v>
      </c>
      <c r="G529" s="89" t="s">
        <v>114</v>
      </c>
      <c r="H529" s="89" t="s">
        <v>94</v>
      </c>
      <c r="I529" s="89" t="s">
        <v>94</v>
      </c>
      <c r="J529" s="89" t="s">
        <v>95</v>
      </c>
      <c r="K529" s="89"/>
      <c r="L529" s="89">
        <v>1.0</v>
      </c>
      <c r="M529" s="85"/>
      <c r="N529" s="89"/>
      <c r="O529" s="85"/>
      <c r="P529" s="89">
        <v>1.0</v>
      </c>
      <c r="Q529" s="138"/>
      <c r="R529" s="138"/>
      <c r="S529" s="138"/>
      <c r="T529" s="138"/>
      <c r="U529" s="138"/>
      <c r="V529" s="138"/>
      <c r="W529" s="469"/>
      <c r="X529" s="469"/>
      <c r="Y529" s="469"/>
      <c r="Z529" s="469"/>
      <c r="AA529" s="469"/>
      <c r="AB529" s="469"/>
      <c r="AC529" s="469"/>
      <c r="AD529" s="469"/>
      <c r="AE529" s="469"/>
      <c r="AF529" s="469"/>
      <c r="AG529" s="469"/>
      <c r="AH529" s="469"/>
      <c r="AI529" s="469"/>
      <c r="AJ529" s="469"/>
      <c r="AK529" s="469"/>
      <c r="AL529" s="469"/>
      <c r="AM529" s="469"/>
      <c r="AN529" s="469"/>
      <c r="AO529" s="469"/>
    </row>
    <row r="530">
      <c r="A530" s="85">
        <v>44955.0</v>
      </c>
      <c r="B530" s="86">
        <v>318.34</v>
      </c>
      <c r="C530" s="85">
        <v>44873.0</v>
      </c>
      <c r="D530" s="89" t="s">
        <v>2955</v>
      </c>
      <c r="E530" s="89" t="s">
        <v>2956</v>
      </c>
      <c r="F530" s="89" t="s">
        <v>2957</v>
      </c>
      <c r="G530" s="89" t="s">
        <v>114</v>
      </c>
      <c r="H530" s="89" t="s">
        <v>94</v>
      </c>
      <c r="I530" s="89" t="s">
        <v>94</v>
      </c>
      <c r="J530" s="89" t="s">
        <v>95</v>
      </c>
      <c r="K530" s="85"/>
      <c r="L530" s="89">
        <v>1.0</v>
      </c>
      <c r="M530" s="85"/>
      <c r="N530" s="89"/>
      <c r="O530" s="85"/>
      <c r="P530" s="89">
        <v>1.0</v>
      </c>
      <c r="Q530" s="137"/>
      <c r="R530" s="138"/>
      <c r="S530" s="138"/>
      <c r="T530" s="138"/>
      <c r="U530" s="138"/>
      <c r="V530" s="138"/>
      <c r="W530" s="469"/>
      <c r="X530" s="469"/>
      <c r="Y530" s="469"/>
      <c r="Z530" s="469"/>
      <c r="AA530" s="469"/>
      <c r="AB530" s="469"/>
      <c r="AC530" s="469"/>
      <c r="AD530" s="469"/>
      <c r="AE530" s="469"/>
      <c r="AF530" s="469"/>
      <c r="AG530" s="469"/>
      <c r="AH530" s="469"/>
      <c r="AI530" s="469"/>
      <c r="AJ530" s="469"/>
      <c r="AK530" s="469"/>
      <c r="AL530" s="469"/>
      <c r="AM530" s="469"/>
      <c r="AN530" s="469"/>
      <c r="AO530" s="469"/>
    </row>
    <row r="531">
      <c r="A531" s="85">
        <v>44955.0</v>
      </c>
      <c r="B531" s="86">
        <v>238.37</v>
      </c>
      <c r="C531" s="85">
        <v>44578.0</v>
      </c>
      <c r="D531" s="89" t="s">
        <v>2959</v>
      </c>
      <c r="E531" s="89" t="s">
        <v>2960</v>
      </c>
      <c r="F531" s="89" t="s">
        <v>2961</v>
      </c>
      <c r="G531" s="89" t="s">
        <v>114</v>
      </c>
      <c r="H531" s="89" t="s">
        <v>94</v>
      </c>
      <c r="I531" s="89" t="s">
        <v>94</v>
      </c>
      <c r="J531" s="89" t="s">
        <v>95</v>
      </c>
      <c r="K531" s="89">
        <v>1.0</v>
      </c>
      <c r="L531" s="85"/>
      <c r="M531" s="89"/>
      <c r="N531" s="85"/>
      <c r="O531" s="85"/>
      <c r="P531" s="89"/>
      <c r="Q531" s="138"/>
      <c r="R531" s="138"/>
      <c r="S531" s="138"/>
      <c r="T531" s="138"/>
      <c r="U531" s="138"/>
      <c r="V531" s="138"/>
      <c r="W531" s="469"/>
      <c r="X531" s="469"/>
      <c r="Y531" s="469"/>
      <c r="Z531" s="469"/>
      <c r="AA531" s="469"/>
      <c r="AB531" s="469"/>
      <c r="AC531" s="469"/>
      <c r="AD531" s="469"/>
      <c r="AE531" s="469"/>
      <c r="AF531" s="469"/>
      <c r="AG531" s="469"/>
      <c r="AH531" s="469"/>
      <c r="AI531" s="469"/>
      <c r="AJ531" s="469"/>
      <c r="AK531" s="469"/>
      <c r="AL531" s="469"/>
      <c r="AM531" s="469"/>
      <c r="AN531" s="469"/>
      <c r="AO531" s="469"/>
    </row>
    <row r="532">
      <c r="A532" s="85">
        <v>44955.0</v>
      </c>
      <c r="B532" s="86">
        <v>267.91</v>
      </c>
      <c r="C532" s="85">
        <v>44836.0</v>
      </c>
      <c r="D532" s="89" t="s">
        <v>2966</v>
      </c>
      <c r="E532" s="89" t="s">
        <v>2967</v>
      </c>
      <c r="F532" s="89" t="s">
        <v>2968</v>
      </c>
      <c r="G532" s="89" t="s">
        <v>114</v>
      </c>
      <c r="H532" s="89" t="s">
        <v>94</v>
      </c>
      <c r="I532" s="89" t="s">
        <v>94</v>
      </c>
      <c r="J532" s="89" t="s">
        <v>95</v>
      </c>
      <c r="K532" s="89">
        <v>1.0</v>
      </c>
      <c r="L532" s="89"/>
      <c r="M532" s="85"/>
      <c r="N532" s="89">
        <v>1.0</v>
      </c>
      <c r="O532" s="85"/>
      <c r="P532" s="89">
        <v>1.0</v>
      </c>
      <c r="Q532" s="138"/>
      <c r="R532" s="138"/>
      <c r="S532" s="138"/>
      <c r="T532" s="138"/>
      <c r="U532" s="138"/>
      <c r="V532" s="138"/>
      <c r="W532" s="469"/>
      <c r="X532" s="469"/>
      <c r="Y532" s="469"/>
      <c r="Z532" s="469"/>
      <c r="AA532" s="469"/>
      <c r="AB532" s="469"/>
      <c r="AC532" s="469"/>
      <c r="AD532" s="469"/>
      <c r="AE532" s="469"/>
      <c r="AF532" s="469"/>
      <c r="AG532" s="469"/>
      <c r="AH532" s="469"/>
      <c r="AI532" s="469"/>
      <c r="AJ532" s="469"/>
      <c r="AK532" s="469"/>
      <c r="AL532" s="469"/>
      <c r="AM532" s="469"/>
      <c r="AN532" s="469"/>
      <c r="AO532" s="469"/>
    </row>
    <row r="533">
      <c r="A533" s="85">
        <v>44955.0</v>
      </c>
      <c r="B533" s="86">
        <v>245.03</v>
      </c>
      <c r="C533" s="85">
        <v>44892.0</v>
      </c>
      <c r="D533" s="89" t="s">
        <v>2969</v>
      </c>
      <c r="E533" s="89" t="s">
        <v>2970</v>
      </c>
      <c r="F533" s="89" t="s">
        <v>2971</v>
      </c>
      <c r="G533" s="89" t="s">
        <v>114</v>
      </c>
      <c r="H533" s="89" t="s">
        <v>94</v>
      </c>
      <c r="I533" s="89" t="s">
        <v>94</v>
      </c>
      <c r="J533" s="89" t="s">
        <v>95</v>
      </c>
      <c r="K533" s="89">
        <v>1.0</v>
      </c>
      <c r="L533" s="89"/>
      <c r="M533" s="85"/>
      <c r="N533" s="85"/>
      <c r="O533" s="85"/>
      <c r="P533" s="89">
        <v>1.0</v>
      </c>
      <c r="Q533" s="138"/>
      <c r="R533" s="138"/>
      <c r="S533" s="138"/>
      <c r="T533" s="138"/>
      <c r="U533" s="138"/>
      <c r="V533" s="138"/>
      <c r="W533" s="469"/>
      <c r="X533" s="469"/>
      <c r="Y533" s="469"/>
      <c r="Z533" s="469"/>
      <c r="AA533" s="469"/>
      <c r="AB533" s="469"/>
      <c r="AC533" s="469"/>
      <c r="AD533" s="469"/>
      <c r="AE533" s="469"/>
      <c r="AF533" s="469"/>
      <c r="AG533" s="469"/>
      <c r="AH533" s="469"/>
      <c r="AI533" s="469"/>
      <c r="AJ533" s="469"/>
      <c r="AK533" s="469"/>
      <c r="AL533" s="469"/>
      <c r="AM533" s="469"/>
      <c r="AN533" s="469"/>
      <c r="AO533" s="469"/>
    </row>
    <row r="534">
      <c r="A534" s="85">
        <v>44955.0</v>
      </c>
      <c r="B534" s="86">
        <v>247.9</v>
      </c>
      <c r="C534" s="85">
        <v>44888.0</v>
      </c>
      <c r="D534" s="86" t="s">
        <v>2975</v>
      </c>
      <c r="E534" s="89" t="s">
        <v>2976</v>
      </c>
      <c r="F534" s="89" t="s">
        <v>2977</v>
      </c>
      <c r="G534" s="89" t="s">
        <v>114</v>
      </c>
      <c r="H534" s="89" t="s">
        <v>94</v>
      </c>
      <c r="I534" s="89" t="s">
        <v>94</v>
      </c>
      <c r="J534" s="89" t="s">
        <v>95</v>
      </c>
      <c r="K534" s="89">
        <v>1.0</v>
      </c>
      <c r="L534" s="85"/>
      <c r="M534" s="85"/>
      <c r="N534" s="85"/>
      <c r="O534" s="85"/>
      <c r="P534" s="89">
        <v>1.0</v>
      </c>
      <c r="Q534" s="138"/>
      <c r="R534" s="138"/>
      <c r="S534" s="138"/>
      <c r="T534" s="138"/>
      <c r="U534" s="138"/>
      <c r="V534" s="138"/>
      <c r="W534" s="469"/>
      <c r="X534" s="469"/>
      <c r="Y534" s="469"/>
      <c r="Z534" s="469"/>
      <c r="AA534" s="469"/>
      <c r="AB534" s="469"/>
      <c r="AC534" s="469"/>
      <c r="AD534" s="469"/>
      <c r="AE534" s="469"/>
      <c r="AF534" s="469"/>
      <c r="AG534" s="469"/>
      <c r="AH534" s="469"/>
      <c r="AI534" s="469"/>
      <c r="AJ534" s="469"/>
      <c r="AK534" s="469"/>
      <c r="AL534" s="469"/>
      <c r="AM534" s="469"/>
      <c r="AN534" s="469"/>
      <c r="AO534" s="469"/>
    </row>
    <row r="535">
      <c r="A535" s="85">
        <v>44955.0</v>
      </c>
      <c r="B535" s="86">
        <v>341.4</v>
      </c>
      <c r="C535" s="85">
        <v>44889.0</v>
      </c>
      <c r="D535" s="89" t="s">
        <v>2980</v>
      </c>
      <c r="E535" s="89" t="s">
        <v>2981</v>
      </c>
      <c r="F535" s="89" t="s">
        <v>2982</v>
      </c>
      <c r="G535" s="89" t="s">
        <v>114</v>
      </c>
      <c r="H535" s="89" t="s">
        <v>94</v>
      </c>
      <c r="I535" s="89" t="s">
        <v>94</v>
      </c>
      <c r="J535" s="89" t="s">
        <v>95</v>
      </c>
      <c r="K535" s="89">
        <v>1.0</v>
      </c>
      <c r="L535" s="89"/>
      <c r="M535" s="89">
        <v>1.0</v>
      </c>
      <c r="N535" s="89"/>
      <c r="O535" s="85"/>
      <c r="P535" s="89">
        <v>1.0</v>
      </c>
      <c r="Q535" s="138"/>
      <c r="R535" s="138"/>
      <c r="S535" s="138"/>
      <c r="T535" s="137">
        <v>1.0</v>
      </c>
      <c r="U535" s="138"/>
      <c r="V535" s="138"/>
      <c r="W535" s="469"/>
      <c r="X535" s="469"/>
      <c r="Y535" s="469"/>
      <c r="Z535" s="469"/>
      <c r="AA535" s="469"/>
      <c r="AB535" s="469"/>
      <c r="AC535" s="469"/>
      <c r="AD535" s="469"/>
      <c r="AE535" s="469"/>
      <c r="AF535" s="469"/>
      <c r="AG535" s="469"/>
      <c r="AH535" s="469"/>
      <c r="AI535" s="469"/>
      <c r="AJ535" s="469"/>
      <c r="AK535" s="469"/>
      <c r="AL535" s="469"/>
      <c r="AM535" s="469"/>
      <c r="AN535" s="469"/>
      <c r="AO535" s="469"/>
    </row>
    <row r="536">
      <c r="A536" s="85">
        <v>44955.0</v>
      </c>
      <c r="B536" s="86">
        <v>251.05</v>
      </c>
      <c r="C536" s="85">
        <v>44891.0</v>
      </c>
      <c r="D536" s="89" t="s">
        <v>2985</v>
      </c>
      <c r="E536" s="89" t="s">
        <v>2986</v>
      </c>
      <c r="F536" s="89" t="s">
        <v>2987</v>
      </c>
      <c r="G536" s="89" t="s">
        <v>114</v>
      </c>
      <c r="H536" s="89" t="s">
        <v>94</v>
      </c>
      <c r="I536" s="89" t="s">
        <v>94</v>
      </c>
      <c r="J536" s="89" t="s">
        <v>95</v>
      </c>
      <c r="K536" s="89">
        <v>1.0</v>
      </c>
      <c r="L536" s="85"/>
      <c r="M536" s="85"/>
      <c r="N536" s="85"/>
      <c r="O536" s="85"/>
      <c r="P536" s="89">
        <v>1.0</v>
      </c>
      <c r="Q536" s="138"/>
      <c r="R536" s="138"/>
      <c r="S536" s="138"/>
      <c r="T536" s="138"/>
      <c r="U536" s="138"/>
      <c r="V536" s="138"/>
      <c r="W536" s="469"/>
      <c r="X536" s="469"/>
      <c r="Y536" s="469"/>
      <c r="Z536" s="469"/>
      <c r="AA536" s="469"/>
      <c r="AB536" s="469"/>
      <c r="AC536" s="469"/>
      <c r="AD536" s="469"/>
      <c r="AE536" s="469"/>
      <c r="AF536" s="469"/>
      <c r="AG536" s="469"/>
      <c r="AH536" s="469"/>
      <c r="AI536" s="469"/>
      <c r="AJ536" s="469"/>
      <c r="AK536" s="469"/>
      <c r="AL536" s="469"/>
      <c r="AM536" s="469"/>
      <c r="AN536" s="469"/>
      <c r="AO536" s="469"/>
    </row>
    <row r="537">
      <c r="A537" s="85">
        <v>44955.0</v>
      </c>
      <c r="B537" s="86">
        <v>275.0</v>
      </c>
      <c r="C537" s="85">
        <v>44477.0</v>
      </c>
      <c r="D537" s="89" t="s">
        <v>2990</v>
      </c>
      <c r="E537" s="89" t="s">
        <v>2991</v>
      </c>
      <c r="F537" s="89" t="s">
        <v>2992</v>
      </c>
      <c r="G537" s="89" t="s">
        <v>114</v>
      </c>
      <c r="H537" s="89" t="s">
        <v>94</v>
      </c>
      <c r="I537" s="89" t="s">
        <v>94</v>
      </c>
      <c r="J537" s="89" t="s">
        <v>95</v>
      </c>
      <c r="K537" s="89"/>
      <c r="L537" s="89">
        <v>1.0</v>
      </c>
      <c r="M537" s="85"/>
      <c r="N537" s="89"/>
      <c r="O537" s="85"/>
      <c r="P537" s="89"/>
      <c r="Q537" s="137"/>
      <c r="R537" s="138"/>
      <c r="S537" s="138"/>
      <c r="T537" s="138"/>
      <c r="U537" s="138"/>
      <c r="V537" s="138"/>
      <c r="W537" s="469"/>
      <c r="X537" s="469"/>
      <c r="Y537" s="469"/>
      <c r="Z537" s="469"/>
      <c r="AA537" s="469"/>
      <c r="AB537" s="469"/>
      <c r="AC537" s="469"/>
      <c r="AD537" s="469"/>
      <c r="AE537" s="469"/>
      <c r="AF537" s="469"/>
      <c r="AG537" s="469"/>
      <c r="AH537" s="469"/>
      <c r="AI537" s="469"/>
      <c r="AJ537" s="469"/>
      <c r="AK537" s="469"/>
      <c r="AL537" s="469"/>
      <c r="AM537" s="469"/>
      <c r="AN537" s="469"/>
      <c r="AO537" s="469"/>
    </row>
    <row r="538">
      <c r="A538" s="85">
        <v>44955.0</v>
      </c>
      <c r="B538" s="86">
        <v>260.28</v>
      </c>
      <c r="C538" s="85">
        <v>44855.0</v>
      </c>
      <c r="D538" s="89" t="s">
        <v>2995</v>
      </c>
      <c r="E538" s="89" t="s">
        <v>2991</v>
      </c>
      <c r="F538" s="89" t="s">
        <v>2992</v>
      </c>
      <c r="G538" s="89" t="s">
        <v>114</v>
      </c>
      <c r="H538" s="89" t="s">
        <v>94</v>
      </c>
      <c r="I538" s="89" t="s">
        <v>94</v>
      </c>
      <c r="J538" s="89" t="s">
        <v>95</v>
      </c>
      <c r="K538" s="89">
        <v>1.0</v>
      </c>
      <c r="L538" s="89"/>
      <c r="M538" s="85"/>
      <c r="N538" s="89"/>
      <c r="O538" s="85"/>
      <c r="P538" s="89">
        <v>1.0</v>
      </c>
      <c r="Q538" s="137">
        <v>1.0</v>
      </c>
      <c r="R538" s="138"/>
      <c r="S538" s="138"/>
      <c r="T538" s="138"/>
      <c r="U538" s="138"/>
      <c r="V538" s="138"/>
      <c r="W538" s="469"/>
      <c r="X538" s="469"/>
      <c r="Y538" s="469"/>
      <c r="Z538" s="469"/>
      <c r="AA538" s="469"/>
      <c r="AB538" s="469"/>
      <c r="AC538" s="469"/>
      <c r="AD538" s="469"/>
      <c r="AE538" s="469"/>
      <c r="AF538" s="469"/>
      <c r="AG538" s="469"/>
      <c r="AH538" s="469"/>
      <c r="AI538" s="469"/>
      <c r="AJ538" s="469"/>
      <c r="AK538" s="469"/>
      <c r="AL538" s="469"/>
      <c r="AM538" s="469"/>
      <c r="AN538" s="469"/>
      <c r="AO538" s="469"/>
    </row>
    <row r="539">
      <c r="A539" s="85">
        <v>44955.0</v>
      </c>
      <c r="B539" s="86">
        <v>369.17</v>
      </c>
      <c r="C539" s="85">
        <v>44870.0</v>
      </c>
      <c r="D539" s="86" t="s">
        <v>2997</v>
      </c>
      <c r="E539" s="89" t="s">
        <v>2998</v>
      </c>
      <c r="F539" s="89" t="s">
        <v>2999</v>
      </c>
      <c r="G539" s="89" t="s">
        <v>114</v>
      </c>
      <c r="H539" s="89" t="s">
        <v>94</v>
      </c>
      <c r="I539" s="89" t="s">
        <v>94</v>
      </c>
      <c r="J539" s="89" t="s">
        <v>95</v>
      </c>
      <c r="K539" s="89">
        <v>1.0</v>
      </c>
      <c r="L539" s="85"/>
      <c r="M539" s="89">
        <v>1.0</v>
      </c>
      <c r="N539" s="89">
        <v>1.0</v>
      </c>
      <c r="O539" s="85"/>
      <c r="P539" s="89">
        <v>1.0</v>
      </c>
      <c r="Q539" s="137">
        <v>1.0</v>
      </c>
      <c r="R539" s="138"/>
      <c r="S539" s="138"/>
      <c r="T539" s="138"/>
      <c r="U539" s="138"/>
      <c r="V539" s="138"/>
      <c r="W539" s="469"/>
      <c r="X539" s="469"/>
      <c r="Y539" s="469"/>
      <c r="Z539" s="469"/>
      <c r="AA539" s="469"/>
      <c r="AB539" s="469"/>
      <c r="AC539" s="469"/>
      <c r="AD539" s="469"/>
      <c r="AE539" s="469"/>
      <c r="AF539" s="469"/>
      <c r="AG539" s="469"/>
      <c r="AH539" s="469"/>
      <c r="AI539" s="469"/>
      <c r="AJ539" s="469"/>
      <c r="AK539" s="469"/>
      <c r="AL539" s="469"/>
      <c r="AM539" s="469"/>
      <c r="AN539" s="469"/>
      <c r="AO539" s="469"/>
    </row>
    <row r="540">
      <c r="A540" s="85">
        <v>44955.0</v>
      </c>
      <c r="B540" s="86">
        <v>241.6</v>
      </c>
      <c r="C540" s="85">
        <v>44871.0</v>
      </c>
      <c r="D540" s="370" t="s">
        <v>3000</v>
      </c>
      <c r="E540" s="89" t="s">
        <v>3001</v>
      </c>
      <c r="F540" s="89" t="s">
        <v>3002</v>
      </c>
      <c r="G540" s="89" t="s">
        <v>114</v>
      </c>
      <c r="H540" s="89" t="s">
        <v>94</v>
      </c>
      <c r="I540" s="89" t="s">
        <v>94</v>
      </c>
      <c r="J540" s="89" t="s">
        <v>95</v>
      </c>
      <c r="K540" s="89">
        <v>1.0</v>
      </c>
      <c r="L540" s="85"/>
      <c r="M540" s="85"/>
      <c r="N540" s="85"/>
      <c r="O540" s="85"/>
      <c r="P540" s="89">
        <v>1.0</v>
      </c>
      <c r="Q540" s="137"/>
      <c r="R540" s="138"/>
      <c r="S540" s="138"/>
      <c r="T540" s="138"/>
      <c r="U540" s="138"/>
      <c r="V540" s="138"/>
      <c r="W540" s="469"/>
      <c r="X540" s="469"/>
      <c r="Y540" s="469"/>
      <c r="Z540" s="469"/>
      <c r="AA540" s="469"/>
      <c r="AB540" s="469"/>
      <c r="AC540" s="469"/>
      <c r="AD540" s="469"/>
      <c r="AE540" s="469"/>
      <c r="AF540" s="469"/>
      <c r="AG540" s="469"/>
      <c r="AH540" s="469"/>
      <c r="AI540" s="469"/>
      <c r="AJ540" s="469"/>
      <c r="AK540" s="469"/>
      <c r="AL540" s="469"/>
      <c r="AM540" s="469"/>
      <c r="AN540" s="469"/>
      <c r="AO540" s="469"/>
    </row>
    <row r="541">
      <c r="A541" s="85">
        <v>44955.0</v>
      </c>
      <c r="B541" s="86">
        <v>212.18</v>
      </c>
      <c r="C541" s="85">
        <v>44893.0</v>
      </c>
      <c r="D541" s="89" t="s">
        <v>3003</v>
      </c>
      <c r="E541" s="89" t="s">
        <v>3004</v>
      </c>
      <c r="F541" s="89" t="s">
        <v>3005</v>
      </c>
      <c r="G541" s="89" t="s">
        <v>114</v>
      </c>
      <c r="H541" s="89" t="s">
        <v>94</v>
      </c>
      <c r="I541" s="89" t="s">
        <v>94</v>
      </c>
      <c r="J541" s="89" t="s">
        <v>95</v>
      </c>
      <c r="K541" s="89">
        <v>1.0</v>
      </c>
      <c r="L541" s="85"/>
      <c r="M541" s="85"/>
      <c r="N541" s="85"/>
      <c r="O541" s="85"/>
      <c r="P541" s="89">
        <v>1.0</v>
      </c>
      <c r="Q541" s="138"/>
      <c r="R541" s="138"/>
      <c r="S541" s="138"/>
      <c r="T541" s="138"/>
      <c r="U541" s="138"/>
      <c r="V541" s="138"/>
      <c r="W541" s="469"/>
      <c r="X541" s="469"/>
      <c r="Y541" s="469"/>
      <c r="Z541" s="469"/>
      <c r="AA541" s="469"/>
      <c r="AB541" s="469"/>
      <c r="AC541" s="469"/>
      <c r="AD541" s="469"/>
      <c r="AE541" s="469"/>
      <c r="AF541" s="469"/>
      <c r="AG541" s="469"/>
      <c r="AH541" s="469"/>
      <c r="AI541" s="469"/>
      <c r="AJ541" s="469"/>
      <c r="AK541" s="469"/>
      <c r="AL541" s="469"/>
      <c r="AM541" s="469"/>
      <c r="AN541" s="469"/>
      <c r="AO541" s="469"/>
    </row>
    <row r="542">
      <c r="A542" s="85">
        <v>44955.0</v>
      </c>
      <c r="B542" s="86">
        <v>241.44</v>
      </c>
      <c r="C542" s="85">
        <v>44892.0</v>
      </c>
      <c r="D542" s="89" t="s">
        <v>3006</v>
      </c>
      <c r="E542" s="89" t="s">
        <v>3007</v>
      </c>
      <c r="F542" s="89" t="s">
        <v>3008</v>
      </c>
      <c r="G542" s="89" t="s">
        <v>114</v>
      </c>
      <c r="H542" s="89" t="s">
        <v>94</v>
      </c>
      <c r="I542" s="89" t="s">
        <v>94</v>
      </c>
      <c r="J542" s="89" t="s">
        <v>95</v>
      </c>
      <c r="K542" s="89">
        <v>1.0</v>
      </c>
      <c r="L542" s="85"/>
      <c r="M542" s="85"/>
      <c r="N542" s="85"/>
      <c r="O542" s="85"/>
      <c r="P542" s="89">
        <v>1.0</v>
      </c>
      <c r="Q542" s="138"/>
      <c r="R542" s="138"/>
      <c r="S542" s="138"/>
      <c r="T542" s="138"/>
      <c r="U542" s="138"/>
      <c r="V542" s="138"/>
      <c r="W542" s="469"/>
      <c r="X542" s="469"/>
      <c r="Y542" s="469"/>
      <c r="Z542" s="469"/>
      <c r="AA542" s="469"/>
      <c r="AB542" s="469"/>
      <c r="AC542" s="469"/>
      <c r="AD542" s="469"/>
      <c r="AE542" s="469"/>
      <c r="AF542" s="469"/>
      <c r="AG542" s="469"/>
      <c r="AH542" s="469"/>
      <c r="AI542" s="469"/>
      <c r="AJ542" s="469"/>
      <c r="AK542" s="469"/>
      <c r="AL542" s="469"/>
      <c r="AM542" s="469"/>
      <c r="AN542" s="469"/>
      <c r="AO542" s="469"/>
    </row>
    <row r="543">
      <c r="A543" s="85">
        <v>44955.0</v>
      </c>
      <c r="B543" s="86">
        <v>206.0</v>
      </c>
      <c r="C543" s="85">
        <v>44708.0</v>
      </c>
      <c r="D543" s="89" t="s">
        <v>3009</v>
      </c>
      <c r="E543" s="89" t="s">
        <v>3010</v>
      </c>
      <c r="F543" s="89" t="s">
        <v>3011</v>
      </c>
      <c r="G543" s="89" t="s">
        <v>114</v>
      </c>
      <c r="H543" s="89" t="s">
        <v>94</v>
      </c>
      <c r="I543" s="89" t="s">
        <v>125</v>
      </c>
      <c r="J543" s="89" t="s">
        <v>95</v>
      </c>
      <c r="K543" s="89">
        <v>1.0</v>
      </c>
      <c r="L543" s="89"/>
      <c r="M543" s="85"/>
      <c r="N543" s="89"/>
      <c r="O543" s="85"/>
      <c r="P543" s="89"/>
      <c r="Q543" s="137"/>
      <c r="R543" s="138"/>
      <c r="S543" s="138"/>
      <c r="T543" s="138"/>
      <c r="U543" s="138"/>
      <c r="V543" s="138"/>
      <c r="W543" s="469"/>
      <c r="X543" s="469"/>
      <c r="Y543" s="469"/>
      <c r="Z543" s="469"/>
      <c r="AA543" s="469"/>
      <c r="AB543" s="469"/>
      <c r="AC543" s="469"/>
      <c r="AD543" s="469"/>
      <c r="AE543" s="469"/>
      <c r="AF543" s="469"/>
      <c r="AG543" s="469"/>
      <c r="AH543" s="469"/>
      <c r="AI543" s="469"/>
      <c r="AJ543" s="469"/>
      <c r="AK543" s="469"/>
      <c r="AL543" s="469"/>
      <c r="AM543" s="469"/>
      <c r="AN543" s="469"/>
      <c r="AO543" s="469"/>
    </row>
    <row r="544">
      <c r="A544" s="85">
        <v>44955.0</v>
      </c>
      <c r="B544" s="86">
        <v>240.94</v>
      </c>
      <c r="C544" s="85">
        <v>44885.0</v>
      </c>
      <c r="D544" s="89" t="s">
        <v>3012</v>
      </c>
      <c r="E544" s="89" t="s">
        <v>3013</v>
      </c>
      <c r="F544" s="89" t="s">
        <v>3014</v>
      </c>
      <c r="G544" s="89" t="s">
        <v>114</v>
      </c>
      <c r="H544" s="89" t="s">
        <v>94</v>
      </c>
      <c r="I544" s="89" t="s">
        <v>94</v>
      </c>
      <c r="J544" s="89" t="s">
        <v>95</v>
      </c>
      <c r="K544" s="89">
        <v>1.0</v>
      </c>
      <c r="L544" s="89"/>
      <c r="M544" s="85"/>
      <c r="N544" s="89"/>
      <c r="O544" s="85"/>
      <c r="P544" s="89">
        <v>1.0</v>
      </c>
      <c r="Q544" s="138"/>
      <c r="R544" s="138"/>
      <c r="S544" s="138"/>
      <c r="T544" s="138"/>
      <c r="U544" s="138"/>
      <c r="V544" s="138"/>
      <c r="W544" s="469"/>
      <c r="X544" s="469"/>
      <c r="Y544" s="469"/>
      <c r="Z544" s="469"/>
      <c r="AA544" s="469"/>
      <c r="AB544" s="469"/>
      <c r="AC544" s="469"/>
      <c r="AD544" s="469"/>
      <c r="AE544" s="469"/>
      <c r="AF544" s="469"/>
      <c r="AG544" s="469"/>
      <c r="AH544" s="469"/>
      <c r="AI544" s="469"/>
      <c r="AJ544" s="469"/>
      <c r="AK544" s="469"/>
      <c r="AL544" s="469"/>
      <c r="AM544" s="469"/>
      <c r="AN544" s="469"/>
      <c r="AO544" s="469"/>
    </row>
    <row r="545">
      <c r="A545" s="85">
        <v>44955.0</v>
      </c>
      <c r="B545" s="86">
        <v>240.35</v>
      </c>
      <c r="C545" s="85">
        <v>44859.0</v>
      </c>
      <c r="D545" s="89" t="s">
        <v>3015</v>
      </c>
      <c r="E545" s="89" t="s">
        <v>3016</v>
      </c>
      <c r="F545" s="89" t="s">
        <v>3017</v>
      </c>
      <c r="G545" s="89" t="s">
        <v>114</v>
      </c>
      <c r="H545" s="89" t="s">
        <v>94</v>
      </c>
      <c r="I545" s="89" t="s">
        <v>94</v>
      </c>
      <c r="J545" s="89" t="s">
        <v>95</v>
      </c>
      <c r="K545" s="89">
        <v>1.0</v>
      </c>
      <c r="L545" s="85"/>
      <c r="M545" s="89"/>
      <c r="N545" s="89"/>
      <c r="O545" s="85"/>
      <c r="P545" s="89">
        <v>1.0</v>
      </c>
      <c r="Q545" s="137"/>
      <c r="R545" s="138"/>
      <c r="S545" s="138"/>
      <c r="T545" s="138"/>
      <c r="U545" s="138"/>
      <c r="V545" s="138"/>
      <c r="W545" s="469"/>
      <c r="X545" s="469"/>
      <c r="Y545" s="469"/>
      <c r="Z545" s="469"/>
      <c r="AA545" s="469"/>
      <c r="AB545" s="469"/>
      <c r="AC545" s="469"/>
      <c r="AD545" s="469"/>
      <c r="AE545" s="469"/>
      <c r="AF545" s="469"/>
      <c r="AG545" s="469"/>
      <c r="AH545" s="469"/>
      <c r="AI545" s="469"/>
      <c r="AJ545" s="469"/>
      <c r="AK545" s="469"/>
      <c r="AL545" s="469"/>
      <c r="AM545" s="469"/>
      <c r="AN545" s="469"/>
      <c r="AO545" s="469"/>
    </row>
    <row r="546">
      <c r="A546" s="85">
        <v>44955.0</v>
      </c>
      <c r="B546" s="86">
        <v>243.89</v>
      </c>
      <c r="C546" s="85">
        <v>44876.0</v>
      </c>
      <c r="D546" s="89" t="s">
        <v>3018</v>
      </c>
      <c r="E546" s="89" t="s">
        <v>3019</v>
      </c>
      <c r="F546" s="89" t="s">
        <v>3020</v>
      </c>
      <c r="G546" s="89" t="s">
        <v>114</v>
      </c>
      <c r="H546" s="89" t="s">
        <v>94</v>
      </c>
      <c r="I546" s="89" t="s">
        <v>94</v>
      </c>
      <c r="J546" s="89" t="s">
        <v>95</v>
      </c>
      <c r="K546" s="89">
        <v>1.0</v>
      </c>
      <c r="L546" s="85"/>
      <c r="M546" s="85"/>
      <c r="N546" s="85"/>
      <c r="O546" s="85"/>
      <c r="P546" s="89">
        <v>1.0</v>
      </c>
      <c r="Q546" s="138"/>
      <c r="R546" s="138"/>
      <c r="S546" s="138"/>
      <c r="T546" s="138"/>
      <c r="U546" s="138"/>
      <c r="V546" s="138"/>
      <c r="W546" s="469"/>
      <c r="X546" s="469"/>
      <c r="Y546" s="469"/>
      <c r="Z546" s="469"/>
      <c r="AA546" s="469"/>
      <c r="AB546" s="469"/>
      <c r="AC546" s="469"/>
      <c r="AD546" s="469"/>
      <c r="AE546" s="469"/>
      <c r="AF546" s="469"/>
      <c r="AG546" s="469"/>
      <c r="AH546" s="469"/>
      <c r="AI546" s="469"/>
      <c r="AJ546" s="469"/>
      <c r="AK546" s="469"/>
      <c r="AL546" s="469"/>
      <c r="AM546" s="469"/>
      <c r="AN546" s="469"/>
      <c r="AO546" s="469"/>
    </row>
    <row r="547">
      <c r="A547" s="85">
        <v>44955.0</v>
      </c>
      <c r="B547" s="86">
        <v>293.18</v>
      </c>
      <c r="C547" s="85">
        <v>44892.0</v>
      </c>
      <c r="D547" s="89" t="s">
        <v>3021</v>
      </c>
      <c r="E547" s="89" t="s">
        <v>3022</v>
      </c>
      <c r="F547" s="89" t="s">
        <v>3023</v>
      </c>
      <c r="G547" s="89" t="s">
        <v>114</v>
      </c>
      <c r="H547" s="89" t="s">
        <v>94</v>
      </c>
      <c r="I547" s="89" t="s">
        <v>94</v>
      </c>
      <c r="J547" s="89" t="s">
        <v>95</v>
      </c>
      <c r="K547" s="89">
        <v>1.0</v>
      </c>
      <c r="L547" s="85"/>
      <c r="M547" s="89">
        <v>1.0</v>
      </c>
      <c r="N547" s="89">
        <v>1.0</v>
      </c>
      <c r="O547" s="85"/>
      <c r="P547" s="89">
        <v>1.0</v>
      </c>
      <c r="Q547" s="137"/>
      <c r="R547" s="138"/>
      <c r="S547" s="138"/>
      <c r="T547" s="138"/>
      <c r="U547" s="138"/>
      <c r="V547" s="138"/>
      <c r="W547" s="469"/>
      <c r="X547" s="469"/>
      <c r="Y547" s="469"/>
      <c r="Z547" s="469"/>
      <c r="AA547" s="469"/>
      <c r="AB547" s="469"/>
      <c r="AC547" s="469"/>
      <c r="AD547" s="469"/>
      <c r="AE547" s="469"/>
      <c r="AF547" s="469"/>
      <c r="AG547" s="469"/>
      <c r="AH547" s="469"/>
      <c r="AI547" s="469"/>
      <c r="AJ547" s="469"/>
      <c r="AK547" s="469"/>
      <c r="AL547" s="469"/>
      <c r="AM547" s="469"/>
      <c r="AN547" s="469"/>
      <c r="AO547" s="469"/>
    </row>
    <row r="548">
      <c r="A548" s="85">
        <v>44955.0</v>
      </c>
      <c r="B548" s="86">
        <v>289.0</v>
      </c>
      <c r="C548" s="85">
        <v>44865.0</v>
      </c>
      <c r="D548" s="89" t="s">
        <v>3024</v>
      </c>
      <c r="E548" s="89" t="s">
        <v>3025</v>
      </c>
      <c r="F548" s="89" t="s">
        <v>3026</v>
      </c>
      <c r="G548" s="89" t="s">
        <v>114</v>
      </c>
      <c r="H548" s="89" t="s">
        <v>94</v>
      </c>
      <c r="I548" s="89" t="s">
        <v>94</v>
      </c>
      <c r="J548" s="89" t="s">
        <v>95</v>
      </c>
      <c r="K548" s="89">
        <v>1.0</v>
      </c>
      <c r="L548" s="85"/>
      <c r="M548" s="89">
        <v>1.0</v>
      </c>
      <c r="N548" s="85"/>
      <c r="O548" s="85"/>
      <c r="P548" s="89">
        <v>1.0</v>
      </c>
      <c r="Q548" s="138"/>
      <c r="R548" s="138"/>
      <c r="S548" s="138"/>
      <c r="T548" s="138"/>
      <c r="U548" s="138"/>
      <c r="V548" s="138"/>
      <c r="W548" s="469"/>
      <c r="X548" s="469"/>
      <c r="Y548" s="469"/>
      <c r="Z548" s="469"/>
      <c r="AA548" s="469"/>
      <c r="AB548" s="469"/>
      <c r="AC548" s="469"/>
      <c r="AD548" s="469"/>
      <c r="AE548" s="469"/>
      <c r="AF548" s="469"/>
      <c r="AG548" s="469"/>
      <c r="AH548" s="469"/>
      <c r="AI548" s="469"/>
      <c r="AJ548" s="469"/>
      <c r="AK548" s="469"/>
      <c r="AL548" s="469"/>
      <c r="AM548" s="469"/>
      <c r="AN548" s="469"/>
      <c r="AO548" s="469"/>
    </row>
    <row r="549">
      <c r="A549" s="85">
        <v>44955.0</v>
      </c>
      <c r="B549" s="86">
        <v>26.18</v>
      </c>
      <c r="C549" s="85">
        <v>44868.0</v>
      </c>
      <c r="D549" s="89" t="s">
        <v>3027</v>
      </c>
      <c r="E549" s="89" t="s">
        <v>3028</v>
      </c>
      <c r="F549" s="89" t="s">
        <v>3029</v>
      </c>
      <c r="G549" s="89" t="s">
        <v>114</v>
      </c>
      <c r="H549" s="89" t="s">
        <v>94</v>
      </c>
      <c r="I549" s="89" t="s">
        <v>94</v>
      </c>
      <c r="J549" s="89" t="s">
        <v>95</v>
      </c>
      <c r="K549" s="85"/>
      <c r="L549" s="89"/>
      <c r="M549" s="85"/>
      <c r="N549" s="89">
        <v>1.0</v>
      </c>
      <c r="O549" s="85"/>
      <c r="P549" s="89"/>
      <c r="Q549" s="138"/>
      <c r="R549" s="138"/>
      <c r="S549" s="138"/>
      <c r="T549" s="138"/>
      <c r="U549" s="138"/>
      <c r="V549" s="138"/>
      <c r="W549" s="469"/>
      <c r="X549" s="469"/>
      <c r="Y549" s="469"/>
      <c r="Z549" s="469"/>
      <c r="AA549" s="469"/>
      <c r="AB549" s="469"/>
      <c r="AC549" s="469"/>
      <c r="AD549" s="469"/>
      <c r="AE549" s="469"/>
      <c r="AF549" s="469"/>
      <c r="AG549" s="469"/>
      <c r="AH549" s="469"/>
      <c r="AI549" s="469"/>
      <c r="AJ549" s="469"/>
      <c r="AK549" s="469"/>
      <c r="AL549" s="469"/>
      <c r="AM549" s="469"/>
      <c r="AN549" s="469"/>
      <c r="AO549" s="469"/>
    </row>
    <row r="550">
      <c r="A550" s="85">
        <v>44955.0</v>
      </c>
      <c r="B550" s="86">
        <v>206.0</v>
      </c>
      <c r="C550" s="85">
        <v>44435.0</v>
      </c>
      <c r="D550" s="89" t="s">
        <v>3030</v>
      </c>
      <c r="E550" s="89" t="s">
        <v>3031</v>
      </c>
      <c r="F550" s="89" t="s">
        <v>3032</v>
      </c>
      <c r="G550" s="89" t="s">
        <v>114</v>
      </c>
      <c r="H550" s="89" t="s">
        <v>94</v>
      </c>
      <c r="I550" s="89" t="s">
        <v>135</v>
      </c>
      <c r="J550" s="89" t="s">
        <v>95</v>
      </c>
      <c r="K550" s="89">
        <v>1.0</v>
      </c>
      <c r="L550" s="85"/>
      <c r="M550" s="89"/>
      <c r="N550" s="85"/>
      <c r="O550" s="85"/>
      <c r="P550" s="89"/>
      <c r="Q550" s="138"/>
      <c r="R550" s="138"/>
      <c r="S550" s="138"/>
      <c r="T550" s="138"/>
      <c r="U550" s="138"/>
      <c r="V550" s="138"/>
      <c r="W550" s="469"/>
      <c r="X550" s="469"/>
      <c r="Y550" s="469"/>
      <c r="Z550" s="469"/>
      <c r="AA550" s="469"/>
      <c r="AB550" s="469"/>
      <c r="AC550" s="469"/>
      <c r="AD550" s="469"/>
      <c r="AE550" s="469"/>
      <c r="AF550" s="469"/>
      <c r="AG550" s="469"/>
      <c r="AH550" s="469"/>
      <c r="AI550" s="469"/>
      <c r="AJ550" s="469"/>
      <c r="AK550" s="469"/>
      <c r="AL550" s="469"/>
      <c r="AM550" s="469"/>
      <c r="AN550" s="469"/>
      <c r="AO550" s="469"/>
    </row>
    <row r="551">
      <c r="A551" s="85">
        <v>44955.0</v>
      </c>
      <c r="B551" s="86">
        <v>335.46</v>
      </c>
      <c r="C551" s="85">
        <v>44893.0</v>
      </c>
      <c r="D551" s="89" t="s">
        <v>3038</v>
      </c>
      <c r="E551" s="89" t="s">
        <v>3039</v>
      </c>
      <c r="F551" s="89" t="s">
        <v>3040</v>
      </c>
      <c r="G551" s="89" t="s">
        <v>114</v>
      </c>
      <c r="H551" s="89" t="s">
        <v>94</v>
      </c>
      <c r="I551" s="89" t="s">
        <v>94</v>
      </c>
      <c r="J551" s="89" t="s">
        <v>95</v>
      </c>
      <c r="K551" s="89">
        <v>1.0</v>
      </c>
      <c r="L551" s="85"/>
      <c r="M551" s="89">
        <v>1.0</v>
      </c>
      <c r="N551" s="89">
        <v>1.0</v>
      </c>
      <c r="O551" s="85"/>
      <c r="P551" s="89">
        <v>1.0</v>
      </c>
      <c r="Q551" s="137">
        <v>1.0</v>
      </c>
      <c r="R551" s="138"/>
      <c r="S551" s="138"/>
      <c r="T551" s="138"/>
      <c r="U551" s="138"/>
      <c r="V551" s="138"/>
      <c r="W551" s="469"/>
      <c r="X551" s="469"/>
      <c r="Y551" s="469"/>
      <c r="Z551" s="469"/>
      <c r="AA551" s="469"/>
      <c r="AB551" s="469"/>
      <c r="AC551" s="469"/>
      <c r="AD551" s="469"/>
      <c r="AE551" s="469"/>
      <c r="AF551" s="469"/>
      <c r="AG551" s="469"/>
      <c r="AH551" s="469"/>
      <c r="AI551" s="469"/>
      <c r="AJ551" s="469"/>
      <c r="AK551" s="469"/>
      <c r="AL551" s="469"/>
      <c r="AM551" s="469"/>
      <c r="AN551" s="469"/>
      <c r="AO551" s="469"/>
    </row>
    <row r="552">
      <c r="A552" s="85">
        <v>44955.0</v>
      </c>
      <c r="B552" s="86">
        <v>321.43</v>
      </c>
      <c r="C552" s="85">
        <v>44890.0</v>
      </c>
      <c r="D552" s="89" t="s">
        <v>3046</v>
      </c>
      <c r="E552" s="89" t="s">
        <v>3047</v>
      </c>
      <c r="F552" s="89" t="s">
        <v>3048</v>
      </c>
      <c r="G552" s="89" t="s">
        <v>114</v>
      </c>
      <c r="H552" s="89" t="s">
        <v>94</v>
      </c>
      <c r="I552" s="89" t="s">
        <v>94</v>
      </c>
      <c r="J552" s="89" t="s">
        <v>95</v>
      </c>
      <c r="K552" s="89">
        <v>1.0</v>
      </c>
      <c r="L552" s="85"/>
      <c r="M552" s="89">
        <v>1.0</v>
      </c>
      <c r="N552" s="85"/>
      <c r="O552" s="85"/>
      <c r="P552" s="89">
        <v>1.0</v>
      </c>
      <c r="Q552" s="138"/>
      <c r="R552" s="138"/>
      <c r="S552" s="138"/>
      <c r="T552" s="138"/>
      <c r="U552" s="138"/>
      <c r="V552" s="138"/>
      <c r="W552" s="469"/>
      <c r="X552" s="469"/>
      <c r="Y552" s="469"/>
      <c r="Z552" s="469"/>
      <c r="AA552" s="469"/>
      <c r="AB552" s="469"/>
      <c r="AC552" s="469"/>
      <c r="AD552" s="469"/>
      <c r="AE552" s="469"/>
      <c r="AF552" s="469"/>
      <c r="AG552" s="469"/>
      <c r="AH552" s="469"/>
      <c r="AI552" s="469"/>
      <c r="AJ552" s="469"/>
      <c r="AK552" s="469"/>
      <c r="AL552" s="469"/>
      <c r="AM552" s="469"/>
      <c r="AN552" s="469"/>
      <c r="AO552" s="469"/>
    </row>
    <row r="553">
      <c r="A553" s="85">
        <v>44955.0</v>
      </c>
      <c r="B553" s="86">
        <v>212.44</v>
      </c>
      <c r="C553" s="85">
        <v>44669.0</v>
      </c>
      <c r="D553" s="89" t="s">
        <v>3055</v>
      </c>
      <c r="E553" s="89" t="s">
        <v>3056</v>
      </c>
      <c r="F553" s="89" t="s">
        <v>3057</v>
      </c>
      <c r="G553" s="89" t="s">
        <v>114</v>
      </c>
      <c r="H553" s="89" t="s">
        <v>94</v>
      </c>
      <c r="I553" s="89" t="s">
        <v>94</v>
      </c>
      <c r="J553" s="89" t="s">
        <v>95</v>
      </c>
      <c r="K553" s="89">
        <v>1.0</v>
      </c>
      <c r="L553" s="85"/>
      <c r="M553" s="89"/>
      <c r="N553" s="89"/>
      <c r="O553" s="85"/>
      <c r="P553" s="89"/>
      <c r="Q553" s="137"/>
      <c r="R553" s="138"/>
      <c r="S553" s="138"/>
      <c r="T553" s="138"/>
      <c r="U553" s="138"/>
      <c r="V553" s="138"/>
      <c r="W553" s="469"/>
      <c r="X553" s="469"/>
      <c r="Y553" s="469"/>
      <c r="Z553" s="469"/>
      <c r="AA553" s="469"/>
      <c r="AB553" s="469"/>
      <c r="AC553" s="469"/>
      <c r="AD553" s="469"/>
      <c r="AE553" s="469"/>
      <c r="AF553" s="469"/>
      <c r="AG553" s="469"/>
      <c r="AH553" s="469"/>
      <c r="AI553" s="469"/>
      <c r="AJ553" s="469"/>
      <c r="AK553" s="469"/>
      <c r="AL553" s="469"/>
      <c r="AM553" s="469"/>
      <c r="AN553" s="469"/>
      <c r="AO553" s="469"/>
    </row>
    <row r="554">
      <c r="A554" s="85">
        <v>44955.0</v>
      </c>
      <c r="B554" s="606">
        <v>99.14</v>
      </c>
      <c r="C554" s="85">
        <v>44891.0</v>
      </c>
      <c r="D554" s="89" t="s">
        <v>3064</v>
      </c>
      <c r="E554" s="89" t="s">
        <v>3066</v>
      </c>
      <c r="F554" s="89" t="s">
        <v>3068</v>
      </c>
      <c r="G554" s="89" t="s">
        <v>114</v>
      </c>
      <c r="H554" s="89" t="s">
        <v>94</v>
      </c>
      <c r="I554" s="89" t="s">
        <v>94</v>
      </c>
      <c r="J554" s="89" t="s">
        <v>95</v>
      </c>
      <c r="K554" s="89"/>
      <c r="L554" s="85"/>
      <c r="M554" s="89">
        <v>1.0</v>
      </c>
      <c r="N554" s="89"/>
      <c r="O554" s="85"/>
      <c r="P554" s="89"/>
      <c r="Q554" s="137">
        <v>1.0</v>
      </c>
      <c r="R554" s="138"/>
      <c r="S554" s="138"/>
      <c r="T554" s="138"/>
      <c r="U554" s="138"/>
      <c r="V554" s="138"/>
      <c r="W554" s="469"/>
      <c r="X554" s="469"/>
      <c r="Y554" s="469"/>
      <c r="Z554" s="469"/>
      <c r="AA554" s="469"/>
      <c r="AB554" s="469"/>
      <c r="AC554" s="469"/>
      <c r="AD554" s="469"/>
      <c r="AE554" s="469"/>
      <c r="AF554" s="469"/>
      <c r="AG554" s="469"/>
      <c r="AH554" s="469"/>
      <c r="AI554" s="469"/>
      <c r="AJ554" s="469"/>
      <c r="AK554" s="469"/>
      <c r="AL554" s="469"/>
      <c r="AM554" s="469"/>
      <c r="AN554" s="469"/>
      <c r="AO554" s="469"/>
    </row>
    <row r="555">
      <c r="A555" s="85">
        <v>44955.0</v>
      </c>
      <c r="B555" s="86">
        <v>244.43</v>
      </c>
      <c r="C555" s="85">
        <v>44886.0</v>
      </c>
      <c r="D555" s="89" t="s">
        <v>3074</v>
      </c>
      <c r="E555" s="89" t="s">
        <v>3066</v>
      </c>
      <c r="F555" s="89" t="s">
        <v>3068</v>
      </c>
      <c r="G555" s="89" t="s">
        <v>114</v>
      </c>
      <c r="H555" s="89" t="s">
        <v>94</v>
      </c>
      <c r="I555" s="89" t="s">
        <v>94</v>
      </c>
      <c r="J555" s="89" t="s">
        <v>95</v>
      </c>
      <c r="K555" s="89">
        <v>1.0</v>
      </c>
      <c r="L555" s="85"/>
      <c r="M555" s="85"/>
      <c r="N555" s="89"/>
      <c r="O555" s="85"/>
      <c r="P555" s="89">
        <v>1.0</v>
      </c>
      <c r="Q555" s="138"/>
      <c r="R555" s="138"/>
      <c r="S555" s="138"/>
      <c r="T555" s="138"/>
      <c r="U555" s="138"/>
      <c r="V555" s="138"/>
      <c r="W555" s="469"/>
      <c r="X555" s="469"/>
      <c r="Y555" s="469"/>
      <c r="Z555" s="469"/>
      <c r="AA555" s="469"/>
      <c r="AB555" s="469"/>
      <c r="AC555" s="469"/>
      <c r="AD555" s="469"/>
      <c r="AE555" s="469"/>
      <c r="AF555" s="469"/>
      <c r="AG555" s="469"/>
      <c r="AH555" s="469"/>
      <c r="AI555" s="469"/>
      <c r="AJ555" s="469"/>
      <c r="AK555" s="469"/>
      <c r="AL555" s="469"/>
      <c r="AM555" s="469"/>
      <c r="AN555" s="469"/>
      <c r="AO555" s="469"/>
    </row>
    <row r="556">
      <c r="A556" s="85">
        <v>44955.0</v>
      </c>
      <c r="B556" s="293">
        <v>369.15</v>
      </c>
      <c r="C556" s="85">
        <v>44887.0</v>
      </c>
      <c r="D556" s="89" t="s">
        <v>3087</v>
      </c>
      <c r="E556" s="89" t="s">
        <v>3089</v>
      </c>
      <c r="F556" s="89" t="s">
        <v>3090</v>
      </c>
      <c r="G556" s="89" t="s">
        <v>114</v>
      </c>
      <c r="H556" s="89" t="s">
        <v>94</v>
      </c>
      <c r="I556" s="89" t="s">
        <v>94</v>
      </c>
      <c r="J556" s="89" t="s">
        <v>95</v>
      </c>
      <c r="K556" s="89">
        <v>1.0</v>
      </c>
      <c r="L556" s="85"/>
      <c r="M556" s="89">
        <v>1.0</v>
      </c>
      <c r="N556" s="89">
        <v>1.0</v>
      </c>
      <c r="O556" s="85"/>
      <c r="P556" s="89">
        <v>1.0</v>
      </c>
      <c r="Q556" s="137">
        <v>1.0</v>
      </c>
      <c r="R556" s="138"/>
      <c r="S556" s="138"/>
      <c r="T556" s="138"/>
      <c r="U556" s="138"/>
      <c r="V556" s="138"/>
      <c r="W556" s="469"/>
      <c r="X556" s="469"/>
      <c r="Y556" s="469"/>
      <c r="Z556" s="469"/>
      <c r="AA556" s="469"/>
      <c r="AB556" s="469"/>
      <c r="AC556" s="469"/>
      <c r="AD556" s="469"/>
      <c r="AE556" s="469"/>
      <c r="AF556" s="469"/>
      <c r="AG556" s="469"/>
      <c r="AH556" s="469"/>
      <c r="AI556" s="469"/>
      <c r="AJ556" s="469"/>
      <c r="AK556" s="469"/>
      <c r="AL556" s="469"/>
      <c r="AM556" s="469"/>
      <c r="AN556" s="469"/>
      <c r="AO556" s="469"/>
    </row>
    <row r="557">
      <c r="A557" s="85">
        <v>44955.0</v>
      </c>
      <c r="B557" s="86">
        <v>522.8</v>
      </c>
      <c r="C557" s="85">
        <v>44105.0</v>
      </c>
      <c r="D557" s="89" t="s">
        <v>3108</v>
      </c>
      <c r="E557" s="89" t="s">
        <v>3109</v>
      </c>
      <c r="F557" s="89" t="s">
        <v>3110</v>
      </c>
      <c r="G557" s="89" t="s">
        <v>114</v>
      </c>
      <c r="H557" s="89" t="s">
        <v>170</v>
      </c>
      <c r="I557" s="89" t="s">
        <v>135</v>
      </c>
      <c r="J557" s="89" t="s">
        <v>95</v>
      </c>
      <c r="K557" s="89"/>
      <c r="L557" s="89">
        <v>2.0</v>
      </c>
      <c r="M557" s="85"/>
      <c r="N557" s="89">
        <v>2.0</v>
      </c>
      <c r="O557" s="85"/>
      <c r="P557" s="89"/>
      <c r="Q557" s="138"/>
      <c r="R557" s="138"/>
      <c r="S557" s="138"/>
      <c r="T557" s="138"/>
      <c r="U557" s="138"/>
      <c r="V557" s="138"/>
      <c r="W557" s="469"/>
      <c r="X557" s="469"/>
      <c r="Y557" s="469"/>
      <c r="Z557" s="469"/>
      <c r="AA557" s="469"/>
      <c r="AB557" s="469"/>
      <c r="AC557" s="469"/>
      <c r="AD557" s="469"/>
      <c r="AE557" s="469"/>
      <c r="AF557" s="469"/>
      <c r="AG557" s="469"/>
      <c r="AH557" s="469"/>
      <c r="AI557" s="469"/>
      <c r="AJ557" s="469"/>
      <c r="AK557" s="469"/>
      <c r="AL557" s="469"/>
      <c r="AM557" s="469"/>
      <c r="AN557" s="469"/>
      <c r="AO557" s="469"/>
    </row>
    <row r="558">
      <c r="A558" s="85">
        <v>44955.0</v>
      </c>
      <c r="B558" s="606">
        <v>235.97</v>
      </c>
      <c r="C558" s="85">
        <v>44862.0</v>
      </c>
      <c r="D558" s="89" t="s">
        <v>3131</v>
      </c>
      <c r="E558" s="89" t="s">
        <v>3132</v>
      </c>
      <c r="F558" s="89" t="s">
        <v>3133</v>
      </c>
      <c r="G558" s="89" t="s">
        <v>114</v>
      </c>
      <c r="H558" s="89" t="s">
        <v>94</v>
      </c>
      <c r="I558" s="89" t="s">
        <v>2226</v>
      </c>
      <c r="J558" s="89" t="s">
        <v>95</v>
      </c>
      <c r="K558" s="89">
        <v>1.0</v>
      </c>
      <c r="L558" s="89"/>
      <c r="M558" s="85"/>
      <c r="N558" s="85"/>
      <c r="O558" s="85"/>
      <c r="P558" s="89">
        <v>1.0</v>
      </c>
      <c r="Q558" s="138"/>
      <c r="R558" s="138"/>
      <c r="S558" s="138"/>
      <c r="T558" s="138"/>
      <c r="U558" s="138"/>
      <c r="V558" s="138"/>
      <c r="W558" s="469"/>
      <c r="X558" s="469"/>
      <c r="Y558" s="469"/>
      <c r="Z558" s="469"/>
      <c r="AA558" s="469"/>
      <c r="AB558" s="469"/>
      <c r="AC558" s="469"/>
      <c r="AD558" s="469"/>
      <c r="AE558" s="469"/>
      <c r="AF558" s="469"/>
      <c r="AG558" s="469"/>
      <c r="AH558" s="469"/>
      <c r="AI558" s="469"/>
      <c r="AJ558" s="469"/>
      <c r="AK558" s="469"/>
      <c r="AL558" s="469"/>
      <c r="AM558" s="469"/>
      <c r="AN558" s="469"/>
      <c r="AO558" s="469"/>
    </row>
    <row r="559">
      <c r="A559" s="85">
        <v>44955.0</v>
      </c>
      <c r="B559" s="86">
        <v>307.83</v>
      </c>
      <c r="C559" s="85">
        <v>44699.0</v>
      </c>
      <c r="D559" s="89" t="s">
        <v>3145</v>
      </c>
      <c r="E559" s="89" t="s">
        <v>3146</v>
      </c>
      <c r="F559" s="89" t="s">
        <v>3147</v>
      </c>
      <c r="G559" s="89" t="s">
        <v>114</v>
      </c>
      <c r="H559" s="89" t="s">
        <v>94</v>
      </c>
      <c r="I559" s="89" t="s">
        <v>94</v>
      </c>
      <c r="J559" s="89" t="s">
        <v>95</v>
      </c>
      <c r="K559" s="85"/>
      <c r="L559" s="89">
        <v>1.0</v>
      </c>
      <c r="M559" s="85"/>
      <c r="N559" s="85"/>
      <c r="O559" s="85"/>
      <c r="P559" s="89"/>
      <c r="Q559" s="138"/>
      <c r="R559" s="138"/>
      <c r="S559" s="138"/>
      <c r="T559" s="138"/>
      <c r="U559" s="138"/>
      <c r="V559" s="138"/>
      <c r="W559" s="469"/>
      <c r="X559" s="469"/>
      <c r="Y559" s="469"/>
      <c r="Z559" s="469"/>
      <c r="AA559" s="469"/>
      <c r="AB559" s="469"/>
      <c r="AC559" s="469"/>
      <c r="AD559" s="469"/>
      <c r="AE559" s="469"/>
      <c r="AF559" s="469"/>
      <c r="AG559" s="469"/>
      <c r="AH559" s="469"/>
      <c r="AI559" s="469"/>
      <c r="AJ559" s="469"/>
      <c r="AK559" s="469"/>
      <c r="AL559" s="469"/>
      <c r="AM559" s="469"/>
      <c r="AN559" s="469"/>
      <c r="AO559" s="469"/>
    </row>
    <row r="560">
      <c r="A560" s="85">
        <v>44955.0</v>
      </c>
      <c r="B560" s="86">
        <v>24.0</v>
      </c>
      <c r="C560" s="85">
        <v>44879.0</v>
      </c>
      <c r="D560" s="89" t="s">
        <v>3158</v>
      </c>
      <c r="E560" s="89" t="s">
        <v>3159</v>
      </c>
      <c r="F560" s="89" t="s">
        <v>3160</v>
      </c>
      <c r="G560" s="89" t="s">
        <v>114</v>
      </c>
      <c r="H560" s="89" t="s">
        <v>94</v>
      </c>
      <c r="I560" s="89" t="s">
        <v>94</v>
      </c>
      <c r="J560" s="89" t="s">
        <v>95</v>
      </c>
      <c r="K560" s="89"/>
      <c r="L560" s="85"/>
      <c r="M560" s="85"/>
      <c r="N560" s="89">
        <v>1.0</v>
      </c>
      <c r="O560" s="85"/>
      <c r="P560" s="89"/>
      <c r="Q560" s="138"/>
      <c r="R560" s="138"/>
      <c r="S560" s="138"/>
      <c r="T560" s="138"/>
      <c r="U560" s="138"/>
      <c r="V560" s="138"/>
      <c r="W560" s="469"/>
      <c r="X560" s="469"/>
      <c r="Y560" s="469"/>
      <c r="Z560" s="469"/>
      <c r="AA560" s="469"/>
      <c r="AB560" s="469"/>
      <c r="AC560" s="469"/>
      <c r="AD560" s="469"/>
      <c r="AE560" s="469"/>
      <c r="AF560" s="469"/>
      <c r="AG560" s="469"/>
      <c r="AH560" s="469"/>
      <c r="AI560" s="469"/>
      <c r="AJ560" s="469"/>
      <c r="AK560" s="469"/>
      <c r="AL560" s="469"/>
      <c r="AM560" s="469"/>
      <c r="AN560" s="469"/>
      <c r="AO560" s="469"/>
    </row>
    <row r="561">
      <c r="A561" s="85">
        <v>44955.0</v>
      </c>
      <c r="B561" s="86">
        <v>344.36</v>
      </c>
      <c r="C561" s="85">
        <v>44566.0</v>
      </c>
      <c r="D561" s="89" t="s">
        <v>3179</v>
      </c>
      <c r="E561" s="89" t="s">
        <v>3181</v>
      </c>
      <c r="F561" s="89" t="s">
        <v>3183</v>
      </c>
      <c r="G561" s="89" t="s">
        <v>114</v>
      </c>
      <c r="H561" s="89" t="s">
        <v>94</v>
      </c>
      <c r="I561" s="89" t="s">
        <v>94</v>
      </c>
      <c r="J561" s="89" t="s">
        <v>95</v>
      </c>
      <c r="K561" s="89">
        <v>1.0</v>
      </c>
      <c r="L561" s="85"/>
      <c r="M561" s="89">
        <v>1.0</v>
      </c>
      <c r="N561" s="89">
        <v>1.0</v>
      </c>
      <c r="O561" s="89">
        <v>1.0</v>
      </c>
      <c r="P561" s="89">
        <v>1.0</v>
      </c>
      <c r="Q561" s="137"/>
      <c r="R561" s="138"/>
      <c r="S561" s="138"/>
      <c r="T561" s="138"/>
      <c r="U561" s="138"/>
      <c r="V561" s="138"/>
      <c r="W561" s="469"/>
      <c r="X561" s="469"/>
      <c r="Y561" s="469"/>
      <c r="Z561" s="469"/>
      <c r="AA561" s="469"/>
      <c r="AB561" s="469"/>
      <c r="AC561" s="469"/>
      <c r="AD561" s="469"/>
      <c r="AE561" s="469"/>
      <c r="AF561" s="469"/>
      <c r="AG561" s="469"/>
      <c r="AH561" s="469"/>
      <c r="AI561" s="469"/>
      <c r="AJ561" s="469"/>
      <c r="AK561" s="469"/>
      <c r="AL561" s="469"/>
      <c r="AM561" s="469"/>
      <c r="AN561" s="469"/>
      <c r="AO561" s="469"/>
    </row>
    <row r="562">
      <c r="A562" s="85">
        <v>44956.0</v>
      </c>
      <c r="B562" s="86">
        <v>293.0</v>
      </c>
      <c r="C562" s="85">
        <v>44478.0</v>
      </c>
      <c r="D562" s="89" t="s">
        <v>3197</v>
      </c>
      <c r="E562" s="89" t="s">
        <v>3199</v>
      </c>
      <c r="F562" s="89" t="s">
        <v>3203</v>
      </c>
      <c r="G562" s="89" t="s">
        <v>114</v>
      </c>
      <c r="H562" s="89" t="s">
        <v>94</v>
      </c>
      <c r="I562" s="89" t="s">
        <v>486</v>
      </c>
      <c r="J562" s="89" t="s">
        <v>95</v>
      </c>
      <c r="K562" s="89"/>
      <c r="L562" s="89">
        <v>1.0</v>
      </c>
      <c r="M562" s="89"/>
      <c r="N562" s="89">
        <v>1.0</v>
      </c>
      <c r="O562" s="85"/>
      <c r="P562" s="89"/>
      <c r="Q562" s="137"/>
      <c r="R562" s="138"/>
      <c r="S562" s="138"/>
      <c r="T562" s="138"/>
      <c r="U562" s="138"/>
      <c r="V562" s="138"/>
      <c r="W562" s="469"/>
      <c r="X562" s="469"/>
      <c r="Y562" s="469"/>
      <c r="Z562" s="469"/>
      <c r="AA562" s="469"/>
      <c r="AB562" s="469"/>
      <c r="AC562" s="469"/>
      <c r="AD562" s="469"/>
      <c r="AE562" s="469"/>
      <c r="AF562" s="469"/>
      <c r="AG562" s="469"/>
      <c r="AH562" s="469"/>
      <c r="AI562" s="469"/>
      <c r="AJ562" s="469"/>
      <c r="AK562" s="469"/>
      <c r="AL562" s="469"/>
      <c r="AM562" s="469"/>
      <c r="AN562" s="469"/>
      <c r="AO562" s="469"/>
    </row>
    <row r="563">
      <c r="A563" s="85">
        <v>44956.0</v>
      </c>
      <c r="B563" s="86">
        <v>273.56</v>
      </c>
      <c r="C563" s="85">
        <v>44891.0</v>
      </c>
      <c r="D563" s="89" t="s">
        <v>3213</v>
      </c>
      <c r="E563" s="89" t="s">
        <v>3214</v>
      </c>
      <c r="F563" s="89" t="s">
        <v>3215</v>
      </c>
      <c r="G563" s="89" t="s">
        <v>114</v>
      </c>
      <c r="H563" s="89" t="s">
        <v>94</v>
      </c>
      <c r="I563" s="89" t="s">
        <v>94</v>
      </c>
      <c r="J563" s="89" t="s">
        <v>95</v>
      </c>
      <c r="K563" s="89">
        <v>1.0</v>
      </c>
      <c r="L563" s="85"/>
      <c r="M563" s="89"/>
      <c r="N563" s="89">
        <v>1.0</v>
      </c>
      <c r="O563" s="85"/>
      <c r="P563" s="89">
        <v>1.0</v>
      </c>
      <c r="Q563" s="138"/>
      <c r="R563" s="138"/>
      <c r="S563" s="138"/>
      <c r="T563" s="138"/>
      <c r="U563" s="138"/>
      <c r="V563" s="138"/>
      <c r="W563" s="469"/>
      <c r="X563" s="469"/>
      <c r="Y563" s="469"/>
      <c r="Z563" s="469"/>
      <c r="AA563" s="469"/>
      <c r="AB563" s="469"/>
      <c r="AC563" s="469"/>
      <c r="AD563" s="469"/>
      <c r="AE563" s="469"/>
      <c r="AF563" s="469"/>
      <c r="AG563" s="469"/>
      <c r="AH563" s="469"/>
      <c r="AI563" s="469"/>
      <c r="AJ563" s="469"/>
      <c r="AK563" s="469"/>
      <c r="AL563" s="469"/>
      <c r="AM563" s="469"/>
      <c r="AN563" s="469"/>
      <c r="AO563" s="469"/>
    </row>
    <row r="564">
      <c r="A564" s="85">
        <v>44956.0</v>
      </c>
      <c r="B564" s="339">
        <v>244.43</v>
      </c>
      <c r="C564" s="85">
        <v>44890.0</v>
      </c>
      <c r="D564" s="89" t="s">
        <v>3231</v>
      </c>
      <c r="E564" s="89" t="s">
        <v>3233</v>
      </c>
      <c r="F564" s="89" t="s">
        <v>3234</v>
      </c>
      <c r="G564" s="89" t="s">
        <v>114</v>
      </c>
      <c r="H564" s="89" t="s">
        <v>94</v>
      </c>
      <c r="I564" s="89" t="s">
        <v>94</v>
      </c>
      <c r="J564" s="89" t="s">
        <v>95</v>
      </c>
      <c r="K564" s="89">
        <v>1.0</v>
      </c>
      <c r="L564" s="85"/>
      <c r="M564" s="85"/>
      <c r="N564" s="85"/>
      <c r="O564" s="85"/>
      <c r="P564" s="89">
        <v>1.0</v>
      </c>
      <c r="Q564" s="138"/>
      <c r="R564" s="138"/>
      <c r="S564" s="138"/>
      <c r="T564" s="138"/>
      <c r="U564" s="138"/>
      <c r="V564" s="138"/>
      <c r="W564" s="469"/>
      <c r="X564" s="469"/>
      <c r="Y564" s="469"/>
      <c r="Z564" s="469"/>
      <c r="AA564" s="469"/>
      <c r="AB564" s="469"/>
      <c r="AC564" s="469"/>
      <c r="AD564" s="469"/>
      <c r="AE564" s="469"/>
      <c r="AF564" s="469"/>
      <c r="AG564" s="469"/>
      <c r="AH564" s="469"/>
      <c r="AI564" s="469"/>
      <c r="AJ564" s="469"/>
      <c r="AK564" s="469"/>
      <c r="AL564" s="469"/>
      <c r="AM564" s="469"/>
      <c r="AN564" s="469"/>
      <c r="AO564" s="469"/>
    </row>
    <row r="565">
      <c r="A565" s="85">
        <v>44956.0</v>
      </c>
      <c r="B565" s="86">
        <v>265.0</v>
      </c>
      <c r="C565" s="85">
        <v>44393.0</v>
      </c>
      <c r="D565" s="89" t="s">
        <v>3245</v>
      </c>
      <c r="E565" s="89" t="s">
        <v>3246</v>
      </c>
      <c r="F565" s="89" t="s">
        <v>3247</v>
      </c>
      <c r="G565" s="89" t="s">
        <v>114</v>
      </c>
      <c r="H565" s="89" t="s">
        <v>161</v>
      </c>
      <c r="I565" s="89" t="s">
        <v>125</v>
      </c>
      <c r="J565" s="89" t="s">
        <v>95</v>
      </c>
      <c r="K565" s="85"/>
      <c r="L565" s="89">
        <v>1.0</v>
      </c>
      <c r="M565" s="85"/>
      <c r="N565" s="89"/>
      <c r="O565" s="85"/>
      <c r="P565" s="89"/>
      <c r="Q565" s="137"/>
      <c r="R565" s="138"/>
      <c r="S565" s="138"/>
      <c r="T565" s="138"/>
      <c r="U565" s="138"/>
      <c r="V565" s="138"/>
      <c r="W565" s="469"/>
      <c r="X565" s="469"/>
      <c r="Y565" s="469"/>
      <c r="Z565" s="469"/>
      <c r="AA565" s="469"/>
      <c r="AB565" s="469"/>
      <c r="AC565" s="469"/>
      <c r="AD565" s="469"/>
      <c r="AE565" s="469"/>
      <c r="AF565" s="469"/>
      <c r="AG565" s="469"/>
      <c r="AH565" s="469"/>
      <c r="AI565" s="469"/>
      <c r="AJ565" s="469"/>
      <c r="AK565" s="469"/>
      <c r="AL565" s="469"/>
      <c r="AM565" s="469"/>
      <c r="AN565" s="469"/>
      <c r="AO565" s="469"/>
    </row>
    <row r="566">
      <c r="A566" s="85">
        <v>44956.0</v>
      </c>
      <c r="B566" s="86">
        <v>247.9</v>
      </c>
      <c r="C566" s="85">
        <v>44882.0</v>
      </c>
      <c r="D566" s="89" t="s">
        <v>3264</v>
      </c>
      <c r="E566" s="89" t="s">
        <v>3265</v>
      </c>
      <c r="F566" s="89" t="s">
        <v>3266</v>
      </c>
      <c r="G566" s="89" t="s">
        <v>114</v>
      </c>
      <c r="H566" s="89" t="s">
        <v>94</v>
      </c>
      <c r="I566" s="89" t="s">
        <v>94</v>
      </c>
      <c r="J566" s="89" t="s">
        <v>95</v>
      </c>
      <c r="K566" s="89">
        <v>1.0</v>
      </c>
      <c r="L566" s="89"/>
      <c r="M566" s="85"/>
      <c r="N566" s="85"/>
      <c r="O566" s="85"/>
      <c r="P566" s="89">
        <v>1.0</v>
      </c>
      <c r="Q566" s="138"/>
      <c r="R566" s="138"/>
      <c r="S566" s="138"/>
      <c r="T566" s="138"/>
      <c r="U566" s="138"/>
      <c r="V566" s="138"/>
      <c r="W566" s="469"/>
      <c r="X566" s="469"/>
      <c r="Y566" s="469"/>
      <c r="Z566" s="469"/>
      <c r="AA566" s="469"/>
      <c r="AB566" s="469"/>
      <c r="AC566" s="469"/>
      <c r="AD566" s="469"/>
      <c r="AE566" s="469"/>
      <c r="AF566" s="469"/>
      <c r="AG566" s="469"/>
      <c r="AH566" s="469"/>
      <c r="AI566" s="469"/>
      <c r="AJ566" s="469"/>
      <c r="AK566" s="469"/>
      <c r="AL566" s="469"/>
      <c r="AM566" s="469"/>
      <c r="AN566" s="469"/>
      <c r="AO566" s="469"/>
    </row>
    <row r="567">
      <c r="A567" s="85">
        <v>44956.0</v>
      </c>
      <c r="B567" s="86">
        <v>214.0</v>
      </c>
      <c r="C567" s="85">
        <v>44396.0</v>
      </c>
      <c r="D567" s="89" t="s">
        <v>3274</v>
      </c>
      <c r="E567" s="89" t="s">
        <v>3275</v>
      </c>
      <c r="F567" s="89" t="s">
        <v>3276</v>
      </c>
      <c r="G567" s="89" t="s">
        <v>114</v>
      </c>
      <c r="H567" s="89" t="s">
        <v>94</v>
      </c>
      <c r="I567" s="89" t="s">
        <v>94</v>
      </c>
      <c r="J567" s="89" t="s">
        <v>95</v>
      </c>
      <c r="K567" s="89">
        <v>1.0</v>
      </c>
      <c r="L567" s="85"/>
      <c r="M567" s="89"/>
      <c r="N567" s="89"/>
      <c r="O567" s="89">
        <v>1.0</v>
      </c>
      <c r="P567" s="89"/>
      <c r="Q567" s="138"/>
      <c r="R567" s="138"/>
      <c r="S567" s="138"/>
      <c r="T567" s="138"/>
      <c r="U567" s="138"/>
      <c r="V567" s="138"/>
      <c r="W567" s="469"/>
      <c r="X567" s="469"/>
      <c r="Y567" s="469"/>
      <c r="Z567" s="469"/>
      <c r="AA567" s="469"/>
      <c r="AB567" s="469"/>
      <c r="AC567" s="469"/>
      <c r="AD567" s="469"/>
      <c r="AE567" s="469"/>
      <c r="AF567" s="469"/>
      <c r="AG567" s="469"/>
      <c r="AH567" s="469"/>
      <c r="AI567" s="469"/>
      <c r="AJ567" s="469"/>
      <c r="AK567" s="469"/>
      <c r="AL567" s="469"/>
      <c r="AM567" s="469"/>
      <c r="AN567" s="469"/>
      <c r="AO567" s="469"/>
    </row>
    <row r="568">
      <c r="A568" s="85">
        <v>44956.0</v>
      </c>
      <c r="B568" s="86">
        <v>296.42</v>
      </c>
      <c r="C568" s="85">
        <v>44570.0</v>
      </c>
      <c r="D568" s="89" t="s">
        <v>3285</v>
      </c>
      <c r="E568" s="89" t="s">
        <v>3288</v>
      </c>
      <c r="F568" s="89" t="s">
        <v>3289</v>
      </c>
      <c r="G568" s="89" t="s">
        <v>114</v>
      </c>
      <c r="H568" s="89" t="s">
        <v>94</v>
      </c>
      <c r="I568" s="89" t="s">
        <v>94</v>
      </c>
      <c r="J568" s="89" t="s">
        <v>95</v>
      </c>
      <c r="K568" s="89"/>
      <c r="L568" s="89">
        <v>1.0</v>
      </c>
      <c r="M568" s="85"/>
      <c r="N568" s="85"/>
      <c r="O568" s="85"/>
      <c r="P568" s="89"/>
      <c r="Q568" s="138"/>
      <c r="R568" s="138"/>
      <c r="S568" s="138"/>
      <c r="T568" s="138"/>
      <c r="U568" s="138"/>
      <c r="V568" s="138"/>
      <c r="W568" s="469"/>
      <c r="X568" s="469"/>
      <c r="Y568" s="469"/>
      <c r="Z568" s="469"/>
      <c r="AA568" s="469"/>
      <c r="AB568" s="469"/>
      <c r="AC568" s="469"/>
      <c r="AD568" s="469"/>
      <c r="AE568" s="469"/>
      <c r="AF568" s="469"/>
      <c r="AG568" s="469"/>
      <c r="AH568" s="469"/>
      <c r="AI568" s="469"/>
      <c r="AJ568" s="469"/>
      <c r="AK568" s="469"/>
      <c r="AL568" s="469"/>
      <c r="AM568" s="469"/>
      <c r="AN568" s="469"/>
      <c r="AO568" s="469"/>
    </row>
    <row r="569">
      <c r="A569" s="85">
        <v>44956.0</v>
      </c>
      <c r="B569" s="86">
        <v>338.64</v>
      </c>
      <c r="C569" s="85">
        <v>44866.0</v>
      </c>
      <c r="D569" s="89" t="s">
        <v>3305</v>
      </c>
      <c r="E569" s="89" t="s">
        <v>3306</v>
      </c>
      <c r="F569" s="89" t="s">
        <v>3307</v>
      </c>
      <c r="G569" s="89" t="s">
        <v>114</v>
      </c>
      <c r="H569" s="89" t="s">
        <v>94</v>
      </c>
      <c r="I569" s="89" t="s">
        <v>94</v>
      </c>
      <c r="J569" s="89" t="s">
        <v>95</v>
      </c>
      <c r="K569" s="85"/>
      <c r="L569" s="89">
        <v>1.0</v>
      </c>
      <c r="M569" s="85"/>
      <c r="N569" s="89">
        <v>1.0</v>
      </c>
      <c r="O569" s="85"/>
      <c r="P569" s="89">
        <v>1.0</v>
      </c>
      <c r="Q569" s="138"/>
      <c r="R569" s="138"/>
      <c r="S569" s="138"/>
      <c r="T569" s="138"/>
      <c r="U569" s="138"/>
      <c r="V569" s="138"/>
      <c r="W569" s="469"/>
      <c r="X569" s="469"/>
      <c r="Y569" s="469"/>
      <c r="Z569" s="469"/>
      <c r="AA569" s="469"/>
      <c r="AB569" s="469"/>
      <c r="AC569" s="469"/>
      <c r="AD569" s="469"/>
      <c r="AE569" s="469"/>
      <c r="AF569" s="469"/>
      <c r="AG569" s="469"/>
      <c r="AH569" s="469"/>
      <c r="AI569" s="469"/>
      <c r="AJ569" s="469"/>
      <c r="AK569" s="469"/>
      <c r="AL569" s="469"/>
      <c r="AM569" s="469"/>
      <c r="AN569" s="469"/>
      <c r="AO569" s="469"/>
    </row>
    <row r="570">
      <c r="A570" s="85">
        <v>44956.0</v>
      </c>
      <c r="B570" s="293">
        <v>260.01</v>
      </c>
      <c r="C570" s="85">
        <v>44869.0</v>
      </c>
      <c r="D570" s="89" t="s">
        <v>3323</v>
      </c>
      <c r="E570" s="89" t="s">
        <v>3325</v>
      </c>
      <c r="F570" s="89" t="s">
        <v>3328</v>
      </c>
      <c r="G570" s="89" t="s">
        <v>114</v>
      </c>
      <c r="H570" s="89" t="s">
        <v>94</v>
      </c>
      <c r="I570" s="89" t="s">
        <v>94</v>
      </c>
      <c r="J570" s="89" t="s">
        <v>95</v>
      </c>
      <c r="K570" s="89">
        <v>1.0</v>
      </c>
      <c r="L570" s="85"/>
      <c r="M570" s="89"/>
      <c r="N570" s="89">
        <v>1.0</v>
      </c>
      <c r="O570" s="85"/>
      <c r="P570" s="89">
        <v>1.0</v>
      </c>
      <c r="Q570" s="137"/>
      <c r="R570" s="138"/>
      <c r="S570" s="138"/>
      <c r="T570" s="138"/>
      <c r="U570" s="138"/>
      <c r="V570" s="138"/>
      <c r="W570" s="469"/>
      <c r="X570" s="469"/>
      <c r="Y570" s="469"/>
      <c r="Z570" s="469"/>
      <c r="AA570" s="469"/>
      <c r="AB570" s="469"/>
      <c r="AC570" s="469"/>
      <c r="AD570" s="469"/>
      <c r="AE570" s="469"/>
      <c r="AF570" s="469"/>
      <c r="AG570" s="469"/>
      <c r="AH570" s="469"/>
      <c r="AI570" s="469"/>
      <c r="AJ570" s="469"/>
      <c r="AK570" s="469"/>
      <c r="AL570" s="469"/>
      <c r="AM570" s="469"/>
      <c r="AN570" s="469"/>
      <c r="AO570" s="469"/>
    </row>
    <row r="571">
      <c r="A571" s="85">
        <v>44956.0</v>
      </c>
      <c r="B571" s="86">
        <v>333.74</v>
      </c>
      <c r="C571" s="85">
        <v>44835.0</v>
      </c>
      <c r="D571" s="89" t="s">
        <v>3334</v>
      </c>
      <c r="E571" s="89" t="s">
        <v>3335</v>
      </c>
      <c r="F571" s="89" t="s">
        <v>3336</v>
      </c>
      <c r="G571" s="89" t="s">
        <v>114</v>
      </c>
      <c r="H571" s="89" t="s">
        <v>94</v>
      </c>
      <c r="I571" s="89" t="s">
        <v>94</v>
      </c>
      <c r="J571" s="89" t="s">
        <v>95</v>
      </c>
      <c r="K571" s="89">
        <v>1.0</v>
      </c>
      <c r="L571" s="85"/>
      <c r="M571" s="89">
        <v>1.0</v>
      </c>
      <c r="N571" s="89">
        <v>1.0</v>
      </c>
      <c r="O571" s="85"/>
      <c r="P571" s="89">
        <v>1.0</v>
      </c>
      <c r="Q571" s="138"/>
      <c r="R571" s="138"/>
      <c r="S571" s="138"/>
      <c r="T571" s="138"/>
      <c r="U571" s="138"/>
      <c r="V571" s="138"/>
      <c r="W571" s="469"/>
      <c r="X571" s="469"/>
      <c r="Y571" s="469"/>
      <c r="Z571" s="469"/>
      <c r="AA571" s="469"/>
      <c r="AB571" s="469"/>
      <c r="AC571" s="469"/>
      <c r="AD571" s="469"/>
      <c r="AE571" s="469"/>
      <c r="AF571" s="469"/>
      <c r="AG571" s="469"/>
      <c r="AH571" s="469"/>
      <c r="AI571" s="469"/>
      <c r="AJ571" s="469"/>
      <c r="AK571" s="469"/>
      <c r="AL571" s="469"/>
      <c r="AM571" s="469"/>
      <c r="AN571" s="469"/>
      <c r="AO571" s="469"/>
    </row>
    <row r="572">
      <c r="A572" s="400">
        <v>44956.0</v>
      </c>
      <c r="B572" s="401">
        <v>202.0</v>
      </c>
      <c r="C572" s="400">
        <v>44386.0</v>
      </c>
      <c r="D572" s="402" t="s">
        <v>3341</v>
      </c>
      <c r="E572" s="402" t="s">
        <v>3342</v>
      </c>
      <c r="F572" s="402" t="s">
        <v>3343</v>
      </c>
      <c r="G572" s="402" t="s">
        <v>114</v>
      </c>
      <c r="H572" s="402" t="s">
        <v>94</v>
      </c>
      <c r="I572" s="402" t="s">
        <v>135</v>
      </c>
      <c r="J572" s="402" t="s">
        <v>275</v>
      </c>
      <c r="K572" s="402">
        <v>1.0</v>
      </c>
      <c r="L572" s="402"/>
      <c r="M572" s="400"/>
      <c r="N572" s="400"/>
      <c r="O572" s="400"/>
      <c r="P572" s="402"/>
      <c r="Q572" s="404"/>
      <c r="R572" s="403"/>
      <c r="S572" s="404"/>
      <c r="T572" s="404"/>
      <c r="U572" s="404"/>
      <c r="V572" s="404"/>
      <c r="W572" s="545"/>
      <c r="X572" s="545"/>
      <c r="Y572" s="545"/>
      <c r="Z572" s="545"/>
      <c r="AA572" s="545"/>
      <c r="AB572" s="545"/>
      <c r="AC572" s="545"/>
      <c r="AD572" s="545"/>
      <c r="AE572" s="545"/>
      <c r="AF572" s="545"/>
      <c r="AG572" s="545"/>
      <c r="AH572" s="545"/>
      <c r="AI572" s="545"/>
      <c r="AJ572" s="545"/>
      <c r="AK572" s="545"/>
      <c r="AL572" s="545"/>
      <c r="AM572" s="545"/>
      <c r="AN572" s="545"/>
      <c r="AO572" s="545"/>
    </row>
    <row r="573">
      <c r="A573" s="400">
        <v>44956.0</v>
      </c>
      <c r="B573" s="401">
        <v>247.5</v>
      </c>
      <c r="C573" s="400">
        <v>44102.0</v>
      </c>
      <c r="D573" s="402" t="s">
        <v>3350</v>
      </c>
      <c r="E573" s="402" t="s">
        <v>3351</v>
      </c>
      <c r="F573" s="402" t="s">
        <v>3352</v>
      </c>
      <c r="G573" s="402" t="s">
        <v>114</v>
      </c>
      <c r="H573" s="402" t="s">
        <v>94</v>
      </c>
      <c r="I573" s="402" t="s">
        <v>125</v>
      </c>
      <c r="J573" s="402" t="s">
        <v>95</v>
      </c>
      <c r="K573" s="402"/>
      <c r="L573" s="402">
        <v>1.0</v>
      </c>
      <c r="M573" s="400"/>
      <c r="N573" s="402">
        <v>1.0</v>
      </c>
      <c r="O573" s="400"/>
      <c r="P573" s="400"/>
      <c r="Q573" s="404"/>
      <c r="R573" s="404"/>
      <c r="S573" s="404"/>
      <c r="T573" s="404"/>
      <c r="U573" s="404"/>
      <c r="V573" s="404"/>
      <c r="W573" s="545"/>
      <c r="X573" s="545"/>
      <c r="Y573" s="545"/>
      <c r="Z573" s="545"/>
      <c r="AA573" s="545"/>
      <c r="AB573" s="545"/>
      <c r="AC573" s="545"/>
      <c r="AD573" s="545"/>
      <c r="AE573" s="545"/>
      <c r="AF573" s="545"/>
      <c r="AG573" s="545"/>
      <c r="AH573" s="545"/>
      <c r="AI573" s="545"/>
      <c r="AJ573" s="545"/>
      <c r="AK573" s="545"/>
      <c r="AL573" s="545"/>
      <c r="AM573" s="545"/>
      <c r="AN573" s="545"/>
      <c r="AO573" s="545"/>
    </row>
    <row r="574">
      <c r="A574" s="400">
        <v>44956.0</v>
      </c>
      <c r="B574" s="401">
        <v>403.6</v>
      </c>
      <c r="C574" s="400">
        <v>44764.0</v>
      </c>
      <c r="D574" s="402" t="s">
        <v>3360</v>
      </c>
      <c r="E574" s="402" t="s">
        <v>3361</v>
      </c>
      <c r="F574" s="402" t="s">
        <v>3362</v>
      </c>
      <c r="G574" s="402" t="s">
        <v>114</v>
      </c>
      <c r="H574" s="402" t="s">
        <v>94</v>
      </c>
      <c r="I574" s="402" t="s">
        <v>125</v>
      </c>
      <c r="J574" s="402" t="s">
        <v>95</v>
      </c>
      <c r="K574" s="402"/>
      <c r="L574" s="400"/>
      <c r="M574" s="400"/>
      <c r="N574" s="400"/>
      <c r="O574" s="402"/>
      <c r="P574" s="400"/>
      <c r="Q574" s="404"/>
      <c r="R574" s="404"/>
      <c r="S574" s="404"/>
      <c r="T574" s="404"/>
      <c r="U574" s="404"/>
      <c r="V574" s="404"/>
      <c r="W574" s="545"/>
      <c r="X574" s="545"/>
      <c r="Y574" s="545"/>
      <c r="Z574" s="545"/>
      <c r="AA574" s="545"/>
      <c r="AB574" s="545"/>
      <c r="AC574" s="545"/>
      <c r="AD574" s="545"/>
      <c r="AE574" s="545"/>
      <c r="AF574" s="545"/>
      <c r="AG574" s="545"/>
      <c r="AH574" s="545"/>
      <c r="AI574" s="545"/>
      <c r="AJ574" s="545"/>
      <c r="AK574" s="545"/>
      <c r="AL574" s="545"/>
      <c r="AM574" s="545"/>
      <c r="AN574" s="545"/>
      <c r="AO574" s="545"/>
    </row>
    <row r="575">
      <c r="A575" s="400">
        <v>44956.0</v>
      </c>
      <c r="B575" s="401">
        <v>234.33</v>
      </c>
      <c r="C575" s="400">
        <v>44712.0</v>
      </c>
      <c r="D575" s="402" t="s">
        <v>3365</v>
      </c>
      <c r="E575" s="402" t="s">
        <v>3366</v>
      </c>
      <c r="F575" s="402" t="s">
        <v>3367</v>
      </c>
      <c r="G575" s="402" t="s">
        <v>114</v>
      </c>
      <c r="H575" s="402" t="s">
        <v>94</v>
      </c>
      <c r="I575" s="402" t="s">
        <v>125</v>
      </c>
      <c r="J575" s="402" t="s">
        <v>95</v>
      </c>
      <c r="K575" s="402">
        <v>1.0</v>
      </c>
      <c r="L575" s="400"/>
      <c r="M575" s="400"/>
      <c r="N575" s="402"/>
      <c r="O575" s="400"/>
      <c r="P575" s="402"/>
      <c r="Q575" s="403"/>
      <c r="R575" s="404"/>
      <c r="S575" s="404"/>
      <c r="T575" s="404"/>
      <c r="U575" s="404"/>
      <c r="V575" s="404"/>
      <c r="W575" s="545"/>
      <c r="X575" s="545"/>
      <c r="Y575" s="545"/>
      <c r="Z575" s="545"/>
      <c r="AA575" s="545"/>
      <c r="AB575" s="545"/>
      <c r="AC575" s="545"/>
      <c r="AD575" s="545"/>
      <c r="AE575" s="545"/>
      <c r="AF575" s="545"/>
      <c r="AG575" s="545"/>
      <c r="AH575" s="545"/>
      <c r="AI575" s="545"/>
      <c r="AJ575" s="545"/>
      <c r="AK575" s="545"/>
      <c r="AL575" s="545"/>
      <c r="AM575" s="545"/>
      <c r="AN575" s="545"/>
      <c r="AO575" s="545"/>
    </row>
    <row r="576">
      <c r="A576" s="400">
        <v>44956.0</v>
      </c>
      <c r="B576" s="401">
        <v>256.0</v>
      </c>
      <c r="C576" s="400">
        <v>44392.0</v>
      </c>
      <c r="D576" s="402" t="s">
        <v>3378</v>
      </c>
      <c r="E576" s="402" t="s">
        <v>3379</v>
      </c>
      <c r="F576" s="402" t="s">
        <v>3380</v>
      </c>
      <c r="G576" s="402" t="s">
        <v>114</v>
      </c>
      <c r="H576" s="402" t="s">
        <v>94</v>
      </c>
      <c r="I576" s="402" t="s">
        <v>125</v>
      </c>
      <c r="J576" s="402" t="s">
        <v>95</v>
      </c>
      <c r="K576" s="402">
        <v>1.0</v>
      </c>
      <c r="L576" s="400"/>
      <c r="M576" s="400"/>
      <c r="N576" s="400"/>
      <c r="O576" s="402">
        <v>1.0</v>
      </c>
      <c r="P576" s="402">
        <v>1.0</v>
      </c>
      <c r="Q576" s="404"/>
      <c r="R576" s="404"/>
      <c r="S576" s="404"/>
      <c r="T576" s="404"/>
      <c r="U576" s="404"/>
      <c r="V576" s="404"/>
      <c r="W576" s="545"/>
      <c r="X576" s="545"/>
      <c r="Y576" s="545"/>
      <c r="Z576" s="545"/>
      <c r="AA576" s="545"/>
      <c r="AB576" s="545"/>
      <c r="AC576" s="545"/>
      <c r="AD576" s="545"/>
      <c r="AE576" s="545"/>
      <c r="AF576" s="545"/>
      <c r="AG576" s="545"/>
      <c r="AH576" s="545"/>
      <c r="AI576" s="545"/>
      <c r="AJ576" s="545"/>
      <c r="AK576" s="545"/>
      <c r="AL576" s="545"/>
      <c r="AM576" s="545"/>
      <c r="AN576" s="545"/>
      <c r="AO576" s="545"/>
    </row>
    <row r="577">
      <c r="A577" s="400">
        <v>44956.0</v>
      </c>
      <c r="B577" s="401">
        <v>251.5</v>
      </c>
      <c r="C577" s="400">
        <v>44348.0</v>
      </c>
      <c r="D577" s="402" t="s">
        <v>3392</v>
      </c>
      <c r="E577" s="402" t="s">
        <v>3395</v>
      </c>
      <c r="F577" s="402" t="s">
        <v>3396</v>
      </c>
      <c r="G577" s="402" t="s">
        <v>114</v>
      </c>
      <c r="H577" s="402" t="s">
        <v>94</v>
      </c>
      <c r="I577" s="402" t="s">
        <v>125</v>
      </c>
      <c r="J577" s="402" t="s">
        <v>95</v>
      </c>
      <c r="K577" s="402"/>
      <c r="L577" s="402">
        <v>1.0</v>
      </c>
      <c r="M577" s="400"/>
      <c r="N577" s="402">
        <v>1.0</v>
      </c>
      <c r="O577" s="400"/>
      <c r="P577" s="402"/>
      <c r="Q577" s="404"/>
      <c r="R577" s="404"/>
      <c r="S577" s="404"/>
      <c r="T577" s="404"/>
      <c r="U577" s="404"/>
      <c r="V577" s="404"/>
      <c r="W577" s="545"/>
      <c r="X577" s="545"/>
      <c r="Y577" s="545"/>
      <c r="Z577" s="545"/>
      <c r="AA577" s="545"/>
      <c r="AB577" s="545"/>
      <c r="AC577" s="545"/>
      <c r="AD577" s="545"/>
      <c r="AE577" s="545"/>
      <c r="AF577" s="545"/>
      <c r="AG577" s="545"/>
      <c r="AH577" s="545"/>
      <c r="AI577" s="545"/>
      <c r="AJ577" s="545"/>
      <c r="AK577" s="545"/>
      <c r="AL577" s="545"/>
      <c r="AM577" s="545"/>
      <c r="AN577" s="545"/>
      <c r="AO577" s="545"/>
    </row>
    <row r="578">
      <c r="A578" s="85">
        <v>44957.0</v>
      </c>
      <c r="B578" s="86">
        <v>206.0</v>
      </c>
      <c r="C578" s="85">
        <v>44359.0</v>
      </c>
      <c r="D578" s="89" t="s">
        <v>3409</v>
      </c>
      <c r="E578" s="89" t="s">
        <v>3410</v>
      </c>
      <c r="F578" s="89" t="s">
        <v>3411</v>
      </c>
      <c r="G578" s="89" t="s">
        <v>114</v>
      </c>
      <c r="H578" s="89" t="s">
        <v>94</v>
      </c>
      <c r="I578" s="89" t="s">
        <v>125</v>
      </c>
      <c r="J578" s="89" t="s">
        <v>95</v>
      </c>
      <c r="K578" s="89">
        <v>1.0</v>
      </c>
      <c r="L578" s="85"/>
      <c r="M578" s="89"/>
      <c r="N578" s="85"/>
      <c r="O578" s="85"/>
      <c r="P578" s="85"/>
      <c r="Q578" s="138"/>
      <c r="R578" s="138"/>
      <c r="S578" s="138"/>
      <c r="T578" s="138"/>
      <c r="U578" s="138"/>
      <c r="V578" s="138"/>
      <c r="W578" s="469"/>
      <c r="X578" s="469"/>
      <c r="Y578" s="469"/>
      <c r="Z578" s="469"/>
      <c r="AA578" s="469"/>
      <c r="AB578" s="469"/>
      <c r="AC578" s="469"/>
      <c r="AD578" s="469"/>
      <c r="AE578" s="469"/>
      <c r="AF578" s="469"/>
      <c r="AG578" s="469"/>
      <c r="AH578" s="469"/>
      <c r="AI578" s="469"/>
      <c r="AJ578" s="469"/>
      <c r="AK578" s="469"/>
      <c r="AL578" s="469"/>
      <c r="AM578" s="469"/>
      <c r="AN578" s="469"/>
      <c r="AO578" s="469"/>
    </row>
    <row r="579">
      <c r="A579" s="85">
        <v>44957.0</v>
      </c>
      <c r="B579" s="86">
        <v>170.7</v>
      </c>
      <c r="C579" s="85">
        <v>44101.0</v>
      </c>
      <c r="D579" s="89" t="s">
        <v>3415</v>
      </c>
      <c r="E579" s="89" t="s">
        <v>3416</v>
      </c>
      <c r="F579" s="194" t="s">
        <v>3417</v>
      </c>
      <c r="G579" s="89" t="s">
        <v>114</v>
      </c>
      <c r="H579" s="89" t="s">
        <v>170</v>
      </c>
      <c r="I579" s="89" t="s">
        <v>170</v>
      </c>
      <c r="J579" s="89" t="s">
        <v>95</v>
      </c>
      <c r="K579" s="89">
        <v>1.0</v>
      </c>
      <c r="L579" s="89"/>
      <c r="M579" s="85"/>
      <c r="N579" s="85"/>
      <c r="O579" s="85"/>
      <c r="P579" s="89"/>
      <c r="Q579" s="138"/>
      <c r="R579" s="138"/>
      <c r="S579" s="138"/>
      <c r="T579" s="138"/>
      <c r="U579" s="138"/>
      <c r="V579" s="138"/>
      <c r="W579" s="469"/>
      <c r="X579" s="469"/>
      <c r="Y579" s="469"/>
      <c r="Z579" s="469"/>
      <c r="AA579" s="469"/>
      <c r="AB579" s="469"/>
      <c r="AC579" s="469"/>
      <c r="AD579" s="469"/>
      <c r="AE579" s="469"/>
      <c r="AF579" s="469"/>
      <c r="AG579" s="469"/>
      <c r="AH579" s="469"/>
      <c r="AI579" s="469"/>
      <c r="AJ579" s="469"/>
      <c r="AK579" s="469"/>
      <c r="AL579" s="469"/>
      <c r="AM579" s="469"/>
      <c r="AN579" s="469"/>
      <c r="AO579" s="469"/>
    </row>
    <row r="580">
      <c r="A580" s="85">
        <v>44957.0</v>
      </c>
      <c r="B580" s="86">
        <v>269.0</v>
      </c>
      <c r="C580" s="85">
        <v>44636.0</v>
      </c>
      <c r="D580" s="89" t="s">
        <v>3418</v>
      </c>
      <c r="E580" s="89" t="s">
        <v>3419</v>
      </c>
      <c r="F580" s="89" t="s">
        <v>3420</v>
      </c>
      <c r="G580" s="89" t="s">
        <v>114</v>
      </c>
      <c r="H580" s="89" t="s">
        <v>94</v>
      </c>
      <c r="I580" s="89" t="s">
        <v>486</v>
      </c>
      <c r="J580" s="89" t="s">
        <v>95</v>
      </c>
      <c r="K580" s="89"/>
      <c r="L580" s="89">
        <v>1.0</v>
      </c>
      <c r="M580" s="85"/>
      <c r="N580" s="85"/>
      <c r="O580" s="85"/>
      <c r="P580" s="89"/>
      <c r="Q580" s="138"/>
      <c r="R580" s="138"/>
      <c r="S580" s="138"/>
      <c r="T580" s="138"/>
      <c r="U580" s="138"/>
      <c r="V580" s="138"/>
      <c r="W580" s="469"/>
      <c r="X580" s="469"/>
      <c r="Y580" s="469"/>
      <c r="Z580" s="469"/>
      <c r="AA580" s="469"/>
      <c r="AB580" s="469"/>
      <c r="AC580" s="469"/>
      <c r="AD580" s="469"/>
      <c r="AE580" s="469"/>
      <c r="AF580" s="469"/>
      <c r="AG580" s="469"/>
      <c r="AH580" s="469"/>
      <c r="AI580" s="469"/>
      <c r="AJ580" s="469"/>
      <c r="AK580" s="469"/>
      <c r="AL580" s="469"/>
      <c r="AM580" s="469"/>
      <c r="AN580" s="469"/>
      <c r="AO580" s="469"/>
    </row>
    <row r="581">
      <c r="A581" s="85">
        <v>44957.0</v>
      </c>
      <c r="B581" s="86"/>
      <c r="C581" s="85"/>
      <c r="D581" s="89"/>
      <c r="E581" s="89" t="s">
        <v>3421</v>
      </c>
      <c r="F581" s="89" t="s">
        <v>3422</v>
      </c>
      <c r="G581" s="89" t="s">
        <v>114</v>
      </c>
      <c r="H581" s="89" t="s">
        <v>94</v>
      </c>
      <c r="I581" s="89" t="s">
        <v>94</v>
      </c>
      <c r="J581" s="89" t="s">
        <v>95</v>
      </c>
      <c r="K581" s="89">
        <v>1.0</v>
      </c>
      <c r="L581" s="89"/>
      <c r="M581" s="89">
        <v>1.0</v>
      </c>
      <c r="N581" s="89">
        <v>1.0</v>
      </c>
      <c r="O581" s="85"/>
      <c r="P581" s="89">
        <v>1.0</v>
      </c>
      <c r="Q581" s="137">
        <v>1.0</v>
      </c>
      <c r="R581" s="138"/>
      <c r="S581" s="138"/>
      <c r="T581" s="138"/>
      <c r="U581" s="138"/>
      <c r="V581" s="138"/>
      <c r="W581" s="469"/>
      <c r="X581" s="469"/>
      <c r="Y581" s="469"/>
      <c r="Z581" s="469"/>
      <c r="AA581" s="469"/>
      <c r="AB581" s="469"/>
      <c r="AC581" s="469"/>
      <c r="AD581" s="469"/>
      <c r="AE581" s="469"/>
      <c r="AF581" s="469"/>
      <c r="AG581" s="469"/>
      <c r="AH581" s="469"/>
      <c r="AI581" s="469"/>
      <c r="AJ581" s="469"/>
      <c r="AK581" s="469"/>
      <c r="AL581" s="469"/>
      <c r="AM581" s="469"/>
      <c r="AN581" s="469"/>
      <c r="AO581" s="469"/>
    </row>
    <row r="582">
      <c r="A582" s="85">
        <v>44957.0</v>
      </c>
      <c r="B582" s="86">
        <v>305.0</v>
      </c>
      <c r="C582" s="85">
        <v>44478.0</v>
      </c>
      <c r="D582" s="89" t="s">
        <v>3423</v>
      </c>
      <c r="E582" s="89" t="s">
        <v>3424</v>
      </c>
      <c r="F582" s="89" t="s">
        <v>3425</v>
      </c>
      <c r="G582" s="89" t="s">
        <v>114</v>
      </c>
      <c r="H582" s="89" t="s">
        <v>94</v>
      </c>
      <c r="I582" s="89" t="s">
        <v>125</v>
      </c>
      <c r="J582" s="89" t="s">
        <v>95</v>
      </c>
      <c r="K582" s="89"/>
      <c r="L582" s="89">
        <v>1.0</v>
      </c>
      <c r="M582" s="85"/>
      <c r="N582" s="89">
        <v>1.0</v>
      </c>
      <c r="O582" s="85"/>
      <c r="P582" s="89">
        <v>1.0</v>
      </c>
      <c r="Q582" s="138"/>
      <c r="R582" s="138"/>
      <c r="S582" s="138"/>
      <c r="T582" s="138"/>
      <c r="U582" s="138"/>
      <c r="V582" s="138"/>
      <c r="W582" s="469"/>
      <c r="X582" s="469"/>
      <c r="Y582" s="469"/>
      <c r="Z582" s="469"/>
      <c r="AA582" s="469"/>
      <c r="AB582" s="469"/>
      <c r="AC582" s="469"/>
      <c r="AD582" s="469"/>
      <c r="AE582" s="469"/>
      <c r="AF582" s="469"/>
      <c r="AG582" s="469"/>
      <c r="AH582" s="469"/>
      <c r="AI582" s="469"/>
      <c r="AJ582" s="469"/>
      <c r="AK582" s="469"/>
      <c r="AL582" s="469"/>
      <c r="AM582" s="469"/>
      <c r="AN582" s="469"/>
      <c r="AO582" s="469"/>
    </row>
    <row r="583">
      <c r="A583" s="85">
        <v>44957.0</v>
      </c>
      <c r="B583" s="680">
        <v>311.32</v>
      </c>
      <c r="C583" s="85">
        <v>44860.0</v>
      </c>
      <c r="D583" s="89" t="s">
        <v>3426</v>
      </c>
      <c r="E583" s="89" t="s">
        <v>3427</v>
      </c>
      <c r="F583" s="89" t="s">
        <v>3428</v>
      </c>
      <c r="G583" s="89" t="s">
        <v>114</v>
      </c>
      <c r="H583" s="89" t="s">
        <v>94</v>
      </c>
      <c r="I583" s="89" t="s">
        <v>94</v>
      </c>
      <c r="J583" s="89" t="s">
        <v>95</v>
      </c>
      <c r="K583" s="89"/>
      <c r="L583" s="89">
        <v>1.0</v>
      </c>
      <c r="M583" s="89"/>
      <c r="N583" s="85"/>
      <c r="O583" s="85"/>
      <c r="P583" s="89">
        <v>1.0</v>
      </c>
      <c r="Q583" s="138"/>
      <c r="R583" s="138"/>
      <c r="S583" s="138"/>
      <c r="T583" s="138"/>
      <c r="U583" s="138"/>
      <c r="V583" s="138"/>
      <c r="W583" s="469"/>
      <c r="X583" s="469"/>
      <c r="Y583" s="469"/>
      <c r="Z583" s="469"/>
      <c r="AA583" s="469"/>
      <c r="AB583" s="469"/>
      <c r="AC583" s="469"/>
      <c r="AD583" s="469"/>
      <c r="AE583" s="469"/>
      <c r="AF583" s="469"/>
      <c r="AG583" s="469"/>
      <c r="AH583" s="469"/>
      <c r="AI583" s="469"/>
      <c r="AJ583" s="469"/>
      <c r="AK583" s="469"/>
      <c r="AL583" s="469"/>
      <c r="AM583" s="469"/>
      <c r="AN583" s="469"/>
      <c r="AO583" s="469"/>
    </row>
    <row r="584">
      <c r="A584" s="85">
        <v>44957.0</v>
      </c>
      <c r="B584" s="86">
        <v>244.46</v>
      </c>
      <c r="C584" s="85">
        <v>44886.0</v>
      </c>
      <c r="D584" s="89" t="s">
        <v>3148</v>
      </c>
      <c r="E584" s="89" t="s">
        <v>3150</v>
      </c>
      <c r="F584" s="89" t="s">
        <v>3151</v>
      </c>
      <c r="G584" s="89" t="s">
        <v>114</v>
      </c>
      <c r="H584" s="89" t="s">
        <v>94</v>
      </c>
      <c r="I584" s="89" t="s">
        <v>94</v>
      </c>
      <c r="J584" s="89" t="s">
        <v>95</v>
      </c>
      <c r="K584" s="89">
        <v>1.0</v>
      </c>
      <c r="L584" s="89"/>
      <c r="M584" s="85"/>
      <c r="N584" s="85"/>
      <c r="O584" s="85"/>
      <c r="P584" s="89">
        <v>1.0</v>
      </c>
      <c r="Q584" s="137"/>
      <c r="R584" s="138"/>
      <c r="S584" s="138"/>
      <c r="T584" s="138"/>
      <c r="U584" s="138"/>
      <c r="V584" s="138"/>
      <c r="W584" s="469"/>
      <c r="X584" s="469"/>
      <c r="Y584" s="469"/>
      <c r="Z584" s="469"/>
      <c r="AA584" s="469"/>
      <c r="AB584" s="469"/>
      <c r="AC584" s="469"/>
      <c r="AD584" s="469"/>
      <c r="AE584" s="469"/>
      <c r="AF584" s="469"/>
      <c r="AG584" s="469"/>
      <c r="AH584" s="469"/>
      <c r="AI584" s="469"/>
      <c r="AJ584" s="469"/>
      <c r="AK584" s="469"/>
      <c r="AL584" s="469"/>
      <c r="AM584" s="469"/>
      <c r="AN584" s="469"/>
      <c r="AO584" s="469"/>
    </row>
    <row r="585">
      <c r="A585" s="85">
        <v>44957.0</v>
      </c>
      <c r="B585" s="86">
        <v>218.0</v>
      </c>
      <c r="C585" s="85">
        <v>44400.0</v>
      </c>
      <c r="D585" s="89" t="s">
        <v>3429</v>
      </c>
      <c r="E585" s="89" t="s">
        <v>3430</v>
      </c>
      <c r="F585" s="89" t="s">
        <v>3431</v>
      </c>
      <c r="G585" s="89" t="s">
        <v>114</v>
      </c>
      <c r="H585" s="89" t="s">
        <v>94</v>
      </c>
      <c r="I585" s="89" t="s">
        <v>125</v>
      </c>
      <c r="J585" s="89" t="s">
        <v>95</v>
      </c>
      <c r="K585" s="89">
        <v>1.0</v>
      </c>
      <c r="L585" s="85"/>
      <c r="M585" s="85"/>
      <c r="N585" s="89"/>
      <c r="O585" s="89"/>
      <c r="P585" s="89">
        <v>1.0</v>
      </c>
      <c r="Q585" s="137"/>
      <c r="R585" s="138"/>
      <c r="S585" s="138"/>
      <c r="T585" s="138"/>
      <c r="U585" s="138"/>
      <c r="V585" s="138"/>
      <c r="W585" s="469"/>
      <c r="X585" s="469"/>
      <c r="Y585" s="469"/>
      <c r="Z585" s="469"/>
      <c r="AA585" s="469"/>
      <c r="AB585" s="469"/>
      <c r="AC585" s="469"/>
      <c r="AD585" s="469"/>
      <c r="AE585" s="469"/>
      <c r="AF585" s="469"/>
      <c r="AG585" s="469"/>
      <c r="AH585" s="469"/>
      <c r="AI585" s="469"/>
      <c r="AJ585" s="469"/>
      <c r="AK585" s="469"/>
      <c r="AL585" s="469"/>
      <c r="AM585" s="469"/>
      <c r="AN585" s="469"/>
      <c r="AO585" s="469"/>
    </row>
    <row r="586">
      <c r="A586" s="85">
        <v>44957.0</v>
      </c>
      <c r="B586" s="86">
        <v>261.62</v>
      </c>
      <c r="C586" s="85">
        <v>44859.0</v>
      </c>
      <c r="D586" s="89" t="s">
        <v>3432</v>
      </c>
      <c r="E586" s="89" t="s">
        <v>3433</v>
      </c>
      <c r="F586" s="89" t="s">
        <v>3434</v>
      </c>
      <c r="G586" s="89" t="s">
        <v>114</v>
      </c>
      <c r="H586" s="89" t="s">
        <v>94</v>
      </c>
      <c r="I586" s="89" t="s">
        <v>94</v>
      </c>
      <c r="J586" s="89" t="s">
        <v>95</v>
      </c>
      <c r="K586" s="89">
        <v>1.0</v>
      </c>
      <c r="L586" s="85"/>
      <c r="M586" s="85"/>
      <c r="N586" s="89">
        <v>1.0</v>
      </c>
      <c r="O586" s="85"/>
      <c r="P586" s="89">
        <v>1.0</v>
      </c>
      <c r="Q586" s="138"/>
      <c r="R586" s="138"/>
      <c r="S586" s="138"/>
      <c r="T586" s="138"/>
      <c r="U586" s="138"/>
      <c r="V586" s="138"/>
      <c r="W586" s="469"/>
      <c r="X586" s="469"/>
      <c r="Y586" s="469"/>
      <c r="Z586" s="469"/>
      <c r="AA586" s="469"/>
      <c r="AB586" s="469"/>
      <c r="AC586" s="469"/>
      <c r="AD586" s="469"/>
      <c r="AE586" s="469"/>
      <c r="AF586" s="469"/>
      <c r="AG586" s="469"/>
      <c r="AH586" s="469"/>
      <c r="AI586" s="469"/>
      <c r="AJ586" s="469"/>
      <c r="AK586" s="469"/>
      <c r="AL586" s="469"/>
      <c r="AM586" s="469"/>
      <c r="AN586" s="469"/>
      <c r="AO586" s="469"/>
    </row>
    <row r="587">
      <c r="A587" s="85">
        <v>44957.0</v>
      </c>
      <c r="B587" s="86">
        <v>329.25</v>
      </c>
      <c r="C587" s="85">
        <v>44709.0</v>
      </c>
      <c r="D587" s="89" t="s">
        <v>3435</v>
      </c>
      <c r="E587" s="89" t="s">
        <v>3436</v>
      </c>
      <c r="F587" s="89" t="s">
        <v>3437</v>
      </c>
      <c r="G587" s="89" t="s">
        <v>114</v>
      </c>
      <c r="H587" s="89" t="s">
        <v>94</v>
      </c>
      <c r="I587" s="89" t="s">
        <v>94</v>
      </c>
      <c r="J587" s="89" t="s">
        <v>95</v>
      </c>
      <c r="K587" s="85"/>
      <c r="L587" s="89">
        <v>1.0</v>
      </c>
      <c r="M587" s="85"/>
      <c r="N587" s="89">
        <v>1.0</v>
      </c>
      <c r="O587" s="85"/>
      <c r="P587" s="89"/>
      <c r="Q587" s="137"/>
      <c r="R587" s="138"/>
      <c r="S587" s="138"/>
      <c r="T587" s="138"/>
      <c r="U587" s="138"/>
      <c r="V587" s="138"/>
      <c r="W587" s="469"/>
      <c r="X587" s="469"/>
      <c r="Y587" s="469"/>
      <c r="Z587" s="469"/>
      <c r="AA587" s="469"/>
      <c r="AB587" s="469"/>
      <c r="AC587" s="469"/>
      <c r="AD587" s="469"/>
      <c r="AE587" s="469"/>
      <c r="AF587" s="469"/>
      <c r="AG587" s="469"/>
      <c r="AH587" s="469"/>
      <c r="AI587" s="469"/>
      <c r="AJ587" s="469"/>
      <c r="AK587" s="469"/>
      <c r="AL587" s="469"/>
      <c r="AM587" s="469"/>
      <c r="AN587" s="469"/>
      <c r="AO587" s="469"/>
    </row>
    <row r="588">
      <c r="A588" s="85">
        <v>44957.0</v>
      </c>
      <c r="B588" s="86">
        <v>74.9</v>
      </c>
      <c r="C588" s="85">
        <v>44887.0</v>
      </c>
      <c r="D588" s="89" t="s">
        <v>3438</v>
      </c>
      <c r="E588" s="89" t="s">
        <v>3439</v>
      </c>
      <c r="F588" s="89" t="s">
        <v>3440</v>
      </c>
      <c r="G588" s="89" t="s">
        <v>114</v>
      </c>
      <c r="H588" s="89" t="s">
        <v>94</v>
      </c>
      <c r="I588" s="89" t="s">
        <v>94</v>
      </c>
      <c r="J588" s="89" t="s">
        <v>95</v>
      </c>
      <c r="K588" s="85"/>
      <c r="L588" s="89"/>
      <c r="M588" s="89">
        <v>1.0</v>
      </c>
      <c r="N588" s="85"/>
      <c r="O588" s="85"/>
      <c r="P588" s="89"/>
      <c r="Q588" s="138"/>
      <c r="R588" s="138"/>
      <c r="S588" s="138"/>
      <c r="T588" s="138"/>
      <c r="U588" s="138"/>
      <c r="V588" s="138"/>
      <c r="W588" s="469"/>
      <c r="X588" s="469"/>
      <c r="Y588" s="469"/>
      <c r="Z588" s="469"/>
      <c r="AA588" s="469"/>
      <c r="AB588" s="469"/>
      <c r="AC588" s="469"/>
      <c r="AD588" s="469"/>
      <c r="AE588" s="469"/>
      <c r="AF588" s="469"/>
      <c r="AG588" s="469"/>
      <c r="AH588" s="469"/>
      <c r="AI588" s="469"/>
      <c r="AJ588" s="469"/>
      <c r="AK588" s="469"/>
      <c r="AL588" s="469"/>
      <c r="AM588" s="469"/>
      <c r="AN588" s="469"/>
      <c r="AO588" s="469"/>
    </row>
    <row r="589">
      <c r="A589" s="85">
        <v>44957.0</v>
      </c>
      <c r="B589" s="86">
        <v>19.27</v>
      </c>
      <c r="C589" s="85">
        <v>44680.0</v>
      </c>
      <c r="D589" s="89" t="s">
        <v>3441</v>
      </c>
      <c r="E589" s="89" t="s">
        <v>3442</v>
      </c>
      <c r="F589" s="89" t="s">
        <v>3443</v>
      </c>
      <c r="G589" s="89" t="s">
        <v>114</v>
      </c>
      <c r="H589" s="89" t="s">
        <v>94</v>
      </c>
      <c r="I589" s="89" t="s">
        <v>486</v>
      </c>
      <c r="J589" s="89" t="s">
        <v>95</v>
      </c>
      <c r="K589" s="85"/>
      <c r="L589" s="89"/>
      <c r="M589" s="85"/>
      <c r="N589" s="85"/>
      <c r="O589" s="89">
        <v>1.0</v>
      </c>
      <c r="P589" s="89"/>
      <c r="Q589" s="138"/>
      <c r="R589" s="138"/>
      <c r="S589" s="138"/>
      <c r="T589" s="138"/>
      <c r="U589" s="138"/>
      <c r="V589" s="138"/>
      <c r="W589" s="469"/>
      <c r="X589" s="469"/>
      <c r="Y589" s="469"/>
      <c r="Z589" s="469"/>
      <c r="AA589" s="469"/>
      <c r="AB589" s="469"/>
      <c r="AC589" s="469"/>
      <c r="AD589" s="469"/>
      <c r="AE589" s="469"/>
      <c r="AF589" s="469"/>
      <c r="AG589" s="469"/>
      <c r="AH589" s="469"/>
      <c r="AI589" s="469"/>
      <c r="AJ589" s="469"/>
      <c r="AK589" s="469"/>
      <c r="AL589" s="469"/>
      <c r="AM589" s="469"/>
      <c r="AN589" s="469"/>
      <c r="AO589" s="469"/>
    </row>
    <row r="590">
      <c r="A590" s="85"/>
      <c r="B590" s="86"/>
      <c r="C590" s="85"/>
      <c r="D590" s="89"/>
      <c r="E590" s="89"/>
      <c r="F590" s="89"/>
      <c r="G590" s="89"/>
      <c r="H590" s="89"/>
      <c r="I590" s="89"/>
      <c r="J590" s="89"/>
      <c r="K590" s="89"/>
      <c r="L590" s="85"/>
      <c r="M590" s="85"/>
      <c r="N590" s="85"/>
      <c r="O590" s="85"/>
      <c r="P590" s="89"/>
      <c r="Q590" s="138"/>
      <c r="R590" s="138"/>
      <c r="S590" s="138"/>
      <c r="T590" s="138"/>
      <c r="U590" s="138"/>
      <c r="V590" s="138"/>
      <c r="W590" s="469"/>
      <c r="X590" s="469"/>
      <c r="Y590" s="469"/>
      <c r="Z590" s="469"/>
      <c r="AA590" s="469"/>
      <c r="AB590" s="469"/>
      <c r="AC590" s="469"/>
      <c r="AD590" s="469"/>
      <c r="AE590" s="469"/>
      <c r="AF590" s="469"/>
      <c r="AG590" s="469"/>
      <c r="AH590" s="469"/>
      <c r="AI590" s="469"/>
      <c r="AJ590" s="469"/>
      <c r="AK590" s="469"/>
      <c r="AL590" s="469"/>
      <c r="AM590" s="469"/>
      <c r="AN590" s="469"/>
      <c r="AO590" s="469"/>
    </row>
    <row r="591">
      <c r="A591" s="85"/>
      <c r="B591" s="86"/>
      <c r="C591" s="85"/>
      <c r="D591" s="89"/>
      <c r="E591" s="89"/>
      <c r="F591" s="89"/>
      <c r="G591" s="89"/>
      <c r="H591" s="89"/>
      <c r="I591" s="89"/>
      <c r="J591" s="89"/>
      <c r="K591" s="85"/>
      <c r="L591" s="89"/>
      <c r="M591" s="85"/>
      <c r="N591" s="85"/>
      <c r="O591" s="85"/>
      <c r="P591" s="85"/>
      <c r="Q591" s="138"/>
      <c r="R591" s="138"/>
      <c r="S591" s="138"/>
      <c r="T591" s="138"/>
      <c r="U591" s="138"/>
      <c r="V591" s="138"/>
      <c r="W591" s="469"/>
      <c r="X591" s="469"/>
      <c r="Y591" s="469"/>
      <c r="Z591" s="469"/>
      <c r="AA591" s="469"/>
      <c r="AB591" s="469"/>
      <c r="AC591" s="469"/>
      <c r="AD591" s="469"/>
      <c r="AE591" s="469"/>
      <c r="AF591" s="469"/>
      <c r="AG591" s="469"/>
      <c r="AH591" s="469"/>
      <c r="AI591" s="469"/>
      <c r="AJ591" s="469"/>
      <c r="AK591" s="469"/>
      <c r="AL591" s="469"/>
      <c r="AM591" s="469"/>
      <c r="AN591" s="469"/>
      <c r="AO591" s="469"/>
    </row>
    <row r="592">
      <c r="A592" s="85"/>
      <c r="B592" s="85"/>
      <c r="C592" s="85"/>
      <c r="D592" s="89"/>
      <c r="E592" s="89"/>
      <c r="F592" s="89"/>
      <c r="G592" s="89"/>
      <c r="H592" s="89"/>
      <c r="I592" s="89"/>
      <c r="J592" s="89"/>
      <c r="K592" s="89"/>
      <c r="L592" s="85"/>
      <c r="M592" s="85"/>
      <c r="N592" s="89"/>
      <c r="O592" s="85"/>
      <c r="P592" s="89"/>
      <c r="Q592" s="138"/>
      <c r="R592" s="138"/>
      <c r="S592" s="138"/>
      <c r="T592" s="138"/>
      <c r="U592" s="138"/>
      <c r="V592" s="138"/>
      <c r="W592" s="469"/>
      <c r="X592" s="469"/>
      <c r="Y592" s="469"/>
      <c r="Z592" s="469"/>
      <c r="AA592" s="469"/>
      <c r="AB592" s="469"/>
      <c r="AC592" s="469"/>
      <c r="AD592" s="469"/>
      <c r="AE592" s="469"/>
      <c r="AF592" s="469"/>
      <c r="AG592" s="469"/>
      <c r="AH592" s="469"/>
      <c r="AI592" s="469"/>
      <c r="AJ592" s="469"/>
      <c r="AK592" s="469"/>
      <c r="AL592" s="469"/>
      <c r="AM592" s="469"/>
      <c r="AN592" s="469"/>
      <c r="AO592" s="469"/>
    </row>
    <row r="593">
      <c r="A593" s="85"/>
      <c r="B593" s="85"/>
      <c r="C593" s="85"/>
      <c r="D593" s="89"/>
      <c r="E593" s="89"/>
      <c r="F593" s="89"/>
      <c r="G593" s="89"/>
      <c r="H593" s="89"/>
      <c r="I593" s="89"/>
      <c r="J593" s="89"/>
      <c r="K593" s="89"/>
      <c r="L593" s="85"/>
      <c r="M593" s="85"/>
      <c r="N593" s="85"/>
      <c r="O593" s="85"/>
      <c r="P593" s="89"/>
      <c r="Q593" s="138"/>
      <c r="R593" s="138"/>
      <c r="S593" s="138"/>
      <c r="T593" s="138"/>
      <c r="U593" s="138"/>
      <c r="V593" s="138"/>
      <c r="W593" s="469"/>
      <c r="X593" s="469"/>
      <c r="Y593" s="469"/>
      <c r="Z593" s="469"/>
      <c r="AA593" s="469"/>
      <c r="AB593" s="469"/>
      <c r="AC593" s="469"/>
      <c r="AD593" s="469"/>
      <c r="AE593" s="469"/>
      <c r="AF593" s="469"/>
      <c r="AG593" s="469"/>
      <c r="AH593" s="469"/>
      <c r="AI593" s="469"/>
      <c r="AJ593" s="469"/>
      <c r="AK593" s="469"/>
      <c r="AL593" s="469"/>
      <c r="AM593" s="469"/>
      <c r="AN593" s="469"/>
      <c r="AO593" s="469"/>
    </row>
    <row r="594">
      <c r="A594" s="85"/>
      <c r="B594" s="85"/>
      <c r="C594" s="85"/>
      <c r="D594" s="89"/>
      <c r="E594" s="89"/>
      <c r="F594" s="89"/>
      <c r="G594" s="89"/>
      <c r="H594" s="89"/>
      <c r="I594" s="89"/>
      <c r="J594" s="89"/>
      <c r="K594" s="85"/>
      <c r="L594" s="89"/>
      <c r="M594" s="85"/>
      <c r="N594" s="89"/>
      <c r="O594" s="85"/>
      <c r="P594" s="89"/>
      <c r="Q594" s="138"/>
      <c r="R594" s="138"/>
      <c r="S594" s="138"/>
      <c r="T594" s="138"/>
      <c r="U594" s="138"/>
      <c r="V594" s="138"/>
      <c r="W594" s="469"/>
      <c r="X594" s="469"/>
      <c r="Y594" s="469"/>
      <c r="Z594" s="469"/>
      <c r="AA594" s="469"/>
      <c r="AB594" s="469"/>
      <c r="AC594" s="469"/>
      <c r="AD594" s="469"/>
      <c r="AE594" s="469"/>
      <c r="AF594" s="469"/>
      <c r="AG594" s="469"/>
      <c r="AH594" s="469"/>
      <c r="AI594" s="469"/>
      <c r="AJ594" s="469"/>
      <c r="AK594" s="469"/>
      <c r="AL594" s="469"/>
      <c r="AM594" s="469"/>
      <c r="AN594" s="469"/>
      <c r="AO594" s="469"/>
    </row>
    <row r="595">
      <c r="A595" s="85"/>
      <c r="B595" s="85"/>
      <c r="C595" s="85"/>
      <c r="D595" s="89"/>
      <c r="E595" s="89"/>
      <c r="F595" s="89"/>
      <c r="G595" s="89"/>
      <c r="H595" s="89"/>
      <c r="I595" s="89"/>
      <c r="J595" s="89"/>
      <c r="K595" s="85"/>
      <c r="L595" s="89"/>
      <c r="M595" s="85"/>
      <c r="N595" s="85"/>
      <c r="O595" s="85"/>
      <c r="P595" s="89"/>
      <c r="Q595" s="138"/>
      <c r="R595" s="138"/>
      <c r="S595" s="138"/>
      <c r="T595" s="138"/>
      <c r="U595" s="138"/>
      <c r="V595" s="138"/>
      <c r="W595" s="469"/>
      <c r="X595" s="469"/>
      <c r="Y595" s="469"/>
      <c r="Z595" s="469"/>
      <c r="AA595" s="469"/>
      <c r="AB595" s="469"/>
      <c r="AC595" s="469"/>
      <c r="AD595" s="469"/>
      <c r="AE595" s="469"/>
      <c r="AF595" s="469"/>
      <c r="AG595" s="469"/>
      <c r="AH595" s="469"/>
      <c r="AI595" s="469"/>
      <c r="AJ595" s="469"/>
      <c r="AK595" s="469"/>
      <c r="AL595" s="469"/>
      <c r="AM595" s="469"/>
      <c r="AN595" s="89"/>
      <c r="AO595" s="89"/>
    </row>
    <row r="596">
      <c r="A596" s="85"/>
      <c r="B596" s="85"/>
      <c r="C596" s="85"/>
      <c r="D596" s="89"/>
      <c r="E596" s="89"/>
      <c r="F596" s="89"/>
      <c r="G596" s="89"/>
      <c r="H596" s="89"/>
      <c r="I596" s="89"/>
      <c r="J596" s="89"/>
      <c r="K596" s="85"/>
      <c r="L596" s="89"/>
      <c r="M596" s="85"/>
      <c r="N596" s="89"/>
      <c r="O596" s="85"/>
      <c r="P596" s="85"/>
      <c r="Q596" s="138"/>
      <c r="R596" s="138"/>
      <c r="S596" s="138"/>
      <c r="T596" s="138"/>
      <c r="U596" s="138"/>
      <c r="V596" s="138"/>
      <c r="W596" s="469"/>
      <c r="X596" s="469"/>
      <c r="Y596" s="469"/>
      <c r="Z596" s="469"/>
      <c r="AA596" s="469"/>
      <c r="AB596" s="469"/>
      <c r="AC596" s="469"/>
      <c r="AD596" s="469"/>
      <c r="AE596" s="469"/>
      <c r="AF596" s="469"/>
      <c r="AG596" s="469"/>
      <c r="AH596" s="469"/>
      <c r="AI596" s="469"/>
      <c r="AJ596" s="469"/>
      <c r="AK596" s="469"/>
      <c r="AL596" s="469"/>
      <c r="AM596" s="469"/>
      <c r="AN596" s="469"/>
      <c r="AO596" s="469"/>
    </row>
    <row r="597">
      <c r="A597" s="85"/>
      <c r="B597" s="85"/>
      <c r="C597" s="85"/>
      <c r="D597" s="89"/>
      <c r="E597" s="89"/>
      <c r="F597" s="89"/>
      <c r="G597" s="89"/>
      <c r="H597" s="89"/>
      <c r="I597" s="89"/>
      <c r="J597" s="89"/>
      <c r="K597" s="89"/>
      <c r="L597" s="85"/>
      <c r="M597" s="85"/>
      <c r="N597" s="85"/>
      <c r="O597" s="85"/>
      <c r="P597" s="89"/>
      <c r="Q597" s="138"/>
      <c r="R597" s="138"/>
      <c r="S597" s="138"/>
      <c r="T597" s="138"/>
      <c r="U597" s="138"/>
      <c r="V597" s="138"/>
      <c r="W597" s="469"/>
      <c r="X597" s="469"/>
      <c r="Y597" s="469"/>
      <c r="Z597" s="469"/>
      <c r="AA597" s="469"/>
      <c r="AB597" s="469"/>
      <c r="AC597" s="469"/>
      <c r="AD597" s="469"/>
      <c r="AE597" s="469"/>
      <c r="AF597" s="469"/>
      <c r="AG597" s="469"/>
      <c r="AH597" s="469"/>
      <c r="AI597" s="469"/>
      <c r="AJ597" s="469"/>
      <c r="AK597" s="469"/>
      <c r="AL597" s="469"/>
      <c r="AM597" s="469"/>
      <c r="AN597" s="469"/>
      <c r="AO597" s="469"/>
    </row>
    <row r="598">
      <c r="A598" s="85"/>
      <c r="B598" s="85"/>
      <c r="C598" s="85"/>
      <c r="D598" s="89"/>
      <c r="E598" s="339"/>
      <c r="F598" s="89"/>
      <c r="G598" s="89"/>
      <c r="H598" s="89"/>
      <c r="I598" s="89"/>
      <c r="J598" s="89"/>
      <c r="K598" s="89"/>
      <c r="L598" s="85"/>
      <c r="M598" s="85"/>
      <c r="N598" s="85"/>
      <c r="O598" s="85"/>
      <c r="P598" s="85"/>
      <c r="Q598" s="138"/>
      <c r="R598" s="138"/>
      <c r="S598" s="138"/>
      <c r="T598" s="138"/>
      <c r="U598" s="138"/>
      <c r="V598" s="138"/>
      <c r="W598" s="469"/>
      <c r="X598" s="469"/>
      <c r="Y598" s="469"/>
      <c r="Z598" s="469"/>
      <c r="AA598" s="469"/>
      <c r="AB598" s="469"/>
      <c r="AC598" s="469"/>
      <c r="AD598" s="469"/>
      <c r="AE598" s="469"/>
      <c r="AF598" s="469"/>
      <c r="AG598" s="469"/>
      <c r="AH598" s="469"/>
      <c r="AI598" s="469"/>
      <c r="AJ598" s="469"/>
      <c r="AK598" s="469"/>
      <c r="AL598" s="469"/>
      <c r="AM598" s="469"/>
      <c r="AN598" s="469"/>
      <c r="AO598" s="469"/>
    </row>
    <row r="599">
      <c r="A599" s="85"/>
      <c r="B599" s="85"/>
      <c r="C599" s="85"/>
      <c r="D599" s="82"/>
      <c r="E599" s="89"/>
      <c r="F599" s="89"/>
      <c r="G599" s="89"/>
      <c r="H599" s="89"/>
      <c r="I599" s="89"/>
      <c r="J599" s="89"/>
      <c r="K599" s="89"/>
      <c r="L599" s="85"/>
      <c r="M599" s="85"/>
      <c r="N599" s="85"/>
      <c r="O599" s="85"/>
      <c r="P599" s="89"/>
      <c r="Q599" s="138"/>
      <c r="R599" s="138"/>
      <c r="S599" s="138"/>
      <c r="T599" s="138"/>
      <c r="U599" s="138"/>
      <c r="V599" s="138"/>
      <c r="W599" s="469"/>
      <c r="X599" s="469"/>
      <c r="Y599" s="469"/>
      <c r="Z599" s="469"/>
      <c r="AA599" s="469"/>
      <c r="AB599" s="469"/>
      <c r="AC599" s="469"/>
      <c r="AD599" s="469"/>
      <c r="AE599" s="469"/>
      <c r="AF599" s="469"/>
      <c r="AG599" s="469"/>
      <c r="AH599" s="469"/>
      <c r="AI599" s="469"/>
      <c r="AJ599" s="469"/>
      <c r="AK599" s="469"/>
      <c r="AL599" s="469"/>
      <c r="AM599" s="469"/>
      <c r="AN599" s="469"/>
      <c r="AO599" s="469"/>
    </row>
    <row r="600">
      <c r="A600" s="85"/>
      <c r="B600" s="85"/>
      <c r="C600" s="85"/>
      <c r="D600" s="89"/>
      <c r="E600" s="89"/>
      <c r="F600" s="89"/>
      <c r="G600" s="89"/>
      <c r="H600" s="89"/>
      <c r="I600" s="89"/>
      <c r="J600" s="89"/>
      <c r="K600" s="85"/>
      <c r="L600" s="89"/>
      <c r="M600" s="85"/>
      <c r="N600" s="85"/>
      <c r="O600" s="85"/>
      <c r="P600" s="89"/>
      <c r="Q600" s="138"/>
      <c r="R600" s="138"/>
      <c r="S600" s="138"/>
      <c r="T600" s="138"/>
      <c r="U600" s="138"/>
      <c r="V600" s="138"/>
      <c r="W600" s="469"/>
      <c r="X600" s="469"/>
      <c r="Y600" s="469"/>
      <c r="Z600" s="469"/>
      <c r="AA600" s="469"/>
      <c r="AB600" s="469"/>
      <c r="AC600" s="469"/>
      <c r="AD600" s="469"/>
      <c r="AE600" s="469"/>
      <c r="AF600" s="469"/>
      <c r="AG600" s="469"/>
      <c r="AH600" s="469"/>
      <c r="AI600" s="469"/>
      <c r="AJ600" s="469"/>
      <c r="AK600" s="469"/>
      <c r="AL600" s="469"/>
      <c r="AM600" s="469"/>
      <c r="AN600" s="469"/>
      <c r="AO600" s="469"/>
    </row>
    <row r="601">
      <c r="A601" s="85"/>
      <c r="B601" s="85"/>
      <c r="C601" s="85"/>
      <c r="D601" s="89"/>
      <c r="E601" s="89"/>
      <c r="F601" s="89"/>
      <c r="G601" s="89"/>
      <c r="H601" s="89"/>
      <c r="I601" s="89"/>
      <c r="J601" s="89"/>
      <c r="K601" s="85"/>
      <c r="L601" s="89"/>
      <c r="M601" s="85"/>
      <c r="N601" s="85"/>
      <c r="O601" s="85"/>
      <c r="P601" s="85"/>
      <c r="Q601" s="138"/>
      <c r="R601" s="138"/>
      <c r="S601" s="138"/>
      <c r="T601" s="138"/>
      <c r="U601" s="138"/>
      <c r="V601" s="138"/>
      <c r="W601" s="469"/>
      <c r="X601" s="469"/>
      <c r="Y601" s="469"/>
      <c r="Z601" s="469"/>
      <c r="AA601" s="469"/>
      <c r="AB601" s="469"/>
      <c r="AC601" s="469"/>
      <c r="AD601" s="469"/>
      <c r="AE601" s="469"/>
      <c r="AF601" s="469"/>
      <c r="AG601" s="469"/>
      <c r="AH601" s="469"/>
      <c r="AI601" s="469"/>
      <c r="AJ601" s="469"/>
      <c r="AK601" s="469"/>
      <c r="AL601" s="469"/>
      <c r="AM601" s="469"/>
      <c r="AN601" s="469"/>
      <c r="AO601" s="469"/>
    </row>
    <row r="602">
      <c r="A602" s="85"/>
      <c r="B602" s="85"/>
      <c r="C602" s="85"/>
      <c r="D602" s="89"/>
      <c r="E602" s="89"/>
      <c r="F602" s="89"/>
      <c r="G602" s="89"/>
      <c r="H602" s="89"/>
      <c r="I602" s="89"/>
      <c r="J602" s="89"/>
      <c r="K602" s="89"/>
      <c r="L602" s="85"/>
      <c r="M602" s="85"/>
      <c r="N602" s="85"/>
      <c r="O602" s="85"/>
      <c r="P602" s="89"/>
      <c r="Q602" s="138"/>
      <c r="R602" s="138"/>
      <c r="S602" s="138"/>
      <c r="T602" s="138"/>
      <c r="U602" s="138"/>
      <c r="V602" s="138"/>
      <c r="W602" s="469"/>
      <c r="X602" s="469"/>
      <c r="Y602" s="469"/>
      <c r="Z602" s="469"/>
      <c r="AA602" s="469"/>
      <c r="AB602" s="469"/>
      <c r="AC602" s="469"/>
      <c r="AD602" s="469"/>
      <c r="AE602" s="469"/>
      <c r="AF602" s="469"/>
      <c r="AG602" s="469"/>
      <c r="AH602" s="469"/>
      <c r="AI602" s="469"/>
      <c r="AJ602" s="469"/>
      <c r="AK602" s="469"/>
      <c r="AL602" s="469"/>
      <c r="AM602" s="469"/>
      <c r="AN602" s="469"/>
      <c r="AO602" s="469"/>
    </row>
    <row r="603">
      <c r="A603" s="85"/>
      <c r="B603" s="85"/>
      <c r="C603" s="85"/>
      <c r="D603" s="85"/>
      <c r="E603" s="89"/>
      <c r="F603" s="89"/>
      <c r="G603" s="89"/>
      <c r="H603" s="89"/>
      <c r="I603" s="89"/>
      <c r="J603" s="89"/>
      <c r="K603" s="85"/>
      <c r="L603" s="89"/>
      <c r="M603" s="85"/>
      <c r="N603" s="85"/>
      <c r="O603" s="85"/>
      <c r="P603" s="89"/>
      <c r="Q603" s="138"/>
      <c r="R603" s="138"/>
      <c r="S603" s="138"/>
      <c r="T603" s="138"/>
      <c r="U603" s="138"/>
      <c r="V603" s="138"/>
      <c r="W603" s="469"/>
      <c r="X603" s="469"/>
      <c r="Y603" s="469"/>
      <c r="Z603" s="469"/>
      <c r="AA603" s="469"/>
      <c r="AB603" s="469"/>
      <c r="AC603" s="469"/>
      <c r="AD603" s="469"/>
      <c r="AE603" s="469"/>
      <c r="AF603" s="469"/>
      <c r="AG603" s="469"/>
      <c r="AH603" s="469"/>
      <c r="AI603" s="469"/>
      <c r="AJ603" s="469"/>
      <c r="AK603" s="469"/>
      <c r="AL603" s="469"/>
      <c r="AM603" s="469"/>
      <c r="AN603" s="469"/>
      <c r="AO603" s="469"/>
    </row>
    <row r="604">
      <c r="A604" s="85"/>
      <c r="B604" s="85"/>
      <c r="C604" s="85"/>
      <c r="D604" s="85"/>
      <c r="E604" s="85"/>
      <c r="F604" s="85"/>
      <c r="G604" s="89"/>
      <c r="H604" s="89"/>
      <c r="I604" s="89"/>
      <c r="J604" s="89"/>
      <c r="K604" s="85"/>
      <c r="L604" s="89"/>
      <c r="M604" s="85"/>
      <c r="N604" s="85"/>
      <c r="O604" s="85"/>
      <c r="P604" s="89"/>
      <c r="Q604" s="138"/>
      <c r="R604" s="138"/>
      <c r="S604" s="138"/>
      <c r="T604" s="138"/>
      <c r="U604" s="138"/>
      <c r="V604" s="138"/>
      <c r="W604" s="469"/>
      <c r="X604" s="469"/>
      <c r="Y604" s="469"/>
      <c r="Z604" s="469"/>
      <c r="AA604" s="469"/>
      <c r="AB604" s="469"/>
      <c r="AC604" s="469"/>
      <c r="AD604" s="469"/>
      <c r="AE604" s="469"/>
      <c r="AF604" s="469"/>
      <c r="AG604" s="469"/>
      <c r="AH604" s="469"/>
      <c r="AI604" s="469"/>
      <c r="AJ604" s="469"/>
      <c r="AK604" s="469"/>
      <c r="AL604" s="469"/>
      <c r="AM604" s="469"/>
      <c r="AN604" s="469"/>
      <c r="AO604" s="469"/>
    </row>
    <row r="605">
      <c r="A605" s="85"/>
      <c r="B605" s="85"/>
      <c r="C605" s="85"/>
      <c r="D605" s="89"/>
      <c r="E605" s="85"/>
      <c r="F605" s="85"/>
      <c r="G605" s="89"/>
      <c r="H605" s="89"/>
      <c r="I605" s="89"/>
      <c r="J605" s="89"/>
      <c r="K605" s="85"/>
      <c r="L605" s="89"/>
      <c r="M605" s="85"/>
      <c r="N605" s="85"/>
      <c r="O605" s="85"/>
      <c r="P605" s="89"/>
      <c r="Q605" s="138"/>
      <c r="R605" s="138"/>
      <c r="S605" s="138"/>
      <c r="T605" s="138"/>
      <c r="U605" s="138"/>
      <c r="V605" s="138"/>
      <c r="W605" s="469"/>
      <c r="X605" s="469"/>
      <c r="Y605" s="469"/>
      <c r="Z605" s="469"/>
      <c r="AA605" s="469"/>
      <c r="AB605" s="469"/>
      <c r="AC605" s="469"/>
      <c r="AD605" s="469"/>
      <c r="AE605" s="469"/>
      <c r="AF605" s="469"/>
      <c r="AG605" s="469"/>
      <c r="AH605" s="469"/>
      <c r="AI605" s="469"/>
      <c r="AJ605" s="469"/>
      <c r="AK605" s="469"/>
      <c r="AL605" s="469"/>
      <c r="AM605" s="469"/>
      <c r="AN605" s="469"/>
      <c r="AO605" s="469"/>
    </row>
    <row r="606">
      <c r="A606" s="85"/>
      <c r="B606" s="85"/>
      <c r="C606" s="85"/>
      <c r="D606" s="89"/>
      <c r="E606" s="89"/>
      <c r="F606" s="89"/>
      <c r="G606" s="89"/>
      <c r="H606" s="89"/>
      <c r="I606" s="89"/>
      <c r="J606" s="89"/>
      <c r="K606" s="85"/>
      <c r="L606" s="89"/>
      <c r="M606" s="85"/>
      <c r="N606" s="85"/>
      <c r="O606" s="85"/>
      <c r="P606" s="89"/>
      <c r="Q606" s="138"/>
      <c r="R606" s="138"/>
      <c r="S606" s="138"/>
      <c r="T606" s="138"/>
      <c r="U606" s="138"/>
      <c r="V606" s="138"/>
      <c r="W606" s="469"/>
      <c r="X606" s="469"/>
      <c r="Y606" s="469"/>
      <c r="Z606" s="469"/>
      <c r="AA606" s="469"/>
      <c r="AB606" s="469"/>
      <c r="AC606" s="469"/>
      <c r="AD606" s="469"/>
      <c r="AE606" s="469"/>
      <c r="AF606" s="469"/>
      <c r="AG606" s="469"/>
      <c r="AH606" s="469"/>
      <c r="AI606" s="469"/>
      <c r="AJ606" s="469"/>
      <c r="AK606" s="469"/>
      <c r="AL606" s="469"/>
      <c r="AM606" s="469"/>
      <c r="AN606" s="469"/>
      <c r="AO606" s="469"/>
    </row>
    <row r="607">
      <c r="A607" s="85"/>
      <c r="B607" s="85"/>
      <c r="C607" s="85"/>
      <c r="D607" s="89"/>
      <c r="E607" s="89"/>
      <c r="F607" s="89"/>
      <c r="G607" s="89"/>
      <c r="H607" s="89"/>
      <c r="I607" s="89"/>
      <c r="J607" s="89"/>
      <c r="K607" s="85"/>
      <c r="L607" s="89"/>
      <c r="M607" s="85"/>
      <c r="N607" s="85"/>
      <c r="O607" s="85"/>
      <c r="P607" s="89"/>
      <c r="Q607" s="138"/>
      <c r="R607" s="138"/>
      <c r="S607" s="138"/>
      <c r="T607" s="138"/>
      <c r="U607" s="138"/>
      <c r="V607" s="138"/>
      <c r="W607" s="469"/>
      <c r="X607" s="469"/>
      <c r="Y607" s="469"/>
      <c r="Z607" s="469"/>
      <c r="AA607" s="469"/>
      <c r="AB607" s="469"/>
      <c r="AC607" s="469"/>
      <c r="AD607" s="469"/>
      <c r="AE607" s="469"/>
      <c r="AF607" s="469"/>
      <c r="AG607" s="469"/>
      <c r="AH607" s="469"/>
      <c r="AI607" s="469"/>
      <c r="AJ607" s="469"/>
      <c r="AK607" s="469"/>
      <c r="AL607" s="469"/>
      <c r="AM607" s="469"/>
      <c r="AN607" s="469"/>
      <c r="AO607" s="469"/>
    </row>
    <row r="608">
      <c r="A608" s="85"/>
      <c r="B608" s="85"/>
      <c r="C608" s="85"/>
      <c r="D608" s="89"/>
      <c r="E608" s="89"/>
      <c r="F608" s="89"/>
      <c r="G608" s="89"/>
      <c r="H608" s="89"/>
      <c r="I608" s="89"/>
      <c r="J608" s="89"/>
      <c r="K608" s="85"/>
      <c r="L608" s="89"/>
      <c r="M608" s="85"/>
      <c r="N608" s="85"/>
      <c r="O608" s="85"/>
      <c r="P608" s="89"/>
      <c r="Q608" s="138"/>
      <c r="R608" s="138"/>
      <c r="S608" s="138"/>
      <c r="T608" s="138"/>
      <c r="U608" s="138"/>
      <c r="V608" s="138"/>
      <c r="W608" s="469"/>
      <c r="X608" s="469"/>
      <c r="Y608" s="469"/>
      <c r="Z608" s="469"/>
      <c r="AA608" s="469"/>
      <c r="AB608" s="469"/>
      <c r="AC608" s="469"/>
      <c r="AD608" s="469"/>
      <c r="AE608" s="469"/>
      <c r="AF608" s="469"/>
      <c r="AG608" s="469"/>
      <c r="AH608" s="469"/>
      <c r="AI608" s="469"/>
      <c r="AJ608" s="469"/>
      <c r="AK608" s="469"/>
      <c r="AL608" s="469"/>
      <c r="AM608" s="469"/>
      <c r="AN608" s="469"/>
      <c r="AO608" s="469"/>
    </row>
    <row r="609">
      <c r="A609" s="85"/>
      <c r="B609" s="85"/>
      <c r="C609" s="85"/>
      <c r="D609" s="89"/>
      <c r="E609" s="89"/>
      <c r="F609" s="89"/>
      <c r="G609" s="89"/>
      <c r="H609" s="89"/>
      <c r="I609" s="89"/>
      <c r="J609" s="89"/>
      <c r="K609" s="89"/>
      <c r="L609" s="85"/>
      <c r="M609" s="89"/>
      <c r="N609" s="89"/>
      <c r="O609" s="85"/>
      <c r="P609" s="89"/>
      <c r="Q609" s="138"/>
      <c r="R609" s="138"/>
      <c r="S609" s="138"/>
      <c r="T609" s="138"/>
      <c r="U609" s="138"/>
      <c r="V609" s="138"/>
      <c r="W609" s="469"/>
      <c r="X609" s="469"/>
      <c r="Y609" s="469"/>
      <c r="Z609" s="469"/>
      <c r="AA609" s="469"/>
      <c r="AB609" s="469"/>
      <c r="AC609" s="469"/>
      <c r="AD609" s="469"/>
      <c r="AE609" s="469"/>
      <c r="AF609" s="469"/>
      <c r="AG609" s="469"/>
      <c r="AH609" s="469"/>
      <c r="AI609" s="469"/>
      <c r="AJ609" s="469"/>
      <c r="AK609" s="469"/>
      <c r="AL609" s="469"/>
      <c r="AM609" s="469"/>
      <c r="AN609" s="469"/>
      <c r="AO609" s="469"/>
    </row>
    <row r="610">
      <c r="A610" s="85"/>
      <c r="B610" s="85"/>
      <c r="C610" s="85"/>
      <c r="D610" s="89"/>
      <c r="E610" s="89"/>
      <c r="F610" s="89"/>
      <c r="G610" s="89"/>
      <c r="H610" s="89"/>
      <c r="I610" s="89"/>
      <c r="J610" s="89"/>
      <c r="K610" s="89"/>
      <c r="L610" s="85"/>
      <c r="M610" s="85"/>
      <c r="N610" s="85"/>
      <c r="O610" s="85"/>
      <c r="P610" s="89"/>
      <c r="Q610" s="138"/>
      <c r="R610" s="138"/>
      <c r="S610" s="138"/>
      <c r="T610" s="138"/>
      <c r="U610" s="138"/>
      <c r="V610" s="138"/>
      <c r="W610" s="469"/>
      <c r="X610" s="469"/>
      <c r="Y610" s="469"/>
      <c r="Z610" s="469"/>
      <c r="AA610" s="469"/>
      <c r="AB610" s="469"/>
      <c r="AC610" s="469"/>
      <c r="AD610" s="469"/>
      <c r="AE610" s="469"/>
      <c r="AF610" s="469"/>
      <c r="AG610" s="469"/>
      <c r="AH610" s="469"/>
      <c r="AI610" s="469"/>
      <c r="AJ610" s="469"/>
      <c r="AK610" s="469"/>
      <c r="AL610" s="469"/>
      <c r="AM610" s="469"/>
      <c r="AN610" s="469"/>
      <c r="AO610" s="469"/>
    </row>
    <row r="611">
      <c r="A611" s="85"/>
      <c r="B611" s="85"/>
      <c r="C611" s="85"/>
      <c r="D611" s="89"/>
      <c r="E611" s="89"/>
      <c r="F611" s="89"/>
      <c r="G611" s="89"/>
      <c r="H611" s="89"/>
      <c r="I611" s="89"/>
      <c r="J611" s="89"/>
      <c r="K611" s="89"/>
      <c r="L611" s="85"/>
      <c r="M611" s="85"/>
      <c r="N611" s="89"/>
      <c r="O611" s="85"/>
      <c r="P611" s="89"/>
      <c r="Q611" s="138"/>
      <c r="R611" s="138"/>
      <c r="S611" s="138"/>
      <c r="T611" s="138"/>
      <c r="U611" s="138"/>
      <c r="V611" s="138"/>
      <c r="W611" s="469"/>
      <c r="X611" s="469"/>
      <c r="Y611" s="469"/>
      <c r="Z611" s="469"/>
      <c r="AA611" s="469"/>
      <c r="AB611" s="469"/>
      <c r="AC611" s="469"/>
      <c r="AD611" s="469"/>
      <c r="AE611" s="469"/>
      <c r="AF611" s="469"/>
      <c r="AG611" s="469"/>
      <c r="AH611" s="469"/>
      <c r="AI611" s="469"/>
      <c r="AJ611" s="469"/>
      <c r="AK611" s="469"/>
      <c r="AL611" s="469"/>
      <c r="AM611" s="469"/>
      <c r="AN611" s="469"/>
      <c r="AO611" s="469"/>
    </row>
    <row r="612">
      <c r="A612" s="85"/>
      <c r="B612" s="85"/>
      <c r="C612" s="85"/>
      <c r="D612" s="89"/>
      <c r="E612" s="89"/>
      <c r="F612" s="89"/>
      <c r="G612" s="89"/>
      <c r="H612" s="89"/>
      <c r="I612" s="89"/>
      <c r="J612" s="89"/>
      <c r="K612" s="89"/>
      <c r="L612" s="85"/>
      <c r="M612" s="89"/>
      <c r="N612" s="89"/>
      <c r="O612" s="85"/>
      <c r="P612" s="89"/>
      <c r="Q612" s="137"/>
      <c r="R612" s="138"/>
      <c r="S612" s="138"/>
      <c r="T612" s="138"/>
      <c r="U612" s="138"/>
      <c r="V612" s="138"/>
      <c r="W612" s="469"/>
      <c r="X612" s="469"/>
      <c r="Y612" s="469"/>
      <c r="Z612" s="469"/>
      <c r="AA612" s="469"/>
      <c r="AB612" s="469"/>
      <c r="AC612" s="469"/>
      <c r="AD612" s="469"/>
      <c r="AE612" s="469"/>
      <c r="AF612" s="469"/>
      <c r="AG612" s="469"/>
      <c r="AH612" s="469"/>
      <c r="AI612" s="469"/>
      <c r="AJ612" s="469"/>
      <c r="AK612" s="469"/>
      <c r="AL612" s="469"/>
      <c r="AM612" s="469"/>
      <c r="AN612" s="469"/>
      <c r="AO612" s="469"/>
    </row>
    <row r="613">
      <c r="A613" s="85"/>
      <c r="B613" s="85"/>
      <c r="C613" s="85"/>
      <c r="D613" s="89"/>
      <c r="E613" s="89"/>
      <c r="F613" s="89"/>
      <c r="G613" s="89"/>
      <c r="H613" s="89"/>
      <c r="I613" s="89"/>
      <c r="J613" s="89"/>
      <c r="K613" s="85"/>
      <c r="L613" s="89"/>
      <c r="M613" s="85"/>
      <c r="N613" s="85"/>
      <c r="O613" s="85"/>
      <c r="P613" s="89"/>
      <c r="Q613" s="138"/>
      <c r="R613" s="138"/>
      <c r="S613" s="138"/>
      <c r="T613" s="138"/>
      <c r="U613" s="138"/>
      <c r="V613" s="138"/>
      <c r="W613" s="469"/>
      <c r="X613" s="469"/>
      <c r="Y613" s="469"/>
      <c r="Z613" s="469"/>
      <c r="AA613" s="469"/>
      <c r="AB613" s="469"/>
      <c r="AC613" s="469"/>
      <c r="AD613" s="469"/>
      <c r="AE613" s="469"/>
      <c r="AF613" s="469"/>
      <c r="AG613" s="469"/>
      <c r="AH613" s="469"/>
      <c r="AI613" s="469"/>
      <c r="AJ613" s="469"/>
      <c r="AK613" s="469"/>
      <c r="AL613" s="469"/>
      <c r="AM613" s="469"/>
      <c r="AN613" s="469"/>
      <c r="AO613" s="469"/>
    </row>
    <row r="614">
      <c r="A614" s="85"/>
      <c r="B614" s="685"/>
      <c r="C614" s="85"/>
      <c r="D614" s="89"/>
      <c r="E614" s="89"/>
      <c r="F614" s="89"/>
      <c r="G614" s="89"/>
      <c r="H614" s="89"/>
      <c r="I614" s="89"/>
      <c r="J614" s="89"/>
      <c r="K614" s="89"/>
      <c r="L614" s="85"/>
      <c r="M614" s="85"/>
      <c r="N614" s="89"/>
      <c r="O614" s="85"/>
      <c r="P614" s="85"/>
      <c r="Q614" s="138"/>
      <c r="R614" s="138"/>
      <c r="S614" s="138"/>
      <c r="T614" s="138"/>
      <c r="U614" s="138"/>
      <c r="V614" s="138"/>
      <c r="W614" s="469"/>
      <c r="X614" s="469"/>
      <c r="Y614" s="469"/>
      <c r="Z614" s="469"/>
      <c r="AA614" s="469"/>
      <c r="AB614" s="469"/>
      <c r="AC614" s="469"/>
      <c r="AD614" s="469"/>
      <c r="AE614" s="469"/>
      <c r="AF614" s="469"/>
      <c r="AG614" s="469"/>
      <c r="AH614" s="469"/>
      <c r="AI614" s="469"/>
      <c r="AJ614" s="469"/>
      <c r="AK614" s="469"/>
      <c r="AL614" s="469"/>
      <c r="AM614" s="469"/>
      <c r="AN614" s="469"/>
      <c r="AO614" s="469"/>
    </row>
    <row r="615">
      <c r="A615" s="85"/>
      <c r="B615" s="685"/>
      <c r="C615" s="85"/>
      <c r="D615" s="89"/>
      <c r="E615" s="89"/>
      <c r="F615" s="89"/>
      <c r="G615" s="89"/>
      <c r="H615" s="89"/>
      <c r="I615" s="89"/>
      <c r="J615" s="89"/>
      <c r="K615" s="85"/>
      <c r="L615" s="89"/>
      <c r="M615" s="85"/>
      <c r="N615" s="89"/>
      <c r="O615" s="85"/>
      <c r="P615" s="89"/>
      <c r="Q615" s="138"/>
      <c r="R615" s="138"/>
      <c r="S615" s="138"/>
      <c r="T615" s="138"/>
      <c r="U615" s="138"/>
      <c r="V615" s="138"/>
      <c r="W615" s="469"/>
      <c r="X615" s="469"/>
      <c r="Y615" s="469"/>
      <c r="Z615" s="469"/>
      <c r="AA615" s="469"/>
      <c r="AB615" s="469"/>
      <c r="AC615" s="469"/>
      <c r="AD615" s="469"/>
      <c r="AE615" s="469"/>
      <c r="AF615" s="469"/>
      <c r="AG615" s="469"/>
      <c r="AH615" s="469"/>
      <c r="AI615" s="469"/>
      <c r="AJ615" s="469"/>
      <c r="AK615" s="469"/>
      <c r="AL615" s="469"/>
      <c r="AM615" s="469"/>
      <c r="AN615" s="469"/>
      <c r="AO615" s="469"/>
    </row>
    <row r="616">
      <c r="A616" s="85"/>
      <c r="B616" s="685"/>
      <c r="C616" s="85"/>
      <c r="D616" s="89"/>
      <c r="E616" s="89"/>
      <c r="F616" s="89"/>
      <c r="G616" s="89"/>
      <c r="H616" s="89"/>
      <c r="I616" s="89"/>
      <c r="J616" s="89"/>
      <c r="K616" s="85"/>
      <c r="L616" s="89"/>
      <c r="M616" s="85"/>
      <c r="N616" s="89"/>
      <c r="O616" s="85"/>
      <c r="P616" s="89"/>
      <c r="Q616" s="138"/>
      <c r="R616" s="138"/>
      <c r="S616" s="138"/>
      <c r="T616" s="138"/>
      <c r="U616" s="138"/>
      <c r="V616" s="138"/>
      <c r="W616" s="469"/>
      <c r="X616" s="469"/>
      <c r="Y616" s="469"/>
      <c r="Z616" s="469"/>
      <c r="AA616" s="469"/>
      <c r="AB616" s="469"/>
      <c r="AC616" s="469"/>
      <c r="AD616" s="469"/>
      <c r="AE616" s="469"/>
      <c r="AF616" s="469"/>
      <c r="AG616" s="469"/>
      <c r="AH616" s="469"/>
      <c r="AI616" s="469"/>
      <c r="AJ616" s="469"/>
      <c r="AK616" s="469"/>
      <c r="AL616" s="469"/>
      <c r="AM616" s="469"/>
      <c r="AN616" s="469"/>
      <c r="AO616" s="469"/>
    </row>
    <row r="617">
      <c r="A617" s="85"/>
      <c r="B617" s="685"/>
      <c r="C617" s="85"/>
      <c r="D617" s="89"/>
      <c r="E617" s="89"/>
      <c r="F617" s="89"/>
      <c r="G617" s="89"/>
      <c r="H617" s="89"/>
      <c r="I617" s="89"/>
      <c r="J617" s="89"/>
      <c r="K617" s="85"/>
      <c r="L617" s="89"/>
      <c r="M617" s="85"/>
      <c r="N617" s="89"/>
      <c r="O617" s="85"/>
      <c r="P617" s="89"/>
      <c r="Q617" s="138"/>
      <c r="R617" s="138"/>
      <c r="S617" s="138"/>
      <c r="T617" s="138"/>
      <c r="U617" s="138"/>
      <c r="V617" s="138"/>
      <c r="W617" s="469"/>
      <c r="X617" s="469"/>
      <c r="Y617" s="469"/>
      <c r="Z617" s="469"/>
      <c r="AA617" s="469"/>
      <c r="AB617" s="469"/>
      <c r="AC617" s="469"/>
      <c r="AD617" s="469"/>
      <c r="AE617" s="469"/>
      <c r="AF617" s="469"/>
      <c r="AG617" s="469"/>
      <c r="AH617" s="469"/>
      <c r="AI617" s="469"/>
      <c r="AJ617" s="469"/>
      <c r="AK617" s="469"/>
      <c r="AL617" s="469"/>
      <c r="AM617" s="469"/>
      <c r="AN617" s="469"/>
      <c r="AO617" s="469"/>
    </row>
    <row r="618">
      <c r="A618" s="85"/>
      <c r="B618" s="685"/>
      <c r="C618" s="85"/>
      <c r="D618" s="89"/>
      <c r="E618" s="89"/>
      <c r="F618" s="89"/>
      <c r="G618" s="89"/>
      <c r="H618" s="89"/>
      <c r="I618" s="89"/>
      <c r="J618" s="89"/>
      <c r="K618" s="85"/>
      <c r="L618" s="89"/>
      <c r="M618" s="85"/>
      <c r="N618" s="85"/>
      <c r="O618" s="85"/>
      <c r="P618" s="89"/>
      <c r="Q618" s="138"/>
      <c r="R618" s="138"/>
      <c r="S618" s="138"/>
      <c r="T618" s="138"/>
      <c r="U618" s="138"/>
      <c r="V618" s="138"/>
      <c r="W618" s="469"/>
      <c r="X618" s="469"/>
      <c r="Y618" s="469"/>
      <c r="Z618" s="469"/>
      <c r="AA618" s="469"/>
      <c r="AB618" s="469"/>
      <c r="AC618" s="469"/>
      <c r="AD618" s="469"/>
      <c r="AE618" s="469"/>
      <c r="AF618" s="469"/>
      <c r="AG618" s="469"/>
      <c r="AH618" s="469"/>
      <c r="AI618" s="469"/>
      <c r="AJ618" s="469"/>
      <c r="AK618" s="469"/>
      <c r="AL618" s="469"/>
      <c r="AM618" s="469"/>
      <c r="AN618" s="469"/>
      <c r="AO618" s="469"/>
    </row>
    <row r="619">
      <c r="A619" s="85"/>
      <c r="B619" s="685"/>
      <c r="C619" s="85"/>
      <c r="D619" s="89"/>
      <c r="E619" s="89"/>
      <c r="F619" s="89"/>
      <c r="G619" s="89"/>
      <c r="H619" s="89"/>
      <c r="I619" s="89"/>
      <c r="J619" s="89"/>
      <c r="K619" s="85"/>
      <c r="L619" s="89"/>
      <c r="M619" s="85"/>
      <c r="N619" s="89"/>
      <c r="O619" s="85"/>
      <c r="P619" s="85"/>
      <c r="Q619" s="137"/>
      <c r="R619" s="138"/>
      <c r="S619" s="138"/>
      <c r="T619" s="138"/>
      <c r="U619" s="138"/>
      <c r="V619" s="138"/>
      <c r="W619" s="469"/>
      <c r="X619" s="469"/>
      <c r="Y619" s="469"/>
      <c r="Z619" s="469"/>
      <c r="AA619" s="469"/>
      <c r="AB619" s="469"/>
      <c r="AC619" s="469"/>
      <c r="AD619" s="469"/>
      <c r="AE619" s="469"/>
      <c r="AF619" s="469"/>
      <c r="AG619" s="469"/>
      <c r="AH619" s="469"/>
      <c r="AI619" s="469"/>
      <c r="AJ619" s="469"/>
      <c r="AK619" s="469"/>
      <c r="AL619" s="469"/>
      <c r="AM619" s="469"/>
      <c r="AN619" s="469"/>
      <c r="AO619" s="469"/>
    </row>
    <row r="620">
      <c r="A620" s="85"/>
      <c r="B620" s="685"/>
      <c r="C620" s="85"/>
      <c r="D620" s="89"/>
      <c r="E620" s="89"/>
      <c r="F620" s="89"/>
      <c r="G620" s="89"/>
      <c r="H620" s="89"/>
      <c r="I620" s="89"/>
      <c r="J620" s="89"/>
      <c r="K620" s="85"/>
      <c r="L620" s="89"/>
      <c r="M620" s="85"/>
      <c r="N620" s="85"/>
      <c r="O620" s="85"/>
      <c r="P620" s="89"/>
      <c r="Q620" s="138"/>
      <c r="R620" s="138"/>
      <c r="S620" s="138"/>
      <c r="T620" s="138"/>
      <c r="U620" s="138"/>
      <c r="V620" s="138"/>
      <c r="W620" s="469"/>
      <c r="X620" s="469"/>
      <c r="Y620" s="469"/>
      <c r="Z620" s="469"/>
      <c r="AA620" s="469"/>
      <c r="AB620" s="469"/>
      <c r="AC620" s="469"/>
      <c r="AD620" s="469"/>
      <c r="AE620" s="469"/>
      <c r="AF620" s="469"/>
      <c r="AG620" s="469"/>
      <c r="AH620" s="469"/>
      <c r="AI620" s="469"/>
      <c r="AJ620" s="469"/>
      <c r="AK620" s="469"/>
      <c r="AL620" s="469"/>
      <c r="AM620" s="469"/>
      <c r="AN620" s="469"/>
      <c r="AO620" s="469"/>
    </row>
    <row r="621">
      <c r="A621" s="85"/>
      <c r="B621" s="685"/>
      <c r="C621" s="85"/>
      <c r="D621" s="89"/>
      <c r="E621" s="89"/>
      <c r="F621" s="89"/>
      <c r="G621" s="89"/>
      <c r="H621" s="89"/>
      <c r="I621" s="89"/>
      <c r="J621" s="89"/>
      <c r="K621" s="85"/>
      <c r="L621" s="89"/>
      <c r="M621" s="85"/>
      <c r="N621" s="85"/>
      <c r="O621" s="85"/>
      <c r="P621" s="89"/>
      <c r="Q621" s="138"/>
      <c r="R621" s="138"/>
      <c r="S621" s="138"/>
      <c r="T621" s="138"/>
      <c r="U621" s="138"/>
      <c r="V621" s="138"/>
      <c r="W621" s="469"/>
      <c r="X621" s="469"/>
      <c r="Y621" s="469"/>
      <c r="Z621" s="469"/>
      <c r="AA621" s="469"/>
      <c r="AB621" s="469"/>
      <c r="AC621" s="469"/>
      <c r="AD621" s="469"/>
      <c r="AE621" s="469"/>
      <c r="AF621" s="469"/>
      <c r="AG621" s="469"/>
      <c r="AH621" s="469"/>
      <c r="AI621" s="469"/>
      <c r="AJ621" s="469"/>
      <c r="AK621" s="469"/>
      <c r="AL621" s="469"/>
      <c r="AM621" s="469"/>
      <c r="AN621" s="469"/>
      <c r="AO621" s="469"/>
    </row>
    <row r="622">
      <c r="A622" s="85"/>
      <c r="B622" s="685"/>
      <c r="C622" s="85"/>
      <c r="D622" s="89"/>
      <c r="E622" s="89"/>
      <c r="F622" s="89"/>
      <c r="G622" s="89"/>
      <c r="H622" s="89"/>
      <c r="I622" s="89"/>
      <c r="J622" s="89"/>
      <c r="K622" s="89"/>
      <c r="L622" s="85"/>
      <c r="M622" s="85"/>
      <c r="N622" s="89"/>
      <c r="O622" s="85"/>
      <c r="P622" s="89"/>
      <c r="Q622" s="138"/>
      <c r="R622" s="138"/>
      <c r="S622" s="138"/>
      <c r="T622" s="138"/>
      <c r="U622" s="138"/>
      <c r="V622" s="138"/>
      <c r="W622" s="469"/>
      <c r="X622" s="469"/>
      <c r="Y622" s="469"/>
      <c r="Z622" s="469"/>
      <c r="AA622" s="469"/>
      <c r="AB622" s="469"/>
      <c r="AC622" s="469"/>
      <c r="AD622" s="469"/>
      <c r="AE622" s="469"/>
      <c r="AF622" s="469"/>
      <c r="AG622" s="469"/>
      <c r="AH622" s="469"/>
      <c r="AI622" s="469"/>
      <c r="AJ622" s="469"/>
      <c r="AK622" s="469"/>
      <c r="AL622" s="469"/>
      <c r="AM622" s="469"/>
      <c r="AN622" s="469"/>
      <c r="AO622" s="469"/>
    </row>
    <row r="623">
      <c r="A623" s="85"/>
      <c r="B623" s="685"/>
      <c r="C623" s="85"/>
      <c r="D623" s="89"/>
      <c r="E623" s="89"/>
      <c r="F623" s="89"/>
      <c r="G623" s="89"/>
      <c r="H623" s="89"/>
      <c r="I623" s="89"/>
      <c r="J623" s="89"/>
      <c r="K623" s="85"/>
      <c r="L623" s="89"/>
      <c r="M623" s="85"/>
      <c r="N623" s="85"/>
      <c r="O623" s="85"/>
      <c r="P623" s="85"/>
      <c r="Q623" s="138"/>
      <c r="R623" s="138"/>
      <c r="S623" s="138"/>
      <c r="T623" s="138"/>
      <c r="U623" s="138"/>
      <c r="V623" s="138"/>
      <c r="W623" s="469"/>
      <c r="X623" s="469"/>
      <c r="Y623" s="469"/>
      <c r="Z623" s="469"/>
      <c r="AA623" s="469"/>
      <c r="AB623" s="469"/>
      <c r="AC623" s="469"/>
      <c r="AD623" s="469"/>
      <c r="AE623" s="469"/>
      <c r="AF623" s="469"/>
      <c r="AG623" s="469"/>
      <c r="AH623" s="469"/>
      <c r="AI623" s="469"/>
      <c r="AJ623" s="469"/>
      <c r="AK623" s="469"/>
      <c r="AL623" s="469"/>
      <c r="AM623" s="469"/>
      <c r="AN623" s="469"/>
      <c r="AO623" s="469"/>
    </row>
    <row r="624">
      <c r="A624" s="85"/>
      <c r="B624" s="685"/>
      <c r="C624" s="85"/>
      <c r="D624" s="89"/>
      <c r="E624" s="89"/>
      <c r="F624" s="89"/>
      <c r="G624" s="89"/>
      <c r="H624" s="89"/>
      <c r="I624" s="89"/>
      <c r="J624" s="89"/>
      <c r="K624" s="85"/>
      <c r="L624" s="89"/>
      <c r="M624" s="85"/>
      <c r="N624" s="85"/>
      <c r="O624" s="85"/>
      <c r="P624" s="89"/>
      <c r="Q624" s="138"/>
      <c r="R624" s="138"/>
      <c r="S624" s="138"/>
      <c r="T624" s="138"/>
      <c r="U624" s="138"/>
      <c r="V624" s="138"/>
      <c r="W624" s="469"/>
      <c r="X624" s="469"/>
      <c r="Y624" s="469"/>
      <c r="Z624" s="469"/>
      <c r="AA624" s="469"/>
      <c r="AB624" s="469"/>
      <c r="AC624" s="469"/>
      <c r="AD624" s="469"/>
      <c r="AE624" s="469"/>
      <c r="AF624" s="469"/>
      <c r="AG624" s="469"/>
      <c r="AH624" s="469"/>
      <c r="AI624" s="469"/>
      <c r="AJ624" s="469"/>
      <c r="AK624" s="469"/>
      <c r="AL624" s="469"/>
      <c r="AM624" s="469"/>
      <c r="AN624" s="469"/>
      <c r="AO624" s="469"/>
    </row>
    <row r="625">
      <c r="A625" s="85"/>
      <c r="B625" s="685"/>
      <c r="C625" s="85"/>
      <c r="D625" s="85"/>
      <c r="E625" s="89"/>
      <c r="F625" s="89"/>
      <c r="G625" s="89"/>
      <c r="H625" s="89"/>
      <c r="I625" s="89"/>
      <c r="J625" s="89"/>
      <c r="K625" s="85"/>
      <c r="L625" s="85"/>
      <c r="M625" s="85"/>
      <c r="N625" s="85"/>
      <c r="O625" s="85"/>
      <c r="P625" s="85"/>
      <c r="Q625" s="138"/>
      <c r="R625" s="138"/>
      <c r="S625" s="138"/>
      <c r="T625" s="138"/>
      <c r="U625" s="138"/>
      <c r="V625" s="138"/>
      <c r="W625" s="469"/>
      <c r="X625" s="469"/>
      <c r="Y625" s="469"/>
      <c r="Z625" s="469"/>
      <c r="AA625" s="469"/>
      <c r="AB625" s="469"/>
      <c r="AC625" s="469"/>
      <c r="AD625" s="469"/>
      <c r="AE625" s="469"/>
      <c r="AF625" s="469"/>
      <c r="AG625" s="469"/>
      <c r="AH625" s="469"/>
      <c r="AI625" s="469"/>
      <c r="AJ625" s="469"/>
      <c r="AK625" s="469"/>
      <c r="AL625" s="469"/>
      <c r="AM625" s="469"/>
      <c r="AN625" s="469"/>
      <c r="AO625" s="469"/>
    </row>
    <row r="626">
      <c r="A626" s="85"/>
      <c r="B626" s="685"/>
      <c r="C626" s="85"/>
      <c r="D626" s="85"/>
      <c r="E626" s="85"/>
      <c r="F626" s="85"/>
      <c r="G626" s="85"/>
      <c r="H626" s="85"/>
      <c r="I626" s="85"/>
      <c r="J626" s="85"/>
      <c r="K626" s="85"/>
      <c r="L626" s="85"/>
      <c r="M626" s="85"/>
      <c r="N626" s="85"/>
      <c r="O626" s="85"/>
      <c r="P626" s="85"/>
      <c r="Q626" s="138"/>
      <c r="R626" s="138"/>
      <c r="S626" s="138"/>
      <c r="T626" s="138"/>
      <c r="U626" s="138"/>
      <c r="V626" s="138"/>
      <c r="W626" s="469"/>
      <c r="X626" s="469"/>
      <c r="Y626" s="469"/>
      <c r="Z626" s="469"/>
      <c r="AA626" s="469"/>
      <c r="AB626" s="469"/>
      <c r="AC626" s="469"/>
      <c r="AD626" s="469"/>
      <c r="AE626" s="469"/>
      <c r="AF626" s="469"/>
      <c r="AG626" s="469"/>
      <c r="AH626" s="469"/>
      <c r="AI626" s="469"/>
      <c r="AJ626" s="469"/>
      <c r="AK626" s="469"/>
      <c r="AL626" s="469"/>
      <c r="AM626" s="469"/>
      <c r="AN626" s="469"/>
      <c r="AO626" s="469"/>
    </row>
    <row r="627">
      <c r="A627" s="85"/>
      <c r="B627" s="685"/>
      <c r="C627" s="85"/>
      <c r="D627" s="85"/>
      <c r="E627" s="85"/>
      <c r="F627" s="85"/>
      <c r="G627" s="85"/>
      <c r="H627" s="85"/>
      <c r="I627" s="85"/>
      <c r="J627" s="85"/>
      <c r="K627" s="85"/>
      <c r="L627" s="85"/>
      <c r="M627" s="85"/>
      <c r="N627" s="85"/>
      <c r="O627" s="85"/>
      <c r="P627" s="85"/>
      <c r="Q627" s="138"/>
      <c r="R627" s="138"/>
      <c r="S627" s="138"/>
      <c r="T627" s="138"/>
      <c r="U627" s="138"/>
      <c r="V627" s="138"/>
      <c r="W627" s="469"/>
      <c r="X627" s="469"/>
      <c r="Y627" s="469"/>
      <c r="Z627" s="469"/>
      <c r="AA627" s="469"/>
      <c r="AB627" s="469"/>
      <c r="AC627" s="469"/>
      <c r="AD627" s="469"/>
      <c r="AE627" s="469"/>
      <c r="AF627" s="469"/>
      <c r="AG627" s="469"/>
      <c r="AH627" s="469"/>
      <c r="AI627" s="469"/>
      <c r="AJ627" s="469"/>
      <c r="AK627" s="469"/>
      <c r="AL627" s="469"/>
      <c r="AM627" s="469"/>
      <c r="AN627" s="469"/>
      <c r="AO627" s="469"/>
    </row>
    <row r="628">
      <c r="A628" s="85"/>
      <c r="B628" s="685"/>
      <c r="C628" s="85"/>
      <c r="D628" s="85"/>
      <c r="E628" s="85"/>
      <c r="F628" s="85"/>
      <c r="G628" s="85"/>
      <c r="H628" s="85"/>
      <c r="I628" s="85"/>
      <c r="J628" s="85"/>
      <c r="K628" s="85"/>
      <c r="L628" s="85"/>
      <c r="M628" s="85"/>
      <c r="N628" s="85"/>
      <c r="O628" s="85"/>
      <c r="P628" s="85"/>
      <c r="Q628" s="138"/>
      <c r="R628" s="138"/>
      <c r="S628" s="138"/>
      <c r="T628" s="138"/>
      <c r="U628" s="138"/>
      <c r="V628" s="138"/>
      <c r="W628" s="469"/>
      <c r="X628" s="469"/>
      <c r="Y628" s="469"/>
      <c r="Z628" s="469"/>
      <c r="AA628" s="469"/>
      <c r="AB628" s="469"/>
      <c r="AC628" s="469"/>
      <c r="AD628" s="469"/>
      <c r="AE628" s="469"/>
      <c r="AF628" s="469"/>
      <c r="AG628" s="469"/>
      <c r="AH628" s="469"/>
      <c r="AI628" s="469"/>
      <c r="AJ628" s="469"/>
      <c r="AK628" s="469"/>
      <c r="AL628" s="469"/>
      <c r="AM628" s="469"/>
      <c r="AN628" s="469"/>
      <c r="AO628" s="469"/>
    </row>
    <row r="629">
      <c r="A629" s="85"/>
      <c r="B629" s="685"/>
      <c r="C629" s="85"/>
      <c r="D629" s="85"/>
      <c r="E629" s="85"/>
      <c r="F629" s="85"/>
      <c r="G629" s="85"/>
      <c r="H629" s="85"/>
      <c r="I629" s="85"/>
      <c r="J629" s="85"/>
      <c r="K629" s="85"/>
      <c r="L629" s="85"/>
      <c r="M629" s="85"/>
      <c r="N629" s="85"/>
      <c r="O629" s="85"/>
      <c r="P629" s="85"/>
      <c r="Q629" s="138"/>
      <c r="R629" s="138"/>
      <c r="S629" s="138"/>
      <c r="T629" s="138"/>
      <c r="U629" s="138"/>
      <c r="V629" s="138"/>
      <c r="W629" s="469"/>
      <c r="X629" s="469"/>
      <c r="Y629" s="469"/>
      <c r="Z629" s="469"/>
      <c r="AA629" s="469"/>
      <c r="AB629" s="469"/>
      <c r="AC629" s="469"/>
      <c r="AD629" s="469"/>
      <c r="AE629" s="469"/>
      <c r="AF629" s="469"/>
      <c r="AG629" s="469"/>
      <c r="AH629" s="469"/>
      <c r="AI629" s="469"/>
      <c r="AJ629" s="469"/>
      <c r="AK629" s="469"/>
      <c r="AL629" s="469"/>
      <c r="AM629" s="469"/>
      <c r="AN629" s="469"/>
      <c r="AO629" s="469"/>
    </row>
    <row r="630">
      <c r="A630" s="85"/>
      <c r="B630" s="685"/>
      <c r="C630" s="85"/>
      <c r="D630" s="85"/>
      <c r="E630" s="85"/>
      <c r="F630" s="85"/>
      <c r="G630" s="85"/>
      <c r="H630" s="85"/>
      <c r="I630" s="85"/>
      <c r="J630" s="85"/>
      <c r="K630" s="85"/>
      <c r="L630" s="85"/>
      <c r="M630" s="85"/>
      <c r="N630" s="85"/>
      <c r="O630" s="85"/>
      <c r="P630" s="85"/>
      <c r="Q630" s="138"/>
      <c r="R630" s="138"/>
      <c r="S630" s="138"/>
      <c r="T630" s="138"/>
      <c r="U630" s="138"/>
      <c r="V630" s="138"/>
      <c r="W630" s="469"/>
      <c r="X630" s="469"/>
      <c r="Y630" s="469"/>
      <c r="Z630" s="469"/>
      <c r="AA630" s="469"/>
      <c r="AB630" s="469"/>
      <c r="AC630" s="469"/>
      <c r="AD630" s="469"/>
      <c r="AE630" s="469"/>
      <c r="AF630" s="469"/>
      <c r="AG630" s="469"/>
      <c r="AH630" s="469"/>
      <c r="AI630" s="469"/>
      <c r="AJ630" s="469"/>
      <c r="AK630" s="469"/>
      <c r="AL630" s="469"/>
      <c r="AM630" s="469"/>
      <c r="AN630" s="469"/>
      <c r="AO630" s="469"/>
    </row>
    <row r="631">
      <c r="A631" s="85"/>
      <c r="B631" s="685"/>
      <c r="C631" s="85"/>
      <c r="D631" s="85"/>
      <c r="E631" s="85"/>
      <c r="F631" s="85"/>
      <c r="G631" s="85"/>
      <c r="H631" s="85"/>
      <c r="I631" s="85"/>
      <c r="J631" s="85"/>
      <c r="K631" s="85"/>
      <c r="L631" s="85"/>
      <c r="M631" s="85"/>
      <c r="N631" s="85"/>
      <c r="O631" s="85"/>
      <c r="P631" s="85"/>
      <c r="Q631" s="138"/>
      <c r="R631" s="138"/>
      <c r="S631" s="138"/>
      <c r="T631" s="138"/>
      <c r="U631" s="138"/>
      <c r="V631" s="138"/>
      <c r="W631" s="469"/>
      <c r="X631" s="469"/>
      <c r="Y631" s="469"/>
      <c r="Z631" s="469"/>
      <c r="AA631" s="469"/>
      <c r="AB631" s="469"/>
      <c r="AC631" s="469"/>
      <c r="AD631" s="469"/>
      <c r="AE631" s="469"/>
      <c r="AF631" s="469"/>
      <c r="AG631" s="469"/>
      <c r="AH631" s="469"/>
      <c r="AI631" s="469"/>
      <c r="AJ631" s="469"/>
      <c r="AK631" s="469"/>
      <c r="AL631" s="469"/>
      <c r="AM631" s="469"/>
      <c r="AN631" s="469"/>
      <c r="AO631" s="469"/>
    </row>
    <row r="632">
      <c r="A632" s="85"/>
      <c r="B632" s="685"/>
      <c r="C632" s="85"/>
      <c r="D632" s="85"/>
      <c r="E632" s="85"/>
      <c r="F632" s="85"/>
      <c r="G632" s="85"/>
      <c r="H632" s="85"/>
      <c r="I632" s="85"/>
      <c r="J632" s="85"/>
      <c r="K632" s="85"/>
      <c r="L632" s="85"/>
      <c r="M632" s="85"/>
      <c r="N632" s="85"/>
      <c r="O632" s="85"/>
      <c r="P632" s="85"/>
      <c r="Q632" s="138"/>
      <c r="R632" s="138"/>
      <c r="S632" s="138"/>
      <c r="T632" s="138"/>
      <c r="U632" s="138"/>
      <c r="V632" s="138"/>
      <c r="W632" s="469"/>
      <c r="X632" s="469"/>
      <c r="Y632" s="469"/>
      <c r="Z632" s="469"/>
      <c r="AA632" s="469"/>
      <c r="AB632" s="469"/>
      <c r="AC632" s="469"/>
      <c r="AD632" s="469"/>
      <c r="AE632" s="469"/>
      <c r="AF632" s="469"/>
      <c r="AG632" s="469"/>
      <c r="AH632" s="469"/>
      <c r="AI632" s="469"/>
      <c r="AJ632" s="469"/>
      <c r="AK632" s="469"/>
      <c r="AL632" s="469"/>
      <c r="AM632" s="469"/>
      <c r="AN632" s="469"/>
      <c r="AO632" s="469"/>
    </row>
    <row r="633">
      <c r="A633" s="85"/>
      <c r="B633" s="685"/>
      <c r="C633" s="85"/>
      <c r="D633" s="85"/>
      <c r="E633" s="85"/>
      <c r="F633" s="85"/>
      <c r="G633" s="85"/>
      <c r="H633" s="85"/>
      <c r="I633" s="85"/>
      <c r="J633" s="85"/>
      <c r="K633" s="85"/>
      <c r="L633" s="85"/>
      <c r="M633" s="85"/>
      <c r="N633" s="85"/>
      <c r="O633" s="85"/>
      <c r="P633" s="85"/>
      <c r="Q633" s="138"/>
      <c r="R633" s="138"/>
      <c r="S633" s="138"/>
      <c r="T633" s="138"/>
      <c r="U633" s="138"/>
      <c r="V633" s="138"/>
      <c r="W633" s="469"/>
      <c r="X633" s="469"/>
      <c r="Y633" s="469"/>
      <c r="Z633" s="469"/>
      <c r="AA633" s="469"/>
      <c r="AB633" s="469"/>
      <c r="AC633" s="469"/>
      <c r="AD633" s="469"/>
      <c r="AE633" s="469"/>
      <c r="AF633" s="469"/>
      <c r="AG633" s="469"/>
      <c r="AH633" s="469"/>
      <c r="AI633" s="469"/>
      <c r="AJ633" s="469"/>
      <c r="AK633" s="469"/>
      <c r="AL633" s="469"/>
      <c r="AM633" s="469"/>
      <c r="AN633" s="469"/>
      <c r="AO633" s="469"/>
    </row>
    <row r="634">
      <c r="A634" s="85"/>
      <c r="B634" s="685"/>
      <c r="C634" s="85"/>
      <c r="D634" s="85"/>
      <c r="E634" s="85"/>
      <c r="F634" s="85"/>
      <c r="G634" s="85"/>
      <c r="H634" s="85"/>
      <c r="I634" s="85"/>
      <c r="J634" s="85"/>
      <c r="K634" s="85"/>
      <c r="L634" s="85"/>
      <c r="M634" s="85"/>
      <c r="N634" s="85"/>
      <c r="O634" s="85"/>
      <c r="P634" s="85"/>
      <c r="Q634" s="138"/>
      <c r="R634" s="138"/>
      <c r="S634" s="138"/>
      <c r="T634" s="138"/>
      <c r="U634" s="138"/>
      <c r="V634" s="138"/>
      <c r="W634" s="469"/>
      <c r="X634" s="469"/>
      <c r="Y634" s="469"/>
      <c r="Z634" s="469"/>
      <c r="AA634" s="469"/>
      <c r="AB634" s="469"/>
      <c r="AC634" s="469"/>
      <c r="AD634" s="469"/>
      <c r="AE634" s="469"/>
      <c r="AF634" s="469"/>
      <c r="AG634" s="469"/>
      <c r="AH634" s="469"/>
      <c r="AI634" s="469"/>
      <c r="AJ634" s="469"/>
      <c r="AK634" s="469"/>
      <c r="AL634" s="469"/>
      <c r="AM634" s="469"/>
      <c r="AN634" s="469"/>
      <c r="AO634" s="469"/>
    </row>
    <row r="635">
      <c r="A635" s="85"/>
      <c r="B635" s="685"/>
      <c r="C635" s="85"/>
      <c r="D635" s="85"/>
      <c r="E635" s="85"/>
      <c r="F635" s="85"/>
      <c r="G635" s="85"/>
      <c r="H635" s="85"/>
      <c r="I635" s="85"/>
      <c r="J635" s="85"/>
      <c r="K635" s="85"/>
      <c r="L635" s="85"/>
      <c r="M635" s="85"/>
      <c r="N635" s="85"/>
      <c r="O635" s="85"/>
      <c r="P635" s="85"/>
      <c r="Q635" s="138"/>
      <c r="R635" s="138"/>
      <c r="S635" s="138"/>
      <c r="T635" s="138"/>
      <c r="U635" s="138"/>
      <c r="V635" s="138"/>
      <c r="W635" s="469"/>
      <c r="X635" s="469"/>
      <c r="Y635" s="469"/>
      <c r="Z635" s="469"/>
      <c r="AA635" s="469"/>
      <c r="AB635" s="469"/>
      <c r="AC635" s="469"/>
      <c r="AD635" s="469"/>
      <c r="AE635" s="469"/>
      <c r="AF635" s="469"/>
      <c r="AG635" s="469"/>
      <c r="AH635" s="469"/>
      <c r="AI635" s="469"/>
      <c r="AJ635" s="469"/>
      <c r="AK635" s="469"/>
      <c r="AL635" s="469"/>
      <c r="AM635" s="469"/>
      <c r="AN635" s="469"/>
      <c r="AO635" s="469"/>
    </row>
    <row r="636">
      <c r="A636" s="85"/>
      <c r="B636" s="685"/>
      <c r="C636" s="85"/>
      <c r="D636" s="85"/>
      <c r="E636" s="85"/>
      <c r="F636" s="85"/>
      <c r="G636" s="85"/>
      <c r="H636" s="85"/>
      <c r="I636" s="85"/>
      <c r="J636" s="85"/>
      <c r="K636" s="85"/>
      <c r="L636" s="85"/>
      <c r="M636" s="85"/>
      <c r="N636" s="85"/>
      <c r="O636" s="85"/>
      <c r="P636" s="85"/>
      <c r="Q636" s="138"/>
      <c r="R636" s="138"/>
      <c r="S636" s="138"/>
      <c r="T636" s="138"/>
      <c r="U636" s="138"/>
      <c r="V636" s="138"/>
      <c r="W636" s="469"/>
      <c r="X636" s="469"/>
      <c r="Y636" s="469"/>
      <c r="Z636" s="469"/>
      <c r="AA636" s="469"/>
      <c r="AB636" s="469"/>
      <c r="AC636" s="469"/>
      <c r="AD636" s="469"/>
      <c r="AE636" s="469"/>
      <c r="AF636" s="469"/>
      <c r="AG636" s="469"/>
      <c r="AH636" s="469"/>
      <c r="AI636" s="469"/>
      <c r="AJ636" s="469"/>
      <c r="AK636" s="469"/>
      <c r="AL636" s="469"/>
      <c r="AM636" s="469"/>
      <c r="AN636" s="469"/>
      <c r="AO636" s="469"/>
    </row>
    <row r="637">
      <c r="A637" s="85"/>
      <c r="B637" s="685"/>
      <c r="C637" s="85"/>
      <c r="D637" s="85"/>
      <c r="E637" s="85"/>
      <c r="F637" s="85"/>
      <c r="G637" s="85"/>
      <c r="H637" s="85"/>
      <c r="I637" s="85"/>
      <c r="J637" s="85"/>
      <c r="K637" s="85"/>
      <c r="L637" s="85"/>
      <c r="M637" s="85"/>
      <c r="N637" s="85"/>
      <c r="O637" s="85"/>
      <c r="P637" s="85"/>
      <c r="Q637" s="138"/>
      <c r="R637" s="138"/>
      <c r="S637" s="138"/>
      <c r="T637" s="138"/>
      <c r="U637" s="138"/>
      <c r="V637" s="138"/>
      <c r="W637" s="469"/>
      <c r="X637" s="469"/>
      <c r="Y637" s="469"/>
      <c r="Z637" s="469"/>
      <c r="AA637" s="469"/>
      <c r="AB637" s="469"/>
      <c r="AC637" s="469"/>
      <c r="AD637" s="469"/>
      <c r="AE637" s="469"/>
      <c r="AF637" s="469"/>
      <c r="AG637" s="469"/>
      <c r="AH637" s="469"/>
      <c r="AI637" s="469"/>
      <c r="AJ637" s="469"/>
      <c r="AK637" s="469"/>
      <c r="AL637" s="469"/>
      <c r="AM637" s="469"/>
      <c r="AN637" s="469"/>
      <c r="AO637" s="469"/>
    </row>
    <row r="638">
      <c r="A638" s="85"/>
      <c r="B638" s="685"/>
      <c r="C638" s="85"/>
      <c r="D638" s="85"/>
      <c r="E638" s="85"/>
      <c r="F638" s="85"/>
      <c r="G638" s="85"/>
      <c r="H638" s="85"/>
      <c r="I638" s="85"/>
      <c r="J638" s="85"/>
      <c r="K638" s="85"/>
      <c r="L638" s="85"/>
      <c r="M638" s="85"/>
      <c r="N638" s="85"/>
      <c r="O638" s="85"/>
      <c r="P638" s="85"/>
      <c r="Q638" s="138"/>
      <c r="R638" s="138"/>
      <c r="S638" s="138"/>
      <c r="T638" s="138"/>
      <c r="U638" s="138"/>
      <c r="V638" s="138"/>
      <c r="W638" s="469"/>
      <c r="X638" s="469"/>
      <c r="Y638" s="469"/>
      <c r="Z638" s="469"/>
      <c r="AA638" s="469"/>
      <c r="AB638" s="469"/>
      <c r="AC638" s="469"/>
      <c r="AD638" s="469"/>
      <c r="AE638" s="469"/>
      <c r="AF638" s="469"/>
      <c r="AG638" s="469"/>
      <c r="AH638" s="469"/>
      <c r="AI638" s="469"/>
      <c r="AJ638" s="469"/>
      <c r="AK638" s="469"/>
      <c r="AL638" s="469"/>
      <c r="AM638" s="469"/>
      <c r="AN638" s="469"/>
      <c r="AO638" s="469"/>
    </row>
    <row r="639">
      <c r="A639" s="85"/>
      <c r="B639" s="685"/>
      <c r="C639" s="85"/>
      <c r="D639" s="85"/>
      <c r="E639" s="85"/>
      <c r="F639" s="85"/>
      <c r="G639" s="85"/>
      <c r="H639" s="85"/>
      <c r="I639" s="85"/>
      <c r="J639" s="85"/>
      <c r="K639" s="85"/>
      <c r="L639" s="85"/>
      <c r="M639" s="85"/>
      <c r="N639" s="85"/>
      <c r="O639" s="85"/>
      <c r="P639" s="85"/>
      <c r="Q639" s="138"/>
      <c r="R639" s="138"/>
      <c r="S639" s="138"/>
      <c r="T639" s="138"/>
      <c r="U639" s="138"/>
      <c r="V639" s="138"/>
      <c r="W639" s="469"/>
      <c r="X639" s="469"/>
      <c r="Y639" s="469"/>
      <c r="Z639" s="469"/>
      <c r="AA639" s="469"/>
      <c r="AB639" s="469"/>
      <c r="AC639" s="469"/>
      <c r="AD639" s="469"/>
      <c r="AE639" s="469"/>
      <c r="AF639" s="469"/>
      <c r="AG639" s="469"/>
      <c r="AH639" s="469"/>
      <c r="AI639" s="469"/>
      <c r="AJ639" s="469"/>
      <c r="AK639" s="469"/>
      <c r="AL639" s="469"/>
      <c r="AM639" s="469"/>
      <c r="AN639" s="469"/>
      <c r="AO639" s="469"/>
    </row>
    <row r="640">
      <c r="A640" s="85"/>
      <c r="B640" s="685"/>
      <c r="C640" s="85"/>
      <c r="D640" s="85"/>
      <c r="E640" s="85"/>
      <c r="F640" s="85"/>
      <c r="G640" s="85"/>
      <c r="H640" s="85"/>
      <c r="I640" s="85"/>
      <c r="J640" s="85"/>
      <c r="K640" s="85"/>
      <c r="L640" s="85"/>
      <c r="M640" s="85"/>
      <c r="N640" s="85"/>
      <c r="O640" s="85"/>
      <c r="P640" s="85"/>
      <c r="Q640" s="138"/>
      <c r="R640" s="138"/>
      <c r="S640" s="138"/>
      <c r="T640" s="138"/>
      <c r="U640" s="138"/>
      <c r="V640" s="138"/>
      <c r="W640" s="469"/>
      <c r="X640" s="469"/>
      <c r="Y640" s="469"/>
      <c r="Z640" s="469"/>
      <c r="AA640" s="469"/>
      <c r="AB640" s="469"/>
      <c r="AC640" s="469"/>
      <c r="AD640" s="469"/>
      <c r="AE640" s="469"/>
      <c r="AF640" s="469"/>
      <c r="AG640" s="469"/>
      <c r="AH640" s="469"/>
      <c r="AI640" s="469"/>
      <c r="AJ640" s="469"/>
      <c r="AK640" s="469"/>
      <c r="AL640" s="469"/>
      <c r="AM640" s="469"/>
      <c r="AN640" s="469"/>
      <c r="AO640" s="469"/>
    </row>
    <row r="641">
      <c r="A641" s="85"/>
      <c r="B641" s="685"/>
      <c r="C641" s="85"/>
      <c r="D641" s="85"/>
      <c r="E641" s="85"/>
      <c r="F641" s="85"/>
      <c r="G641" s="85"/>
      <c r="H641" s="85"/>
      <c r="I641" s="85"/>
      <c r="J641" s="85"/>
      <c r="K641" s="85"/>
      <c r="L641" s="85"/>
      <c r="M641" s="85"/>
      <c r="N641" s="85"/>
      <c r="O641" s="85"/>
      <c r="P641" s="85"/>
      <c r="Q641" s="138"/>
      <c r="R641" s="138"/>
      <c r="S641" s="138"/>
      <c r="T641" s="138"/>
      <c r="U641" s="138"/>
      <c r="V641" s="138"/>
      <c r="W641" s="469"/>
      <c r="X641" s="469"/>
      <c r="Y641" s="469"/>
      <c r="Z641" s="469"/>
      <c r="AA641" s="469"/>
      <c r="AB641" s="469"/>
      <c r="AC641" s="469"/>
      <c r="AD641" s="469"/>
      <c r="AE641" s="469"/>
      <c r="AF641" s="469"/>
      <c r="AG641" s="469"/>
      <c r="AH641" s="469"/>
      <c r="AI641" s="469"/>
      <c r="AJ641" s="469"/>
      <c r="AK641" s="469"/>
      <c r="AL641" s="469"/>
      <c r="AM641" s="469"/>
      <c r="AN641" s="469"/>
      <c r="AO641" s="469"/>
    </row>
    <row r="642">
      <c r="A642" s="85"/>
      <c r="B642" s="685"/>
      <c r="C642" s="85"/>
      <c r="D642" s="85"/>
      <c r="E642" s="85"/>
      <c r="F642" s="85"/>
      <c r="G642" s="85"/>
      <c r="H642" s="85"/>
      <c r="I642" s="85"/>
      <c r="J642" s="85"/>
      <c r="K642" s="85"/>
      <c r="L642" s="85"/>
      <c r="M642" s="85"/>
      <c r="N642" s="85"/>
      <c r="O642" s="85"/>
      <c r="P642" s="85"/>
      <c r="Q642" s="138"/>
      <c r="R642" s="138"/>
      <c r="S642" s="138"/>
      <c r="T642" s="138"/>
      <c r="U642" s="138"/>
      <c r="V642" s="138"/>
      <c r="W642" s="469"/>
      <c r="X642" s="469"/>
      <c r="Y642" s="469"/>
      <c r="Z642" s="469"/>
      <c r="AA642" s="469"/>
      <c r="AB642" s="469"/>
      <c r="AC642" s="469"/>
      <c r="AD642" s="469"/>
      <c r="AE642" s="469"/>
      <c r="AF642" s="469"/>
      <c r="AG642" s="469"/>
      <c r="AH642" s="469"/>
      <c r="AI642" s="469"/>
      <c r="AJ642" s="469"/>
      <c r="AK642" s="469"/>
      <c r="AL642" s="469"/>
      <c r="AM642" s="469"/>
      <c r="AN642" s="469"/>
      <c r="AO642" s="469"/>
    </row>
    <row r="643">
      <c r="A643" s="85"/>
      <c r="B643" s="685"/>
      <c r="C643" s="85"/>
      <c r="D643" s="85"/>
      <c r="E643" s="85"/>
      <c r="F643" s="85"/>
      <c r="G643" s="85"/>
      <c r="H643" s="85"/>
      <c r="I643" s="85"/>
      <c r="J643" s="85"/>
      <c r="K643" s="85"/>
      <c r="L643" s="85"/>
      <c r="M643" s="85"/>
      <c r="N643" s="85"/>
      <c r="O643" s="85"/>
      <c r="P643" s="85"/>
      <c r="Q643" s="138"/>
      <c r="R643" s="138"/>
      <c r="S643" s="138"/>
      <c r="T643" s="138"/>
      <c r="U643" s="138"/>
      <c r="V643" s="138"/>
      <c r="W643" s="469"/>
      <c r="X643" s="469"/>
      <c r="Y643" s="469"/>
      <c r="Z643" s="469"/>
      <c r="AA643" s="469"/>
      <c r="AB643" s="469"/>
      <c r="AC643" s="469"/>
      <c r="AD643" s="469"/>
      <c r="AE643" s="469"/>
      <c r="AF643" s="469"/>
      <c r="AG643" s="469"/>
      <c r="AH643" s="469"/>
      <c r="AI643" s="469"/>
      <c r="AJ643" s="469"/>
      <c r="AK643" s="469"/>
      <c r="AL643" s="469"/>
      <c r="AM643" s="469"/>
      <c r="AN643" s="469"/>
      <c r="AO643" s="469"/>
    </row>
    <row r="644">
      <c r="A644" s="85"/>
      <c r="B644" s="685"/>
      <c r="C644" s="85"/>
      <c r="D644" s="85"/>
      <c r="E644" s="85"/>
      <c r="F644" s="85"/>
      <c r="G644" s="85"/>
      <c r="H644" s="85"/>
      <c r="I644" s="85"/>
      <c r="J644" s="85"/>
      <c r="K644" s="85"/>
      <c r="L644" s="85"/>
      <c r="M644" s="85"/>
      <c r="N644" s="85"/>
      <c r="O644" s="85"/>
      <c r="P644" s="85"/>
      <c r="Q644" s="138"/>
      <c r="R644" s="138"/>
      <c r="S644" s="138"/>
      <c r="T644" s="138"/>
      <c r="U644" s="138"/>
      <c r="V644" s="138"/>
      <c r="W644" s="469"/>
      <c r="X644" s="469"/>
      <c r="Y644" s="469"/>
      <c r="Z644" s="469"/>
      <c r="AA644" s="469"/>
      <c r="AB644" s="469"/>
      <c r="AC644" s="469"/>
      <c r="AD644" s="469"/>
      <c r="AE644" s="469"/>
      <c r="AF644" s="469"/>
      <c r="AG644" s="469"/>
      <c r="AH644" s="469"/>
      <c r="AI644" s="469"/>
      <c r="AJ644" s="469"/>
      <c r="AK644" s="469"/>
      <c r="AL644" s="469"/>
      <c r="AM644" s="469"/>
      <c r="AN644" s="469"/>
      <c r="AO644" s="469"/>
    </row>
    <row r="645">
      <c r="A645" s="85"/>
      <c r="B645" s="685"/>
      <c r="C645" s="85"/>
      <c r="D645" s="85"/>
      <c r="E645" s="85"/>
      <c r="F645" s="85"/>
      <c r="G645" s="85"/>
      <c r="H645" s="85"/>
      <c r="I645" s="85"/>
      <c r="J645" s="85"/>
      <c r="K645" s="85"/>
      <c r="L645" s="85"/>
      <c r="M645" s="85"/>
      <c r="N645" s="85"/>
      <c r="O645" s="85"/>
      <c r="P645" s="85"/>
      <c r="Q645" s="138"/>
      <c r="R645" s="138"/>
      <c r="S645" s="138"/>
      <c r="T645" s="138"/>
      <c r="U645" s="138"/>
      <c r="V645" s="138"/>
      <c r="W645" s="469"/>
      <c r="X645" s="469"/>
      <c r="Y645" s="469"/>
      <c r="Z645" s="469"/>
      <c r="AA645" s="469"/>
      <c r="AB645" s="469"/>
      <c r="AC645" s="469"/>
      <c r="AD645" s="469"/>
      <c r="AE645" s="469"/>
      <c r="AF645" s="469"/>
      <c r="AG645" s="469"/>
      <c r="AH645" s="469"/>
      <c r="AI645" s="469"/>
      <c r="AJ645" s="469"/>
      <c r="AK645" s="469"/>
      <c r="AL645" s="469"/>
      <c r="AM645" s="469"/>
      <c r="AN645" s="469"/>
      <c r="AO645" s="469"/>
    </row>
    <row r="646">
      <c r="A646" s="85"/>
      <c r="B646" s="685"/>
      <c r="C646" s="85"/>
      <c r="D646" s="85"/>
      <c r="E646" s="85"/>
      <c r="F646" s="85"/>
      <c r="G646" s="85"/>
      <c r="H646" s="85"/>
      <c r="I646" s="85"/>
      <c r="J646" s="85"/>
      <c r="K646" s="85"/>
      <c r="L646" s="85"/>
      <c r="M646" s="85"/>
      <c r="N646" s="85"/>
      <c r="O646" s="85"/>
      <c r="P646" s="85"/>
      <c r="Q646" s="138"/>
      <c r="R646" s="138"/>
      <c r="S646" s="138"/>
      <c r="T646" s="138"/>
      <c r="U646" s="138"/>
      <c r="V646" s="138"/>
      <c r="W646" s="469"/>
      <c r="X646" s="469"/>
      <c r="Y646" s="469"/>
      <c r="Z646" s="469"/>
      <c r="AA646" s="469"/>
      <c r="AB646" s="469"/>
      <c r="AC646" s="469"/>
      <c r="AD646" s="469"/>
      <c r="AE646" s="469"/>
      <c r="AF646" s="469"/>
      <c r="AG646" s="469"/>
      <c r="AH646" s="469"/>
      <c r="AI646" s="469"/>
      <c r="AJ646" s="469"/>
      <c r="AK646" s="469"/>
      <c r="AL646" s="469"/>
      <c r="AM646" s="469"/>
      <c r="AN646" s="469"/>
      <c r="AO646" s="469"/>
    </row>
    <row r="647">
      <c r="A647" s="85"/>
      <c r="B647" s="685"/>
      <c r="C647" s="85"/>
      <c r="D647" s="687"/>
      <c r="E647" s="85"/>
      <c r="F647" s="85"/>
      <c r="G647" s="85"/>
      <c r="H647" s="85"/>
      <c r="I647" s="85"/>
      <c r="J647" s="85"/>
      <c r="K647" s="85"/>
      <c r="L647" s="85"/>
      <c r="M647" s="85"/>
      <c r="N647" s="85"/>
      <c r="O647" s="85"/>
      <c r="P647" s="85"/>
      <c r="Q647" s="138"/>
      <c r="R647" s="138"/>
      <c r="S647" s="138"/>
      <c r="T647" s="138"/>
      <c r="U647" s="138"/>
      <c r="V647" s="138"/>
      <c r="W647" s="469"/>
      <c r="X647" s="469"/>
      <c r="Y647" s="469"/>
      <c r="Z647" s="469"/>
      <c r="AA647" s="469"/>
      <c r="AB647" s="469"/>
      <c r="AC647" s="469"/>
      <c r="AD647" s="469"/>
      <c r="AE647" s="469"/>
      <c r="AF647" s="469"/>
      <c r="AG647" s="469"/>
      <c r="AH647" s="469"/>
      <c r="AI647" s="469"/>
      <c r="AJ647" s="469"/>
      <c r="AK647" s="469"/>
      <c r="AL647" s="469"/>
      <c r="AM647" s="469"/>
      <c r="AN647" s="469"/>
      <c r="AO647" s="469"/>
    </row>
    <row r="648">
      <c r="A648" s="687"/>
      <c r="B648" s="685"/>
      <c r="C648" s="687"/>
      <c r="D648" s="687"/>
      <c r="E648" s="687"/>
      <c r="F648" s="687"/>
      <c r="G648" s="687"/>
      <c r="H648" s="688"/>
      <c r="I648" s="688"/>
      <c r="J648" s="688"/>
      <c r="K648" s="85"/>
      <c r="L648" s="85"/>
      <c r="M648" s="85"/>
      <c r="N648" s="85"/>
      <c r="O648" s="85"/>
      <c r="P648" s="85"/>
      <c r="Q648" s="138"/>
      <c r="R648" s="138"/>
      <c r="S648" s="138"/>
      <c r="T648" s="138"/>
      <c r="U648" s="138"/>
      <c r="V648" s="138"/>
      <c r="W648" s="469"/>
      <c r="X648" s="469"/>
      <c r="Y648" s="469"/>
      <c r="Z648" s="469"/>
      <c r="AA648" s="469"/>
      <c r="AB648" s="469"/>
      <c r="AC648" s="469"/>
      <c r="AD648" s="469"/>
      <c r="AE648" s="469"/>
      <c r="AF648" s="469"/>
      <c r="AG648" s="469"/>
      <c r="AH648" s="469"/>
      <c r="AI648" s="469"/>
      <c r="AJ648" s="469"/>
      <c r="AK648" s="469"/>
      <c r="AL648" s="469"/>
      <c r="AM648" s="469"/>
      <c r="AN648" s="469"/>
      <c r="AO648" s="469"/>
    </row>
    <row r="649">
      <c r="A649" s="687"/>
      <c r="B649" s="685"/>
      <c r="C649" s="687"/>
      <c r="D649" s="687"/>
      <c r="E649" s="687"/>
      <c r="F649" s="687"/>
      <c r="G649" s="687"/>
      <c r="H649" s="688"/>
      <c r="I649" s="688"/>
      <c r="J649" s="688"/>
      <c r="K649" s="85"/>
      <c r="L649" s="85"/>
      <c r="M649" s="85"/>
      <c r="N649" s="85"/>
      <c r="O649" s="85"/>
      <c r="P649" s="85"/>
      <c r="Q649" s="138"/>
      <c r="R649" s="138"/>
      <c r="S649" s="138"/>
      <c r="T649" s="138"/>
      <c r="U649" s="138"/>
      <c r="V649" s="138"/>
      <c r="W649" s="469"/>
      <c r="X649" s="469"/>
      <c r="Y649" s="469"/>
      <c r="Z649" s="469"/>
      <c r="AA649" s="469"/>
      <c r="AB649" s="469"/>
      <c r="AC649" s="469"/>
      <c r="AD649" s="469"/>
      <c r="AE649" s="469"/>
      <c r="AF649" s="469"/>
      <c r="AG649" s="469"/>
      <c r="AH649" s="469"/>
      <c r="AI649" s="469"/>
      <c r="AJ649" s="469"/>
      <c r="AK649" s="469"/>
      <c r="AL649" s="469"/>
      <c r="AM649" s="469"/>
      <c r="AN649" s="469"/>
      <c r="AO649" s="469"/>
    </row>
    <row r="650">
      <c r="A650" s="687"/>
      <c r="B650" s="685"/>
      <c r="C650" s="687"/>
      <c r="D650" s="687"/>
      <c r="E650" s="687"/>
      <c r="F650" s="687"/>
      <c r="G650" s="687"/>
      <c r="H650" s="688"/>
      <c r="I650" s="688"/>
      <c r="J650" s="688"/>
      <c r="K650" s="85"/>
      <c r="L650" s="85"/>
      <c r="M650" s="85"/>
      <c r="N650" s="85"/>
      <c r="O650" s="85"/>
      <c r="P650" s="85"/>
      <c r="Q650" s="138"/>
      <c r="R650" s="138"/>
      <c r="S650" s="138"/>
      <c r="T650" s="138"/>
      <c r="U650" s="138"/>
      <c r="V650" s="138"/>
      <c r="W650" s="469"/>
      <c r="X650" s="469"/>
      <c r="Y650" s="469"/>
      <c r="Z650" s="469"/>
      <c r="AA650" s="469"/>
      <c r="AB650" s="469"/>
      <c r="AC650" s="469"/>
      <c r="AD650" s="469"/>
      <c r="AE650" s="469"/>
      <c r="AF650" s="469"/>
      <c r="AG650" s="469"/>
      <c r="AH650" s="469"/>
      <c r="AI650" s="469"/>
      <c r="AJ650" s="469"/>
      <c r="AK650" s="469"/>
      <c r="AL650" s="469"/>
      <c r="AM650" s="469"/>
      <c r="AN650" s="469"/>
      <c r="AO650" s="469"/>
    </row>
    <row r="651">
      <c r="A651" s="687"/>
      <c r="B651" s="685"/>
      <c r="C651" s="687"/>
      <c r="D651" s="687"/>
      <c r="E651" s="687"/>
      <c r="F651" s="687"/>
      <c r="G651" s="687"/>
      <c r="H651" s="688"/>
      <c r="I651" s="688"/>
      <c r="J651" s="688"/>
      <c r="K651" s="85"/>
      <c r="L651" s="85"/>
      <c r="M651" s="85"/>
      <c r="N651" s="85"/>
      <c r="O651" s="85"/>
      <c r="P651" s="85"/>
      <c r="Q651" s="138"/>
      <c r="R651" s="138"/>
      <c r="S651" s="138"/>
      <c r="T651" s="138"/>
      <c r="U651" s="138"/>
      <c r="V651" s="138"/>
      <c r="W651" s="469"/>
      <c r="X651" s="469"/>
      <c r="Y651" s="469"/>
      <c r="Z651" s="469"/>
      <c r="AA651" s="469"/>
      <c r="AB651" s="469"/>
      <c r="AC651" s="469"/>
      <c r="AD651" s="469"/>
      <c r="AE651" s="469"/>
      <c r="AF651" s="469"/>
      <c r="AG651" s="469"/>
      <c r="AH651" s="469"/>
      <c r="AI651" s="469"/>
      <c r="AJ651" s="469"/>
      <c r="AK651" s="469"/>
      <c r="AL651" s="469"/>
      <c r="AM651" s="469"/>
      <c r="AN651" s="469"/>
      <c r="AO651" s="469"/>
    </row>
    <row r="652">
      <c r="A652" s="687"/>
      <c r="B652" s="685"/>
      <c r="C652" s="687"/>
      <c r="D652" s="687"/>
      <c r="E652" s="687"/>
      <c r="F652" s="687"/>
      <c r="G652" s="687"/>
      <c r="H652" s="688"/>
      <c r="I652" s="688"/>
      <c r="J652" s="688"/>
      <c r="K652" s="85"/>
      <c r="L652" s="85"/>
      <c r="M652" s="85"/>
      <c r="N652" s="85"/>
      <c r="O652" s="85"/>
      <c r="P652" s="85"/>
      <c r="Q652" s="138"/>
      <c r="R652" s="138"/>
      <c r="S652" s="138"/>
      <c r="T652" s="138"/>
      <c r="U652" s="138"/>
      <c r="V652" s="138"/>
      <c r="W652" s="469"/>
      <c r="X652" s="469"/>
      <c r="Y652" s="469"/>
      <c r="Z652" s="469"/>
      <c r="AA652" s="469"/>
      <c r="AB652" s="469"/>
      <c r="AC652" s="469"/>
      <c r="AD652" s="469"/>
      <c r="AE652" s="469"/>
      <c r="AF652" s="469"/>
      <c r="AG652" s="469"/>
      <c r="AH652" s="469"/>
      <c r="AI652" s="469"/>
      <c r="AJ652" s="469"/>
      <c r="AK652" s="469"/>
      <c r="AL652" s="469"/>
      <c r="AM652" s="469"/>
      <c r="AN652" s="469"/>
      <c r="AO652" s="469"/>
    </row>
    <row r="653">
      <c r="A653" s="687"/>
      <c r="B653" s="685"/>
      <c r="C653" s="687"/>
      <c r="D653" s="687"/>
      <c r="E653" s="687"/>
      <c r="F653" s="687"/>
      <c r="G653" s="687"/>
      <c r="H653" s="688"/>
      <c r="I653" s="688"/>
      <c r="J653" s="688"/>
      <c r="K653" s="85"/>
      <c r="L653" s="85"/>
      <c r="M653" s="85"/>
      <c r="N653" s="85"/>
      <c r="O653" s="85"/>
      <c r="P653" s="85"/>
      <c r="Q653" s="138"/>
      <c r="R653" s="138"/>
      <c r="S653" s="138"/>
      <c r="T653" s="138"/>
      <c r="U653" s="138"/>
      <c r="V653" s="138"/>
      <c r="W653" s="469"/>
      <c r="X653" s="469"/>
      <c r="Y653" s="469"/>
      <c r="Z653" s="469"/>
      <c r="AA653" s="469"/>
      <c r="AB653" s="469"/>
      <c r="AC653" s="469"/>
      <c r="AD653" s="469"/>
      <c r="AE653" s="469"/>
      <c r="AF653" s="469"/>
      <c r="AG653" s="469"/>
      <c r="AH653" s="469"/>
      <c r="AI653" s="469"/>
      <c r="AJ653" s="469"/>
      <c r="AK653" s="469"/>
      <c r="AL653" s="469"/>
      <c r="AM653" s="469"/>
      <c r="AN653" s="469"/>
      <c r="AO653" s="469"/>
    </row>
    <row r="654">
      <c r="A654" s="687"/>
      <c r="B654" s="685"/>
      <c r="C654" s="687"/>
      <c r="D654" s="687"/>
      <c r="E654" s="687"/>
      <c r="F654" s="687"/>
      <c r="G654" s="687"/>
      <c r="H654" s="688"/>
      <c r="I654" s="688"/>
      <c r="J654" s="688"/>
      <c r="K654" s="85"/>
      <c r="L654" s="85"/>
      <c r="M654" s="85"/>
      <c r="N654" s="85"/>
      <c r="O654" s="85"/>
      <c r="P654" s="85"/>
      <c r="Q654" s="138"/>
      <c r="R654" s="138"/>
      <c r="S654" s="138"/>
      <c r="T654" s="138"/>
      <c r="U654" s="138"/>
      <c r="V654" s="138"/>
      <c r="W654" s="469"/>
      <c r="X654" s="469"/>
      <c r="Y654" s="469"/>
      <c r="Z654" s="469"/>
      <c r="AA654" s="469"/>
      <c r="AB654" s="469"/>
      <c r="AC654" s="469"/>
      <c r="AD654" s="469"/>
      <c r="AE654" s="469"/>
      <c r="AF654" s="469"/>
      <c r="AG654" s="469"/>
      <c r="AH654" s="469"/>
      <c r="AI654" s="469"/>
      <c r="AJ654" s="469"/>
      <c r="AK654" s="469"/>
      <c r="AL654" s="469"/>
      <c r="AM654" s="469"/>
      <c r="AN654" s="469"/>
      <c r="AO654" s="469"/>
    </row>
    <row r="655">
      <c r="A655" s="687"/>
      <c r="B655" s="685"/>
      <c r="C655" s="687"/>
      <c r="D655" s="687"/>
      <c r="E655" s="687"/>
      <c r="F655" s="687"/>
      <c r="G655" s="687"/>
      <c r="H655" s="688"/>
      <c r="I655" s="688"/>
      <c r="J655" s="688"/>
      <c r="K655" s="85"/>
      <c r="L655" s="85"/>
      <c r="M655" s="85"/>
      <c r="N655" s="85"/>
      <c r="O655" s="85"/>
      <c r="P655" s="85"/>
      <c r="Q655" s="138"/>
      <c r="R655" s="138"/>
      <c r="S655" s="138"/>
      <c r="T655" s="138"/>
      <c r="U655" s="138"/>
      <c r="V655" s="138"/>
      <c r="W655" s="469"/>
      <c r="X655" s="469"/>
      <c r="Y655" s="469"/>
      <c r="Z655" s="469"/>
      <c r="AA655" s="469"/>
      <c r="AB655" s="469"/>
      <c r="AC655" s="469"/>
      <c r="AD655" s="469"/>
      <c r="AE655" s="469"/>
      <c r="AF655" s="469"/>
      <c r="AG655" s="469"/>
      <c r="AH655" s="469"/>
      <c r="AI655" s="469"/>
      <c r="AJ655" s="469"/>
      <c r="AK655" s="469"/>
      <c r="AL655" s="469"/>
      <c r="AM655" s="469"/>
      <c r="AN655" s="469"/>
      <c r="AO655" s="469"/>
    </row>
    <row r="656">
      <c r="A656" s="687"/>
      <c r="B656" s="685"/>
      <c r="C656" s="687"/>
      <c r="D656" s="687"/>
      <c r="E656" s="687"/>
      <c r="F656" s="687"/>
      <c r="G656" s="687"/>
      <c r="H656" s="688"/>
      <c r="I656" s="688"/>
      <c r="J656" s="688"/>
      <c r="K656" s="85"/>
      <c r="L656" s="85"/>
      <c r="M656" s="85"/>
      <c r="N656" s="85"/>
      <c r="O656" s="85"/>
      <c r="P656" s="85"/>
      <c r="Q656" s="138"/>
      <c r="R656" s="138"/>
      <c r="S656" s="138"/>
      <c r="T656" s="138"/>
      <c r="U656" s="138"/>
      <c r="V656" s="138"/>
      <c r="W656" s="469"/>
      <c r="X656" s="469"/>
      <c r="Y656" s="469"/>
      <c r="Z656" s="469"/>
      <c r="AA656" s="469"/>
      <c r="AB656" s="469"/>
      <c r="AC656" s="469"/>
      <c r="AD656" s="469"/>
      <c r="AE656" s="469"/>
      <c r="AF656" s="469"/>
      <c r="AG656" s="469"/>
      <c r="AH656" s="469"/>
      <c r="AI656" s="469"/>
      <c r="AJ656" s="469"/>
      <c r="AK656" s="469"/>
      <c r="AL656" s="469"/>
      <c r="AM656" s="469"/>
      <c r="AN656" s="469"/>
      <c r="AO656" s="469"/>
    </row>
    <row r="657">
      <c r="A657" s="687"/>
      <c r="B657" s="685"/>
      <c r="C657" s="687"/>
      <c r="D657" s="687"/>
      <c r="E657" s="687"/>
      <c r="F657" s="687"/>
      <c r="G657" s="687"/>
      <c r="H657" s="688"/>
      <c r="I657" s="688"/>
      <c r="J657" s="688"/>
      <c r="K657" s="85"/>
      <c r="L657" s="85"/>
      <c r="M657" s="85"/>
      <c r="N657" s="85"/>
      <c r="O657" s="85"/>
      <c r="P657" s="85"/>
      <c r="Q657" s="138"/>
      <c r="R657" s="138"/>
      <c r="S657" s="138"/>
      <c r="T657" s="138"/>
      <c r="U657" s="138"/>
      <c r="V657" s="138"/>
      <c r="W657" s="469"/>
      <c r="X657" s="469"/>
      <c r="Y657" s="469"/>
      <c r="Z657" s="469"/>
      <c r="AA657" s="469"/>
      <c r="AB657" s="469"/>
      <c r="AC657" s="469"/>
      <c r="AD657" s="469"/>
      <c r="AE657" s="469"/>
      <c r="AF657" s="469"/>
      <c r="AG657" s="469"/>
      <c r="AH657" s="469"/>
      <c r="AI657" s="469"/>
      <c r="AJ657" s="469"/>
      <c r="AK657" s="469"/>
      <c r="AL657" s="469"/>
      <c r="AM657" s="469"/>
      <c r="AN657" s="469"/>
      <c r="AO657" s="469"/>
    </row>
    <row r="658">
      <c r="A658" s="687"/>
      <c r="B658" s="685"/>
      <c r="C658" s="687"/>
      <c r="D658" s="687"/>
      <c r="E658" s="687"/>
      <c r="F658" s="687"/>
      <c r="G658" s="687"/>
      <c r="H658" s="688"/>
      <c r="I658" s="688"/>
      <c r="J658" s="688"/>
      <c r="K658" s="85"/>
      <c r="L658" s="85"/>
      <c r="M658" s="85"/>
      <c r="N658" s="85"/>
      <c r="O658" s="85"/>
      <c r="P658" s="85"/>
      <c r="Q658" s="138"/>
      <c r="R658" s="138"/>
      <c r="S658" s="138"/>
      <c r="T658" s="138"/>
      <c r="U658" s="138"/>
      <c r="V658" s="138"/>
      <c r="W658" s="469"/>
      <c r="X658" s="469"/>
      <c r="Y658" s="469"/>
      <c r="Z658" s="469"/>
      <c r="AA658" s="469"/>
      <c r="AB658" s="469"/>
      <c r="AC658" s="469"/>
      <c r="AD658" s="469"/>
      <c r="AE658" s="469"/>
      <c r="AF658" s="469"/>
      <c r="AG658" s="469"/>
      <c r="AH658" s="469"/>
      <c r="AI658" s="469"/>
      <c r="AJ658" s="469"/>
      <c r="AK658" s="469"/>
      <c r="AL658" s="469"/>
      <c r="AM658" s="469"/>
      <c r="AN658" s="469"/>
      <c r="AO658" s="469"/>
    </row>
    <row r="659">
      <c r="A659" s="687"/>
      <c r="B659" s="685"/>
      <c r="C659" s="687"/>
      <c r="D659" s="687"/>
      <c r="E659" s="687"/>
      <c r="F659" s="687"/>
      <c r="G659" s="687"/>
      <c r="H659" s="688"/>
      <c r="I659" s="688"/>
      <c r="J659" s="688"/>
      <c r="K659" s="85"/>
      <c r="L659" s="85"/>
      <c r="M659" s="85"/>
      <c r="N659" s="85"/>
      <c r="O659" s="85"/>
      <c r="P659" s="85"/>
      <c r="Q659" s="138"/>
      <c r="R659" s="138"/>
      <c r="S659" s="138"/>
      <c r="T659" s="138"/>
      <c r="U659" s="138"/>
      <c r="V659" s="138"/>
      <c r="W659" s="469"/>
      <c r="X659" s="469"/>
      <c r="Y659" s="469"/>
      <c r="Z659" s="469"/>
      <c r="AA659" s="469"/>
      <c r="AB659" s="469"/>
      <c r="AC659" s="469"/>
      <c r="AD659" s="469"/>
      <c r="AE659" s="469"/>
      <c r="AF659" s="469"/>
      <c r="AG659" s="469"/>
      <c r="AH659" s="469"/>
      <c r="AI659" s="469"/>
      <c r="AJ659" s="469"/>
      <c r="AK659" s="469"/>
      <c r="AL659" s="469"/>
      <c r="AM659" s="469"/>
      <c r="AN659" s="469"/>
      <c r="AO659" s="469"/>
    </row>
    <row r="660">
      <c r="A660" s="687"/>
      <c r="B660" s="685"/>
      <c r="C660" s="687"/>
      <c r="D660" s="687"/>
      <c r="E660" s="687"/>
      <c r="F660" s="687"/>
      <c r="G660" s="687"/>
      <c r="H660" s="688"/>
      <c r="I660" s="688"/>
      <c r="J660" s="688"/>
      <c r="K660" s="85"/>
      <c r="L660" s="85"/>
      <c r="M660" s="85"/>
      <c r="N660" s="85"/>
      <c r="O660" s="85"/>
      <c r="P660" s="85"/>
      <c r="Q660" s="138"/>
      <c r="R660" s="138"/>
      <c r="S660" s="138"/>
      <c r="T660" s="138"/>
      <c r="U660" s="138"/>
      <c r="V660" s="138"/>
      <c r="W660" s="469"/>
      <c r="X660" s="469"/>
      <c r="Y660" s="469"/>
      <c r="Z660" s="469"/>
      <c r="AA660" s="469"/>
      <c r="AB660" s="469"/>
      <c r="AC660" s="469"/>
      <c r="AD660" s="469"/>
      <c r="AE660" s="469"/>
      <c r="AF660" s="469"/>
      <c r="AG660" s="469"/>
      <c r="AH660" s="469"/>
      <c r="AI660" s="469"/>
      <c r="AJ660" s="469"/>
      <c r="AK660" s="469"/>
      <c r="AL660" s="469"/>
      <c r="AM660" s="469"/>
      <c r="AN660" s="469"/>
      <c r="AO660" s="469"/>
    </row>
    <row r="661">
      <c r="A661" s="687"/>
      <c r="B661" s="685"/>
      <c r="C661" s="687"/>
      <c r="D661" s="687"/>
      <c r="E661" s="687"/>
      <c r="F661" s="687"/>
      <c r="G661" s="687"/>
      <c r="H661" s="688"/>
      <c r="I661" s="688"/>
      <c r="J661" s="688"/>
      <c r="K661" s="85"/>
      <c r="L661" s="85"/>
      <c r="M661" s="85"/>
      <c r="N661" s="85"/>
      <c r="O661" s="85"/>
      <c r="P661" s="85"/>
      <c r="Q661" s="138"/>
      <c r="R661" s="138"/>
      <c r="S661" s="138"/>
      <c r="T661" s="138"/>
      <c r="U661" s="138"/>
      <c r="V661" s="138"/>
      <c r="W661" s="469"/>
      <c r="X661" s="469"/>
      <c r="Y661" s="469"/>
      <c r="Z661" s="469"/>
      <c r="AA661" s="469"/>
      <c r="AB661" s="469"/>
      <c r="AC661" s="469"/>
      <c r="AD661" s="469"/>
      <c r="AE661" s="469"/>
      <c r="AF661" s="469"/>
      <c r="AG661" s="469"/>
      <c r="AH661" s="469"/>
      <c r="AI661" s="469"/>
      <c r="AJ661" s="469"/>
      <c r="AK661" s="469"/>
      <c r="AL661" s="469"/>
      <c r="AM661" s="469"/>
      <c r="AN661" s="469"/>
      <c r="AO661" s="469"/>
    </row>
    <row r="662">
      <c r="A662" s="687"/>
      <c r="B662" s="685"/>
      <c r="C662" s="687"/>
      <c r="D662" s="687"/>
      <c r="E662" s="687"/>
      <c r="F662" s="687"/>
      <c r="G662" s="687"/>
      <c r="H662" s="688"/>
      <c r="I662" s="688"/>
      <c r="J662" s="688"/>
      <c r="K662" s="85"/>
      <c r="L662" s="85"/>
      <c r="M662" s="85"/>
      <c r="N662" s="85"/>
      <c r="O662" s="85"/>
      <c r="P662" s="85"/>
      <c r="Q662" s="138"/>
      <c r="R662" s="138"/>
      <c r="S662" s="138"/>
      <c r="T662" s="138"/>
      <c r="U662" s="138"/>
      <c r="V662" s="138"/>
      <c r="W662" s="469"/>
      <c r="X662" s="469"/>
      <c r="Y662" s="469"/>
      <c r="Z662" s="469"/>
      <c r="AA662" s="469"/>
      <c r="AB662" s="469"/>
      <c r="AC662" s="469"/>
      <c r="AD662" s="469"/>
      <c r="AE662" s="469"/>
      <c r="AF662" s="469"/>
      <c r="AG662" s="469"/>
      <c r="AH662" s="469"/>
      <c r="AI662" s="469"/>
      <c r="AJ662" s="469"/>
      <c r="AK662" s="469"/>
      <c r="AL662" s="469"/>
      <c r="AM662" s="469"/>
      <c r="AN662" s="469"/>
      <c r="AO662" s="469"/>
    </row>
    <row r="663">
      <c r="A663" s="687"/>
      <c r="B663" s="685"/>
      <c r="C663" s="687"/>
      <c r="D663" s="687"/>
      <c r="E663" s="687"/>
      <c r="F663" s="687"/>
      <c r="G663" s="687"/>
      <c r="H663" s="688"/>
      <c r="I663" s="688"/>
      <c r="J663" s="688"/>
      <c r="K663" s="85"/>
      <c r="L663" s="85"/>
      <c r="M663" s="85"/>
      <c r="N663" s="85"/>
      <c r="O663" s="85"/>
      <c r="P663" s="85"/>
      <c r="Q663" s="138"/>
      <c r="R663" s="138"/>
      <c r="S663" s="138"/>
      <c r="T663" s="138"/>
      <c r="U663" s="138"/>
      <c r="V663" s="138"/>
      <c r="W663" s="469"/>
      <c r="X663" s="469"/>
      <c r="Y663" s="469"/>
      <c r="Z663" s="469"/>
      <c r="AA663" s="469"/>
      <c r="AB663" s="469"/>
      <c r="AC663" s="469"/>
      <c r="AD663" s="469"/>
      <c r="AE663" s="469"/>
      <c r="AF663" s="469"/>
      <c r="AG663" s="469"/>
      <c r="AH663" s="469"/>
      <c r="AI663" s="469"/>
      <c r="AJ663" s="469"/>
      <c r="AK663" s="469"/>
      <c r="AL663" s="469"/>
      <c r="AM663" s="469"/>
      <c r="AN663" s="469"/>
      <c r="AO663" s="469"/>
    </row>
    <row r="664">
      <c r="A664" s="687"/>
      <c r="B664" s="685"/>
      <c r="C664" s="687"/>
      <c r="D664" s="687"/>
      <c r="E664" s="687"/>
      <c r="F664" s="687"/>
      <c r="G664" s="687"/>
      <c r="H664" s="688"/>
      <c r="I664" s="688"/>
      <c r="J664" s="688"/>
      <c r="K664" s="85"/>
      <c r="L664" s="85"/>
      <c r="M664" s="85"/>
      <c r="N664" s="85"/>
      <c r="O664" s="85"/>
      <c r="P664" s="85"/>
      <c r="Q664" s="138"/>
      <c r="R664" s="138"/>
      <c r="S664" s="138"/>
      <c r="T664" s="138"/>
      <c r="U664" s="138"/>
      <c r="V664" s="138"/>
      <c r="W664" s="469"/>
      <c r="X664" s="469"/>
      <c r="Y664" s="469"/>
      <c r="Z664" s="469"/>
      <c r="AA664" s="469"/>
      <c r="AB664" s="469"/>
      <c r="AC664" s="469"/>
      <c r="AD664" s="469"/>
      <c r="AE664" s="469"/>
      <c r="AF664" s="469"/>
      <c r="AG664" s="469"/>
      <c r="AH664" s="469"/>
      <c r="AI664" s="469"/>
      <c r="AJ664" s="469"/>
      <c r="AK664" s="469"/>
      <c r="AL664" s="469"/>
      <c r="AM664" s="469"/>
      <c r="AN664" s="469"/>
      <c r="AO664" s="469"/>
    </row>
    <row r="665">
      <c r="A665" s="687"/>
      <c r="B665" s="685"/>
      <c r="C665" s="687"/>
      <c r="D665" s="687"/>
      <c r="E665" s="687"/>
      <c r="F665" s="687"/>
      <c r="G665" s="687"/>
      <c r="H665" s="688"/>
      <c r="I665" s="688"/>
      <c r="J665" s="688"/>
      <c r="K665" s="85"/>
      <c r="L665" s="85"/>
      <c r="M665" s="85"/>
      <c r="N665" s="85"/>
      <c r="O665" s="85"/>
      <c r="P665" s="85"/>
      <c r="Q665" s="138"/>
      <c r="R665" s="138"/>
      <c r="S665" s="138"/>
      <c r="T665" s="138"/>
      <c r="U665" s="138"/>
      <c r="V665" s="138"/>
      <c r="W665" s="469"/>
      <c r="X665" s="469"/>
      <c r="Y665" s="469"/>
      <c r="Z665" s="469"/>
      <c r="AA665" s="469"/>
      <c r="AB665" s="469"/>
      <c r="AC665" s="469"/>
      <c r="AD665" s="469"/>
      <c r="AE665" s="469"/>
      <c r="AF665" s="469"/>
      <c r="AG665" s="469"/>
      <c r="AH665" s="469"/>
      <c r="AI665" s="469"/>
      <c r="AJ665" s="469"/>
      <c r="AK665" s="469"/>
      <c r="AL665" s="469"/>
      <c r="AM665" s="469"/>
      <c r="AN665" s="469"/>
      <c r="AO665" s="469"/>
    </row>
    <row r="666">
      <c r="A666" s="687"/>
      <c r="B666" s="685"/>
      <c r="C666" s="687"/>
      <c r="D666" s="687"/>
      <c r="E666" s="687"/>
      <c r="F666" s="687"/>
      <c r="G666" s="687"/>
      <c r="H666" s="688"/>
      <c r="I666" s="688"/>
      <c r="J666" s="688"/>
      <c r="K666" s="85"/>
      <c r="L666" s="85"/>
      <c r="M666" s="85"/>
      <c r="N666" s="85"/>
      <c r="O666" s="85"/>
      <c r="P666" s="85"/>
      <c r="Q666" s="138"/>
      <c r="R666" s="138"/>
      <c r="S666" s="138"/>
      <c r="T666" s="138"/>
      <c r="U666" s="138"/>
      <c r="V666" s="138"/>
      <c r="W666" s="469"/>
      <c r="X666" s="469"/>
      <c r="Y666" s="469"/>
      <c r="Z666" s="469"/>
      <c r="AA666" s="469"/>
      <c r="AB666" s="469"/>
      <c r="AC666" s="469"/>
      <c r="AD666" s="469"/>
      <c r="AE666" s="469"/>
      <c r="AF666" s="469"/>
      <c r="AG666" s="469"/>
      <c r="AH666" s="469"/>
      <c r="AI666" s="469"/>
      <c r="AJ666" s="469"/>
      <c r="AK666" s="469"/>
      <c r="AL666" s="469"/>
      <c r="AM666" s="469"/>
      <c r="AN666" s="469"/>
      <c r="AO666" s="469"/>
    </row>
    <row r="667">
      <c r="A667" s="687"/>
      <c r="B667" s="685"/>
      <c r="C667" s="687"/>
      <c r="D667" s="687"/>
      <c r="E667" s="687"/>
      <c r="F667" s="687"/>
      <c r="G667" s="687"/>
      <c r="H667" s="688"/>
      <c r="I667" s="688"/>
      <c r="J667" s="688"/>
      <c r="K667" s="85"/>
      <c r="L667" s="85"/>
      <c r="M667" s="85"/>
      <c r="N667" s="85"/>
      <c r="O667" s="85"/>
      <c r="P667" s="85"/>
      <c r="Q667" s="138"/>
      <c r="R667" s="138"/>
      <c r="S667" s="138"/>
      <c r="T667" s="138"/>
      <c r="U667" s="138"/>
      <c r="V667" s="138"/>
      <c r="W667" s="469"/>
      <c r="X667" s="469"/>
      <c r="Y667" s="469"/>
      <c r="Z667" s="469"/>
      <c r="AA667" s="469"/>
      <c r="AB667" s="469"/>
      <c r="AC667" s="469"/>
      <c r="AD667" s="469"/>
      <c r="AE667" s="469"/>
      <c r="AF667" s="469"/>
      <c r="AG667" s="469"/>
      <c r="AH667" s="469"/>
      <c r="AI667" s="469"/>
      <c r="AJ667" s="469"/>
      <c r="AK667" s="469"/>
      <c r="AL667" s="469"/>
      <c r="AM667" s="469"/>
      <c r="AN667" s="469"/>
      <c r="AO667" s="469"/>
    </row>
    <row r="668">
      <c r="A668" s="687"/>
      <c r="B668" s="685"/>
      <c r="C668" s="687"/>
      <c r="D668" s="687"/>
      <c r="E668" s="687"/>
      <c r="F668" s="687"/>
      <c r="G668" s="687"/>
      <c r="H668" s="688"/>
      <c r="I668" s="688"/>
      <c r="J668" s="688"/>
      <c r="K668" s="85"/>
      <c r="L668" s="85"/>
      <c r="M668" s="85"/>
      <c r="N668" s="85"/>
      <c r="O668" s="85"/>
      <c r="P668" s="85"/>
      <c r="Q668" s="138"/>
      <c r="R668" s="138"/>
      <c r="S668" s="138"/>
      <c r="T668" s="138"/>
      <c r="U668" s="138"/>
      <c r="V668" s="138"/>
      <c r="W668" s="469"/>
      <c r="X668" s="469"/>
      <c r="Y668" s="469"/>
      <c r="Z668" s="469"/>
      <c r="AA668" s="469"/>
      <c r="AB668" s="469"/>
      <c r="AC668" s="469"/>
      <c r="AD668" s="469"/>
      <c r="AE668" s="469"/>
      <c r="AF668" s="469"/>
      <c r="AG668" s="469"/>
      <c r="AH668" s="469"/>
      <c r="AI668" s="469"/>
      <c r="AJ668" s="469"/>
      <c r="AK668" s="469"/>
      <c r="AL668" s="469"/>
      <c r="AM668" s="469"/>
      <c r="AN668" s="469"/>
      <c r="AO668" s="469"/>
    </row>
    <row r="669">
      <c r="A669" s="687"/>
      <c r="B669" s="685"/>
      <c r="C669" s="687"/>
      <c r="D669" s="687"/>
      <c r="E669" s="687"/>
      <c r="F669" s="687"/>
      <c r="G669" s="687"/>
      <c r="H669" s="688"/>
      <c r="I669" s="688"/>
      <c r="J669" s="688"/>
      <c r="K669" s="85"/>
      <c r="L669" s="85"/>
      <c r="M669" s="85"/>
      <c r="N669" s="85"/>
      <c r="O669" s="85"/>
      <c r="P669" s="85"/>
      <c r="Q669" s="138"/>
      <c r="R669" s="138"/>
      <c r="S669" s="138"/>
      <c r="T669" s="138"/>
      <c r="U669" s="138"/>
      <c r="V669" s="138"/>
      <c r="W669" s="469"/>
      <c r="X669" s="469"/>
      <c r="Y669" s="469"/>
      <c r="Z669" s="469"/>
      <c r="AA669" s="469"/>
      <c r="AB669" s="469"/>
      <c r="AC669" s="469"/>
      <c r="AD669" s="469"/>
      <c r="AE669" s="469"/>
      <c r="AF669" s="469"/>
      <c r="AG669" s="469"/>
      <c r="AH669" s="469"/>
      <c r="AI669" s="469"/>
      <c r="AJ669" s="469"/>
      <c r="AK669" s="469"/>
      <c r="AL669" s="469"/>
      <c r="AM669" s="469"/>
      <c r="AN669" s="469"/>
      <c r="AO669" s="469"/>
    </row>
    <row r="670">
      <c r="A670" s="687"/>
      <c r="B670" s="685"/>
      <c r="C670" s="687"/>
      <c r="D670" s="687"/>
      <c r="E670" s="687"/>
      <c r="F670" s="687"/>
      <c r="G670" s="687"/>
      <c r="H670" s="688"/>
      <c r="I670" s="688"/>
      <c r="J670" s="688"/>
      <c r="K670" s="85"/>
      <c r="L670" s="85"/>
      <c r="M670" s="85"/>
      <c r="N670" s="85"/>
      <c r="O670" s="85"/>
      <c r="P670" s="85"/>
      <c r="Q670" s="138"/>
      <c r="R670" s="138"/>
      <c r="S670" s="138"/>
      <c r="T670" s="138"/>
      <c r="U670" s="138"/>
      <c r="V670" s="138"/>
      <c r="W670" s="469"/>
      <c r="X670" s="469"/>
      <c r="Y670" s="469"/>
      <c r="Z670" s="469"/>
      <c r="AA670" s="469"/>
      <c r="AB670" s="469"/>
      <c r="AC670" s="469"/>
      <c r="AD670" s="469"/>
      <c r="AE670" s="469"/>
      <c r="AF670" s="469"/>
      <c r="AG670" s="469"/>
      <c r="AH670" s="469"/>
      <c r="AI670" s="469"/>
      <c r="AJ670" s="469"/>
      <c r="AK670" s="469"/>
      <c r="AL670" s="469"/>
      <c r="AM670" s="469"/>
      <c r="AN670" s="469"/>
      <c r="AO670" s="469"/>
    </row>
    <row r="671">
      <c r="A671" s="687"/>
      <c r="B671" s="685"/>
      <c r="C671" s="687"/>
      <c r="D671" s="687"/>
      <c r="E671" s="687"/>
      <c r="F671" s="687"/>
      <c r="G671" s="687"/>
      <c r="H671" s="688"/>
      <c r="I671" s="688"/>
      <c r="J671" s="688"/>
      <c r="K671" s="85"/>
      <c r="L671" s="85"/>
      <c r="M671" s="85"/>
      <c r="N671" s="85"/>
      <c r="O671" s="85"/>
      <c r="P671" s="85"/>
      <c r="Q671" s="138"/>
      <c r="R671" s="138"/>
      <c r="S671" s="138"/>
      <c r="T671" s="138"/>
      <c r="U671" s="138"/>
      <c r="V671" s="138"/>
      <c r="W671" s="469"/>
      <c r="X671" s="469"/>
      <c r="Y671" s="469"/>
      <c r="Z671" s="469"/>
      <c r="AA671" s="469"/>
      <c r="AB671" s="469"/>
      <c r="AC671" s="469"/>
      <c r="AD671" s="469"/>
      <c r="AE671" s="469"/>
      <c r="AF671" s="469"/>
      <c r="AG671" s="469"/>
      <c r="AH671" s="469"/>
      <c r="AI671" s="469"/>
      <c r="AJ671" s="469"/>
      <c r="AK671" s="469"/>
      <c r="AL671" s="469"/>
      <c r="AM671" s="469"/>
      <c r="AN671" s="469"/>
      <c r="AO671" s="469"/>
    </row>
    <row r="672">
      <c r="A672" s="687"/>
      <c r="B672" s="685"/>
      <c r="C672" s="687"/>
      <c r="D672" s="687"/>
      <c r="E672" s="687"/>
      <c r="F672" s="687"/>
      <c r="G672" s="687"/>
      <c r="H672" s="688"/>
      <c r="I672" s="688"/>
      <c r="J672" s="688"/>
      <c r="K672" s="85"/>
      <c r="L672" s="85"/>
      <c r="M672" s="85"/>
      <c r="N672" s="85"/>
      <c r="O672" s="85"/>
      <c r="P672" s="85"/>
      <c r="Q672" s="138"/>
      <c r="R672" s="138"/>
      <c r="S672" s="138"/>
      <c r="T672" s="138"/>
      <c r="U672" s="138"/>
      <c r="V672" s="138"/>
      <c r="W672" s="469"/>
      <c r="X672" s="469"/>
      <c r="Y672" s="469"/>
      <c r="Z672" s="469"/>
      <c r="AA672" s="469"/>
      <c r="AB672" s="469"/>
      <c r="AC672" s="469"/>
      <c r="AD672" s="469"/>
      <c r="AE672" s="469"/>
      <c r="AF672" s="469"/>
      <c r="AG672" s="469"/>
      <c r="AH672" s="469"/>
      <c r="AI672" s="469"/>
      <c r="AJ672" s="469"/>
      <c r="AK672" s="469"/>
      <c r="AL672" s="469"/>
      <c r="AM672" s="469"/>
      <c r="AN672" s="469"/>
      <c r="AO672" s="469"/>
    </row>
    <row r="673">
      <c r="A673" s="687"/>
      <c r="B673" s="685"/>
      <c r="C673" s="687"/>
      <c r="D673" s="687"/>
      <c r="E673" s="687"/>
      <c r="F673" s="687"/>
      <c r="G673" s="687"/>
      <c r="H673" s="688"/>
      <c r="I673" s="688"/>
      <c r="J673" s="688"/>
      <c r="K673" s="85"/>
      <c r="L673" s="85"/>
      <c r="M673" s="85"/>
      <c r="N673" s="85"/>
      <c r="O673" s="85"/>
      <c r="P673" s="85"/>
      <c r="Q673" s="138"/>
      <c r="R673" s="138"/>
      <c r="S673" s="138"/>
      <c r="T673" s="138"/>
      <c r="U673" s="138"/>
      <c r="V673" s="138"/>
      <c r="W673" s="469"/>
      <c r="X673" s="469"/>
      <c r="Y673" s="469"/>
      <c r="Z673" s="469"/>
      <c r="AA673" s="469"/>
      <c r="AB673" s="469"/>
      <c r="AC673" s="469"/>
      <c r="AD673" s="469"/>
      <c r="AE673" s="469"/>
      <c r="AF673" s="469"/>
      <c r="AG673" s="469"/>
      <c r="AH673" s="469"/>
      <c r="AI673" s="469"/>
      <c r="AJ673" s="469"/>
      <c r="AK673" s="469"/>
      <c r="AL673" s="469"/>
      <c r="AM673" s="469"/>
      <c r="AN673" s="469"/>
      <c r="AO673" s="469"/>
    </row>
    <row r="674">
      <c r="A674" s="687"/>
      <c r="B674" s="685"/>
      <c r="C674" s="687"/>
      <c r="D674" s="687"/>
      <c r="E674" s="687"/>
      <c r="F674" s="687"/>
      <c r="G674" s="687"/>
      <c r="H674" s="688"/>
      <c r="I674" s="688"/>
      <c r="J674" s="688"/>
      <c r="K674" s="85"/>
      <c r="L674" s="85"/>
      <c r="M674" s="85"/>
      <c r="N674" s="85"/>
      <c r="O674" s="85"/>
      <c r="P674" s="85"/>
      <c r="Q674" s="138"/>
      <c r="R674" s="138"/>
      <c r="S674" s="138"/>
      <c r="T674" s="138"/>
      <c r="U674" s="138"/>
      <c r="V674" s="138"/>
      <c r="W674" s="469"/>
      <c r="X674" s="469"/>
      <c r="Y674" s="469"/>
      <c r="Z674" s="469"/>
      <c r="AA674" s="469"/>
      <c r="AB674" s="469"/>
      <c r="AC674" s="469"/>
      <c r="AD674" s="469"/>
      <c r="AE674" s="469"/>
      <c r="AF674" s="469"/>
      <c r="AG674" s="469"/>
      <c r="AH674" s="469"/>
      <c r="AI674" s="469"/>
      <c r="AJ674" s="469"/>
      <c r="AK674" s="469"/>
      <c r="AL674" s="469"/>
      <c r="AM674" s="469"/>
      <c r="AN674" s="469"/>
      <c r="AO674" s="469"/>
    </row>
    <row r="675">
      <c r="A675" s="687"/>
      <c r="B675" s="685"/>
      <c r="C675" s="687"/>
      <c r="D675" s="687"/>
      <c r="E675" s="687"/>
      <c r="F675" s="687"/>
      <c r="G675" s="687"/>
      <c r="H675" s="688"/>
      <c r="I675" s="688"/>
      <c r="J675" s="688"/>
      <c r="K675" s="85"/>
      <c r="L675" s="85"/>
      <c r="M675" s="85"/>
      <c r="N675" s="85"/>
      <c r="O675" s="85"/>
      <c r="P675" s="85"/>
      <c r="Q675" s="138"/>
      <c r="R675" s="138"/>
      <c r="S675" s="138"/>
      <c r="T675" s="138"/>
      <c r="U675" s="138"/>
      <c r="V675" s="138"/>
      <c r="W675" s="469"/>
      <c r="X675" s="469"/>
      <c r="Y675" s="469"/>
      <c r="Z675" s="469"/>
      <c r="AA675" s="469"/>
      <c r="AB675" s="469"/>
      <c r="AC675" s="469"/>
      <c r="AD675" s="469"/>
      <c r="AE675" s="469"/>
      <c r="AF675" s="469"/>
      <c r="AG675" s="469"/>
      <c r="AH675" s="469"/>
      <c r="AI675" s="469"/>
      <c r="AJ675" s="469"/>
      <c r="AK675" s="469"/>
      <c r="AL675" s="469"/>
      <c r="AM675" s="469"/>
      <c r="AN675" s="469"/>
      <c r="AO675" s="469"/>
    </row>
    <row r="676">
      <c r="A676" s="687"/>
      <c r="B676" s="685"/>
      <c r="C676" s="687"/>
      <c r="D676" s="687"/>
      <c r="E676" s="687"/>
      <c r="F676" s="687"/>
      <c r="G676" s="687"/>
      <c r="H676" s="688"/>
      <c r="I676" s="688"/>
      <c r="J676" s="688"/>
      <c r="K676" s="85"/>
      <c r="L676" s="85"/>
      <c r="M676" s="85"/>
      <c r="N676" s="85"/>
      <c r="O676" s="85"/>
      <c r="P676" s="85"/>
      <c r="Q676" s="138"/>
      <c r="R676" s="138"/>
      <c r="S676" s="138"/>
      <c r="T676" s="138"/>
      <c r="U676" s="138"/>
      <c r="V676" s="138"/>
      <c r="W676" s="469"/>
      <c r="X676" s="469"/>
      <c r="Y676" s="469"/>
      <c r="Z676" s="469"/>
      <c r="AA676" s="469"/>
      <c r="AB676" s="469"/>
      <c r="AC676" s="469"/>
      <c r="AD676" s="469"/>
      <c r="AE676" s="469"/>
      <c r="AF676" s="469"/>
      <c r="AG676" s="469"/>
      <c r="AH676" s="469"/>
      <c r="AI676" s="469"/>
      <c r="AJ676" s="469"/>
      <c r="AK676" s="469"/>
      <c r="AL676" s="469"/>
      <c r="AM676" s="469"/>
      <c r="AN676" s="469"/>
      <c r="AO676" s="469"/>
    </row>
    <row r="677">
      <c r="A677" s="687"/>
      <c r="B677" s="685"/>
      <c r="C677" s="687"/>
      <c r="D677" s="687"/>
      <c r="E677" s="687"/>
      <c r="F677" s="687"/>
      <c r="G677" s="687"/>
      <c r="H677" s="688"/>
      <c r="I677" s="688"/>
      <c r="J677" s="688"/>
      <c r="K677" s="85"/>
      <c r="L677" s="85"/>
      <c r="M677" s="85"/>
      <c r="N677" s="85"/>
      <c r="O677" s="85"/>
      <c r="P677" s="85"/>
      <c r="Q677" s="138"/>
      <c r="R677" s="138"/>
      <c r="S677" s="138"/>
      <c r="T677" s="138"/>
      <c r="U677" s="138"/>
      <c r="V677" s="138"/>
      <c r="W677" s="469"/>
      <c r="X677" s="469"/>
      <c r="Y677" s="469"/>
      <c r="Z677" s="469"/>
      <c r="AA677" s="469"/>
      <c r="AB677" s="469"/>
      <c r="AC677" s="469"/>
      <c r="AD677" s="469"/>
      <c r="AE677" s="469"/>
      <c r="AF677" s="469"/>
      <c r="AG677" s="469"/>
      <c r="AH677" s="469"/>
      <c r="AI677" s="469"/>
      <c r="AJ677" s="469"/>
      <c r="AK677" s="469"/>
      <c r="AL677" s="469"/>
      <c r="AM677" s="469"/>
      <c r="AN677" s="469"/>
      <c r="AO677" s="469"/>
    </row>
    <row r="678">
      <c r="A678" s="687"/>
      <c r="B678" s="685"/>
      <c r="C678" s="687"/>
      <c r="D678" s="687"/>
      <c r="E678" s="687"/>
      <c r="F678" s="687"/>
      <c r="G678" s="687"/>
      <c r="H678" s="688"/>
      <c r="I678" s="688"/>
      <c r="J678" s="688"/>
      <c r="K678" s="85"/>
      <c r="L678" s="85"/>
      <c r="M678" s="85"/>
      <c r="N678" s="85"/>
      <c r="O678" s="85"/>
      <c r="P678" s="85"/>
      <c r="Q678" s="138"/>
      <c r="R678" s="138"/>
      <c r="S678" s="138"/>
      <c r="T678" s="138"/>
      <c r="U678" s="138"/>
      <c r="V678" s="138"/>
      <c r="W678" s="469"/>
      <c r="X678" s="469"/>
      <c r="Y678" s="469"/>
      <c r="Z678" s="469"/>
      <c r="AA678" s="469"/>
      <c r="AB678" s="469"/>
      <c r="AC678" s="469"/>
      <c r="AD678" s="469"/>
      <c r="AE678" s="469"/>
      <c r="AF678" s="469"/>
      <c r="AG678" s="469"/>
      <c r="AH678" s="469"/>
      <c r="AI678" s="469"/>
      <c r="AJ678" s="469"/>
      <c r="AK678" s="469"/>
      <c r="AL678" s="469"/>
      <c r="AM678" s="469"/>
      <c r="AN678" s="469"/>
      <c r="AO678" s="469"/>
    </row>
    <row r="679">
      <c r="A679" s="687"/>
      <c r="B679" s="685"/>
      <c r="C679" s="687"/>
      <c r="D679" s="687"/>
      <c r="E679" s="687"/>
      <c r="F679" s="687"/>
      <c r="G679" s="687"/>
      <c r="H679" s="688"/>
      <c r="I679" s="688"/>
      <c r="J679" s="688"/>
      <c r="K679" s="85"/>
      <c r="L679" s="85"/>
      <c r="M679" s="85"/>
      <c r="N679" s="85"/>
      <c r="O679" s="85"/>
      <c r="P679" s="85"/>
      <c r="Q679" s="138"/>
      <c r="R679" s="138"/>
      <c r="S679" s="138"/>
      <c r="T679" s="138"/>
      <c r="U679" s="138"/>
      <c r="V679" s="138"/>
      <c r="W679" s="469"/>
      <c r="X679" s="469"/>
      <c r="Y679" s="469"/>
      <c r="Z679" s="469"/>
      <c r="AA679" s="469"/>
      <c r="AB679" s="469"/>
      <c r="AC679" s="469"/>
      <c r="AD679" s="469"/>
      <c r="AE679" s="469"/>
      <c r="AF679" s="469"/>
      <c r="AG679" s="469"/>
      <c r="AH679" s="469"/>
      <c r="AI679" s="469"/>
      <c r="AJ679" s="469"/>
      <c r="AK679" s="469"/>
      <c r="AL679" s="469"/>
      <c r="AM679" s="469"/>
      <c r="AN679" s="469"/>
      <c r="AO679" s="469"/>
    </row>
    <row r="680">
      <c r="A680" s="687"/>
      <c r="B680" s="685"/>
      <c r="C680" s="687"/>
      <c r="D680" s="687"/>
      <c r="E680" s="687"/>
      <c r="F680" s="687"/>
      <c r="G680" s="687"/>
      <c r="H680" s="688"/>
      <c r="I680" s="688"/>
      <c r="J680" s="688"/>
      <c r="K680" s="85"/>
      <c r="L680" s="85"/>
      <c r="M680" s="85"/>
      <c r="N680" s="85"/>
      <c r="O680" s="85"/>
      <c r="P680" s="85"/>
      <c r="Q680" s="138"/>
      <c r="R680" s="138"/>
      <c r="S680" s="138"/>
      <c r="T680" s="138"/>
      <c r="U680" s="138"/>
      <c r="V680" s="138"/>
      <c r="W680" s="469"/>
      <c r="X680" s="469"/>
      <c r="Y680" s="469"/>
      <c r="Z680" s="469"/>
      <c r="AA680" s="469"/>
      <c r="AB680" s="469"/>
      <c r="AC680" s="469"/>
      <c r="AD680" s="469"/>
      <c r="AE680" s="469"/>
      <c r="AF680" s="469"/>
      <c r="AG680" s="469"/>
      <c r="AH680" s="469"/>
      <c r="AI680" s="469"/>
      <c r="AJ680" s="469"/>
      <c r="AK680" s="469"/>
      <c r="AL680" s="469"/>
      <c r="AM680" s="469"/>
      <c r="AN680" s="469"/>
      <c r="AO680" s="469"/>
    </row>
    <row r="681">
      <c r="A681" s="687"/>
      <c r="B681" s="685"/>
      <c r="C681" s="687"/>
      <c r="D681" s="687"/>
      <c r="E681" s="687"/>
      <c r="F681" s="687"/>
      <c r="G681" s="687"/>
      <c r="H681" s="688"/>
      <c r="I681" s="688"/>
      <c r="J681" s="688"/>
      <c r="K681" s="85"/>
      <c r="L681" s="85"/>
      <c r="M681" s="85"/>
      <c r="N681" s="85"/>
      <c r="O681" s="85"/>
      <c r="P681" s="85"/>
      <c r="Q681" s="138"/>
      <c r="R681" s="138"/>
      <c r="S681" s="138"/>
      <c r="T681" s="138"/>
      <c r="U681" s="138"/>
      <c r="V681" s="138"/>
      <c r="W681" s="469"/>
      <c r="X681" s="469"/>
      <c r="Y681" s="469"/>
      <c r="Z681" s="469"/>
      <c r="AA681" s="469"/>
      <c r="AB681" s="469"/>
      <c r="AC681" s="469"/>
      <c r="AD681" s="469"/>
      <c r="AE681" s="469"/>
      <c r="AF681" s="469"/>
      <c r="AG681" s="469"/>
      <c r="AH681" s="469"/>
      <c r="AI681" s="469"/>
      <c r="AJ681" s="469"/>
      <c r="AK681" s="469"/>
      <c r="AL681" s="469"/>
      <c r="AM681" s="469"/>
      <c r="AN681" s="469"/>
      <c r="AO681" s="469"/>
    </row>
    <row r="682">
      <c r="A682" s="687"/>
      <c r="B682" s="685"/>
      <c r="C682" s="687"/>
      <c r="D682" s="687"/>
      <c r="E682" s="687"/>
      <c r="F682" s="687"/>
      <c r="G682" s="687"/>
      <c r="H682" s="688"/>
      <c r="I682" s="688"/>
      <c r="J682" s="688"/>
      <c r="K682" s="85"/>
      <c r="L682" s="85"/>
      <c r="M682" s="85"/>
      <c r="N682" s="85"/>
      <c r="O682" s="85"/>
      <c r="P682" s="85"/>
      <c r="Q682" s="138"/>
      <c r="R682" s="138"/>
      <c r="S682" s="138"/>
      <c r="T682" s="138"/>
      <c r="U682" s="138"/>
      <c r="V682" s="138"/>
      <c r="W682" s="469"/>
      <c r="X682" s="469"/>
      <c r="Y682" s="469"/>
      <c r="Z682" s="469"/>
      <c r="AA682" s="469"/>
      <c r="AB682" s="469"/>
      <c r="AC682" s="469"/>
      <c r="AD682" s="469"/>
      <c r="AE682" s="469"/>
      <c r="AF682" s="469"/>
      <c r="AG682" s="469"/>
      <c r="AH682" s="469"/>
      <c r="AI682" s="469"/>
      <c r="AJ682" s="469"/>
      <c r="AK682" s="469"/>
      <c r="AL682" s="469"/>
      <c r="AM682" s="469"/>
      <c r="AN682" s="469"/>
      <c r="AO682" s="469"/>
    </row>
    <row r="683">
      <c r="A683" s="687"/>
      <c r="B683" s="685"/>
      <c r="C683" s="687"/>
      <c r="D683" s="687"/>
      <c r="E683" s="687"/>
      <c r="F683" s="687"/>
      <c r="G683" s="687"/>
      <c r="H683" s="688"/>
      <c r="I683" s="688"/>
      <c r="J683" s="688"/>
      <c r="K683" s="85"/>
      <c r="L683" s="85"/>
      <c r="M683" s="85"/>
      <c r="N683" s="85"/>
      <c r="O683" s="85"/>
      <c r="P683" s="85"/>
      <c r="Q683" s="138"/>
      <c r="R683" s="138"/>
      <c r="S683" s="138"/>
      <c r="T683" s="138"/>
      <c r="U683" s="138"/>
      <c r="V683" s="138"/>
      <c r="W683" s="469"/>
      <c r="X683" s="469"/>
      <c r="Y683" s="469"/>
      <c r="Z683" s="469"/>
      <c r="AA683" s="469"/>
      <c r="AB683" s="469"/>
      <c r="AC683" s="469"/>
      <c r="AD683" s="469"/>
      <c r="AE683" s="469"/>
      <c r="AF683" s="469"/>
      <c r="AG683" s="469"/>
      <c r="AH683" s="469"/>
      <c r="AI683" s="469"/>
      <c r="AJ683" s="469"/>
      <c r="AK683" s="469"/>
      <c r="AL683" s="469"/>
      <c r="AM683" s="469"/>
      <c r="AN683" s="469"/>
      <c r="AO683" s="469"/>
    </row>
    <row r="684">
      <c r="A684" s="687"/>
      <c r="B684" s="685"/>
      <c r="C684" s="687"/>
      <c r="D684" s="687"/>
      <c r="E684" s="687"/>
      <c r="F684" s="687"/>
      <c r="G684" s="687"/>
      <c r="H684" s="688"/>
      <c r="I684" s="688"/>
      <c r="J684" s="688"/>
      <c r="K684" s="85"/>
      <c r="L684" s="85"/>
      <c r="M684" s="85"/>
      <c r="N684" s="85"/>
      <c r="O684" s="85"/>
      <c r="P684" s="85"/>
      <c r="Q684" s="138"/>
      <c r="R684" s="138"/>
      <c r="S684" s="138"/>
      <c r="T684" s="138"/>
      <c r="U684" s="138"/>
      <c r="V684" s="138"/>
      <c r="W684" s="469"/>
      <c r="X684" s="469"/>
      <c r="Y684" s="469"/>
      <c r="Z684" s="469"/>
      <c r="AA684" s="469"/>
      <c r="AB684" s="469"/>
      <c r="AC684" s="469"/>
      <c r="AD684" s="469"/>
      <c r="AE684" s="469"/>
      <c r="AF684" s="469"/>
      <c r="AG684" s="469"/>
      <c r="AH684" s="469"/>
      <c r="AI684" s="469"/>
      <c r="AJ684" s="469"/>
      <c r="AK684" s="469"/>
      <c r="AL684" s="469"/>
      <c r="AM684" s="469"/>
      <c r="AN684" s="469"/>
      <c r="AO684" s="469"/>
    </row>
    <row r="685">
      <c r="A685" s="687"/>
      <c r="B685" s="685"/>
      <c r="C685" s="687"/>
      <c r="D685" s="687"/>
      <c r="E685" s="687"/>
      <c r="F685" s="687"/>
      <c r="G685" s="687"/>
      <c r="H685" s="688"/>
      <c r="I685" s="688"/>
      <c r="J685" s="688"/>
      <c r="K685" s="85"/>
      <c r="L685" s="85"/>
      <c r="M685" s="85"/>
      <c r="N685" s="85"/>
      <c r="O685" s="85"/>
      <c r="P685" s="85"/>
      <c r="Q685" s="138"/>
      <c r="R685" s="138"/>
      <c r="S685" s="138"/>
      <c r="T685" s="138"/>
      <c r="U685" s="138"/>
      <c r="V685" s="138"/>
      <c r="W685" s="469"/>
      <c r="X685" s="469"/>
      <c r="Y685" s="469"/>
      <c r="Z685" s="469"/>
      <c r="AA685" s="469"/>
      <c r="AB685" s="469"/>
      <c r="AC685" s="469"/>
      <c r="AD685" s="469"/>
      <c r="AE685" s="469"/>
      <c r="AF685" s="469"/>
      <c r="AG685" s="469"/>
      <c r="AH685" s="469"/>
      <c r="AI685" s="469"/>
      <c r="AJ685" s="469"/>
      <c r="AK685" s="469"/>
      <c r="AL685" s="469"/>
      <c r="AM685" s="469"/>
      <c r="AN685" s="469"/>
      <c r="AO685" s="469"/>
    </row>
    <row r="686">
      <c r="A686" s="687"/>
      <c r="B686" s="685"/>
      <c r="C686" s="687"/>
      <c r="D686" s="687"/>
      <c r="E686" s="687"/>
      <c r="F686" s="687"/>
      <c r="G686" s="687"/>
      <c r="H686" s="688"/>
      <c r="I686" s="688"/>
      <c r="J686" s="688"/>
      <c r="K686" s="85"/>
      <c r="L686" s="85"/>
      <c r="M686" s="85"/>
      <c r="N686" s="85"/>
      <c r="O686" s="85"/>
      <c r="P686" s="85"/>
      <c r="Q686" s="138"/>
      <c r="R686" s="138"/>
      <c r="S686" s="138"/>
      <c r="T686" s="138"/>
      <c r="U686" s="138"/>
      <c r="V686" s="138"/>
      <c r="W686" s="469"/>
      <c r="X686" s="469"/>
      <c r="Y686" s="469"/>
      <c r="Z686" s="469"/>
      <c r="AA686" s="469"/>
      <c r="AB686" s="469"/>
      <c r="AC686" s="469"/>
      <c r="AD686" s="469"/>
      <c r="AE686" s="469"/>
      <c r="AF686" s="469"/>
      <c r="AG686" s="469"/>
      <c r="AH686" s="469"/>
      <c r="AI686" s="469"/>
      <c r="AJ686" s="469"/>
      <c r="AK686" s="469"/>
      <c r="AL686" s="469"/>
      <c r="AM686" s="469"/>
      <c r="AN686" s="469"/>
      <c r="AO686" s="469"/>
    </row>
    <row r="687">
      <c r="A687" s="687"/>
      <c r="B687" s="685"/>
      <c r="C687" s="687"/>
      <c r="D687" s="687"/>
      <c r="E687" s="687"/>
      <c r="F687" s="687"/>
      <c r="G687" s="687"/>
      <c r="H687" s="688"/>
      <c r="I687" s="688"/>
      <c r="J687" s="688"/>
      <c r="K687" s="85"/>
      <c r="L687" s="85"/>
      <c r="M687" s="85"/>
      <c r="N687" s="85"/>
      <c r="O687" s="85"/>
      <c r="P687" s="85"/>
      <c r="Q687" s="138"/>
      <c r="R687" s="138"/>
      <c r="S687" s="138"/>
      <c r="T687" s="138"/>
      <c r="U687" s="138"/>
      <c r="V687" s="138"/>
      <c r="W687" s="469"/>
      <c r="X687" s="469"/>
      <c r="Y687" s="469"/>
      <c r="Z687" s="469"/>
      <c r="AA687" s="469"/>
      <c r="AB687" s="469"/>
      <c r="AC687" s="469"/>
      <c r="AD687" s="469"/>
      <c r="AE687" s="469"/>
      <c r="AF687" s="469"/>
      <c r="AG687" s="469"/>
      <c r="AH687" s="469"/>
      <c r="AI687" s="469"/>
      <c r="AJ687" s="469"/>
      <c r="AK687" s="469"/>
      <c r="AL687" s="469"/>
      <c r="AM687" s="469"/>
      <c r="AN687" s="469"/>
      <c r="AO687" s="469"/>
    </row>
    <row r="688">
      <c r="A688" s="687"/>
      <c r="B688" s="685"/>
      <c r="C688" s="687"/>
      <c r="D688" s="687"/>
      <c r="E688" s="687"/>
      <c r="F688" s="687"/>
      <c r="G688" s="687"/>
      <c r="H688" s="688"/>
      <c r="I688" s="688"/>
      <c r="J688" s="688"/>
      <c r="K688" s="85"/>
      <c r="L688" s="85"/>
      <c r="M688" s="85"/>
      <c r="N688" s="85"/>
      <c r="O688" s="85"/>
      <c r="P688" s="85"/>
      <c r="Q688" s="138"/>
      <c r="R688" s="138"/>
      <c r="S688" s="138"/>
      <c r="T688" s="138"/>
      <c r="U688" s="138"/>
      <c r="V688" s="138"/>
      <c r="W688" s="469"/>
      <c r="X688" s="469"/>
      <c r="Y688" s="469"/>
      <c r="Z688" s="469"/>
      <c r="AA688" s="469"/>
      <c r="AB688" s="469"/>
      <c r="AC688" s="469"/>
      <c r="AD688" s="469"/>
      <c r="AE688" s="469"/>
      <c r="AF688" s="469"/>
      <c r="AG688" s="469"/>
      <c r="AH688" s="469"/>
      <c r="AI688" s="469"/>
      <c r="AJ688" s="469"/>
      <c r="AK688" s="469"/>
      <c r="AL688" s="469"/>
      <c r="AM688" s="469"/>
      <c r="AN688" s="469"/>
      <c r="AO688" s="469"/>
    </row>
    <row r="689">
      <c r="A689" s="687"/>
      <c r="B689" s="685"/>
      <c r="C689" s="687"/>
      <c r="D689" s="687"/>
      <c r="E689" s="687"/>
      <c r="F689" s="687"/>
      <c r="G689" s="687"/>
      <c r="H689" s="688"/>
      <c r="I689" s="688"/>
      <c r="J689" s="688"/>
      <c r="K689" s="85"/>
      <c r="L689" s="85"/>
      <c r="M689" s="85"/>
      <c r="N689" s="85"/>
      <c r="O689" s="85"/>
      <c r="P689" s="85"/>
      <c r="Q689" s="138"/>
      <c r="R689" s="138"/>
      <c r="S689" s="138"/>
      <c r="T689" s="138"/>
      <c r="U689" s="138"/>
      <c r="V689" s="138"/>
      <c r="W689" s="469"/>
      <c r="X689" s="469"/>
      <c r="Y689" s="469"/>
      <c r="Z689" s="469"/>
      <c r="AA689" s="469"/>
      <c r="AB689" s="469"/>
      <c r="AC689" s="469"/>
      <c r="AD689" s="469"/>
      <c r="AE689" s="469"/>
      <c r="AF689" s="469"/>
      <c r="AG689" s="469"/>
      <c r="AH689" s="469"/>
      <c r="AI689" s="469"/>
      <c r="AJ689" s="469"/>
      <c r="AK689" s="469"/>
      <c r="AL689" s="469"/>
      <c r="AM689" s="469"/>
      <c r="AN689" s="469"/>
      <c r="AO689" s="469"/>
    </row>
    <row r="690">
      <c r="A690" s="687"/>
      <c r="B690" s="685"/>
      <c r="C690" s="687"/>
      <c r="D690" s="687"/>
      <c r="E690" s="687"/>
      <c r="F690" s="687"/>
      <c r="G690" s="687"/>
      <c r="H690" s="688"/>
      <c r="I690" s="688"/>
      <c r="J690" s="688"/>
      <c r="K690" s="85"/>
      <c r="L690" s="85"/>
      <c r="M690" s="85"/>
      <c r="N690" s="85"/>
      <c r="O690" s="85"/>
      <c r="P690" s="85"/>
      <c r="Q690" s="138"/>
      <c r="R690" s="138"/>
      <c r="S690" s="138"/>
      <c r="T690" s="138"/>
      <c r="U690" s="138"/>
      <c r="V690" s="138"/>
      <c r="W690" s="469"/>
      <c r="X690" s="469"/>
      <c r="Y690" s="469"/>
      <c r="Z690" s="469"/>
      <c r="AA690" s="469"/>
      <c r="AB690" s="469"/>
      <c r="AC690" s="469"/>
      <c r="AD690" s="469"/>
      <c r="AE690" s="469"/>
      <c r="AF690" s="469"/>
      <c r="AG690" s="469"/>
      <c r="AH690" s="469"/>
      <c r="AI690" s="469"/>
      <c r="AJ690" s="469"/>
      <c r="AK690" s="469"/>
      <c r="AL690" s="469"/>
      <c r="AM690" s="469"/>
      <c r="AN690" s="469"/>
      <c r="AO690" s="469"/>
    </row>
    <row r="691">
      <c r="A691" s="687"/>
      <c r="B691" s="685"/>
      <c r="C691" s="687"/>
      <c r="D691" s="687"/>
      <c r="E691" s="687"/>
      <c r="F691" s="687"/>
      <c r="G691" s="687"/>
      <c r="H691" s="688"/>
      <c r="I691" s="688"/>
      <c r="J691" s="688"/>
      <c r="K691" s="85"/>
      <c r="L691" s="85"/>
      <c r="M691" s="85"/>
      <c r="N691" s="85"/>
      <c r="O691" s="85"/>
      <c r="P691" s="85"/>
      <c r="Q691" s="138"/>
      <c r="R691" s="138"/>
      <c r="S691" s="138"/>
      <c r="T691" s="138"/>
      <c r="U691" s="138"/>
      <c r="V691" s="138"/>
      <c r="W691" s="469"/>
      <c r="X691" s="469"/>
      <c r="Y691" s="469"/>
      <c r="Z691" s="469"/>
      <c r="AA691" s="469"/>
      <c r="AB691" s="469"/>
      <c r="AC691" s="469"/>
      <c r="AD691" s="469"/>
      <c r="AE691" s="469"/>
      <c r="AF691" s="469"/>
      <c r="AG691" s="469"/>
      <c r="AH691" s="469"/>
      <c r="AI691" s="469"/>
      <c r="AJ691" s="469"/>
      <c r="AK691" s="469"/>
      <c r="AL691" s="469"/>
      <c r="AM691" s="469"/>
      <c r="AN691" s="469"/>
      <c r="AO691" s="469"/>
    </row>
    <row r="692">
      <c r="A692" s="687"/>
      <c r="B692" s="685"/>
      <c r="C692" s="687"/>
      <c r="D692" s="687"/>
      <c r="E692" s="687"/>
      <c r="F692" s="687"/>
      <c r="G692" s="687"/>
      <c r="H692" s="688"/>
      <c r="I692" s="688"/>
      <c r="J692" s="688"/>
      <c r="K692" s="85"/>
      <c r="L692" s="85"/>
      <c r="M692" s="85"/>
      <c r="N692" s="85"/>
      <c r="O692" s="85"/>
      <c r="P692" s="85"/>
      <c r="Q692" s="138"/>
      <c r="R692" s="138"/>
      <c r="S692" s="138"/>
      <c r="T692" s="138"/>
      <c r="U692" s="138"/>
      <c r="V692" s="138"/>
      <c r="W692" s="469"/>
      <c r="X692" s="469"/>
      <c r="Y692" s="469"/>
      <c r="Z692" s="469"/>
      <c r="AA692" s="469"/>
      <c r="AB692" s="469"/>
      <c r="AC692" s="469"/>
      <c r="AD692" s="469"/>
      <c r="AE692" s="469"/>
      <c r="AF692" s="469"/>
      <c r="AG692" s="469"/>
      <c r="AH692" s="469"/>
      <c r="AI692" s="469"/>
      <c r="AJ692" s="469"/>
      <c r="AK692" s="469"/>
      <c r="AL692" s="469"/>
      <c r="AM692" s="469"/>
      <c r="AN692" s="469"/>
      <c r="AO692" s="469"/>
    </row>
    <row r="693">
      <c r="A693" s="687"/>
      <c r="B693" s="685"/>
      <c r="C693" s="687"/>
      <c r="D693" s="687"/>
      <c r="E693" s="687"/>
      <c r="F693" s="687"/>
      <c r="G693" s="687"/>
      <c r="H693" s="688"/>
      <c r="I693" s="688"/>
      <c r="J693" s="688"/>
      <c r="K693" s="85"/>
      <c r="L693" s="85"/>
      <c r="M693" s="85"/>
      <c r="N693" s="85"/>
      <c r="O693" s="85"/>
      <c r="P693" s="85"/>
      <c r="Q693" s="138"/>
      <c r="R693" s="138"/>
      <c r="S693" s="138"/>
      <c r="T693" s="138"/>
      <c r="U693" s="138"/>
      <c r="V693" s="138"/>
      <c r="W693" s="469"/>
      <c r="X693" s="469"/>
      <c r="Y693" s="469"/>
      <c r="Z693" s="469"/>
      <c r="AA693" s="469"/>
      <c r="AB693" s="469"/>
      <c r="AC693" s="469"/>
      <c r="AD693" s="469"/>
      <c r="AE693" s="469"/>
      <c r="AF693" s="469"/>
      <c r="AG693" s="469"/>
      <c r="AH693" s="469"/>
      <c r="AI693" s="469"/>
      <c r="AJ693" s="469"/>
      <c r="AK693" s="469"/>
      <c r="AL693" s="469"/>
      <c r="AM693" s="469"/>
      <c r="AN693" s="469"/>
      <c r="AO693" s="469"/>
    </row>
    <row r="694">
      <c r="A694" s="687"/>
      <c r="B694" s="685"/>
      <c r="C694" s="687"/>
      <c r="D694" s="687"/>
      <c r="E694" s="687"/>
      <c r="F694" s="687"/>
      <c r="G694" s="687"/>
      <c r="H694" s="688"/>
      <c r="I694" s="688"/>
      <c r="J694" s="688"/>
      <c r="K694" s="85"/>
      <c r="L694" s="85"/>
      <c r="M694" s="85"/>
      <c r="N694" s="85"/>
      <c r="O694" s="85"/>
      <c r="P694" s="85"/>
      <c r="Q694" s="138"/>
      <c r="R694" s="138"/>
      <c r="S694" s="138"/>
      <c r="T694" s="138"/>
      <c r="U694" s="138"/>
      <c r="V694" s="138"/>
      <c r="W694" s="469"/>
      <c r="X694" s="469"/>
      <c r="Y694" s="469"/>
      <c r="Z694" s="469"/>
      <c r="AA694" s="469"/>
      <c r="AB694" s="469"/>
      <c r="AC694" s="469"/>
      <c r="AD694" s="469"/>
      <c r="AE694" s="469"/>
      <c r="AF694" s="469"/>
      <c r="AG694" s="469"/>
      <c r="AH694" s="469"/>
      <c r="AI694" s="469"/>
      <c r="AJ694" s="469"/>
      <c r="AK694" s="469"/>
      <c r="AL694" s="469"/>
      <c r="AM694" s="469"/>
      <c r="AN694" s="469"/>
      <c r="AO694" s="469"/>
    </row>
    <row r="695">
      <c r="A695" s="687"/>
      <c r="B695" s="685"/>
      <c r="C695" s="687"/>
      <c r="D695" s="687"/>
      <c r="E695" s="687"/>
      <c r="F695" s="687"/>
      <c r="G695" s="687"/>
      <c r="H695" s="688"/>
      <c r="I695" s="688"/>
      <c r="J695" s="688"/>
      <c r="K695" s="85"/>
      <c r="L695" s="85"/>
      <c r="M695" s="85"/>
      <c r="N695" s="85"/>
      <c r="O695" s="85"/>
      <c r="P695" s="85"/>
      <c r="Q695" s="138"/>
      <c r="R695" s="138"/>
      <c r="S695" s="138"/>
      <c r="T695" s="138"/>
      <c r="U695" s="138"/>
      <c r="V695" s="138"/>
      <c r="W695" s="469"/>
      <c r="X695" s="469"/>
      <c r="Y695" s="469"/>
      <c r="Z695" s="469"/>
      <c r="AA695" s="469"/>
      <c r="AB695" s="469"/>
      <c r="AC695" s="469"/>
      <c r="AD695" s="469"/>
      <c r="AE695" s="469"/>
      <c r="AF695" s="469"/>
      <c r="AG695" s="469"/>
      <c r="AH695" s="469"/>
      <c r="AI695" s="469"/>
      <c r="AJ695" s="469"/>
      <c r="AK695" s="469"/>
      <c r="AL695" s="469"/>
      <c r="AM695" s="469"/>
      <c r="AN695" s="469"/>
      <c r="AO695" s="469"/>
    </row>
    <row r="696">
      <c r="A696" s="687"/>
      <c r="B696" s="685"/>
      <c r="C696" s="687"/>
      <c r="D696" s="687"/>
      <c r="E696" s="687"/>
      <c r="F696" s="687"/>
      <c r="G696" s="687"/>
      <c r="H696" s="688"/>
      <c r="I696" s="688"/>
      <c r="J696" s="688"/>
      <c r="K696" s="85"/>
      <c r="L696" s="85"/>
      <c r="M696" s="85"/>
      <c r="N696" s="85"/>
      <c r="O696" s="85"/>
      <c r="P696" s="85"/>
      <c r="Q696" s="138"/>
      <c r="R696" s="138"/>
      <c r="S696" s="138"/>
      <c r="T696" s="138"/>
      <c r="U696" s="138"/>
      <c r="V696" s="138"/>
      <c r="W696" s="469"/>
      <c r="X696" s="469"/>
      <c r="Y696" s="469"/>
      <c r="Z696" s="469"/>
      <c r="AA696" s="469"/>
      <c r="AB696" s="469"/>
      <c r="AC696" s="469"/>
      <c r="AD696" s="469"/>
      <c r="AE696" s="469"/>
      <c r="AF696" s="469"/>
      <c r="AG696" s="469"/>
      <c r="AH696" s="469"/>
      <c r="AI696" s="469"/>
      <c r="AJ696" s="469"/>
      <c r="AK696" s="469"/>
      <c r="AL696" s="469"/>
      <c r="AM696" s="469"/>
      <c r="AN696" s="469"/>
      <c r="AO696" s="469"/>
    </row>
    <row r="697">
      <c r="A697" s="687"/>
      <c r="B697" s="685"/>
      <c r="C697" s="687"/>
      <c r="D697" s="687"/>
      <c r="E697" s="687"/>
      <c r="F697" s="687"/>
      <c r="G697" s="687"/>
      <c r="H697" s="688"/>
      <c r="I697" s="688"/>
      <c r="J697" s="688"/>
      <c r="K697" s="85"/>
      <c r="L697" s="85"/>
      <c r="M697" s="85"/>
      <c r="N697" s="85"/>
      <c r="O697" s="85"/>
      <c r="P697" s="85"/>
      <c r="Q697" s="138"/>
      <c r="R697" s="138"/>
      <c r="S697" s="138"/>
      <c r="T697" s="138"/>
      <c r="U697" s="138"/>
      <c r="V697" s="138"/>
      <c r="W697" s="469"/>
      <c r="X697" s="469"/>
      <c r="Y697" s="469"/>
      <c r="Z697" s="469"/>
      <c r="AA697" s="469"/>
      <c r="AB697" s="469"/>
      <c r="AC697" s="469"/>
      <c r="AD697" s="469"/>
      <c r="AE697" s="469"/>
      <c r="AF697" s="469"/>
      <c r="AG697" s="469"/>
      <c r="AH697" s="469"/>
      <c r="AI697" s="469"/>
      <c r="AJ697" s="469"/>
      <c r="AK697" s="469"/>
      <c r="AL697" s="469"/>
      <c r="AM697" s="469"/>
      <c r="AN697" s="469"/>
      <c r="AO697" s="469"/>
    </row>
    <row r="698">
      <c r="A698" s="687"/>
      <c r="B698" s="685"/>
      <c r="C698" s="687"/>
      <c r="D698" s="687"/>
      <c r="E698" s="687"/>
      <c r="F698" s="687"/>
      <c r="G698" s="687"/>
      <c r="H698" s="688"/>
      <c r="I698" s="688"/>
      <c r="J698" s="688"/>
      <c r="K698" s="85"/>
      <c r="L698" s="85"/>
      <c r="M698" s="85"/>
      <c r="N698" s="85"/>
      <c r="O698" s="85"/>
      <c r="P698" s="85"/>
      <c r="Q698" s="138"/>
      <c r="R698" s="138"/>
      <c r="S698" s="138"/>
      <c r="T698" s="138"/>
      <c r="U698" s="138"/>
      <c r="V698" s="138"/>
      <c r="W698" s="469"/>
      <c r="X698" s="469"/>
      <c r="Y698" s="469"/>
      <c r="Z698" s="469"/>
      <c r="AA698" s="469"/>
      <c r="AB698" s="469"/>
      <c r="AC698" s="469"/>
      <c r="AD698" s="469"/>
      <c r="AE698" s="469"/>
      <c r="AF698" s="469"/>
      <c r="AG698" s="469"/>
      <c r="AH698" s="469"/>
      <c r="AI698" s="469"/>
      <c r="AJ698" s="469"/>
      <c r="AK698" s="469"/>
      <c r="AL698" s="469"/>
      <c r="AM698" s="469"/>
      <c r="AN698" s="469"/>
      <c r="AO698" s="469"/>
    </row>
    <row r="699">
      <c r="A699" s="687"/>
      <c r="B699" s="685"/>
      <c r="C699" s="687"/>
      <c r="D699" s="687"/>
      <c r="E699" s="687"/>
      <c r="F699" s="687"/>
      <c r="G699" s="687"/>
      <c r="H699" s="688"/>
      <c r="I699" s="688"/>
      <c r="J699" s="688"/>
      <c r="K699" s="85"/>
      <c r="L699" s="85"/>
      <c r="M699" s="85"/>
      <c r="N699" s="85"/>
      <c r="O699" s="85"/>
      <c r="P699" s="85"/>
      <c r="Q699" s="138"/>
      <c r="R699" s="138"/>
      <c r="S699" s="138"/>
      <c r="T699" s="138"/>
      <c r="U699" s="138"/>
      <c r="V699" s="138"/>
      <c r="W699" s="469"/>
      <c r="X699" s="469"/>
      <c r="Y699" s="469"/>
      <c r="Z699" s="469"/>
      <c r="AA699" s="469"/>
      <c r="AB699" s="469"/>
      <c r="AC699" s="469"/>
      <c r="AD699" s="469"/>
      <c r="AE699" s="469"/>
      <c r="AF699" s="469"/>
      <c r="AG699" s="469"/>
      <c r="AH699" s="469"/>
      <c r="AI699" s="469"/>
      <c r="AJ699" s="469"/>
      <c r="AK699" s="469"/>
      <c r="AL699" s="469"/>
      <c r="AM699" s="469"/>
      <c r="AN699" s="469"/>
      <c r="AO699" s="469"/>
    </row>
    <row r="700">
      <c r="A700" s="687"/>
      <c r="B700" s="685"/>
      <c r="C700" s="687"/>
      <c r="D700" s="687"/>
      <c r="E700" s="687"/>
      <c r="F700" s="687"/>
      <c r="G700" s="687"/>
      <c r="H700" s="688"/>
      <c r="I700" s="688"/>
      <c r="J700" s="688"/>
      <c r="K700" s="85"/>
      <c r="L700" s="85"/>
      <c r="M700" s="85"/>
      <c r="N700" s="85"/>
      <c r="O700" s="85"/>
      <c r="P700" s="85"/>
      <c r="Q700" s="138"/>
      <c r="R700" s="138"/>
      <c r="S700" s="138"/>
      <c r="T700" s="138"/>
      <c r="U700" s="138"/>
      <c r="V700" s="138"/>
      <c r="W700" s="469"/>
      <c r="X700" s="469"/>
      <c r="Y700" s="469"/>
      <c r="Z700" s="469"/>
      <c r="AA700" s="469"/>
      <c r="AB700" s="469"/>
      <c r="AC700" s="469"/>
      <c r="AD700" s="469"/>
      <c r="AE700" s="469"/>
      <c r="AF700" s="469"/>
      <c r="AG700" s="469"/>
      <c r="AH700" s="469"/>
      <c r="AI700" s="469"/>
      <c r="AJ700" s="469"/>
      <c r="AK700" s="469"/>
      <c r="AL700" s="469"/>
      <c r="AM700" s="469"/>
      <c r="AN700" s="469"/>
      <c r="AO700" s="469"/>
    </row>
    <row r="701">
      <c r="A701" s="687"/>
      <c r="B701" s="685"/>
      <c r="C701" s="687"/>
      <c r="D701" s="687"/>
      <c r="E701" s="687"/>
      <c r="F701" s="687"/>
      <c r="G701" s="687"/>
      <c r="H701" s="688"/>
      <c r="I701" s="688"/>
      <c r="J701" s="688"/>
      <c r="K701" s="85"/>
      <c r="L701" s="85"/>
      <c r="M701" s="85"/>
      <c r="N701" s="85"/>
      <c r="O701" s="85"/>
      <c r="P701" s="85"/>
      <c r="Q701" s="138"/>
      <c r="R701" s="138"/>
      <c r="S701" s="138"/>
      <c r="T701" s="138"/>
      <c r="U701" s="138"/>
      <c r="V701" s="138"/>
      <c r="W701" s="469"/>
      <c r="X701" s="469"/>
      <c r="Y701" s="469"/>
      <c r="Z701" s="469"/>
      <c r="AA701" s="469"/>
      <c r="AB701" s="469"/>
      <c r="AC701" s="469"/>
      <c r="AD701" s="469"/>
      <c r="AE701" s="469"/>
      <c r="AF701" s="469"/>
      <c r="AG701" s="469"/>
      <c r="AH701" s="469"/>
      <c r="AI701" s="469"/>
      <c r="AJ701" s="469"/>
      <c r="AK701" s="469"/>
      <c r="AL701" s="469"/>
      <c r="AM701" s="469"/>
      <c r="AN701" s="469"/>
      <c r="AO701" s="469"/>
    </row>
    <row r="702">
      <c r="A702" s="687"/>
      <c r="B702" s="685"/>
      <c r="C702" s="687"/>
      <c r="D702" s="687"/>
      <c r="E702" s="687"/>
      <c r="F702" s="687"/>
      <c r="G702" s="687"/>
      <c r="H702" s="688"/>
      <c r="I702" s="688"/>
      <c r="J702" s="688"/>
      <c r="K702" s="85"/>
      <c r="L702" s="85"/>
      <c r="M702" s="85"/>
      <c r="N702" s="85"/>
      <c r="O702" s="85"/>
      <c r="P702" s="85"/>
      <c r="Q702" s="138"/>
      <c r="R702" s="138"/>
      <c r="S702" s="138"/>
      <c r="T702" s="138"/>
      <c r="U702" s="138"/>
      <c r="V702" s="138"/>
      <c r="W702" s="469"/>
      <c r="X702" s="469"/>
      <c r="Y702" s="469"/>
      <c r="Z702" s="469"/>
      <c r="AA702" s="469"/>
      <c r="AB702" s="469"/>
      <c r="AC702" s="469"/>
      <c r="AD702" s="469"/>
      <c r="AE702" s="469"/>
      <c r="AF702" s="469"/>
      <c r="AG702" s="469"/>
      <c r="AH702" s="469"/>
      <c r="AI702" s="469"/>
      <c r="AJ702" s="469"/>
      <c r="AK702" s="469"/>
      <c r="AL702" s="469"/>
      <c r="AM702" s="469"/>
      <c r="AN702" s="469"/>
      <c r="AO702" s="469"/>
    </row>
    <row r="703">
      <c r="A703" s="687"/>
      <c r="B703" s="685"/>
      <c r="C703" s="687"/>
      <c r="D703" s="687"/>
      <c r="E703" s="687"/>
      <c r="F703" s="687"/>
      <c r="G703" s="687"/>
      <c r="H703" s="688"/>
      <c r="I703" s="688"/>
      <c r="J703" s="688"/>
      <c r="K703" s="85"/>
      <c r="L703" s="85"/>
      <c r="M703" s="85"/>
      <c r="N703" s="85"/>
      <c r="O703" s="85"/>
      <c r="P703" s="85"/>
      <c r="Q703" s="138"/>
      <c r="R703" s="138"/>
      <c r="S703" s="138"/>
      <c r="T703" s="138"/>
      <c r="U703" s="138"/>
      <c r="V703" s="138"/>
      <c r="W703" s="469"/>
      <c r="X703" s="469"/>
      <c r="Y703" s="469"/>
      <c r="Z703" s="469"/>
      <c r="AA703" s="469"/>
      <c r="AB703" s="469"/>
      <c r="AC703" s="469"/>
      <c r="AD703" s="469"/>
      <c r="AE703" s="469"/>
      <c r="AF703" s="469"/>
      <c r="AG703" s="469"/>
      <c r="AH703" s="469"/>
      <c r="AI703" s="469"/>
      <c r="AJ703" s="469"/>
      <c r="AK703" s="469"/>
      <c r="AL703" s="469"/>
      <c r="AM703" s="469"/>
      <c r="AN703" s="469"/>
      <c r="AO703" s="469"/>
    </row>
    <row r="704">
      <c r="A704" s="687"/>
      <c r="B704" s="685"/>
      <c r="C704" s="687"/>
      <c r="D704" s="687"/>
      <c r="E704" s="687"/>
      <c r="F704" s="687"/>
      <c r="G704" s="687"/>
      <c r="H704" s="688"/>
      <c r="I704" s="688"/>
      <c r="J704" s="688"/>
      <c r="K704" s="85"/>
      <c r="L704" s="85"/>
      <c r="M704" s="85"/>
      <c r="N704" s="85"/>
      <c r="O704" s="85"/>
      <c r="P704" s="85"/>
      <c r="Q704" s="138"/>
      <c r="R704" s="138"/>
      <c r="S704" s="138"/>
      <c r="T704" s="138"/>
      <c r="U704" s="138"/>
      <c r="V704" s="138"/>
      <c r="W704" s="469"/>
      <c r="X704" s="469"/>
      <c r="Y704" s="469"/>
      <c r="Z704" s="469"/>
      <c r="AA704" s="469"/>
      <c r="AB704" s="469"/>
      <c r="AC704" s="469"/>
      <c r="AD704" s="469"/>
      <c r="AE704" s="469"/>
      <c r="AF704" s="469"/>
      <c r="AG704" s="469"/>
      <c r="AH704" s="469"/>
      <c r="AI704" s="469"/>
      <c r="AJ704" s="469"/>
      <c r="AK704" s="469"/>
      <c r="AL704" s="469"/>
      <c r="AM704" s="469"/>
      <c r="AN704" s="469"/>
      <c r="AO704" s="469"/>
    </row>
    <row r="705">
      <c r="A705" s="687"/>
      <c r="B705" s="685"/>
      <c r="C705" s="687"/>
      <c r="D705" s="687"/>
      <c r="E705" s="687"/>
      <c r="F705" s="687"/>
      <c r="G705" s="687"/>
      <c r="H705" s="688"/>
      <c r="I705" s="688"/>
      <c r="J705" s="688"/>
      <c r="K705" s="85"/>
      <c r="L705" s="85"/>
      <c r="M705" s="85"/>
      <c r="N705" s="85"/>
      <c r="O705" s="85"/>
      <c r="P705" s="85"/>
      <c r="Q705" s="138"/>
      <c r="R705" s="138"/>
      <c r="S705" s="138"/>
      <c r="T705" s="138"/>
      <c r="U705" s="138"/>
      <c r="V705" s="138"/>
      <c r="W705" s="469"/>
      <c r="X705" s="469"/>
      <c r="Y705" s="469"/>
      <c r="Z705" s="469"/>
      <c r="AA705" s="469"/>
      <c r="AB705" s="469"/>
      <c r="AC705" s="469"/>
      <c r="AD705" s="469"/>
      <c r="AE705" s="469"/>
      <c r="AF705" s="469"/>
      <c r="AG705" s="469"/>
      <c r="AH705" s="469"/>
      <c r="AI705" s="469"/>
      <c r="AJ705" s="469"/>
      <c r="AK705" s="469"/>
      <c r="AL705" s="469"/>
      <c r="AM705" s="469"/>
      <c r="AN705" s="469"/>
      <c r="AO705" s="469"/>
    </row>
    <row r="706">
      <c r="A706" s="687"/>
      <c r="B706" s="685"/>
      <c r="C706" s="687"/>
      <c r="D706" s="687"/>
      <c r="E706" s="687"/>
      <c r="F706" s="687"/>
      <c r="G706" s="687"/>
      <c r="H706" s="688"/>
      <c r="I706" s="688"/>
      <c r="J706" s="688"/>
      <c r="K706" s="85"/>
      <c r="L706" s="85"/>
      <c r="M706" s="85"/>
      <c r="N706" s="85"/>
      <c r="O706" s="85"/>
      <c r="P706" s="85"/>
      <c r="Q706" s="138"/>
      <c r="R706" s="138"/>
      <c r="S706" s="138"/>
      <c r="T706" s="138"/>
      <c r="U706" s="138"/>
      <c r="V706" s="138"/>
      <c r="W706" s="469"/>
      <c r="X706" s="469"/>
      <c r="Y706" s="469"/>
      <c r="Z706" s="469"/>
      <c r="AA706" s="469"/>
      <c r="AB706" s="469"/>
      <c r="AC706" s="469"/>
      <c r="AD706" s="469"/>
      <c r="AE706" s="469"/>
      <c r="AF706" s="469"/>
      <c r="AG706" s="469"/>
      <c r="AH706" s="469"/>
      <c r="AI706" s="469"/>
      <c r="AJ706" s="469"/>
      <c r="AK706" s="469"/>
      <c r="AL706" s="469"/>
      <c r="AM706" s="469"/>
      <c r="AN706" s="469"/>
      <c r="AO706" s="469"/>
    </row>
    <row r="707">
      <c r="A707" s="687"/>
      <c r="B707" s="685"/>
      <c r="C707" s="687"/>
      <c r="D707" s="687"/>
      <c r="E707" s="687"/>
      <c r="F707" s="687"/>
      <c r="G707" s="687"/>
      <c r="H707" s="688"/>
      <c r="I707" s="688"/>
      <c r="J707" s="688"/>
      <c r="K707" s="85"/>
      <c r="L707" s="85"/>
      <c r="M707" s="85"/>
      <c r="N707" s="85"/>
      <c r="O707" s="85"/>
      <c r="P707" s="85"/>
      <c r="Q707" s="138"/>
      <c r="R707" s="138"/>
      <c r="S707" s="138"/>
      <c r="T707" s="138"/>
      <c r="U707" s="138"/>
      <c r="V707" s="138"/>
      <c r="W707" s="469"/>
      <c r="X707" s="469"/>
      <c r="Y707" s="469"/>
      <c r="Z707" s="469"/>
      <c r="AA707" s="469"/>
      <c r="AB707" s="469"/>
      <c r="AC707" s="469"/>
      <c r="AD707" s="469"/>
      <c r="AE707" s="469"/>
      <c r="AF707" s="469"/>
      <c r="AG707" s="469"/>
      <c r="AH707" s="469"/>
      <c r="AI707" s="469"/>
      <c r="AJ707" s="469"/>
      <c r="AK707" s="469"/>
      <c r="AL707" s="469"/>
      <c r="AM707" s="469"/>
      <c r="AN707" s="469"/>
      <c r="AO707" s="469"/>
    </row>
    <row r="708">
      <c r="A708" s="687"/>
      <c r="B708" s="685"/>
      <c r="C708" s="687"/>
      <c r="D708" s="687"/>
      <c r="E708" s="687"/>
      <c r="F708" s="687"/>
      <c r="G708" s="687"/>
      <c r="H708" s="688"/>
      <c r="I708" s="688"/>
      <c r="J708" s="688"/>
      <c r="K708" s="85"/>
      <c r="L708" s="85"/>
      <c r="M708" s="85"/>
      <c r="N708" s="85"/>
      <c r="O708" s="85"/>
      <c r="P708" s="85"/>
      <c r="Q708" s="138"/>
      <c r="R708" s="138"/>
      <c r="S708" s="138"/>
      <c r="T708" s="138"/>
      <c r="U708" s="138"/>
      <c r="V708" s="138"/>
      <c r="W708" s="469"/>
      <c r="X708" s="469"/>
      <c r="Y708" s="469"/>
      <c r="Z708" s="469"/>
      <c r="AA708" s="469"/>
      <c r="AB708" s="469"/>
      <c r="AC708" s="469"/>
      <c r="AD708" s="469"/>
      <c r="AE708" s="469"/>
      <c r="AF708" s="469"/>
      <c r="AG708" s="469"/>
      <c r="AH708" s="469"/>
      <c r="AI708" s="469"/>
      <c r="AJ708" s="469"/>
      <c r="AK708" s="469"/>
      <c r="AL708" s="469"/>
      <c r="AM708" s="469"/>
      <c r="AN708" s="469"/>
      <c r="AO708" s="469"/>
    </row>
    <row r="709">
      <c r="A709" s="687"/>
      <c r="B709" s="685"/>
      <c r="C709" s="687"/>
      <c r="D709" s="687"/>
      <c r="E709" s="687"/>
      <c r="F709" s="687"/>
      <c r="G709" s="687"/>
      <c r="H709" s="688"/>
      <c r="I709" s="688"/>
      <c r="J709" s="688"/>
      <c r="K709" s="85"/>
      <c r="L709" s="85"/>
      <c r="M709" s="85"/>
      <c r="N709" s="85"/>
      <c r="O709" s="85"/>
      <c r="P709" s="85"/>
      <c r="Q709" s="138"/>
      <c r="R709" s="138"/>
      <c r="S709" s="138"/>
      <c r="T709" s="138"/>
      <c r="U709" s="138"/>
      <c r="V709" s="138"/>
      <c r="W709" s="469"/>
      <c r="X709" s="469"/>
      <c r="Y709" s="469"/>
      <c r="Z709" s="469"/>
      <c r="AA709" s="469"/>
      <c r="AB709" s="469"/>
      <c r="AC709" s="469"/>
      <c r="AD709" s="469"/>
      <c r="AE709" s="469"/>
      <c r="AF709" s="469"/>
      <c r="AG709" s="469"/>
      <c r="AH709" s="469"/>
      <c r="AI709" s="469"/>
      <c r="AJ709" s="469"/>
      <c r="AK709" s="469"/>
      <c r="AL709" s="469"/>
      <c r="AM709" s="469"/>
      <c r="AN709" s="469"/>
      <c r="AO709" s="469"/>
    </row>
    <row r="710">
      <c r="A710" s="687"/>
      <c r="B710" s="685"/>
      <c r="C710" s="687"/>
      <c r="D710" s="687"/>
      <c r="E710" s="687"/>
      <c r="F710" s="687"/>
      <c r="G710" s="687"/>
      <c r="H710" s="688"/>
      <c r="I710" s="688"/>
      <c r="J710" s="688"/>
      <c r="K710" s="85"/>
      <c r="L710" s="85"/>
      <c r="M710" s="85"/>
      <c r="N710" s="85"/>
      <c r="O710" s="85"/>
      <c r="P710" s="85"/>
      <c r="Q710" s="138"/>
      <c r="R710" s="138"/>
      <c r="S710" s="138"/>
      <c r="T710" s="138"/>
      <c r="U710" s="138"/>
      <c r="V710" s="138"/>
      <c r="W710" s="469"/>
      <c r="X710" s="469"/>
      <c r="Y710" s="469"/>
      <c r="Z710" s="469"/>
      <c r="AA710" s="469"/>
      <c r="AB710" s="469"/>
      <c r="AC710" s="469"/>
      <c r="AD710" s="469"/>
      <c r="AE710" s="469"/>
      <c r="AF710" s="469"/>
      <c r="AG710" s="469"/>
      <c r="AH710" s="469"/>
      <c r="AI710" s="469"/>
      <c r="AJ710" s="469"/>
      <c r="AK710" s="469"/>
      <c r="AL710" s="469"/>
      <c r="AM710" s="469"/>
      <c r="AN710" s="469"/>
      <c r="AO710" s="469"/>
    </row>
    <row r="711">
      <c r="A711" s="687"/>
      <c r="B711" s="685"/>
      <c r="C711" s="687"/>
      <c r="D711" s="687"/>
      <c r="E711" s="687"/>
      <c r="F711" s="687"/>
      <c r="G711" s="687"/>
      <c r="H711" s="688"/>
      <c r="I711" s="688"/>
      <c r="J711" s="688"/>
      <c r="K711" s="85"/>
      <c r="L711" s="85"/>
      <c r="M711" s="85"/>
      <c r="N711" s="85"/>
      <c r="O711" s="85"/>
      <c r="P711" s="85"/>
      <c r="Q711" s="138"/>
      <c r="R711" s="138"/>
      <c r="S711" s="138"/>
      <c r="T711" s="138"/>
      <c r="U711" s="138"/>
      <c r="V711" s="138"/>
      <c r="W711" s="469"/>
      <c r="X711" s="469"/>
      <c r="Y711" s="469"/>
      <c r="Z711" s="469"/>
      <c r="AA711" s="469"/>
      <c r="AB711" s="469"/>
      <c r="AC711" s="469"/>
      <c r="AD711" s="469"/>
      <c r="AE711" s="469"/>
      <c r="AF711" s="469"/>
      <c r="AG711" s="469"/>
      <c r="AH711" s="469"/>
      <c r="AI711" s="469"/>
      <c r="AJ711" s="469"/>
      <c r="AK711" s="469"/>
      <c r="AL711" s="469"/>
      <c r="AM711" s="469"/>
      <c r="AN711" s="469"/>
      <c r="AO711" s="469"/>
    </row>
    <row r="712">
      <c r="A712" s="687"/>
      <c r="B712" s="685"/>
      <c r="C712" s="687"/>
      <c r="D712" s="687"/>
      <c r="E712" s="687"/>
      <c r="F712" s="687"/>
      <c r="G712" s="687"/>
      <c r="H712" s="688"/>
      <c r="I712" s="688"/>
      <c r="J712" s="688"/>
      <c r="K712" s="85"/>
      <c r="L712" s="85"/>
      <c r="M712" s="85"/>
      <c r="N712" s="85"/>
      <c r="O712" s="85"/>
      <c r="P712" s="85"/>
      <c r="Q712" s="138"/>
      <c r="R712" s="138"/>
      <c r="S712" s="138"/>
      <c r="T712" s="138"/>
      <c r="U712" s="138"/>
      <c r="V712" s="138"/>
      <c r="W712" s="469"/>
      <c r="X712" s="469"/>
      <c r="Y712" s="469"/>
      <c r="Z712" s="469"/>
      <c r="AA712" s="469"/>
      <c r="AB712" s="469"/>
      <c r="AC712" s="469"/>
      <c r="AD712" s="469"/>
      <c r="AE712" s="469"/>
      <c r="AF712" s="469"/>
      <c r="AG712" s="469"/>
      <c r="AH712" s="469"/>
      <c r="AI712" s="469"/>
      <c r="AJ712" s="469"/>
      <c r="AK712" s="469"/>
      <c r="AL712" s="469"/>
      <c r="AM712" s="469"/>
      <c r="AN712" s="469"/>
      <c r="AO712" s="469"/>
    </row>
    <row r="713">
      <c r="A713" s="687"/>
      <c r="B713" s="685"/>
      <c r="C713" s="687"/>
      <c r="D713" s="687"/>
      <c r="E713" s="687"/>
      <c r="F713" s="687"/>
      <c r="G713" s="687"/>
      <c r="H713" s="688"/>
      <c r="I713" s="688"/>
      <c r="J713" s="688"/>
      <c r="K713" s="85"/>
      <c r="L713" s="85"/>
      <c r="M713" s="85"/>
      <c r="N713" s="85"/>
      <c r="O713" s="85"/>
      <c r="P713" s="85"/>
      <c r="Q713" s="138"/>
      <c r="R713" s="138"/>
      <c r="S713" s="138"/>
      <c r="T713" s="138"/>
      <c r="U713" s="138"/>
      <c r="V713" s="138"/>
      <c r="W713" s="469"/>
      <c r="X713" s="469"/>
      <c r="Y713" s="469"/>
      <c r="Z713" s="469"/>
      <c r="AA713" s="469"/>
      <c r="AB713" s="469"/>
      <c r="AC713" s="469"/>
      <c r="AD713" s="469"/>
      <c r="AE713" s="469"/>
      <c r="AF713" s="469"/>
      <c r="AG713" s="469"/>
      <c r="AH713" s="469"/>
      <c r="AI713" s="469"/>
      <c r="AJ713" s="469"/>
      <c r="AK713" s="469"/>
      <c r="AL713" s="469"/>
      <c r="AM713" s="469"/>
      <c r="AN713" s="469"/>
      <c r="AO713" s="469"/>
    </row>
    <row r="714">
      <c r="A714" s="687"/>
      <c r="B714" s="685"/>
      <c r="C714" s="687"/>
      <c r="D714" s="687"/>
      <c r="E714" s="687"/>
      <c r="F714" s="687"/>
      <c r="G714" s="687"/>
      <c r="H714" s="688"/>
      <c r="I714" s="688"/>
      <c r="J714" s="688"/>
      <c r="K714" s="85"/>
      <c r="L714" s="85"/>
      <c r="M714" s="85"/>
      <c r="N714" s="85"/>
      <c r="O714" s="85"/>
      <c r="P714" s="85"/>
      <c r="Q714" s="138"/>
      <c r="R714" s="138"/>
      <c r="S714" s="138"/>
      <c r="T714" s="138"/>
      <c r="U714" s="138"/>
      <c r="V714" s="138"/>
      <c r="W714" s="469"/>
      <c r="X714" s="469"/>
      <c r="Y714" s="469"/>
      <c r="Z714" s="469"/>
      <c r="AA714" s="469"/>
      <c r="AB714" s="469"/>
      <c r="AC714" s="469"/>
      <c r="AD714" s="469"/>
      <c r="AE714" s="469"/>
      <c r="AF714" s="469"/>
      <c r="AG714" s="469"/>
      <c r="AH714" s="469"/>
      <c r="AI714" s="469"/>
      <c r="AJ714" s="469"/>
      <c r="AK714" s="469"/>
      <c r="AL714" s="469"/>
      <c r="AM714" s="469"/>
      <c r="AN714" s="469"/>
      <c r="AO714" s="469"/>
    </row>
    <row r="715">
      <c r="A715" s="687"/>
      <c r="B715" s="685"/>
      <c r="C715" s="687"/>
      <c r="D715" s="687"/>
      <c r="E715" s="687"/>
      <c r="F715" s="687"/>
      <c r="G715" s="687"/>
      <c r="H715" s="688"/>
      <c r="I715" s="688"/>
      <c r="J715" s="688"/>
      <c r="K715" s="85"/>
      <c r="L715" s="85"/>
      <c r="M715" s="85"/>
      <c r="N715" s="85"/>
      <c r="O715" s="85"/>
      <c r="P715" s="85"/>
      <c r="Q715" s="138"/>
      <c r="R715" s="138"/>
      <c r="S715" s="138"/>
      <c r="T715" s="138"/>
      <c r="U715" s="138"/>
      <c r="V715" s="138"/>
      <c r="W715" s="469"/>
      <c r="X715" s="469"/>
      <c r="Y715" s="469"/>
      <c r="Z715" s="469"/>
      <c r="AA715" s="469"/>
      <c r="AB715" s="469"/>
      <c r="AC715" s="469"/>
      <c r="AD715" s="469"/>
      <c r="AE715" s="469"/>
      <c r="AF715" s="469"/>
      <c r="AG715" s="469"/>
      <c r="AH715" s="469"/>
      <c r="AI715" s="469"/>
      <c r="AJ715" s="469"/>
      <c r="AK715" s="469"/>
      <c r="AL715" s="469"/>
      <c r="AM715" s="469"/>
      <c r="AN715" s="469"/>
      <c r="AO715" s="469"/>
    </row>
    <row r="716">
      <c r="A716" s="687"/>
      <c r="B716" s="685"/>
      <c r="C716" s="687"/>
      <c r="D716" s="687"/>
      <c r="E716" s="687"/>
      <c r="F716" s="687"/>
      <c r="G716" s="687"/>
      <c r="H716" s="688"/>
      <c r="I716" s="688"/>
      <c r="J716" s="688"/>
      <c r="K716" s="85"/>
      <c r="L716" s="85"/>
      <c r="M716" s="85"/>
      <c r="N716" s="85"/>
      <c r="O716" s="85"/>
      <c r="P716" s="85"/>
      <c r="Q716" s="138"/>
      <c r="R716" s="138"/>
      <c r="S716" s="138"/>
      <c r="T716" s="138"/>
      <c r="U716" s="138"/>
      <c r="V716" s="138"/>
      <c r="W716" s="469"/>
      <c r="X716" s="469"/>
      <c r="Y716" s="469"/>
      <c r="Z716" s="469"/>
      <c r="AA716" s="469"/>
      <c r="AB716" s="469"/>
      <c r="AC716" s="469"/>
      <c r="AD716" s="469"/>
      <c r="AE716" s="469"/>
      <c r="AF716" s="469"/>
      <c r="AG716" s="469"/>
      <c r="AH716" s="469"/>
      <c r="AI716" s="469"/>
      <c r="AJ716" s="469"/>
      <c r="AK716" s="469"/>
      <c r="AL716" s="469"/>
      <c r="AM716" s="469"/>
      <c r="AN716" s="469"/>
      <c r="AO716" s="469"/>
    </row>
    <row r="717">
      <c r="A717" s="687"/>
      <c r="B717" s="685"/>
      <c r="C717" s="687"/>
      <c r="D717" s="687"/>
      <c r="E717" s="687"/>
      <c r="F717" s="687"/>
      <c r="G717" s="687"/>
      <c r="H717" s="688"/>
      <c r="I717" s="688"/>
      <c r="J717" s="688"/>
      <c r="K717" s="85"/>
      <c r="L717" s="85"/>
      <c r="M717" s="85"/>
      <c r="N717" s="85"/>
      <c r="O717" s="85"/>
      <c r="P717" s="85"/>
      <c r="Q717" s="138"/>
      <c r="R717" s="138"/>
      <c r="S717" s="138"/>
      <c r="T717" s="138"/>
      <c r="U717" s="138"/>
      <c r="V717" s="138"/>
      <c r="W717" s="469"/>
      <c r="X717" s="469"/>
      <c r="Y717" s="469"/>
      <c r="Z717" s="469"/>
      <c r="AA717" s="469"/>
      <c r="AB717" s="469"/>
      <c r="AC717" s="469"/>
      <c r="AD717" s="469"/>
      <c r="AE717" s="469"/>
      <c r="AF717" s="469"/>
      <c r="AG717" s="469"/>
      <c r="AH717" s="469"/>
      <c r="AI717" s="469"/>
      <c r="AJ717" s="469"/>
      <c r="AK717" s="469"/>
      <c r="AL717" s="469"/>
      <c r="AM717" s="469"/>
      <c r="AN717" s="469"/>
      <c r="AO717" s="469"/>
    </row>
    <row r="718">
      <c r="A718" s="687"/>
      <c r="B718" s="685"/>
      <c r="C718" s="687"/>
      <c r="D718" s="687"/>
      <c r="E718" s="687"/>
      <c r="F718" s="687"/>
      <c r="G718" s="687"/>
      <c r="H718" s="688"/>
      <c r="I718" s="688"/>
      <c r="J718" s="688"/>
      <c r="K718" s="85"/>
      <c r="L718" s="85"/>
      <c r="M718" s="85"/>
      <c r="N718" s="85"/>
      <c r="O718" s="85"/>
      <c r="P718" s="85"/>
      <c r="Q718" s="138"/>
      <c r="R718" s="138"/>
      <c r="S718" s="138"/>
      <c r="T718" s="138"/>
      <c r="U718" s="138"/>
      <c r="V718" s="138"/>
      <c r="W718" s="469"/>
      <c r="X718" s="469"/>
      <c r="Y718" s="469"/>
      <c r="Z718" s="469"/>
      <c r="AA718" s="469"/>
      <c r="AB718" s="469"/>
      <c r="AC718" s="469"/>
      <c r="AD718" s="469"/>
      <c r="AE718" s="469"/>
      <c r="AF718" s="469"/>
      <c r="AG718" s="469"/>
      <c r="AH718" s="469"/>
      <c r="AI718" s="469"/>
      <c r="AJ718" s="469"/>
      <c r="AK718" s="469"/>
      <c r="AL718" s="469"/>
      <c r="AM718" s="469"/>
      <c r="AN718" s="469"/>
      <c r="AO718" s="469"/>
    </row>
    <row r="719">
      <c r="A719" s="687"/>
      <c r="B719" s="685"/>
      <c r="C719" s="687"/>
      <c r="D719" s="687"/>
      <c r="E719" s="687"/>
      <c r="F719" s="687"/>
      <c r="G719" s="687"/>
      <c r="H719" s="688"/>
      <c r="I719" s="688"/>
      <c r="J719" s="688"/>
      <c r="K719" s="85"/>
      <c r="L719" s="85"/>
      <c r="M719" s="85"/>
      <c r="N719" s="85"/>
      <c r="O719" s="85"/>
      <c r="P719" s="85"/>
      <c r="Q719" s="138"/>
      <c r="R719" s="138"/>
      <c r="S719" s="138"/>
      <c r="T719" s="138"/>
      <c r="U719" s="138"/>
      <c r="V719" s="138"/>
      <c r="W719" s="469"/>
      <c r="X719" s="469"/>
      <c r="Y719" s="469"/>
      <c r="Z719" s="469"/>
      <c r="AA719" s="469"/>
      <c r="AB719" s="469"/>
      <c r="AC719" s="469"/>
      <c r="AD719" s="469"/>
      <c r="AE719" s="469"/>
      <c r="AF719" s="469"/>
      <c r="AG719" s="469"/>
      <c r="AH719" s="469"/>
      <c r="AI719" s="469"/>
      <c r="AJ719" s="469"/>
      <c r="AK719" s="469"/>
      <c r="AL719" s="469"/>
      <c r="AM719" s="469"/>
      <c r="AN719" s="469"/>
      <c r="AO719" s="469"/>
    </row>
    <row r="720">
      <c r="A720" s="687"/>
      <c r="B720" s="685"/>
      <c r="C720" s="687"/>
      <c r="D720" s="687"/>
      <c r="E720" s="687"/>
      <c r="F720" s="687"/>
      <c r="G720" s="687"/>
      <c r="H720" s="688"/>
      <c r="I720" s="688"/>
      <c r="J720" s="688"/>
      <c r="K720" s="85"/>
      <c r="L720" s="85"/>
      <c r="M720" s="85"/>
      <c r="N720" s="85"/>
      <c r="O720" s="85"/>
      <c r="P720" s="85"/>
      <c r="Q720" s="138"/>
      <c r="R720" s="138"/>
      <c r="S720" s="138"/>
      <c r="T720" s="138"/>
      <c r="U720" s="138"/>
      <c r="V720" s="138"/>
      <c r="W720" s="469"/>
      <c r="X720" s="469"/>
      <c r="Y720" s="469"/>
      <c r="Z720" s="469"/>
      <c r="AA720" s="469"/>
      <c r="AB720" s="469"/>
      <c r="AC720" s="469"/>
      <c r="AD720" s="469"/>
      <c r="AE720" s="469"/>
      <c r="AF720" s="469"/>
      <c r="AG720" s="469"/>
      <c r="AH720" s="469"/>
      <c r="AI720" s="469"/>
      <c r="AJ720" s="469"/>
      <c r="AK720" s="469"/>
      <c r="AL720" s="469"/>
      <c r="AM720" s="469"/>
      <c r="AN720" s="469"/>
      <c r="AO720" s="469"/>
    </row>
    <row r="721">
      <c r="A721" s="687"/>
      <c r="B721" s="685"/>
      <c r="C721" s="687"/>
      <c r="D721" s="687"/>
      <c r="E721" s="687"/>
      <c r="F721" s="687"/>
      <c r="G721" s="687"/>
      <c r="H721" s="688"/>
      <c r="I721" s="688"/>
      <c r="J721" s="688"/>
      <c r="K721" s="85"/>
      <c r="L721" s="85"/>
      <c r="M721" s="85"/>
      <c r="N721" s="85"/>
      <c r="O721" s="85"/>
      <c r="P721" s="85"/>
      <c r="Q721" s="138"/>
      <c r="R721" s="138"/>
      <c r="S721" s="138"/>
      <c r="T721" s="138"/>
      <c r="U721" s="138"/>
      <c r="V721" s="138"/>
      <c r="W721" s="469"/>
      <c r="X721" s="469"/>
      <c r="Y721" s="469"/>
      <c r="Z721" s="469"/>
      <c r="AA721" s="469"/>
      <c r="AB721" s="469"/>
      <c r="AC721" s="469"/>
      <c r="AD721" s="469"/>
      <c r="AE721" s="469"/>
      <c r="AF721" s="469"/>
      <c r="AG721" s="469"/>
      <c r="AH721" s="469"/>
      <c r="AI721" s="469"/>
      <c r="AJ721" s="469"/>
      <c r="AK721" s="469"/>
      <c r="AL721" s="469"/>
      <c r="AM721" s="469"/>
      <c r="AN721" s="469"/>
      <c r="AO721" s="469"/>
    </row>
    <row r="722">
      <c r="A722" s="687"/>
      <c r="B722" s="685"/>
      <c r="C722" s="687"/>
      <c r="D722" s="687"/>
      <c r="E722" s="687"/>
      <c r="F722" s="687"/>
      <c r="G722" s="687"/>
      <c r="H722" s="688"/>
      <c r="I722" s="688"/>
      <c r="J722" s="688"/>
      <c r="K722" s="85"/>
      <c r="L722" s="85"/>
      <c r="M722" s="85"/>
      <c r="N722" s="85"/>
      <c r="O722" s="85"/>
      <c r="P722" s="85"/>
      <c r="Q722" s="138"/>
      <c r="R722" s="138"/>
      <c r="S722" s="138"/>
      <c r="T722" s="138"/>
      <c r="U722" s="138"/>
      <c r="V722" s="138"/>
      <c r="W722" s="469"/>
      <c r="X722" s="469"/>
      <c r="Y722" s="469"/>
      <c r="Z722" s="469"/>
      <c r="AA722" s="469"/>
      <c r="AB722" s="469"/>
      <c r="AC722" s="469"/>
      <c r="AD722" s="469"/>
      <c r="AE722" s="469"/>
      <c r="AF722" s="469"/>
      <c r="AG722" s="469"/>
      <c r="AH722" s="469"/>
      <c r="AI722" s="469"/>
      <c r="AJ722" s="469"/>
      <c r="AK722" s="469"/>
      <c r="AL722" s="469"/>
      <c r="AM722" s="469"/>
      <c r="AN722" s="469"/>
      <c r="AO722" s="469"/>
    </row>
    <row r="723">
      <c r="A723" s="687"/>
      <c r="B723" s="685"/>
      <c r="C723" s="687"/>
      <c r="D723" s="687"/>
      <c r="E723" s="687"/>
      <c r="F723" s="687"/>
      <c r="G723" s="687"/>
      <c r="H723" s="688"/>
      <c r="I723" s="688"/>
      <c r="J723" s="688"/>
      <c r="K723" s="85"/>
      <c r="L723" s="85"/>
      <c r="M723" s="85"/>
      <c r="N723" s="85"/>
      <c r="O723" s="85"/>
      <c r="P723" s="85"/>
      <c r="Q723" s="138"/>
      <c r="R723" s="138"/>
      <c r="S723" s="138"/>
      <c r="T723" s="138"/>
      <c r="U723" s="138"/>
      <c r="V723" s="138"/>
      <c r="W723" s="469"/>
      <c r="X723" s="469"/>
      <c r="Y723" s="469"/>
      <c r="Z723" s="469"/>
      <c r="AA723" s="469"/>
      <c r="AB723" s="469"/>
      <c r="AC723" s="469"/>
      <c r="AD723" s="469"/>
      <c r="AE723" s="469"/>
      <c r="AF723" s="469"/>
      <c r="AG723" s="469"/>
      <c r="AH723" s="469"/>
      <c r="AI723" s="469"/>
      <c r="AJ723" s="469"/>
      <c r="AK723" s="469"/>
      <c r="AL723" s="469"/>
      <c r="AM723" s="469"/>
      <c r="AN723" s="469"/>
      <c r="AO723" s="469"/>
    </row>
    <row r="724">
      <c r="A724" s="687"/>
      <c r="B724" s="685"/>
      <c r="C724" s="687"/>
      <c r="D724" s="687"/>
      <c r="E724" s="687"/>
      <c r="F724" s="687"/>
      <c r="G724" s="687"/>
      <c r="H724" s="688"/>
      <c r="I724" s="688"/>
      <c r="J724" s="688"/>
      <c r="K724" s="85"/>
      <c r="L724" s="85"/>
      <c r="M724" s="85"/>
      <c r="N724" s="85"/>
      <c r="O724" s="85"/>
      <c r="P724" s="85"/>
      <c r="Q724" s="138"/>
      <c r="R724" s="138"/>
      <c r="S724" s="138"/>
      <c r="T724" s="138"/>
      <c r="U724" s="138"/>
      <c r="V724" s="138"/>
      <c r="W724" s="469"/>
      <c r="X724" s="469"/>
      <c r="Y724" s="469"/>
      <c r="Z724" s="469"/>
      <c r="AA724" s="469"/>
      <c r="AB724" s="469"/>
      <c r="AC724" s="469"/>
      <c r="AD724" s="469"/>
      <c r="AE724" s="469"/>
      <c r="AF724" s="469"/>
      <c r="AG724" s="469"/>
      <c r="AH724" s="469"/>
      <c r="AI724" s="469"/>
      <c r="AJ724" s="469"/>
      <c r="AK724" s="469"/>
      <c r="AL724" s="469"/>
      <c r="AM724" s="469"/>
      <c r="AN724" s="469"/>
      <c r="AO724" s="469"/>
    </row>
    <row r="725">
      <c r="A725" s="687"/>
      <c r="B725" s="685"/>
      <c r="C725" s="687"/>
      <c r="D725" s="687"/>
      <c r="E725" s="687"/>
      <c r="F725" s="687"/>
      <c r="G725" s="687"/>
      <c r="H725" s="688"/>
      <c r="I725" s="688"/>
      <c r="J725" s="688"/>
      <c r="K725" s="85"/>
      <c r="L725" s="85"/>
      <c r="M725" s="85"/>
      <c r="N725" s="85"/>
      <c r="O725" s="85"/>
      <c r="P725" s="85"/>
      <c r="Q725" s="138"/>
      <c r="R725" s="138"/>
      <c r="S725" s="138"/>
      <c r="T725" s="138"/>
      <c r="U725" s="138"/>
      <c r="V725" s="138"/>
      <c r="W725" s="469"/>
      <c r="X725" s="469"/>
      <c r="Y725" s="469"/>
      <c r="Z725" s="469"/>
      <c r="AA725" s="469"/>
      <c r="AB725" s="469"/>
      <c r="AC725" s="469"/>
      <c r="AD725" s="469"/>
      <c r="AE725" s="469"/>
      <c r="AF725" s="469"/>
      <c r="AG725" s="469"/>
      <c r="AH725" s="469"/>
      <c r="AI725" s="469"/>
      <c r="AJ725" s="469"/>
      <c r="AK725" s="469"/>
      <c r="AL725" s="469"/>
      <c r="AM725" s="469"/>
      <c r="AN725" s="469"/>
      <c r="AO725" s="469"/>
    </row>
    <row r="726">
      <c r="A726" s="687"/>
      <c r="B726" s="685"/>
      <c r="C726" s="687"/>
      <c r="D726" s="687"/>
      <c r="E726" s="687"/>
      <c r="F726" s="687"/>
      <c r="G726" s="687"/>
      <c r="H726" s="688"/>
      <c r="I726" s="688"/>
      <c r="J726" s="688"/>
      <c r="K726" s="85"/>
      <c r="L726" s="85"/>
      <c r="M726" s="85"/>
      <c r="N726" s="85"/>
      <c r="O726" s="85"/>
      <c r="P726" s="85"/>
      <c r="Q726" s="138"/>
      <c r="R726" s="138"/>
      <c r="S726" s="138"/>
      <c r="T726" s="138"/>
      <c r="U726" s="138"/>
      <c r="V726" s="138"/>
      <c r="W726" s="469"/>
      <c r="X726" s="469"/>
      <c r="Y726" s="469"/>
      <c r="Z726" s="469"/>
      <c r="AA726" s="469"/>
      <c r="AB726" s="469"/>
      <c r="AC726" s="469"/>
      <c r="AD726" s="469"/>
      <c r="AE726" s="469"/>
      <c r="AF726" s="469"/>
      <c r="AG726" s="469"/>
      <c r="AH726" s="469"/>
      <c r="AI726" s="469"/>
      <c r="AJ726" s="469"/>
      <c r="AK726" s="469"/>
      <c r="AL726" s="469"/>
      <c r="AM726" s="469"/>
      <c r="AN726" s="469"/>
      <c r="AO726" s="469"/>
    </row>
    <row r="727">
      <c r="A727" s="687"/>
      <c r="B727" s="685"/>
      <c r="C727" s="687"/>
      <c r="D727" s="687"/>
      <c r="E727" s="687"/>
      <c r="F727" s="687"/>
      <c r="G727" s="687"/>
      <c r="H727" s="688"/>
      <c r="I727" s="688"/>
      <c r="J727" s="688"/>
      <c r="K727" s="85"/>
      <c r="L727" s="85"/>
      <c r="M727" s="85"/>
      <c r="N727" s="85"/>
      <c r="O727" s="85"/>
      <c r="P727" s="85"/>
      <c r="Q727" s="138"/>
      <c r="R727" s="138"/>
      <c r="S727" s="138"/>
      <c r="T727" s="138"/>
      <c r="U727" s="138"/>
      <c r="V727" s="138"/>
      <c r="W727" s="469"/>
      <c r="X727" s="469"/>
      <c r="Y727" s="469"/>
      <c r="Z727" s="469"/>
      <c r="AA727" s="469"/>
      <c r="AB727" s="469"/>
      <c r="AC727" s="469"/>
      <c r="AD727" s="469"/>
      <c r="AE727" s="469"/>
      <c r="AF727" s="469"/>
      <c r="AG727" s="469"/>
      <c r="AH727" s="469"/>
      <c r="AI727" s="469"/>
      <c r="AJ727" s="469"/>
      <c r="AK727" s="469"/>
      <c r="AL727" s="469"/>
      <c r="AM727" s="469"/>
      <c r="AN727" s="469"/>
      <c r="AO727" s="469"/>
    </row>
    <row r="728">
      <c r="A728" s="687"/>
      <c r="B728" s="685"/>
      <c r="C728" s="687"/>
      <c r="D728" s="687"/>
      <c r="E728" s="687"/>
      <c r="F728" s="687"/>
      <c r="G728" s="687"/>
      <c r="H728" s="688"/>
      <c r="I728" s="688"/>
      <c r="J728" s="688"/>
      <c r="K728" s="85"/>
      <c r="L728" s="85"/>
      <c r="M728" s="85"/>
      <c r="N728" s="85"/>
      <c r="O728" s="85"/>
      <c r="P728" s="85"/>
      <c r="Q728" s="138"/>
      <c r="R728" s="138"/>
      <c r="S728" s="138"/>
      <c r="T728" s="138"/>
      <c r="U728" s="138"/>
      <c r="V728" s="138"/>
      <c r="W728" s="469"/>
      <c r="X728" s="469"/>
      <c r="Y728" s="469"/>
      <c r="Z728" s="469"/>
      <c r="AA728" s="469"/>
      <c r="AB728" s="469"/>
      <c r="AC728" s="469"/>
      <c r="AD728" s="469"/>
      <c r="AE728" s="469"/>
      <c r="AF728" s="469"/>
      <c r="AG728" s="469"/>
      <c r="AH728" s="469"/>
      <c r="AI728" s="469"/>
      <c r="AJ728" s="469"/>
      <c r="AK728" s="469"/>
      <c r="AL728" s="469"/>
      <c r="AM728" s="469"/>
      <c r="AN728" s="469"/>
      <c r="AO728" s="469"/>
    </row>
    <row r="729">
      <c r="A729" s="687"/>
      <c r="B729" s="685"/>
      <c r="C729" s="687"/>
      <c r="D729" s="687"/>
      <c r="E729" s="687"/>
      <c r="F729" s="687"/>
      <c r="G729" s="687"/>
      <c r="H729" s="688"/>
      <c r="I729" s="688"/>
      <c r="J729" s="688"/>
      <c r="K729" s="85"/>
      <c r="L729" s="85"/>
      <c r="M729" s="85"/>
      <c r="N729" s="85"/>
      <c r="O729" s="85"/>
      <c r="P729" s="85"/>
      <c r="Q729" s="138"/>
      <c r="R729" s="138"/>
      <c r="S729" s="138"/>
      <c r="T729" s="138"/>
      <c r="U729" s="138"/>
      <c r="V729" s="138"/>
      <c r="W729" s="469"/>
      <c r="X729" s="469"/>
      <c r="Y729" s="469"/>
      <c r="Z729" s="469"/>
      <c r="AA729" s="469"/>
      <c r="AB729" s="469"/>
      <c r="AC729" s="469"/>
      <c r="AD729" s="469"/>
      <c r="AE729" s="469"/>
      <c r="AF729" s="469"/>
      <c r="AG729" s="469"/>
      <c r="AH729" s="469"/>
      <c r="AI729" s="469"/>
      <c r="AJ729" s="469"/>
      <c r="AK729" s="469"/>
      <c r="AL729" s="469"/>
      <c r="AM729" s="469"/>
      <c r="AN729" s="469"/>
      <c r="AO729" s="469"/>
    </row>
    <row r="730">
      <c r="A730" s="687"/>
      <c r="B730" s="685"/>
      <c r="C730" s="687"/>
      <c r="D730" s="687"/>
      <c r="E730" s="687"/>
      <c r="F730" s="687"/>
      <c r="G730" s="687"/>
      <c r="H730" s="688"/>
      <c r="I730" s="688"/>
      <c r="J730" s="688"/>
      <c r="K730" s="85"/>
      <c r="L730" s="85"/>
      <c r="M730" s="85"/>
      <c r="N730" s="85"/>
      <c r="O730" s="85"/>
      <c r="P730" s="85"/>
      <c r="Q730" s="138"/>
      <c r="R730" s="138"/>
      <c r="S730" s="138"/>
      <c r="T730" s="138"/>
      <c r="U730" s="138"/>
      <c r="V730" s="138"/>
      <c r="W730" s="469"/>
      <c r="X730" s="469"/>
      <c r="Y730" s="469"/>
      <c r="Z730" s="469"/>
      <c r="AA730" s="469"/>
      <c r="AB730" s="469"/>
      <c r="AC730" s="469"/>
      <c r="AD730" s="469"/>
      <c r="AE730" s="469"/>
      <c r="AF730" s="469"/>
      <c r="AG730" s="469"/>
      <c r="AH730" s="469"/>
      <c r="AI730" s="469"/>
      <c r="AJ730" s="469"/>
      <c r="AK730" s="469"/>
      <c r="AL730" s="469"/>
      <c r="AM730" s="469"/>
      <c r="AN730" s="469"/>
      <c r="AO730" s="469"/>
    </row>
    <row r="731">
      <c r="A731" s="687"/>
      <c r="B731" s="685"/>
      <c r="C731" s="687"/>
      <c r="D731" s="687"/>
      <c r="E731" s="687"/>
      <c r="F731" s="687"/>
      <c r="G731" s="687"/>
      <c r="H731" s="688"/>
      <c r="I731" s="688"/>
      <c r="J731" s="688"/>
      <c r="K731" s="85"/>
      <c r="L731" s="85"/>
      <c r="M731" s="85"/>
      <c r="N731" s="85"/>
      <c r="O731" s="85"/>
      <c r="P731" s="85"/>
      <c r="Q731" s="138"/>
      <c r="R731" s="138"/>
      <c r="S731" s="138"/>
      <c r="T731" s="138"/>
      <c r="U731" s="138"/>
      <c r="V731" s="138"/>
      <c r="W731" s="469"/>
      <c r="X731" s="469"/>
      <c r="Y731" s="469"/>
      <c r="Z731" s="469"/>
      <c r="AA731" s="469"/>
      <c r="AB731" s="469"/>
      <c r="AC731" s="469"/>
      <c r="AD731" s="469"/>
      <c r="AE731" s="469"/>
      <c r="AF731" s="469"/>
      <c r="AG731" s="469"/>
      <c r="AH731" s="469"/>
      <c r="AI731" s="469"/>
      <c r="AJ731" s="469"/>
      <c r="AK731" s="469"/>
      <c r="AL731" s="469"/>
      <c r="AM731" s="469"/>
      <c r="AN731" s="469"/>
      <c r="AO731" s="469"/>
    </row>
    <row r="732">
      <c r="A732" s="687"/>
      <c r="B732" s="685"/>
      <c r="C732" s="687"/>
      <c r="D732" s="687"/>
      <c r="E732" s="687"/>
      <c r="F732" s="687"/>
      <c r="G732" s="687"/>
      <c r="H732" s="688"/>
      <c r="I732" s="688"/>
      <c r="J732" s="688"/>
      <c r="K732" s="85"/>
      <c r="L732" s="85"/>
      <c r="M732" s="85"/>
      <c r="N732" s="85"/>
      <c r="O732" s="85"/>
      <c r="P732" s="85"/>
      <c r="Q732" s="138"/>
      <c r="R732" s="138"/>
      <c r="S732" s="138"/>
      <c r="T732" s="138"/>
      <c r="U732" s="138"/>
      <c r="V732" s="138"/>
      <c r="W732" s="469"/>
      <c r="X732" s="469"/>
      <c r="Y732" s="469"/>
      <c r="Z732" s="469"/>
      <c r="AA732" s="469"/>
      <c r="AB732" s="469"/>
      <c r="AC732" s="469"/>
      <c r="AD732" s="469"/>
      <c r="AE732" s="469"/>
      <c r="AF732" s="469"/>
      <c r="AG732" s="469"/>
      <c r="AH732" s="469"/>
      <c r="AI732" s="469"/>
      <c r="AJ732" s="469"/>
      <c r="AK732" s="469"/>
      <c r="AL732" s="469"/>
      <c r="AM732" s="469"/>
      <c r="AN732" s="469"/>
      <c r="AO732" s="469"/>
    </row>
    <row r="733">
      <c r="A733" s="687"/>
      <c r="B733" s="685"/>
      <c r="C733" s="687"/>
      <c r="D733" s="687"/>
      <c r="E733" s="687"/>
      <c r="F733" s="687"/>
      <c r="G733" s="687"/>
      <c r="H733" s="688"/>
      <c r="I733" s="688"/>
      <c r="J733" s="688"/>
      <c r="K733" s="85"/>
      <c r="L733" s="85"/>
      <c r="M733" s="85"/>
      <c r="N733" s="85"/>
      <c r="O733" s="85"/>
      <c r="P733" s="85"/>
      <c r="Q733" s="138"/>
      <c r="R733" s="138"/>
      <c r="S733" s="138"/>
      <c r="T733" s="138"/>
      <c r="U733" s="138"/>
      <c r="V733" s="138"/>
      <c r="W733" s="469"/>
      <c r="X733" s="469"/>
      <c r="Y733" s="469"/>
      <c r="Z733" s="469"/>
      <c r="AA733" s="469"/>
      <c r="AB733" s="469"/>
      <c r="AC733" s="469"/>
      <c r="AD733" s="469"/>
      <c r="AE733" s="469"/>
      <c r="AF733" s="469"/>
      <c r="AG733" s="469"/>
      <c r="AH733" s="469"/>
      <c r="AI733" s="469"/>
      <c r="AJ733" s="469"/>
      <c r="AK733" s="469"/>
      <c r="AL733" s="469"/>
      <c r="AM733" s="469"/>
      <c r="AN733" s="469"/>
      <c r="AO733" s="469"/>
    </row>
    <row r="734">
      <c r="A734" s="687"/>
      <c r="B734" s="685"/>
      <c r="C734" s="687"/>
      <c r="D734" s="687"/>
      <c r="E734" s="687"/>
      <c r="F734" s="687"/>
      <c r="G734" s="687"/>
      <c r="H734" s="688"/>
      <c r="I734" s="688"/>
      <c r="J734" s="688"/>
      <c r="K734" s="85"/>
      <c r="L734" s="85"/>
      <c r="M734" s="85"/>
      <c r="N734" s="85"/>
      <c r="O734" s="85"/>
      <c r="P734" s="85"/>
      <c r="Q734" s="138"/>
      <c r="R734" s="138"/>
      <c r="S734" s="138"/>
      <c r="T734" s="138"/>
      <c r="U734" s="138"/>
      <c r="V734" s="138"/>
      <c r="W734" s="469"/>
      <c r="X734" s="469"/>
      <c r="Y734" s="469"/>
      <c r="Z734" s="469"/>
      <c r="AA734" s="469"/>
      <c r="AB734" s="469"/>
      <c r="AC734" s="469"/>
      <c r="AD734" s="469"/>
      <c r="AE734" s="469"/>
      <c r="AF734" s="469"/>
      <c r="AG734" s="469"/>
      <c r="AH734" s="469"/>
      <c r="AI734" s="469"/>
      <c r="AJ734" s="469"/>
      <c r="AK734" s="469"/>
      <c r="AL734" s="469"/>
      <c r="AM734" s="469"/>
      <c r="AN734" s="469"/>
      <c r="AO734" s="469"/>
    </row>
    <row r="735">
      <c r="A735" s="687"/>
      <c r="B735" s="685"/>
      <c r="C735" s="687"/>
      <c r="D735" s="687"/>
      <c r="E735" s="687"/>
      <c r="F735" s="687"/>
      <c r="G735" s="687"/>
      <c r="H735" s="688"/>
      <c r="I735" s="688"/>
      <c r="J735" s="688"/>
      <c r="K735" s="85"/>
      <c r="L735" s="85"/>
      <c r="M735" s="85"/>
      <c r="N735" s="85"/>
      <c r="O735" s="85"/>
      <c r="P735" s="85"/>
      <c r="Q735" s="138"/>
      <c r="R735" s="138"/>
      <c r="S735" s="138"/>
      <c r="T735" s="138"/>
      <c r="U735" s="138"/>
      <c r="V735" s="138"/>
      <c r="W735" s="469"/>
      <c r="X735" s="469"/>
      <c r="Y735" s="469"/>
      <c r="Z735" s="469"/>
      <c r="AA735" s="469"/>
      <c r="AB735" s="469"/>
      <c r="AC735" s="469"/>
      <c r="AD735" s="469"/>
      <c r="AE735" s="469"/>
      <c r="AF735" s="469"/>
      <c r="AG735" s="469"/>
      <c r="AH735" s="469"/>
      <c r="AI735" s="469"/>
      <c r="AJ735" s="469"/>
      <c r="AK735" s="469"/>
      <c r="AL735" s="469"/>
      <c r="AM735" s="469"/>
      <c r="AN735" s="469"/>
      <c r="AO735" s="469"/>
    </row>
    <row r="736">
      <c r="A736" s="687"/>
      <c r="B736" s="685"/>
      <c r="C736" s="687"/>
      <c r="D736" s="687"/>
      <c r="E736" s="687"/>
      <c r="F736" s="687"/>
      <c r="G736" s="687"/>
      <c r="H736" s="688"/>
      <c r="I736" s="688"/>
      <c r="J736" s="688"/>
      <c r="K736" s="85"/>
      <c r="L736" s="85"/>
      <c r="M736" s="85"/>
      <c r="N736" s="85"/>
      <c r="O736" s="85"/>
      <c r="P736" s="85"/>
      <c r="Q736" s="138"/>
      <c r="R736" s="138"/>
      <c r="S736" s="138"/>
      <c r="T736" s="138"/>
      <c r="U736" s="138"/>
      <c r="V736" s="138"/>
      <c r="W736" s="469"/>
      <c r="X736" s="469"/>
      <c r="Y736" s="469"/>
      <c r="Z736" s="469"/>
      <c r="AA736" s="469"/>
      <c r="AB736" s="469"/>
      <c r="AC736" s="469"/>
      <c r="AD736" s="469"/>
      <c r="AE736" s="469"/>
      <c r="AF736" s="469"/>
      <c r="AG736" s="469"/>
      <c r="AH736" s="469"/>
      <c r="AI736" s="469"/>
      <c r="AJ736" s="469"/>
      <c r="AK736" s="469"/>
      <c r="AL736" s="469"/>
      <c r="AM736" s="469"/>
      <c r="AN736" s="469"/>
      <c r="AO736" s="469"/>
    </row>
    <row r="737">
      <c r="A737" s="687"/>
      <c r="B737" s="685"/>
      <c r="C737" s="687"/>
      <c r="D737" s="687"/>
      <c r="E737" s="687"/>
      <c r="F737" s="687"/>
      <c r="G737" s="687"/>
      <c r="H737" s="688"/>
      <c r="I737" s="688"/>
      <c r="J737" s="688"/>
      <c r="K737" s="85"/>
      <c r="L737" s="85"/>
      <c r="M737" s="85"/>
      <c r="N737" s="85"/>
      <c r="O737" s="85"/>
      <c r="P737" s="85"/>
      <c r="Q737" s="138"/>
      <c r="R737" s="138"/>
      <c r="S737" s="138"/>
      <c r="T737" s="138"/>
      <c r="U737" s="138"/>
      <c r="V737" s="138"/>
      <c r="W737" s="469"/>
      <c r="X737" s="469"/>
      <c r="Y737" s="469"/>
      <c r="Z737" s="469"/>
      <c r="AA737" s="469"/>
      <c r="AB737" s="469"/>
      <c r="AC737" s="469"/>
      <c r="AD737" s="469"/>
      <c r="AE737" s="469"/>
      <c r="AF737" s="469"/>
      <c r="AG737" s="469"/>
      <c r="AH737" s="469"/>
      <c r="AI737" s="469"/>
      <c r="AJ737" s="469"/>
      <c r="AK737" s="469"/>
      <c r="AL737" s="469"/>
      <c r="AM737" s="469"/>
      <c r="AN737" s="469"/>
      <c r="AO737" s="469"/>
    </row>
    <row r="738">
      <c r="A738" s="687"/>
      <c r="B738" s="685"/>
      <c r="C738" s="687"/>
      <c r="D738" s="687"/>
      <c r="E738" s="687"/>
      <c r="F738" s="687"/>
      <c r="G738" s="687"/>
      <c r="H738" s="688"/>
      <c r="I738" s="688"/>
      <c r="J738" s="688"/>
      <c r="K738" s="85"/>
      <c r="L738" s="85"/>
      <c r="M738" s="85"/>
      <c r="N738" s="85"/>
      <c r="O738" s="85"/>
      <c r="P738" s="85"/>
      <c r="Q738" s="138"/>
      <c r="R738" s="138"/>
      <c r="S738" s="138"/>
      <c r="T738" s="138"/>
      <c r="U738" s="138"/>
      <c r="V738" s="138"/>
      <c r="W738" s="469"/>
      <c r="X738" s="469"/>
      <c r="Y738" s="469"/>
      <c r="Z738" s="469"/>
      <c r="AA738" s="469"/>
      <c r="AB738" s="469"/>
      <c r="AC738" s="469"/>
      <c r="AD738" s="469"/>
      <c r="AE738" s="469"/>
      <c r="AF738" s="469"/>
      <c r="AG738" s="469"/>
      <c r="AH738" s="469"/>
      <c r="AI738" s="469"/>
      <c r="AJ738" s="469"/>
      <c r="AK738" s="469"/>
      <c r="AL738" s="469"/>
      <c r="AM738" s="469"/>
      <c r="AN738" s="469"/>
      <c r="AO738" s="469"/>
    </row>
    <row r="739">
      <c r="A739" s="687"/>
      <c r="B739" s="685"/>
      <c r="C739" s="687"/>
      <c r="D739" s="687"/>
      <c r="E739" s="687"/>
      <c r="F739" s="687"/>
      <c r="G739" s="687"/>
      <c r="H739" s="688"/>
      <c r="I739" s="688"/>
      <c r="J739" s="688"/>
      <c r="K739" s="85"/>
      <c r="L739" s="85"/>
      <c r="M739" s="85"/>
      <c r="N739" s="85"/>
      <c r="O739" s="85"/>
      <c r="P739" s="85"/>
      <c r="Q739" s="138"/>
      <c r="R739" s="138"/>
      <c r="S739" s="138"/>
      <c r="T739" s="138"/>
      <c r="U739" s="138"/>
      <c r="V739" s="138"/>
      <c r="W739" s="469"/>
      <c r="X739" s="469"/>
      <c r="Y739" s="469"/>
      <c r="Z739" s="469"/>
      <c r="AA739" s="469"/>
      <c r="AB739" s="469"/>
      <c r="AC739" s="469"/>
      <c r="AD739" s="469"/>
      <c r="AE739" s="469"/>
      <c r="AF739" s="469"/>
      <c r="AG739" s="469"/>
      <c r="AH739" s="469"/>
      <c r="AI739" s="469"/>
      <c r="AJ739" s="469"/>
      <c r="AK739" s="469"/>
      <c r="AL739" s="469"/>
      <c r="AM739" s="469"/>
      <c r="AN739" s="469"/>
      <c r="AO739" s="469"/>
    </row>
    <row r="740">
      <c r="A740" s="687"/>
      <c r="B740" s="685"/>
      <c r="C740" s="687"/>
      <c r="D740" s="687"/>
      <c r="E740" s="687"/>
      <c r="F740" s="687"/>
      <c r="G740" s="687"/>
      <c r="H740" s="688"/>
      <c r="I740" s="688"/>
      <c r="J740" s="688"/>
      <c r="K740" s="85"/>
      <c r="L740" s="85"/>
      <c r="M740" s="85"/>
      <c r="N740" s="85"/>
      <c r="O740" s="85"/>
      <c r="P740" s="85"/>
      <c r="Q740" s="138"/>
      <c r="R740" s="138"/>
      <c r="S740" s="138"/>
      <c r="T740" s="138"/>
      <c r="U740" s="138"/>
      <c r="V740" s="138"/>
      <c r="W740" s="469"/>
      <c r="X740" s="469"/>
      <c r="Y740" s="469"/>
      <c r="Z740" s="469"/>
      <c r="AA740" s="469"/>
      <c r="AB740" s="469"/>
      <c r="AC740" s="469"/>
      <c r="AD740" s="469"/>
      <c r="AE740" s="469"/>
      <c r="AF740" s="469"/>
      <c r="AG740" s="469"/>
      <c r="AH740" s="469"/>
      <c r="AI740" s="469"/>
      <c r="AJ740" s="469"/>
      <c r="AK740" s="469"/>
      <c r="AL740" s="469"/>
      <c r="AM740" s="469"/>
      <c r="AN740" s="469"/>
      <c r="AO740" s="469"/>
    </row>
    <row r="741">
      <c r="A741" s="687"/>
      <c r="B741" s="685"/>
      <c r="C741" s="687"/>
      <c r="D741" s="687"/>
      <c r="E741" s="687"/>
      <c r="F741" s="687"/>
      <c r="G741" s="687"/>
      <c r="H741" s="688"/>
      <c r="I741" s="688"/>
      <c r="J741" s="688"/>
      <c r="K741" s="85"/>
      <c r="L741" s="85"/>
      <c r="M741" s="85"/>
      <c r="N741" s="85"/>
      <c r="O741" s="85"/>
      <c r="P741" s="85"/>
      <c r="Q741" s="138"/>
      <c r="R741" s="138"/>
      <c r="S741" s="138"/>
      <c r="T741" s="138"/>
      <c r="U741" s="138"/>
      <c r="V741" s="138"/>
      <c r="W741" s="469"/>
      <c r="X741" s="469"/>
      <c r="Y741" s="469"/>
      <c r="Z741" s="469"/>
      <c r="AA741" s="469"/>
      <c r="AB741" s="469"/>
      <c r="AC741" s="469"/>
      <c r="AD741" s="469"/>
      <c r="AE741" s="469"/>
      <c r="AF741" s="469"/>
      <c r="AG741" s="469"/>
      <c r="AH741" s="469"/>
      <c r="AI741" s="469"/>
      <c r="AJ741" s="469"/>
      <c r="AK741" s="469"/>
      <c r="AL741" s="469"/>
      <c r="AM741" s="469"/>
      <c r="AN741" s="469"/>
      <c r="AO741" s="469"/>
    </row>
    <row r="742">
      <c r="A742" s="687"/>
      <c r="B742" s="685"/>
      <c r="C742" s="687"/>
      <c r="D742" s="687"/>
      <c r="E742" s="687"/>
      <c r="F742" s="687"/>
      <c r="G742" s="687"/>
      <c r="H742" s="688"/>
      <c r="I742" s="688"/>
      <c r="J742" s="688"/>
      <c r="K742" s="85"/>
      <c r="L742" s="85"/>
      <c r="M742" s="85"/>
      <c r="N742" s="85"/>
      <c r="O742" s="85"/>
      <c r="P742" s="85"/>
      <c r="Q742" s="138"/>
      <c r="R742" s="138"/>
      <c r="S742" s="138"/>
      <c r="T742" s="138"/>
      <c r="U742" s="138"/>
      <c r="V742" s="138"/>
      <c r="W742" s="469"/>
      <c r="X742" s="469"/>
      <c r="Y742" s="469"/>
      <c r="Z742" s="469"/>
      <c r="AA742" s="469"/>
      <c r="AB742" s="469"/>
      <c r="AC742" s="469"/>
      <c r="AD742" s="469"/>
      <c r="AE742" s="469"/>
      <c r="AF742" s="469"/>
      <c r="AG742" s="469"/>
      <c r="AH742" s="469"/>
      <c r="AI742" s="469"/>
      <c r="AJ742" s="469"/>
      <c r="AK742" s="469"/>
      <c r="AL742" s="469"/>
      <c r="AM742" s="469"/>
      <c r="AN742" s="469"/>
      <c r="AO742" s="469"/>
    </row>
    <row r="743">
      <c r="A743" s="687"/>
      <c r="B743" s="685"/>
      <c r="C743" s="687"/>
      <c r="D743" s="687"/>
      <c r="E743" s="687"/>
      <c r="F743" s="687"/>
      <c r="G743" s="687"/>
      <c r="H743" s="688"/>
      <c r="I743" s="688"/>
      <c r="J743" s="688"/>
      <c r="K743" s="85"/>
      <c r="L743" s="85"/>
      <c r="M743" s="85"/>
      <c r="N743" s="85"/>
      <c r="O743" s="85"/>
      <c r="P743" s="85"/>
      <c r="Q743" s="138"/>
      <c r="R743" s="138"/>
      <c r="S743" s="138"/>
      <c r="T743" s="138"/>
      <c r="U743" s="138"/>
      <c r="V743" s="138"/>
      <c r="W743" s="469"/>
      <c r="X743" s="469"/>
      <c r="Y743" s="469"/>
      <c r="Z743" s="469"/>
      <c r="AA743" s="469"/>
      <c r="AB743" s="469"/>
      <c r="AC743" s="469"/>
      <c r="AD743" s="469"/>
      <c r="AE743" s="469"/>
      <c r="AF743" s="469"/>
      <c r="AG743" s="469"/>
      <c r="AH743" s="469"/>
      <c r="AI743" s="469"/>
      <c r="AJ743" s="469"/>
      <c r="AK743" s="469"/>
      <c r="AL743" s="469"/>
      <c r="AM743" s="469"/>
      <c r="AN743" s="469"/>
      <c r="AO743" s="469"/>
    </row>
    <row r="744">
      <c r="A744" s="687"/>
      <c r="B744" s="685"/>
      <c r="C744" s="687"/>
      <c r="D744" s="687"/>
      <c r="E744" s="687"/>
      <c r="F744" s="687"/>
      <c r="G744" s="687"/>
      <c r="H744" s="688"/>
      <c r="I744" s="688"/>
      <c r="J744" s="688"/>
      <c r="K744" s="85"/>
      <c r="L744" s="85"/>
      <c r="M744" s="85"/>
      <c r="N744" s="85"/>
      <c r="O744" s="85"/>
      <c r="P744" s="85"/>
      <c r="Q744" s="138"/>
      <c r="R744" s="138"/>
      <c r="S744" s="138"/>
      <c r="T744" s="138"/>
      <c r="U744" s="138"/>
      <c r="V744" s="138"/>
      <c r="W744" s="469"/>
      <c r="X744" s="469"/>
      <c r="Y744" s="469"/>
      <c r="Z744" s="469"/>
      <c r="AA744" s="469"/>
      <c r="AB744" s="469"/>
      <c r="AC744" s="469"/>
      <c r="AD744" s="469"/>
      <c r="AE744" s="469"/>
      <c r="AF744" s="469"/>
      <c r="AG744" s="469"/>
      <c r="AH744" s="469"/>
      <c r="AI744" s="469"/>
      <c r="AJ744" s="469"/>
      <c r="AK744" s="469"/>
      <c r="AL744" s="469"/>
      <c r="AM744" s="469"/>
      <c r="AN744" s="469"/>
      <c r="AO744" s="469"/>
    </row>
    <row r="745">
      <c r="A745" s="687"/>
      <c r="B745" s="685"/>
      <c r="C745" s="687"/>
      <c r="D745" s="687"/>
      <c r="E745" s="687"/>
      <c r="F745" s="687"/>
      <c r="G745" s="687"/>
      <c r="H745" s="688"/>
      <c r="I745" s="688"/>
      <c r="J745" s="688"/>
      <c r="K745" s="85"/>
      <c r="L745" s="85"/>
      <c r="M745" s="85"/>
      <c r="N745" s="85"/>
      <c r="O745" s="85"/>
      <c r="P745" s="85"/>
      <c r="Q745" s="138"/>
      <c r="R745" s="138"/>
      <c r="S745" s="138"/>
      <c r="T745" s="138"/>
      <c r="U745" s="138"/>
      <c r="V745" s="138"/>
      <c r="W745" s="469"/>
      <c r="X745" s="469"/>
      <c r="Y745" s="469"/>
      <c r="Z745" s="469"/>
      <c r="AA745" s="469"/>
      <c r="AB745" s="469"/>
      <c r="AC745" s="469"/>
      <c r="AD745" s="469"/>
      <c r="AE745" s="469"/>
      <c r="AF745" s="469"/>
      <c r="AG745" s="469"/>
      <c r="AH745" s="469"/>
      <c r="AI745" s="469"/>
      <c r="AJ745" s="469"/>
      <c r="AK745" s="469"/>
      <c r="AL745" s="469"/>
      <c r="AM745" s="469"/>
      <c r="AN745" s="469"/>
      <c r="AO745" s="469"/>
    </row>
    <row r="746">
      <c r="A746" s="687"/>
      <c r="B746" s="685"/>
      <c r="C746" s="687"/>
      <c r="D746" s="687"/>
      <c r="E746" s="687"/>
      <c r="F746" s="687"/>
      <c r="G746" s="687"/>
      <c r="H746" s="688"/>
      <c r="I746" s="688"/>
      <c r="J746" s="688"/>
      <c r="K746" s="85"/>
      <c r="L746" s="85"/>
      <c r="M746" s="85"/>
      <c r="N746" s="85"/>
      <c r="O746" s="85"/>
      <c r="P746" s="85"/>
      <c r="Q746" s="138"/>
      <c r="R746" s="138"/>
      <c r="S746" s="138"/>
      <c r="T746" s="138"/>
      <c r="U746" s="138"/>
      <c r="V746" s="138"/>
      <c r="W746" s="469"/>
      <c r="X746" s="469"/>
      <c r="Y746" s="469"/>
      <c r="Z746" s="469"/>
      <c r="AA746" s="469"/>
      <c r="AB746" s="469"/>
      <c r="AC746" s="469"/>
      <c r="AD746" s="469"/>
      <c r="AE746" s="469"/>
      <c r="AF746" s="469"/>
      <c r="AG746" s="469"/>
      <c r="AH746" s="469"/>
      <c r="AI746" s="469"/>
      <c r="AJ746" s="469"/>
      <c r="AK746" s="469"/>
      <c r="AL746" s="469"/>
      <c r="AM746" s="469"/>
      <c r="AN746" s="469"/>
      <c r="AO746" s="469"/>
    </row>
    <row r="747">
      <c r="A747" s="687"/>
      <c r="B747" s="685"/>
      <c r="C747" s="687"/>
      <c r="D747" s="687"/>
      <c r="E747" s="687"/>
      <c r="F747" s="687"/>
      <c r="G747" s="687"/>
      <c r="H747" s="688"/>
      <c r="I747" s="688"/>
      <c r="J747" s="688"/>
      <c r="K747" s="85"/>
      <c r="L747" s="85"/>
      <c r="M747" s="85"/>
      <c r="N747" s="85"/>
      <c r="O747" s="85"/>
      <c r="P747" s="85"/>
      <c r="Q747" s="138"/>
      <c r="R747" s="138"/>
      <c r="S747" s="138"/>
      <c r="T747" s="138"/>
      <c r="U747" s="138"/>
      <c r="V747" s="138"/>
      <c r="W747" s="469"/>
      <c r="X747" s="469"/>
      <c r="Y747" s="469"/>
      <c r="Z747" s="469"/>
      <c r="AA747" s="469"/>
      <c r="AB747" s="469"/>
      <c r="AC747" s="469"/>
      <c r="AD747" s="469"/>
      <c r="AE747" s="469"/>
      <c r="AF747" s="469"/>
      <c r="AG747" s="469"/>
      <c r="AH747" s="469"/>
      <c r="AI747" s="469"/>
      <c r="AJ747" s="469"/>
      <c r="AK747" s="469"/>
      <c r="AL747" s="469"/>
      <c r="AM747" s="469"/>
      <c r="AN747" s="469"/>
      <c r="AO747" s="469"/>
    </row>
    <row r="748">
      <c r="A748" s="687"/>
      <c r="B748" s="685"/>
      <c r="C748" s="687"/>
      <c r="D748" s="687"/>
      <c r="E748" s="687"/>
      <c r="F748" s="687"/>
      <c r="G748" s="687"/>
      <c r="H748" s="688"/>
      <c r="I748" s="688"/>
      <c r="J748" s="688"/>
      <c r="K748" s="85"/>
      <c r="L748" s="85"/>
      <c r="M748" s="85"/>
      <c r="N748" s="85"/>
      <c r="O748" s="85"/>
      <c r="P748" s="85"/>
      <c r="Q748" s="138"/>
      <c r="R748" s="138"/>
      <c r="S748" s="138"/>
      <c r="T748" s="138"/>
      <c r="U748" s="138"/>
      <c r="V748" s="138"/>
      <c r="W748" s="469"/>
      <c r="X748" s="469"/>
      <c r="Y748" s="469"/>
      <c r="Z748" s="469"/>
      <c r="AA748" s="469"/>
      <c r="AB748" s="469"/>
      <c r="AC748" s="469"/>
      <c r="AD748" s="469"/>
      <c r="AE748" s="469"/>
      <c r="AF748" s="469"/>
      <c r="AG748" s="469"/>
      <c r="AH748" s="469"/>
      <c r="AI748" s="469"/>
      <c r="AJ748" s="469"/>
      <c r="AK748" s="469"/>
      <c r="AL748" s="469"/>
      <c r="AM748" s="469"/>
      <c r="AN748" s="469"/>
      <c r="AO748" s="469"/>
    </row>
    <row r="749">
      <c r="A749" s="687"/>
      <c r="B749" s="685"/>
      <c r="C749" s="687"/>
      <c r="D749" s="687"/>
      <c r="E749" s="687"/>
      <c r="F749" s="687"/>
      <c r="G749" s="687"/>
      <c r="H749" s="688"/>
      <c r="I749" s="688"/>
      <c r="J749" s="688"/>
      <c r="K749" s="85"/>
      <c r="L749" s="85"/>
      <c r="M749" s="85"/>
      <c r="N749" s="85"/>
      <c r="O749" s="85"/>
      <c r="P749" s="85"/>
      <c r="Q749" s="138"/>
      <c r="R749" s="138"/>
      <c r="S749" s="138"/>
      <c r="T749" s="138"/>
      <c r="U749" s="138"/>
      <c r="V749" s="138"/>
      <c r="W749" s="469"/>
      <c r="X749" s="469"/>
      <c r="Y749" s="469"/>
      <c r="Z749" s="469"/>
      <c r="AA749" s="469"/>
      <c r="AB749" s="469"/>
      <c r="AC749" s="469"/>
      <c r="AD749" s="469"/>
      <c r="AE749" s="469"/>
      <c r="AF749" s="469"/>
      <c r="AG749" s="469"/>
      <c r="AH749" s="469"/>
      <c r="AI749" s="469"/>
      <c r="AJ749" s="469"/>
      <c r="AK749" s="469"/>
      <c r="AL749" s="469"/>
      <c r="AM749" s="469"/>
      <c r="AN749" s="469"/>
      <c r="AO749" s="469"/>
    </row>
    <row r="750">
      <c r="A750" s="687"/>
      <c r="B750" s="685"/>
      <c r="C750" s="687"/>
      <c r="D750" s="687"/>
      <c r="E750" s="687"/>
      <c r="F750" s="687"/>
      <c r="G750" s="687"/>
      <c r="H750" s="688"/>
      <c r="I750" s="688"/>
      <c r="J750" s="688"/>
      <c r="K750" s="85"/>
      <c r="L750" s="85"/>
      <c r="M750" s="85"/>
      <c r="N750" s="85"/>
      <c r="O750" s="85"/>
      <c r="P750" s="85"/>
      <c r="Q750" s="138"/>
      <c r="R750" s="138"/>
      <c r="S750" s="138"/>
      <c r="T750" s="138"/>
      <c r="U750" s="138"/>
      <c r="V750" s="138"/>
      <c r="W750" s="469"/>
      <c r="X750" s="469"/>
      <c r="Y750" s="469"/>
      <c r="Z750" s="469"/>
      <c r="AA750" s="469"/>
      <c r="AB750" s="469"/>
      <c r="AC750" s="469"/>
      <c r="AD750" s="469"/>
      <c r="AE750" s="469"/>
      <c r="AF750" s="469"/>
      <c r="AG750" s="469"/>
      <c r="AH750" s="469"/>
      <c r="AI750" s="469"/>
      <c r="AJ750" s="469"/>
      <c r="AK750" s="469"/>
      <c r="AL750" s="469"/>
      <c r="AM750" s="469"/>
      <c r="AN750" s="469"/>
      <c r="AO750" s="469"/>
    </row>
    <row r="751">
      <c r="A751" s="687"/>
      <c r="B751" s="685"/>
      <c r="C751" s="687"/>
      <c r="D751" s="687"/>
      <c r="E751" s="687"/>
      <c r="F751" s="687"/>
      <c r="G751" s="687"/>
      <c r="H751" s="688"/>
      <c r="I751" s="688"/>
      <c r="J751" s="688"/>
      <c r="K751" s="85"/>
      <c r="L751" s="85"/>
      <c r="M751" s="85"/>
      <c r="N751" s="85"/>
      <c r="O751" s="85"/>
      <c r="P751" s="85"/>
      <c r="Q751" s="138"/>
      <c r="R751" s="138"/>
      <c r="S751" s="138"/>
      <c r="T751" s="138"/>
      <c r="U751" s="138"/>
      <c r="V751" s="138"/>
      <c r="W751" s="469"/>
      <c r="X751" s="469"/>
      <c r="Y751" s="469"/>
      <c r="Z751" s="469"/>
      <c r="AA751" s="469"/>
      <c r="AB751" s="469"/>
      <c r="AC751" s="469"/>
      <c r="AD751" s="469"/>
      <c r="AE751" s="469"/>
      <c r="AF751" s="469"/>
      <c r="AG751" s="469"/>
      <c r="AH751" s="469"/>
      <c r="AI751" s="469"/>
      <c r="AJ751" s="469"/>
      <c r="AK751" s="469"/>
      <c r="AL751" s="469"/>
      <c r="AM751" s="469"/>
      <c r="AN751" s="469"/>
      <c r="AO751" s="469"/>
    </row>
    <row r="752">
      <c r="A752" s="687"/>
      <c r="B752" s="685"/>
      <c r="C752" s="687"/>
      <c r="D752" s="687"/>
      <c r="E752" s="687"/>
      <c r="F752" s="687"/>
      <c r="G752" s="687"/>
      <c r="H752" s="688"/>
      <c r="I752" s="688"/>
      <c r="J752" s="688"/>
      <c r="K752" s="85"/>
      <c r="L752" s="85"/>
      <c r="M752" s="85"/>
      <c r="N752" s="85"/>
      <c r="O752" s="85"/>
      <c r="P752" s="85"/>
      <c r="Q752" s="138"/>
      <c r="R752" s="138"/>
      <c r="S752" s="138"/>
      <c r="T752" s="138"/>
      <c r="U752" s="138"/>
      <c r="V752" s="138"/>
      <c r="W752" s="469"/>
      <c r="X752" s="469"/>
      <c r="Y752" s="469"/>
      <c r="Z752" s="469"/>
      <c r="AA752" s="469"/>
      <c r="AB752" s="469"/>
      <c r="AC752" s="469"/>
      <c r="AD752" s="469"/>
      <c r="AE752" s="469"/>
      <c r="AF752" s="469"/>
      <c r="AG752" s="469"/>
      <c r="AH752" s="469"/>
      <c r="AI752" s="469"/>
      <c r="AJ752" s="469"/>
      <c r="AK752" s="469"/>
      <c r="AL752" s="469"/>
      <c r="AM752" s="469"/>
      <c r="AN752" s="469"/>
      <c r="AO752" s="469"/>
    </row>
    <row r="753">
      <c r="A753" s="687"/>
      <c r="B753" s="685"/>
      <c r="C753" s="687"/>
      <c r="D753" s="687"/>
      <c r="E753" s="687"/>
      <c r="F753" s="687"/>
      <c r="G753" s="687"/>
      <c r="H753" s="688"/>
      <c r="I753" s="688"/>
      <c r="J753" s="688"/>
      <c r="K753" s="85"/>
      <c r="L753" s="85"/>
      <c r="M753" s="85"/>
      <c r="N753" s="85"/>
      <c r="O753" s="85"/>
      <c r="P753" s="85"/>
      <c r="Q753" s="138"/>
      <c r="R753" s="138"/>
      <c r="S753" s="138"/>
      <c r="T753" s="138"/>
      <c r="U753" s="138"/>
      <c r="V753" s="138"/>
      <c r="W753" s="469"/>
      <c r="X753" s="469"/>
      <c r="Y753" s="469"/>
      <c r="Z753" s="469"/>
      <c r="AA753" s="469"/>
      <c r="AB753" s="469"/>
      <c r="AC753" s="469"/>
      <c r="AD753" s="469"/>
      <c r="AE753" s="469"/>
      <c r="AF753" s="469"/>
      <c r="AG753" s="469"/>
      <c r="AH753" s="469"/>
      <c r="AI753" s="469"/>
      <c r="AJ753" s="469"/>
      <c r="AK753" s="469"/>
      <c r="AL753" s="469"/>
      <c r="AM753" s="469"/>
      <c r="AN753" s="469"/>
      <c r="AO753" s="469"/>
    </row>
    <row r="754">
      <c r="A754" s="687"/>
      <c r="B754" s="685"/>
      <c r="C754" s="687"/>
      <c r="D754" s="687"/>
      <c r="E754" s="687"/>
      <c r="F754" s="687"/>
      <c r="G754" s="687"/>
      <c r="H754" s="688"/>
      <c r="I754" s="688"/>
      <c r="J754" s="688"/>
      <c r="K754" s="85"/>
      <c r="L754" s="85"/>
      <c r="M754" s="85"/>
      <c r="N754" s="85"/>
      <c r="O754" s="85"/>
      <c r="P754" s="85"/>
      <c r="Q754" s="138"/>
      <c r="R754" s="138"/>
      <c r="S754" s="138"/>
      <c r="T754" s="138"/>
      <c r="U754" s="138"/>
      <c r="V754" s="138"/>
      <c r="W754" s="469"/>
      <c r="X754" s="469"/>
      <c r="Y754" s="469"/>
      <c r="Z754" s="469"/>
      <c r="AA754" s="469"/>
      <c r="AB754" s="469"/>
      <c r="AC754" s="469"/>
      <c r="AD754" s="469"/>
      <c r="AE754" s="469"/>
      <c r="AF754" s="469"/>
      <c r="AG754" s="469"/>
      <c r="AH754" s="469"/>
      <c r="AI754" s="469"/>
      <c r="AJ754" s="469"/>
      <c r="AK754" s="469"/>
      <c r="AL754" s="469"/>
      <c r="AM754" s="469"/>
      <c r="AN754" s="469"/>
      <c r="AO754" s="469"/>
    </row>
    <row r="755">
      <c r="A755" s="687"/>
      <c r="B755" s="685"/>
      <c r="C755" s="687"/>
      <c r="D755" s="687"/>
      <c r="E755" s="687"/>
      <c r="F755" s="687"/>
      <c r="G755" s="687"/>
      <c r="H755" s="688"/>
      <c r="I755" s="688"/>
      <c r="J755" s="688"/>
      <c r="K755" s="85"/>
      <c r="L755" s="85"/>
      <c r="M755" s="85"/>
      <c r="N755" s="85"/>
      <c r="O755" s="85"/>
      <c r="P755" s="85"/>
      <c r="Q755" s="138"/>
      <c r="R755" s="138"/>
      <c r="S755" s="138"/>
      <c r="T755" s="138"/>
      <c r="U755" s="138"/>
      <c r="V755" s="138"/>
      <c r="W755" s="469"/>
      <c r="X755" s="469"/>
      <c r="Y755" s="469"/>
      <c r="Z755" s="469"/>
      <c r="AA755" s="469"/>
      <c r="AB755" s="469"/>
      <c r="AC755" s="469"/>
      <c r="AD755" s="469"/>
      <c r="AE755" s="469"/>
      <c r="AF755" s="469"/>
      <c r="AG755" s="469"/>
      <c r="AH755" s="469"/>
      <c r="AI755" s="469"/>
      <c r="AJ755" s="469"/>
      <c r="AK755" s="469"/>
      <c r="AL755" s="469"/>
      <c r="AM755" s="469"/>
      <c r="AN755" s="469"/>
      <c r="AO755" s="469"/>
    </row>
    <row r="756">
      <c r="A756" s="687"/>
      <c r="B756" s="685"/>
      <c r="C756" s="687"/>
      <c r="D756" s="687"/>
      <c r="E756" s="687"/>
      <c r="F756" s="687"/>
      <c r="G756" s="687"/>
      <c r="H756" s="688"/>
      <c r="I756" s="688"/>
      <c r="J756" s="688"/>
      <c r="K756" s="85"/>
      <c r="L756" s="85"/>
      <c r="M756" s="85"/>
      <c r="N756" s="85"/>
      <c r="O756" s="85"/>
      <c r="P756" s="85"/>
      <c r="Q756" s="138"/>
      <c r="R756" s="138"/>
      <c r="S756" s="138"/>
      <c r="T756" s="138"/>
      <c r="U756" s="138"/>
      <c r="V756" s="138"/>
      <c r="W756" s="469"/>
      <c r="X756" s="469"/>
      <c r="Y756" s="469"/>
      <c r="Z756" s="469"/>
      <c r="AA756" s="469"/>
      <c r="AB756" s="469"/>
      <c r="AC756" s="469"/>
      <c r="AD756" s="469"/>
      <c r="AE756" s="469"/>
      <c r="AF756" s="469"/>
      <c r="AG756" s="469"/>
      <c r="AH756" s="469"/>
      <c r="AI756" s="469"/>
      <c r="AJ756" s="469"/>
      <c r="AK756" s="469"/>
      <c r="AL756" s="469"/>
      <c r="AM756" s="469"/>
      <c r="AN756" s="469"/>
      <c r="AO756" s="469"/>
    </row>
    <row r="757">
      <c r="A757" s="687"/>
      <c r="B757" s="685"/>
      <c r="C757" s="687"/>
      <c r="D757" s="687"/>
      <c r="E757" s="687"/>
      <c r="F757" s="687"/>
      <c r="G757" s="687"/>
      <c r="H757" s="688"/>
      <c r="I757" s="688"/>
      <c r="J757" s="688"/>
      <c r="K757" s="85"/>
      <c r="L757" s="85"/>
      <c r="M757" s="85"/>
      <c r="N757" s="85"/>
      <c r="O757" s="85"/>
      <c r="P757" s="85"/>
      <c r="Q757" s="138"/>
      <c r="R757" s="138"/>
      <c r="S757" s="138"/>
      <c r="T757" s="138"/>
      <c r="U757" s="138"/>
      <c r="V757" s="138"/>
      <c r="W757" s="469"/>
      <c r="X757" s="469"/>
      <c r="Y757" s="469"/>
      <c r="Z757" s="469"/>
      <c r="AA757" s="469"/>
      <c r="AB757" s="469"/>
      <c r="AC757" s="469"/>
      <c r="AD757" s="469"/>
      <c r="AE757" s="469"/>
      <c r="AF757" s="469"/>
      <c r="AG757" s="469"/>
      <c r="AH757" s="469"/>
      <c r="AI757" s="469"/>
      <c r="AJ757" s="469"/>
      <c r="AK757" s="469"/>
      <c r="AL757" s="469"/>
      <c r="AM757" s="469"/>
      <c r="AN757" s="469"/>
      <c r="AO757" s="469"/>
    </row>
    <row r="758">
      <c r="A758" s="687"/>
      <c r="B758" s="685"/>
      <c r="C758" s="687"/>
      <c r="D758" s="687"/>
      <c r="E758" s="687"/>
      <c r="F758" s="687"/>
      <c r="G758" s="687"/>
      <c r="H758" s="688"/>
      <c r="I758" s="688"/>
      <c r="J758" s="688"/>
      <c r="K758" s="85"/>
      <c r="L758" s="85"/>
      <c r="M758" s="85"/>
      <c r="N758" s="85"/>
      <c r="O758" s="85"/>
      <c r="P758" s="85"/>
      <c r="Q758" s="138"/>
      <c r="R758" s="138"/>
      <c r="S758" s="138"/>
      <c r="T758" s="138"/>
      <c r="U758" s="138"/>
      <c r="V758" s="138"/>
      <c r="W758" s="469"/>
      <c r="X758" s="469"/>
      <c r="Y758" s="469"/>
      <c r="Z758" s="469"/>
      <c r="AA758" s="469"/>
      <c r="AB758" s="469"/>
      <c r="AC758" s="469"/>
      <c r="AD758" s="469"/>
      <c r="AE758" s="469"/>
      <c r="AF758" s="469"/>
      <c r="AG758" s="469"/>
      <c r="AH758" s="469"/>
      <c r="AI758" s="469"/>
      <c r="AJ758" s="469"/>
      <c r="AK758" s="469"/>
      <c r="AL758" s="469"/>
      <c r="AM758" s="469"/>
      <c r="AN758" s="469"/>
      <c r="AO758" s="469"/>
    </row>
    <row r="759">
      <c r="A759" s="687"/>
      <c r="B759" s="685"/>
      <c r="C759" s="687"/>
      <c r="D759" s="687"/>
      <c r="E759" s="687"/>
      <c r="F759" s="687"/>
      <c r="G759" s="687"/>
      <c r="H759" s="688"/>
      <c r="I759" s="688"/>
      <c r="J759" s="688"/>
      <c r="K759" s="85"/>
      <c r="L759" s="85"/>
      <c r="M759" s="85"/>
      <c r="N759" s="85"/>
      <c r="O759" s="85"/>
      <c r="P759" s="85"/>
      <c r="Q759" s="138"/>
      <c r="R759" s="138"/>
      <c r="S759" s="138"/>
      <c r="T759" s="138"/>
      <c r="U759" s="138"/>
      <c r="V759" s="138"/>
      <c r="W759" s="469"/>
      <c r="X759" s="469"/>
      <c r="Y759" s="469"/>
      <c r="Z759" s="469"/>
      <c r="AA759" s="469"/>
      <c r="AB759" s="469"/>
      <c r="AC759" s="469"/>
      <c r="AD759" s="469"/>
      <c r="AE759" s="469"/>
      <c r="AF759" s="469"/>
      <c r="AG759" s="469"/>
      <c r="AH759" s="469"/>
      <c r="AI759" s="469"/>
      <c r="AJ759" s="469"/>
      <c r="AK759" s="469"/>
      <c r="AL759" s="469"/>
      <c r="AM759" s="469"/>
      <c r="AN759" s="469"/>
      <c r="AO759" s="469"/>
    </row>
    <row r="760">
      <c r="A760" s="687"/>
      <c r="B760" s="685"/>
      <c r="C760" s="687"/>
      <c r="D760" s="687"/>
      <c r="E760" s="687"/>
      <c r="F760" s="687"/>
      <c r="G760" s="687"/>
      <c r="H760" s="688"/>
      <c r="I760" s="688"/>
      <c r="J760" s="688"/>
      <c r="K760" s="85"/>
      <c r="L760" s="85"/>
      <c r="M760" s="85"/>
      <c r="N760" s="85"/>
      <c r="O760" s="85"/>
      <c r="P760" s="85"/>
      <c r="Q760" s="138"/>
      <c r="R760" s="138"/>
      <c r="S760" s="138"/>
      <c r="T760" s="138"/>
      <c r="U760" s="138"/>
      <c r="V760" s="138"/>
      <c r="W760" s="469"/>
      <c r="X760" s="469"/>
      <c r="Y760" s="469"/>
      <c r="Z760" s="469"/>
      <c r="AA760" s="469"/>
      <c r="AB760" s="469"/>
      <c r="AC760" s="469"/>
      <c r="AD760" s="469"/>
      <c r="AE760" s="469"/>
      <c r="AF760" s="469"/>
      <c r="AG760" s="469"/>
      <c r="AH760" s="469"/>
      <c r="AI760" s="469"/>
      <c r="AJ760" s="469"/>
      <c r="AK760" s="469"/>
      <c r="AL760" s="469"/>
      <c r="AM760" s="469"/>
      <c r="AN760" s="469"/>
      <c r="AO760" s="469"/>
    </row>
    <row r="761">
      <c r="A761" s="687"/>
      <c r="B761" s="685"/>
      <c r="C761" s="687"/>
      <c r="D761" s="687"/>
      <c r="E761" s="687"/>
      <c r="F761" s="687"/>
      <c r="G761" s="687"/>
      <c r="H761" s="688"/>
      <c r="I761" s="688"/>
      <c r="J761" s="688"/>
      <c r="K761" s="85"/>
      <c r="L761" s="85"/>
      <c r="M761" s="85"/>
      <c r="N761" s="85"/>
      <c r="O761" s="85"/>
      <c r="P761" s="85"/>
      <c r="Q761" s="138"/>
      <c r="R761" s="138"/>
      <c r="S761" s="138"/>
      <c r="T761" s="138"/>
      <c r="U761" s="138"/>
      <c r="V761" s="138"/>
      <c r="W761" s="469"/>
      <c r="X761" s="469"/>
      <c r="Y761" s="469"/>
      <c r="Z761" s="469"/>
      <c r="AA761" s="469"/>
      <c r="AB761" s="469"/>
      <c r="AC761" s="469"/>
      <c r="AD761" s="469"/>
      <c r="AE761" s="469"/>
      <c r="AF761" s="469"/>
      <c r="AG761" s="469"/>
      <c r="AH761" s="469"/>
      <c r="AI761" s="469"/>
      <c r="AJ761" s="469"/>
      <c r="AK761" s="469"/>
      <c r="AL761" s="469"/>
      <c r="AM761" s="469"/>
      <c r="AN761" s="469"/>
      <c r="AO761" s="469"/>
    </row>
    <row r="762">
      <c r="A762" s="687"/>
      <c r="B762" s="685"/>
      <c r="C762" s="687"/>
      <c r="D762" s="687"/>
      <c r="E762" s="687"/>
      <c r="F762" s="687"/>
      <c r="G762" s="687"/>
      <c r="H762" s="688"/>
      <c r="I762" s="688"/>
      <c r="J762" s="688"/>
      <c r="K762" s="85"/>
      <c r="L762" s="85"/>
      <c r="M762" s="85"/>
      <c r="N762" s="85"/>
      <c r="O762" s="85"/>
      <c r="P762" s="85"/>
      <c r="Q762" s="138"/>
      <c r="R762" s="138"/>
      <c r="S762" s="138"/>
      <c r="T762" s="138"/>
      <c r="U762" s="138"/>
      <c r="V762" s="138"/>
      <c r="W762" s="469"/>
      <c r="X762" s="469"/>
      <c r="Y762" s="469"/>
      <c r="Z762" s="469"/>
      <c r="AA762" s="469"/>
      <c r="AB762" s="469"/>
      <c r="AC762" s="469"/>
      <c r="AD762" s="469"/>
      <c r="AE762" s="469"/>
      <c r="AF762" s="469"/>
      <c r="AG762" s="469"/>
      <c r="AH762" s="469"/>
      <c r="AI762" s="469"/>
      <c r="AJ762" s="469"/>
      <c r="AK762" s="469"/>
      <c r="AL762" s="469"/>
      <c r="AM762" s="469"/>
      <c r="AN762" s="469"/>
      <c r="AO762" s="469"/>
    </row>
    <row r="763">
      <c r="A763" s="687"/>
      <c r="B763" s="685"/>
      <c r="C763" s="687"/>
      <c r="D763" s="687"/>
      <c r="E763" s="687"/>
      <c r="F763" s="687"/>
      <c r="G763" s="687"/>
      <c r="H763" s="688"/>
      <c r="I763" s="688"/>
      <c r="J763" s="688"/>
      <c r="K763" s="85"/>
      <c r="L763" s="85"/>
      <c r="M763" s="85"/>
      <c r="N763" s="85"/>
      <c r="O763" s="85"/>
      <c r="P763" s="85"/>
      <c r="Q763" s="138"/>
      <c r="R763" s="138"/>
      <c r="S763" s="138"/>
      <c r="T763" s="138"/>
      <c r="U763" s="138"/>
      <c r="V763" s="138"/>
      <c r="W763" s="469"/>
      <c r="X763" s="469"/>
      <c r="Y763" s="469"/>
      <c r="Z763" s="469"/>
      <c r="AA763" s="469"/>
      <c r="AB763" s="469"/>
      <c r="AC763" s="469"/>
      <c r="AD763" s="469"/>
      <c r="AE763" s="469"/>
      <c r="AF763" s="469"/>
      <c r="AG763" s="469"/>
      <c r="AH763" s="469"/>
      <c r="AI763" s="469"/>
      <c r="AJ763" s="469"/>
      <c r="AK763" s="469"/>
      <c r="AL763" s="469"/>
      <c r="AM763" s="469"/>
      <c r="AN763" s="469"/>
      <c r="AO763" s="469"/>
    </row>
    <row r="764">
      <c r="A764" s="687"/>
      <c r="B764" s="685"/>
      <c r="C764" s="687"/>
      <c r="D764" s="687"/>
      <c r="E764" s="687"/>
      <c r="F764" s="687"/>
      <c r="G764" s="687"/>
      <c r="H764" s="688"/>
      <c r="I764" s="688"/>
      <c r="J764" s="688"/>
      <c r="K764" s="85"/>
      <c r="L764" s="85"/>
      <c r="M764" s="85"/>
      <c r="N764" s="85"/>
      <c r="O764" s="85"/>
      <c r="P764" s="85"/>
      <c r="Q764" s="138"/>
      <c r="R764" s="138"/>
      <c r="S764" s="138"/>
      <c r="T764" s="138"/>
      <c r="U764" s="138"/>
      <c r="V764" s="138"/>
      <c r="W764" s="469"/>
      <c r="X764" s="469"/>
      <c r="Y764" s="469"/>
      <c r="Z764" s="469"/>
      <c r="AA764" s="469"/>
      <c r="AB764" s="469"/>
      <c r="AC764" s="469"/>
      <c r="AD764" s="469"/>
      <c r="AE764" s="469"/>
      <c r="AF764" s="469"/>
      <c r="AG764" s="469"/>
      <c r="AH764" s="469"/>
      <c r="AI764" s="469"/>
      <c r="AJ764" s="469"/>
      <c r="AK764" s="469"/>
      <c r="AL764" s="469"/>
      <c r="AM764" s="469"/>
      <c r="AN764" s="469"/>
      <c r="AO764" s="469"/>
    </row>
    <row r="765">
      <c r="A765" s="687"/>
      <c r="B765" s="685"/>
      <c r="C765" s="687"/>
      <c r="D765" s="687"/>
      <c r="E765" s="687"/>
      <c r="F765" s="687"/>
      <c r="G765" s="687"/>
      <c r="H765" s="688"/>
      <c r="I765" s="688"/>
      <c r="J765" s="688"/>
      <c r="K765" s="85"/>
      <c r="L765" s="85"/>
      <c r="M765" s="85"/>
      <c r="N765" s="85"/>
      <c r="O765" s="85"/>
      <c r="P765" s="85"/>
      <c r="Q765" s="138"/>
      <c r="R765" s="138"/>
      <c r="S765" s="138"/>
      <c r="T765" s="138"/>
      <c r="U765" s="138"/>
      <c r="V765" s="138"/>
      <c r="W765" s="469"/>
      <c r="X765" s="469"/>
      <c r="Y765" s="469"/>
      <c r="Z765" s="469"/>
      <c r="AA765" s="469"/>
      <c r="AB765" s="469"/>
      <c r="AC765" s="469"/>
      <c r="AD765" s="469"/>
      <c r="AE765" s="469"/>
      <c r="AF765" s="469"/>
      <c r="AG765" s="469"/>
      <c r="AH765" s="469"/>
      <c r="AI765" s="469"/>
      <c r="AJ765" s="469"/>
      <c r="AK765" s="469"/>
      <c r="AL765" s="469"/>
      <c r="AM765" s="469"/>
      <c r="AN765" s="469"/>
      <c r="AO765" s="469"/>
    </row>
    <row r="766">
      <c r="A766" s="687"/>
      <c r="B766" s="685"/>
      <c r="C766" s="687"/>
      <c r="D766" s="687"/>
      <c r="E766" s="687"/>
      <c r="F766" s="687"/>
      <c r="G766" s="687"/>
      <c r="H766" s="688"/>
      <c r="I766" s="688"/>
      <c r="J766" s="688"/>
      <c r="K766" s="85"/>
      <c r="L766" s="85"/>
      <c r="M766" s="85"/>
      <c r="N766" s="85"/>
      <c r="O766" s="85"/>
      <c r="P766" s="85"/>
      <c r="Q766" s="138"/>
      <c r="R766" s="138"/>
      <c r="S766" s="138"/>
      <c r="T766" s="138"/>
      <c r="U766" s="138"/>
      <c r="V766" s="138"/>
      <c r="W766" s="469"/>
      <c r="X766" s="469"/>
      <c r="Y766" s="469"/>
      <c r="Z766" s="469"/>
      <c r="AA766" s="469"/>
      <c r="AB766" s="469"/>
      <c r="AC766" s="469"/>
      <c r="AD766" s="469"/>
      <c r="AE766" s="469"/>
      <c r="AF766" s="469"/>
      <c r="AG766" s="469"/>
      <c r="AH766" s="469"/>
      <c r="AI766" s="469"/>
      <c r="AJ766" s="469"/>
      <c r="AK766" s="469"/>
      <c r="AL766" s="469"/>
      <c r="AM766" s="469"/>
      <c r="AN766" s="469"/>
      <c r="AO766" s="469"/>
    </row>
    <row r="767">
      <c r="A767" s="687"/>
      <c r="B767" s="685"/>
      <c r="C767" s="687"/>
      <c r="D767" s="687"/>
      <c r="E767" s="687"/>
      <c r="F767" s="687"/>
      <c r="G767" s="687"/>
      <c r="H767" s="688"/>
      <c r="I767" s="688"/>
      <c r="J767" s="688"/>
      <c r="K767" s="85"/>
      <c r="L767" s="85"/>
      <c r="M767" s="85"/>
      <c r="N767" s="85"/>
      <c r="O767" s="85"/>
      <c r="P767" s="85"/>
      <c r="Q767" s="138"/>
      <c r="R767" s="138"/>
      <c r="S767" s="138"/>
      <c r="T767" s="138"/>
      <c r="U767" s="138"/>
      <c r="V767" s="138"/>
      <c r="W767" s="469"/>
      <c r="X767" s="469"/>
      <c r="Y767" s="469"/>
      <c r="Z767" s="469"/>
      <c r="AA767" s="469"/>
      <c r="AB767" s="469"/>
      <c r="AC767" s="469"/>
      <c r="AD767" s="469"/>
      <c r="AE767" s="469"/>
      <c r="AF767" s="469"/>
      <c r="AG767" s="469"/>
      <c r="AH767" s="469"/>
      <c r="AI767" s="469"/>
      <c r="AJ767" s="469"/>
      <c r="AK767" s="469"/>
      <c r="AL767" s="469"/>
      <c r="AM767" s="469"/>
      <c r="AN767" s="469"/>
      <c r="AO767" s="469"/>
    </row>
    <row r="768">
      <c r="A768" s="687"/>
      <c r="B768" s="685"/>
      <c r="C768" s="687"/>
      <c r="D768" s="687"/>
      <c r="E768" s="687"/>
      <c r="F768" s="687"/>
      <c r="G768" s="687"/>
      <c r="H768" s="688"/>
      <c r="I768" s="688"/>
      <c r="J768" s="688"/>
      <c r="K768" s="85"/>
      <c r="L768" s="85"/>
      <c r="M768" s="85"/>
      <c r="N768" s="85"/>
      <c r="O768" s="85"/>
      <c r="P768" s="85"/>
      <c r="Q768" s="138"/>
      <c r="R768" s="138"/>
      <c r="S768" s="138"/>
      <c r="T768" s="138"/>
      <c r="U768" s="138"/>
      <c r="V768" s="138"/>
      <c r="W768" s="469"/>
      <c r="X768" s="469"/>
      <c r="Y768" s="469"/>
      <c r="Z768" s="469"/>
      <c r="AA768" s="469"/>
      <c r="AB768" s="469"/>
      <c r="AC768" s="469"/>
      <c r="AD768" s="469"/>
      <c r="AE768" s="469"/>
      <c r="AF768" s="469"/>
      <c r="AG768" s="469"/>
      <c r="AH768" s="469"/>
      <c r="AI768" s="469"/>
      <c r="AJ768" s="469"/>
      <c r="AK768" s="469"/>
      <c r="AL768" s="469"/>
      <c r="AM768" s="469"/>
      <c r="AN768" s="469"/>
      <c r="AO768" s="469"/>
    </row>
    <row r="769">
      <c r="A769" s="687"/>
      <c r="B769" s="685"/>
      <c r="C769" s="687"/>
      <c r="D769" s="687"/>
      <c r="E769" s="687"/>
      <c r="F769" s="687"/>
      <c r="G769" s="687"/>
      <c r="H769" s="688"/>
      <c r="I769" s="688"/>
      <c r="J769" s="688"/>
      <c r="K769" s="85"/>
      <c r="L769" s="85"/>
      <c r="M769" s="85"/>
      <c r="N769" s="85"/>
      <c r="O769" s="85"/>
      <c r="P769" s="85"/>
      <c r="Q769" s="138"/>
      <c r="R769" s="138"/>
      <c r="S769" s="138"/>
      <c r="T769" s="138"/>
      <c r="U769" s="138"/>
      <c r="V769" s="138"/>
      <c r="W769" s="469"/>
      <c r="X769" s="469"/>
      <c r="Y769" s="469"/>
      <c r="Z769" s="469"/>
      <c r="AA769" s="469"/>
      <c r="AB769" s="469"/>
      <c r="AC769" s="469"/>
      <c r="AD769" s="469"/>
      <c r="AE769" s="469"/>
      <c r="AF769" s="469"/>
      <c r="AG769" s="469"/>
      <c r="AH769" s="469"/>
      <c r="AI769" s="469"/>
      <c r="AJ769" s="469"/>
      <c r="AK769" s="469"/>
      <c r="AL769" s="469"/>
      <c r="AM769" s="469"/>
      <c r="AN769" s="469"/>
      <c r="AO769" s="469"/>
    </row>
    <row r="770">
      <c r="A770" s="687"/>
      <c r="B770" s="685"/>
      <c r="C770" s="687"/>
      <c r="D770" s="687"/>
      <c r="E770" s="687"/>
      <c r="F770" s="687"/>
      <c r="G770" s="687"/>
      <c r="H770" s="688"/>
      <c r="I770" s="688"/>
      <c r="J770" s="688"/>
      <c r="K770" s="85"/>
      <c r="L770" s="85"/>
      <c r="M770" s="85"/>
      <c r="N770" s="85"/>
      <c r="O770" s="85"/>
      <c r="P770" s="85"/>
      <c r="Q770" s="138"/>
      <c r="R770" s="138"/>
      <c r="S770" s="138"/>
      <c r="T770" s="138"/>
      <c r="U770" s="138"/>
      <c r="V770" s="138"/>
      <c r="W770" s="469"/>
      <c r="X770" s="469"/>
      <c r="Y770" s="469"/>
      <c r="Z770" s="469"/>
      <c r="AA770" s="469"/>
      <c r="AB770" s="469"/>
      <c r="AC770" s="469"/>
      <c r="AD770" s="469"/>
      <c r="AE770" s="469"/>
      <c r="AF770" s="469"/>
      <c r="AG770" s="469"/>
      <c r="AH770" s="469"/>
      <c r="AI770" s="469"/>
      <c r="AJ770" s="469"/>
      <c r="AK770" s="469"/>
      <c r="AL770" s="469"/>
      <c r="AM770" s="469"/>
      <c r="AN770" s="469"/>
      <c r="AO770" s="469"/>
    </row>
    <row r="771">
      <c r="A771" s="687"/>
      <c r="B771" s="685"/>
      <c r="C771" s="687"/>
      <c r="D771" s="687"/>
      <c r="E771" s="687"/>
      <c r="F771" s="687"/>
      <c r="G771" s="687"/>
      <c r="H771" s="688"/>
      <c r="I771" s="688"/>
      <c r="J771" s="688"/>
      <c r="K771" s="85"/>
      <c r="L771" s="85"/>
      <c r="M771" s="85"/>
      <c r="N771" s="85"/>
      <c r="O771" s="85"/>
      <c r="P771" s="85"/>
      <c r="Q771" s="138"/>
      <c r="R771" s="138"/>
      <c r="S771" s="138"/>
      <c r="T771" s="138"/>
      <c r="U771" s="138"/>
      <c r="V771" s="138"/>
      <c r="W771" s="469"/>
      <c r="X771" s="469"/>
      <c r="Y771" s="469"/>
      <c r="Z771" s="469"/>
      <c r="AA771" s="469"/>
      <c r="AB771" s="469"/>
      <c r="AC771" s="469"/>
      <c r="AD771" s="469"/>
      <c r="AE771" s="469"/>
      <c r="AF771" s="469"/>
      <c r="AG771" s="469"/>
      <c r="AH771" s="469"/>
      <c r="AI771" s="469"/>
      <c r="AJ771" s="469"/>
      <c r="AK771" s="469"/>
      <c r="AL771" s="469"/>
      <c r="AM771" s="469"/>
      <c r="AN771" s="469"/>
      <c r="AO771" s="469"/>
    </row>
    <row r="772">
      <c r="A772" s="687"/>
      <c r="B772" s="685"/>
      <c r="C772" s="687"/>
      <c r="D772" s="687"/>
      <c r="E772" s="687"/>
      <c r="F772" s="687"/>
      <c r="G772" s="687"/>
      <c r="H772" s="688"/>
      <c r="I772" s="688"/>
      <c r="J772" s="688"/>
      <c r="K772" s="85"/>
      <c r="L772" s="85"/>
      <c r="M772" s="85"/>
      <c r="N772" s="85"/>
      <c r="O772" s="85"/>
      <c r="P772" s="85"/>
      <c r="Q772" s="138"/>
      <c r="R772" s="138"/>
      <c r="S772" s="138"/>
      <c r="T772" s="138"/>
      <c r="U772" s="138"/>
      <c r="V772" s="138"/>
      <c r="W772" s="469"/>
      <c r="X772" s="469"/>
      <c r="Y772" s="469"/>
      <c r="Z772" s="469"/>
      <c r="AA772" s="469"/>
      <c r="AB772" s="469"/>
      <c r="AC772" s="469"/>
      <c r="AD772" s="469"/>
      <c r="AE772" s="469"/>
      <c r="AF772" s="469"/>
      <c r="AG772" s="469"/>
      <c r="AH772" s="469"/>
      <c r="AI772" s="469"/>
      <c r="AJ772" s="469"/>
      <c r="AK772" s="469"/>
      <c r="AL772" s="469"/>
      <c r="AM772" s="469"/>
      <c r="AN772" s="469"/>
      <c r="AO772" s="469"/>
    </row>
    <row r="773">
      <c r="A773" s="687"/>
      <c r="B773" s="685"/>
      <c r="C773" s="687"/>
      <c r="D773" s="687"/>
      <c r="E773" s="687"/>
      <c r="F773" s="687"/>
      <c r="G773" s="687"/>
      <c r="H773" s="688"/>
      <c r="I773" s="688"/>
      <c r="J773" s="688"/>
      <c r="K773" s="85"/>
      <c r="L773" s="85"/>
      <c r="M773" s="85"/>
      <c r="N773" s="85"/>
      <c r="O773" s="85"/>
      <c r="P773" s="85"/>
      <c r="Q773" s="138"/>
      <c r="R773" s="138"/>
      <c r="S773" s="138"/>
      <c r="T773" s="138"/>
      <c r="U773" s="138"/>
      <c r="V773" s="138"/>
      <c r="W773" s="469"/>
      <c r="X773" s="469"/>
      <c r="Y773" s="469"/>
      <c r="Z773" s="469"/>
      <c r="AA773" s="469"/>
      <c r="AB773" s="469"/>
      <c r="AC773" s="469"/>
      <c r="AD773" s="469"/>
      <c r="AE773" s="469"/>
      <c r="AF773" s="469"/>
      <c r="AG773" s="469"/>
      <c r="AH773" s="469"/>
      <c r="AI773" s="469"/>
      <c r="AJ773" s="469"/>
      <c r="AK773" s="469"/>
      <c r="AL773" s="469"/>
      <c r="AM773" s="469"/>
      <c r="AN773" s="469"/>
      <c r="AO773" s="469"/>
    </row>
    <row r="774">
      <c r="A774" s="687"/>
      <c r="B774" s="685"/>
      <c r="C774" s="687"/>
      <c r="D774" s="687"/>
      <c r="E774" s="687"/>
      <c r="F774" s="687"/>
      <c r="G774" s="687"/>
      <c r="H774" s="688"/>
      <c r="I774" s="688"/>
      <c r="J774" s="688"/>
      <c r="K774" s="85"/>
      <c r="L774" s="85"/>
      <c r="M774" s="85"/>
      <c r="N774" s="85"/>
      <c r="O774" s="85"/>
      <c r="P774" s="85"/>
      <c r="Q774" s="138"/>
      <c r="R774" s="138"/>
      <c r="S774" s="138"/>
      <c r="T774" s="138"/>
      <c r="U774" s="138"/>
      <c r="V774" s="138"/>
      <c r="W774" s="469"/>
      <c r="X774" s="469"/>
      <c r="Y774" s="469"/>
      <c r="Z774" s="469"/>
      <c r="AA774" s="469"/>
      <c r="AB774" s="469"/>
      <c r="AC774" s="469"/>
      <c r="AD774" s="469"/>
      <c r="AE774" s="469"/>
      <c r="AF774" s="469"/>
      <c r="AG774" s="469"/>
      <c r="AH774" s="469"/>
      <c r="AI774" s="469"/>
      <c r="AJ774" s="469"/>
      <c r="AK774" s="469"/>
      <c r="AL774" s="469"/>
      <c r="AM774" s="469"/>
      <c r="AN774" s="469"/>
      <c r="AO774" s="469"/>
    </row>
    <row r="775">
      <c r="A775" s="687"/>
      <c r="B775" s="685"/>
      <c r="C775" s="687"/>
      <c r="D775" s="687"/>
      <c r="E775" s="687"/>
      <c r="F775" s="687"/>
      <c r="G775" s="687"/>
      <c r="H775" s="688"/>
      <c r="I775" s="688"/>
      <c r="J775" s="688"/>
      <c r="K775" s="85"/>
      <c r="L775" s="85"/>
      <c r="M775" s="85"/>
      <c r="N775" s="85"/>
      <c r="O775" s="85"/>
      <c r="P775" s="85"/>
      <c r="Q775" s="138"/>
      <c r="R775" s="138"/>
      <c r="S775" s="138"/>
      <c r="T775" s="138"/>
      <c r="U775" s="138"/>
      <c r="V775" s="138"/>
      <c r="W775" s="469"/>
      <c r="X775" s="469"/>
      <c r="Y775" s="469"/>
      <c r="Z775" s="469"/>
      <c r="AA775" s="469"/>
      <c r="AB775" s="469"/>
      <c r="AC775" s="469"/>
      <c r="AD775" s="469"/>
      <c r="AE775" s="469"/>
      <c r="AF775" s="469"/>
      <c r="AG775" s="469"/>
      <c r="AH775" s="469"/>
      <c r="AI775" s="469"/>
      <c r="AJ775" s="469"/>
      <c r="AK775" s="469"/>
      <c r="AL775" s="469"/>
      <c r="AM775" s="469"/>
      <c r="AN775" s="469"/>
      <c r="AO775" s="469"/>
    </row>
    <row r="776">
      <c r="A776" s="687"/>
      <c r="B776" s="685"/>
      <c r="C776" s="687"/>
      <c r="D776" s="687"/>
      <c r="E776" s="687"/>
      <c r="F776" s="687"/>
      <c r="G776" s="687"/>
      <c r="H776" s="688"/>
      <c r="I776" s="688"/>
      <c r="J776" s="688"/>
      <c r="K776" s="85"/>
      <c r="L776" s="85"/>
      <c r="M776" s="85"/>
      <c r="N776" s="85"/>
      <c r="O776" s="85"/>
      <c r="P776" s="85"/>
      <c r="Q776" s="138"/>
      <c r="R776" s="138"/>
      <c r="S776" s="138"/>
      <c r="T776" s="138"/>
      <c r="U776" s="138"/>
      <c r="V776" s="138"/>
      <c r="W776" s="469"/>
      <c r="X776" s="469"/>
      <c r="Y776" s="469"/>
      <c r="Z776" s="469"/>
      <c r="AA776" s="469"/>
      <c r="AB776" s="469"/>
      <c r="AC776" s="469"/>
      <c r="AD776" s="469"/>
      <c r="AE776" s="469"/>
      <c r="AF776" s="469"/>
      <c r="AG776" s="469"/>
      <c r="AH776" s="469"/>
      <c r="AI776" s="469"/>
      <c r="AJ776" s="469"/>
      <c r="AK776" s="469"/>
      <c r="AL776" s="469"/>
      <c r="AM776" s="469"/>
      <c r="AN776" s="469"/>
      <c r="AO776" s="469"/>
    </row>
    <row r="777">
      <c r="A777" s="687"/>
      <c r="B777" s="685"/>
      <c r="C777" s="687"/>
      <c r="D777" s="687"/>
      <c r="E777" s="687"/>
      <c r="F777" s="687"/>
      <c r="G777" s="687"/>
      <c r="H777" s="688"/>
      <c r="I777" s="688"/>
      <c r="J777" s="688"/>
      <c r="K777" s="85"/>
      <c r="L777" s="85"/>
      <c r="M777" s="85"/>
      <c r="N777" s="85"/>
      <c r="O777" s="85"/>
      <c r="P777" s="85"/>
      <c r="Q777" s="138"/>
      <c r="R777" s="138"/>
      <c r="S777" s="138"/>
      <c r="T777" s="138"/>
      <c r="U777" s="138"/>
      <c r="V777" s="138"/>
      <c r="W777" s="469"/>
      <c r="X777" s="469"/>
      <c r="Y777" s="469"/>
      <c r="Z777" s="469"/>
      <c r="AA777" s="469"/>
      <c r="AB777" s="469"/>
      <c r="AC777" s="469"/>
      <c r="AD777" s="469"/>
      <c r="AE777" s="469"/>
      <c r="AF777" s="469"/>
      <c r="AG777" s="469"/>
      <c r="AH777" s="469"/>
      <c r="AI777" s="469"/>
      <c r="AJ777" s="469"/>
      <c r="AK777" s="469"/>
      <c r="AL777" s="469"/>
      <c r="AM777" s="469"/>
      <c r="AN777" s="469"/>
      <c r="AO777" s="469"/>
    </row>
    <row r="778">
      <c r="A778" s="687"/>
      <c r="B778" s="685"/>
      <c r="C778" s="687"/>
      <c r="D778" s="687"/>
      <c r="E778" s="687"/>
      <c r="F778" s="687"/>
      <c r="G778" s="687"/>
      <c r="H778" s="688"/>
      <c r="I778" s="688"/>
      <c r="J778" s="688"/>
      <c r="K778" s="85"/>
      <c r="L778" s="85"/>
      <c r="M778" s="85"/>
      <c r="N778" s="85"/>
      <c r="O778" s="85"/>
      <c r="P778" s="85"/>
      <c r="Q778" s="138"/>
      <c r="R778" s="138"/>
      <c r="S778" s="138"/>
      <c r="T778" s="138"/>
      <c r="U778" s="138"/>
      <c r="V778" s="138"/>
      <c r="W778" s="469"/>
      <c r="X778" s="469"/>
      <c r="Y778" s="469"/>
      <c r="Z778" s="469"/>
      <c r="AA778" s="469"/>
      <c r="AB778" s="469"/>
      <c r="AC778" s="469"/>
      <c r="AD778" s="469"/>
      <c r="AE778" s="469"/>
      <c r="AF778" s="469"/>
      <c r="AG778" s="469"/>
      <c r="AH778" s="469"/>
      <c r="AI778" s="469"/>
      <c r="AJ778" s="469"/>
      <c r="AK778" s="469"/>
      <c r="AL778" s="469"/>
      <c r="AM778" s="469"/>
      <c r="AN778" s="469"/>
      <c r="AO778" s="469"/>
    </row>
    <row r="779">
      <c r="A779" s="687"/>
      <c r="B779" s="685"/>
      <c r="C779" s="687"/>
      <c r="D779" s="687"/>
      <c r="E779" s="687"/>
      <c r="F779" s="687"/>
      <c r="G779" s="687"/>
      <c r="H779" s="688"/>
      <c r="I779" s="688"/>
      <c r="J779" s="688"/>
      <c r="K779" s="85"/>
      <c r="L779" s="85"/>
      <c r="M779" s="85"/>
      <c r="N779" s="85"/>
      <c r="O779" s="85"/>
      <c r="P779" s="85"/>
      <c r="Q779" s="138"/>
      <c r="R779" s="138"/>
      <c r="S779" s="138"/>
      <c r="T779" s="138"/>
      <c r="U779" s="138"/>
      <c r="V779" s="138"/>
      <c r="W779" s="469"/>
      <c r="X779" s="469"/>
      <c r="Y779" s="469"/>
      <c r="Z779" s="469"/>
      <c r="AA779" s="469"/>
      <c r="AB779" s="469"/>
      <c r="AC779" s="469"/>
      <c r="AD779" s="469"/>
      <c r="AE779" s="469"/>
      <c r="AF779" s="469"/>
      <c r="AG779" s="469"/>
      <c r="AH779" s="469"/>
      <c r="AI779" s="469"/>
      <c r="AJ779" s="469"/>
      <c r="AK779" s="469"/>
      <c r="AL779" s="469"/>
      <c r="AM779" s="469"/>
      <c r="AN779" s="469"/>
      <c r="AO779" s="469"/>
    </row>
    <row r="780">
      <c r="A780" s="687"/>
      <c r="B780" s="685"/>
      <c r="C780" s="687"/>
      <c r="D780" s="687"/>
      <c r="E780" s="687"/>
      <c r="F780" s="687"/>
      <c r="G780" s="687"/>
      <c r="H780" s="688"/>
      <c r="I780" s="688"/>
      <c r="J780" s="688"/>
      <c r="K780" s="85"/>
      <c r="L780" s="85"/>
      <c r="M780" s="85"/>
      <c r="N780" s="85"/>
      <c r="O780" s="85"/>
      <c r="P780" s="85"/>
      <c r="Q780" s="138"/>
      <c r="R780" s="138"/>
      <c r="S780" s="138"/>
      <c r="T780" s="138"/>
      <c r="U780" s="138"/>
      <c r="V780" s="138"/>
      <c r="W780" s="469"/>
      <c r="X780" s="469"/>
      <c r="Y780" s="469"/>
      <c r="Z780" s="469"/>
      <c r="AA780" s="469"/>
      <c r="AB780" s="469"/>
      <c r="AC780" s="469"/>
      <c r="AD780" s="469"/>
      <c r="AE780" s="469"/>
      <c r="AF780" s="469"/>
      <c r="AG780" s="469"/>
      <c r="AH780" s="469"/>
      <c r="AI780" s="469"/>
      <c r="AJ780" s="469"/>
      <c r="AK780" s="469"/>
      <c r="AL780" s="469"/>
      <c r="AM780" s="469"/>
      <c r="AN780" s="469"/>
      <c r="AO780" s="469"/>
    </row>
    <row r="781">
      <c r="A781" s="687"/>
      <c r="B781" s="685"/>
      <c r="C781" s="687"/>
      <c r="D781" s="687"/>
      <c r="E781" s="687"/>
      <c r="F781" s="687"/>
      <c r="G781" s="687"/>
      <c r="H781" s="688"/>
      <c r="I781" s="688"/>
      <c r="J781" s="688"/>
      <c r="K781" s="85"/>
      <c r="L781" s="85"/>
      <c r="M781" s="85"/>
      <c r="N781" s="85"/>
      <c r="O781" s="85"/>
      <c r="P781" s="85"/>
      <c r="Q781" s="138"/>
      <c r="R781" s="138"/>
      <c r="S781" s="138"/>
      <c r="T781" s="138"/>
      <c r="U781" s="138"/>
      <c r="V781" s="138"/>
      <c r="W781" s="469"/>
      <c r="X781" s="469"/>
      <c r="Y781" s="469"/>
      <c r="Z781" s="469"/>
      <c r="AA781" s="469"/>
      <c r="AB781" s="469"/>
      <c r="AC781" s="469"/>
      <c r="AD781" s="469"/>
      <c r="AE781" s="469"/>
      <c r="AF781" s="469"/>
      <c r="AG781" s="469"/>
      <c r="AH781" s="469"/>
      <c r="AI781" s="469"/>
      <c r="AJ781" s="469"/>
      <c r="AK781" s="469"/>
      <c r="AL781" s="469"/>
      <c r="AM781" s="469"/>
      <c r="AN781" s="469"/>
      <c r="AO781" s="469"/>
    </row>
    <row r="782">
      <c r="A782" s="687"/>
      <c r="B782" s="685"/>
      <c r="C782" s="687"/>
      <c r="D782" s="687"/>
      <c r="E782" s="687"/>
      <c r="F782" s="687"/>
      <c r="G782" s="687"/>
      <c r="H782" s="688"/>
      <c r="I782" s="688"/>
      <c r="J782" s="688"/>
      <c r="K782" s="85"/>
      <c r="L782" s="85"/>
      <c r="M782" s="85"/>
      <c r="N782" s="85"/>
      <c r="O782" s="85"/>
      <c r="P782" s="85"/>
      <c r="Q782" s="138"/>
      <c r="R782" s="138"/>
      <c r="S782" s="138"/>
      <c r="T782" s="138"/>
      <c r="U782" s="138"/>
      <c r="V782" s="138"/>
      <c r="W782" s="469"/>
      <c r="X782" s="469"/>
      <c r="Y782" s="469"/>
      <c r="Z782" s="469"/>
      <c r="AA782" s="469"/>
      <c r="AB782" s="469"/>
      <c r="AC782" s="469"/>
      <c r="AD782" s="469"/>
      <c r="AE782" s="469"/>
      <c r="AF782" s="469"/>
      <c r="AG782" s="469"/>
      <c r="AH782" s="469"/>
      <c r="AI782" s="469"/>
      <c r="AJ782" s="469"/>
      <c r="AK782" s="469"/>
      <c r="AL782" s="469"/>
      <c r="AM782" s="469"/>
      <c r="AN782" s="469"/>
      <c r="AO782" s="469"/>
    </row>
    <row r="783">
      <c r="A783" s="687"/>
      <c r="B783" s="685"/>
      <c r="C783" s="687"/>
      <c r="D783" s="687"/>
      <c r="E783" s="687"/>
      <c r="F783" s="687"/>
      <c r="G783" s="687"/>
      <c r="H783" s="688"/>
      <c r="I783" s="688"/>
      <c r="J783" s="688"/>
      <c r="K783" s="85"/>
      <c r="L783" s="85"/>
      <c r="M783" s="85"/>
      <c r="N783" s="85"/>
      <c r="O783" s="85"/>
      <c r="P783" s="85"/>
      <c r="Q783" s="138"/>
      <c r="R783" s="138"/>
      <c r="S783" s="138"/>
      <c r="T783" s="138"/>
      <c r="U783" s="138"/>
      <c r="V783" s="138"/>
      <c r="W783" s="469"/>
      <c r="X783" s="469"/>
      <c r="Y783" s="469"/>
      <c r="Z783" s="469"/>
      <c r="AA783" s="469"/>
      <c r="AB783" s="469"/>
      <c r="AC783" s="469"/>
      <c r="AD783" s="469"/>
      <c r="AE783" s="469"/>
      <c r="AF783" s="469"/>
      <c r="AG783" s="469"/>
      <c r="AH783" s="469"/>
      <c r="AI783" s="469"/>
      <c r="AJ783" s="469"/>
      <c r="AK783" s="469"/>
      <c r="AL783" s="469"/>
      <c r="AM783" s="469"/>
      <c r="AN783" s="469"/>
      <c r="AO783" s="469"/>
    </row>
    <row r="784">
      <c r="A784" s="687"/>
      <c r="B784" s="685"/>
      <c r="C784" s="687"/>
      <c r="D784" s="687"/>
      <c r="E784" s="687"/>
      <c r="F784" s="687"/>
      <c r="G784" s="687"/>
      <c r="H784" s="688"/>
      <c r="I784" s="688"/>
      <c r="J784" s="688"/>
      <c r="K784" s="85"/>
      <c r="L784" s="85"/>
      <c r="M784" s="85"/>
      <c r="N784" s="85"/>
      <c r="O784" s="85"/>
      <c r="P784" s="85"/>
      <c r="Q784" s="138"/>
      <c r="R784" s="138"/>
      <c r="S784" s="138"/>
      <c r="T784" s="138"/>
      <c r="U784" s="138"/>
      <c r="V784" s="138"/>
      <c r="W784" s="469"/>
      <c r="X784" s="469"/>
      <c r="Y784" s="469"/>
      <c r="Z784" s="469"/>
      <c r="AA784" s="469"/>
      <c r="AB784" s="469"/>
      <c r="AC784" s="469"/>
      <c r="AD784" s="469"/>
      <c r="AE784" s="469"/>
      <c r="AF784" s="469"/>
      <c r="AG784" s="469"/>
      <c r="AH784" s="469"/>
      <c r="AI784" s="469"/>
      <c r="AJ784" s="469"/>
      <c r="AK784" s="469"/>
      <c r="AL784" s="469"/>
      <c r="AM784" s="469"/>
      <c r="AN784" s="469"/>
      <c r="AO784" s="469"/>
    </row>
    <row r="785">
      <c r="A785" s="687"/>
      <c r="B785" s="685"/>
      <c r="C785" s="687"/>
      <c r="D785" s="687"/>
      <c r="E785" s="687"/>
      <c r="F785" s="687"/>
      <c r="G785" s="687"/>
      <c r="H785" s="688"/>
      <c r="I785" s="688"/>
      <c r="J785" s="688"/>
      <c r="K785" s="85"/>
      <c r="L785" s="85"/>
      <c r="M785" s="85"/>
      <c r="N785" s="85"/>
      <c r="O785" s="85"/>
      <c r="P785" s="85"/>
      <c r="Q785" s="138"/>
      <c r="R785" s="138"/>
      <c r="S785" s="138"/>
      <c r="T785" s="138"/>
      <c r="U785" s="138"/>
      <c r="V785" s="138"/>
      <c r="W785" s="469"/>
      <c r="X785" s="469"/>
      <c r="Y785" s="469"/>
      <c r="Z785" s="469"/>
      <c r="AA785" s="469"/>
      <c r="AB785" s="469"/>
      <c r="AC785" s="469"/>
      <c r="AD785" s="469"/>
      <c r="AE785" s="469"/>
      <c r="AF785" s="469"/>
      <c r="AG785" s="469"/>
      <c r="AH785" s="469"/>
      <c r="AI785" s="469"/>
      <c r="AJ785" s="469"/>
      <c r="AK785" s="469"/>
      <c r="AL785" s="469"/>
      <c r="AM785" s="469"/>
      <c r="AN785" s="469"/>
      <c r="AO785" s="469"/>
    </row>
    <row r="786">
      <c r="A786" s="687"/>
      <c r="B786" s="685"/>
      <c r="C786" s="687"/>
      <c r="D786" s="687"/>
      <c r="E786" s="687"/>
      <c r="F786" s="687"/>
      <c r="G786" s="687"/>
      <c r="H786" s="688"/>
      <c r="I786" s="688"/>
      <c r="J786" s="688"/>
      <c r="K786" s="85"/>
      <c r="L786" s="85"/>
      <c r="M786" s="85"/>
      <c r="N786" s="85"/>
      <c r="O786" s="85"/>
      <c r="P786" s="85"/>
      <c r="Q786" s="138"/>
      <c r="R786" s="138"/>
      <c r="S786" s="138"/>
      <c r="T786" s="138"/>
      <c r="U786" s="138"/>
      <c r="V786" s="138"/>
      <c r="W786" s="469"/>
      <c r="X786" s="469"/>
      <c r="Y786" s="469"/>
      <c r="Z786" s="469"/>
      <c r="AA786" s="469"/>
      <c r="AB786" s="469"/>
      <c r="AC786" s="469"/>
      <c r="AD786" s="469"/>
      <c r="AE786" s="469"/>
      <c r="AF786" s="469"/>
      <c r="AG786" s="469"/>
      <c r="AH786" s="469"/>
      <c r="AI786" s="469"/>
      <c r="AJ786" s="469"/>
      <c r="AK786" s="469"/>
      <c r="AL786" s="469"/>
      <c r="AM786" s="469"/>
      <c r="AN786" s="469"/>
      <c r="AO786" s="469"/>
    </row>
    <row r="787">
      <c r="A787" s="687"/>
      <c r="B787" s="685"/>
      <c r="C787" s="687"/>
      <c r="D787" s="687"/>
      <c r="E787" s="687"/>
      <c r="F787" s="687"/>
      <c r="G787" s="687"/>
      <c r="H787" s="688"/>
      <c r="I787" s="688"/>
      <c r="J787" s="688"/>
      <c r="K787" s="85"/>
      <c r="L787" s="85"/>
      <c r="M787" s="85"/>
      <c r="N787" s="85"/>
      <c r="O787" s="85"/>
      <c r="P787" s="85"/>
      <c r="Q787" s="138"/>
      <c r="R787" s="138"/>
      <c r="S787" s="138"/>
      <c r="T787" s="138"/>
      <c r="U787" s="138"/>
      <c r="V787" s="138"/>
      <c r="W787" s="469"/>
      <c r="X787" s="469"/>
      <c r="Y787" s="469"/>
      <c r="Z787" s="469"/>
      <c r="AA787" s="469"/>
      <c r="AB787" s="469"/>
      <c r="AC787" s="469"/>
      <c r="AD787" s="469"/>
      <c r="AE787" s="469"/>
      <c r="AF787" s="469"/>
      <c r="AG787" s="469"/>
      <c r="AH787" s="469"/>
      <c r="AI787" s="469"/>
      <c r="AJ787" s="469"/>
      <c r="AK787" s="469"/>
      <c r="AL787" s="469"/>
      <c r="AM787" s="469"/>
      <c r="AN787" s="469"/>
      <c r="AO787" s="469"/>
    </row>
    <row r="788">
      <c r="A788" s="687"/>
      <c r="B788" s="685"/>
      <c r="C788" s="687"/>
      <c r="D788" s="687"/>
      <c r="E788" s="687"/>
      <c r="F788" s="687"/>
      <c r="G788" s="687"/>
      <c r="H788" s="688"/>
      <c r="I788" s="688"/>
      <c r="J788" s="688"/>
      <c r="K788" s="85"/>
      <c r="L788" s="85"/>
      <c r="M788" s="85"/>
      <c r="N788" s="85"/>
      <c r="O788" s="85"/>
      <c r="P788" s="85"/>
      <c r="Q788" s="138"/>
      <c r="R788" s="138"/>
      <c r="S788" s="138"/>
      <c r="T788" s="138"/>
      <c r="U788" s="138"/>
      <c r="V788" s="138"/>
      <c r="W788" s="469"/>
      <c r="X788" s="469"/>
      <c r="Y788" s="469"/>
      <c r="Z788" s="469"/>
      <c r="AA788" s="469"/>
      <c r="AB788" s="469"/>
      <c r="AC788" s="469"/>
      <c r="AD788" s="469"/>
      <c r="AE788" s="469"/>
      <c r="AF788" s="469"/>
      <c r="AG788" s="469"/>
      <c r="AH788" s="469"/>
      <c r="AI788" s="469"/>
      <c r="AJ788" s="469"/>
      <c r="AK788" s="469"/>
      <c r="AL788" s="469"/>
      <c r="AM788" s="469"/>
      <c r="AN788" s="469"/>
      <c r="AO788" s="469"/>
    </row>
    <row r="789">
      <c r="A789" s="687"/>
      <c r="B789" s="685"/>
      <c r="C789" s="687"/>
      <c r="D789" s="687"/>
      <c r="E789" s="687"/>
      <c r="F789" s="687"/>
      <c r="G789" s="687"/>
      <c r="H789" s="688"/>
      <c r="I789" s="688"/>
      <c r="J789" s="688"/>
      <c r="K789" s="85"/>
      <c r="L789" s="85"/>
      <c r="M789" s="85"/>
      <c r="N789" s="85"/>
      <c r="O789" s="85"/>
      <c r="P789" s="85"/>
      <c r="Q789" s="138"/>
      <c r="R789" s="138"/>
      <c r="S789" s="138"/>
      <c r="T789" s="138"/>
      <c r="U789" s="138"/>
      <c r="V789" s="138"/>
      <c r="W789" s="469"/>
      <c r="X789" s="469"/>
      <c r="Y789" s="469"/>
      <c r="Z789" s="469"/>
      <c r="AA789" s="469"/>
      <c r="AB789" s="469"/>
      <c r="AC789" s="469"/>
      <c r="AD789" s="469"/>
      <c r="AE789" s="469"/>
      <c r="AF789" s="469"/>
      <c r="AG789" s="469"/>
      <c r="AH789" s="469"/>
      <c r="AI789" s="469"/>
      <c r="AJ789" s="469"/>
      <c r="AK789" s="469"/>
      <c r="AL789" s="469"/>
      <c r="AM789" s="469"/>
      <c r="AN789" s="469"/>
      <c r="AO789" s="469"/>
    </row>
    <row r="790">
      <c r="A790" s="687"/>
      <c r="B790" s="685"/>
      <c r="C790" s="687"/>
      <c r="D790" s="687"/>
      <c r="E790" s="687"/>
      <c r="F790" s="687"/>
      <c r="G790" s="687"/>
      <c r="H790" s="688"/>
      <c r="I790" s="688"/>
      <c r="J790" s="688"/>
      <c r="K790" s="85"/>
      <c r="L790" s="85"/>
      <c r="M790" s="85"/>
      <c r="N790" s="85"/>
      <c r="O790" s="85"/>
      <c r="P790" s="85"/>
      <c r="Q790" s="138"/>
      <c r="R790" s="138"/>
      <c r="S790" s="138"/>
      <c r="T790" s="138"/>
      <c r="U790" s="138"/>
      <c r="V790" s="138"/>
      <c r="W790" s="469"/>
      <c r="X790" s="469"/>
      <c r="Y790" s="469"/>
      <c r="Z790" s="469"/>
      <c r="AA790" s="469"/>
      <c r="AB790" s="469"/>
      <c r="AC790" s="469"/>
      <c r="AD790" s="469"/>
      <c r="AE790" s="469"/>
      <c r="AF790" s="469"/>
      <c r="AG790" s="469"/>
      <c r="AH790" s="469"/>
      <c r="AI790" s="469"/>
      <c r="AJ790" s="469"/>
      <c r="AK790" s="469"/>
      <c r="AL790" s="469"/>
      <c r="AM790" s="469"/>
      <c r="AN790" s="469"/>
      <c r="AO790" s="469"/>
    </row>
    <row r="791">
      <c r="A791" s="687"/>
      <c r="B791" s="685"/>
      <c r="C791" s="687"/>
      <c r="D791" s="687"/>
      <c r="E791" s="687"/>
      <c r="F791" s="687"/>
      <c r="G791" s="687"/>
      <c r="H791" s="688"/>
      <c r="I791" s="688"/>
      <c r="J791" s="688"/>
      <c r="K791" s="85"/>
      <c r="L791" s="85"/>
      <c r="M791" s="85"/>
      <c r="N791" s="85"/>
      <c r="O791" s="85"/>
      <c r="P791" s="85"/>
      <c r="Q791" s="138"/>
      <c r="R791" s="138"/>
      <c r="S791" s="138"/>
      <c r="T791" s="138"/>
      <c r="U791" s="138"/>
      <c r="V791" s="138"/>
      <c r="W791" s="469"/>
      <c r="X791" s="469"/>
      <c r="Y791" s="469"/>
      <c r="Z791" s="469"/>
      <c r="AA791" s="469"/>
      <c r="AB791" s="469"/>
      <c r="AC791" s="469"/>
      <c r="AD791" s="469"/>
      <c r="AE791" s="469"/>
      <c r="AF791" s="469"/>
      <c r="AG791" s="469"/>
      <c r="AH791" s="469"/>
      <c r="AI791" s="469"/>
      <c r="AJ791" s="469"/>
      <c r="AK791" s="469"/>
      <c r="AL791" s="469"/>
      <c r="AM791" s="469"/>
      <c r="AN791" s="469"/>
      <c r="AO791" s="469"/>
    </row>
    <row r="792">
      <c r="A792" s="687"/>
      <c r="B792" s="685"/>
      <c r="C792" s="687"/>
      <c r="D792" s="687"/>
      <c r="E792" s="687"/>
      <c r="F792" s="687"/>
      <c r="G792" s="687"/>
      <c r="H792" s="688"/>
      <c r="I792" s="688"/>
      <c r="J792" s="688"/>
      <c r="K792" s="85"/>
      <c r="L792" s="85"/>
      <c r="M792" s="85"/>
      <c r="N792" s="85"/>
      <c r="O792" s="85"/>
      <c r="P792" s="85"/>
      <c r="Q792" s="138"/>
      <c r="R792" s="138"/>
      <c r="S792" s="138"/>
      <c r="T792" s="138"/>
      <c r="U792" s="138"/>
      <c r="V792" s="138"/>
      <c r="W792" s="469"/>
      <c r="X792" s="469"/>
      <c r="Y792" s="469"/>
      <c r="Z792" s="469"/>
      <c r="AA792" s="469"/>
      <c r="AB792" s="469"/>
      <c r="AC792" s="469"/>
      <c r="AD792" s="469"/>
      <c r="AE792" s="469"/>
      <c r="AF792" s="469"/>
      <c r="AG792" s="469"/>
      <c r="AH792" s="469"/>
      <c r="AI792" s="469"/>
      <c r="AJ792" s="469"/>
      <c r="AK792" s="469"/>
      <c r="AL792" s="469"/>
      <c r="AM792" s="469"/>
      <c r="AN792" s="469"/>
      <c r="AO792" s="469"/>
    </row>
    <row r="793">
      <c r="A793" s="687"/>
      <c r="B793" s="685"/>
      <c r="C793" s="687"/>
      <c r="D793" s="687"/>
      <c r="E793" s="687"/>
      <c r="F793" s="687"/>
      <c r="G793" s="687"/>
      <c r="H793" s="688"/>
      <c r="I793" s="688"/>
      <c r="J793" s="688"/>
      <c r="K793" s="85"/>
      <c r="L793" s="85"/>
      <c r="M793" s="85"/>
      <c r="N793" s="85"/>
      <c r="O793" s="85"/>
      <c r="P793" s="85"/>
      <c r="Q793" s="138"/>
      <c r="R793" s="138"/>
      <c r="S793" s="138"/>
      <c r="T793" s="138"/>
      <c r="U793" s="138"/>
      <c r="V793" s="138"/>
      <c r="W793" s="469"/>
      <c r="X793" s="469"/>
      <c r="Y793" s="469"/>
      <c r="Z793" s="469"/>
      <c r="AA793" s="469"/>
      <c r="AB793" s="469"/>
      <c r="AC793" s="469"/>
      <c r="AD793" s="469"/>
      <c r="AE793" s="469"/>
      <c r="AF793" s="469"/>
      <c r="AG793" s="469"/>
      <c r="AH793" s="469"/>
      <c r="AI793" s="469"/>
      <c r="AJ793" s="469"/>
      <c r="AK793" s="469"/>
      <c r="AL793" s="469"/>
      <c r="AM793" s="469"/>
      <c r="AN793" s="469"/>
      <c r="AO793" s="469"/>
    </row>
    <row r="794">
      <c r="A794" s="687"/>
      <c r="B794" s="685"/>
      <c r="C794" s="687"/>
      <c r="D794" s="687"/>
      <c r="E794" s="687"/>
      <c r="F794" s="687"/>
      <c r="G794" s="687"/>
      <c r="H794" s="688"/>
      <c r="I794" s="688"/>
      <c r="J794" s="688"/>
      <c r="K794" s="85"/>
      <c r="L794" s="85"/>
      <c r="M794" s="85"/>
      <c r="N794" s="85"/>
      <c r="O794" s="85"/>
      <c r="P794" s="85"/>
      <c r="Q794" s="138"/>
      <c r="R794" s="138"/>
      <c r="S794" s="138"/>
      <c r="T794" s="138"/>
      <c r="U794" s="138"/>
      <c r="V794" s="138"/>
      <c r="W794" s="469"/>
      <c r="X794" s="469"/>
      <c r="Y794" s="469"/>
      <c r="Z794" s="469"/>
      <c r="AA794" s="469"/>
      <c r="AB794" s="469"/>
      <c r="AC794" s="469"/>
      <c r="AD794" s="469"/>
      <c r="AE794" s="469"/>
      <c r="AF794" s="469"/>
      <c r="AG794" s="469"/>
      <c r="AH794" s="469"/>
      <c r="AI794" s="469"/>
      <c r="AJ794" s="469"/>
      <c r="AK794" s="469"/>
      <c r="AL794" s="469"/>
      <c r="AM794" s="469"/>
      <c r="AN794" s="469"/>
      <c r="AO794" s="469"/>
    </row>
    <row r="795">
      <c r="A795" s="687"/>
      <c r="B795" s="685"/>
      <c r="C795" s="687"/>
      <c r="D795" s="687"/>
      <c r="E795" s="687"/>
      <c r="F795" s="687"/>
      <c r="G795" s="687"/>
      <c r="H795" s="688"/>
      <c r="I795" s="688"/>
      <c r="J795" s="688"/>
      <c r="K795" s="85"/>
      <c r="L795" s="85"/>
      <c r="M795" s="85"/>
      <c r="N795" s="85"/>
      <c r="O795" s="85"/>
      <c r="P795" s="85"/>
      <c r="Q795" s="138"/>
      <c r="R795" s="138"/>
      <c r="S795" s="138"/>
      <c r="T795" s="138"/>
      <c r="U795" s="138"/>
      <c r="V795" s="138"/>
      <c r="W795" s="469"/>
      <c r="X795" s="469"/>
      <c r="Y795" s="469"/>
      <c r="Z795" s="469"/>
      <c r="AA795" s="469"/>
      <c r="AB795" s="469"/>
      <c r="AC795" s="469"/>
      <c r="AD795" s="469"/>
      <c r="AE795" s="469"/>
      <c r="AF795" s="469"/>
      <c r="AG795" s="469"/>
      <c r="AH795" s="469"/>
      <c r="AI795" s="469"/>
      <c r="AJ795" s="469"/>
      <c r="AK795" s="469"/>
      <c r="AL795" s="469"/>
      <c r="AM795" s="469"/>
      <c r="AN795" s="469"/>
      <c r="AO795" s="469"/>
    </row>
    <row r="796">
      <c r="A796" s="687"/>
      <c r="B796" s="685"/>
      <c r="C796" s="687"/>
      <c r="D796" s="687"/>
      <c r="E796" s="687"/>
      <c r="F796" s="687"/>
      <c r="G796" s="687"/>
      <c r="H796" s="688"/>
      <c r="I796" s="688"/>
      <c r="J796" s="688"/>
      <c r="K796" s="85"/>
      <c r="L796" s="85"/>
      <c r="M796" s="85"/>
      <c r="N796" s="85"/>
      <c r="O796" s="85"/>
      <c r="P796" s="85"/>
      <c r="Q796" s="138"/>
      <c r="R796" s="138"/>
      <c r="S796" s="138"/>
      <c r="T796" s="138"/>
      <c r="U796" s="138"/>
      <c r="V796" s="138"/>
      <c r="W796" s="469"/>
      <c r="X796" s="469"/>
      <c r="Y796" s="469"/>
      <c r="Z796" s="469"/>
      <c r="AA796" s="469"/>
      <c r="AB796" s="469"/>
      <c r="AC796" s="469"/>
      <c r="AD796" s="469"/>
      <c r="AE796" s="469"/>
      <c r="AF796" s="469"/>
      <c r="AG796" s="469"/>
      <c r="AH796" s="469"/>
      <c r="AI796" s="469"/>
      <c r="AJ796" s="469"/>
      <c r="AK796" s="469"/>
      <c r="AL796" s="469"/>
      <c r="AM796" s="469"/>
      <c r="AN796" s="469"/>
      <c r="AO796" s="469"/>
    </row>
    <row r="797">
      <c r="A797" s="687"/>
      <c r="B797" s="685"/>
      <c r="C797" s="687"/>
      <c r="D797" s="687"/>
      <c r="E797" s="687"/>
      <c r="F797" s="687"/>
      <c r="G797" s="687"/>
      <c r="H797" s="688"/>
      <c r="I797" s="688"/>
      <c r="J797" s="688"/>
      <c r="K797" s="85"/>
      <c r="L797" s="85"/>
      <c r="M797" s="85"/>
      <c r="N797" s="85"/>
      <c r="O797" s="85"/>
      <c r="P797" s="85"/>
      <c r="Q797" s="138"/>
      <c r="R797" s="138"/>
      <c r="S797" s="138"/>
      <c r="T797" s="138"/>
      <c r="U797" s="138"/>
      <c r="V797" s="138"/>
      <c r="W797" s="469"/>
      <c r="X797" s="469"/>
      <c r="Y797" s="469"/>
      <c r="Z797" s="469"/>
      <c r="AA797" s="469"/>
      <c r="AB797" s="469"/>
      <c r="AC797" s="469"/>
      <c r="AD797" s="469"/>
      <c r="AE797" s="469"/>
      <c r="AF797" s="469"/>
      <c r="AG797" s="469"/>
      <c r="AH797" s="469"/>
      <c r="AI797" s="469"/>
      <c r="AJ797" s="469"/>
      <c r="AK797" s="469"/>
      <c r="AL797" s="469"/>
      <c r="AM797" s="469"/>
      <c r="AN797" s="469"/>
      <c r="AO797" s="469"/>
    </row>
    <row r="798">
      <c r="A798" s="687"/>
      <c r="B798" s="685"/>
      <c r="C798" s="687"/>
      <c r="D798" s="687"/>
      <c r="E798" s="687"/>
      <c r="F798" s="687"/>
      <c r="G798" s="687"/>
      <c r="H798" s="688"/>
      <c r="I798" s="688"/>
      <c r="J798" s="688"/>
      <c r="K798" s="85"/>
      <c r="L798" s="85"/>
      <c r="M798" s="85"/>
      <c r="N798" s="85"/>
      <c r="O798" s="85"/>
      <c r="P798" s="85"/>
      <c r="Q798" s="138"/>
      <c r="R798" s="138"/>
      <c r="S798" s="138"/>
      <c r="T798" s="138"/>
      <c r="U798" s="138"/>
      <c r="V798" s="138"/>
      <c r="W798" s="469"/>
      <c r="X798" s="469"/>
      <c r="Y798" s="469"/>
      <c r="Z798" s="469"/>
      <c r="AA798" s="469"/>
      <c r="AB798" s="469"/>
      <c r="AC798" s="469"/>
      <c r="AD798" s="469"/>
      <c r="AE798" s="469"/>
      <c r="AF798" s="469"/>
      <c r="AG798" s="469"/>
      <c r="AH798" s="469"/>
      <c r="AI798" s="469"/>
      <c r="AJ798" s="469"/>
      <c r="AK798" s="469"/>
      <c r="AL798" s="469"/>
      <c r="AM798" s="469"/>
      <c r="AN798" s="469"/>
      <c r="AO798" s="469"/>
    </row>
    <row r="799">
      <c r="A799" s="687"/>
      <c r="B799" s="685"/>
      <c r="C799" s="687"/>
      <c r="D799" s="687"/>
      <c r="E799" s="687"/>
      <c r="F799" s="687"/>
      <c r="G799" s="687"/>
      <c r="H799" s="688"/>
      <c r="I799" s="688"/>
      <c r="J799" s="688"/>
      <c r="K799" s="85"/>
      <c r="L799" s="85"/>
      <c r="M799" s="85"/>
      <c r="N799" s="85"/>
      <c r="O799" s="85"/>
      <c r="P799" s="85"/>
      <c r="Q799" s="138"/>
      <c r="R799" s="138"/>
      <c r="S799" s="138"/>
      <c r="T799" s="138"/>
      <c r="U799" s="138"/>
      <c r="V799" s="138"/>
      <c r="W799" s="469"/>
      <c r="X799" s="469"/>
      <c r="Y799" s="469"/>
      <c r="Z799" s="469"/>
      <c r="AA799" s="469"/>
      <c r="AB799" s="469"/>
      <c r="AC799" s="469"/>
      <c r="AD799" s="469"/>
      <c r="AE799" s="469"/>
      <c r="AF799" s="469"/>
      <c r="AG799" s="469"/>
      <c r="AH799" s="469"/>
      <c r="AI799" s="469"/>
      <c r="AJ799" s="469"/>
      <c r="AK799" s="469"/>
      <c r="AL799" s="469"/>
      <c r="AM799" s="469"/>
      <c r="AN799" s="469"/>
      <c r="AO799" s="469"/>
    </row>
    <row r="800">
      <c r="A800" s="687"/>
      <c r="B800" s="685"/>
      <c r="C800" s="687"/>
      <c r="D800" s="687"/>
      <c r="E800" s="687"/>
      <c r="F800" s="687"/>
      <c r="G800" s="687"/>
      <c r="H800" s="688"/>
      <c r="I800" s="688"/>
      <c r="J800" s="688"/>
      <c r="K800" s="85"/>
      <c r="L800" s="85"/>
      <c r="M800" s="85"/>
      <c r="N800" s="85"/>
      <c r="O800" s="85"/>
      <c r="P800" s="85"/>
      <c r="Q800" s="138"/>
      <c r="R800" s="138"/>
      <c r="S800" s="138"/>
      <c r="T800" s="138"/>
      <c r="U800" s="138"/>
      <c r="V800" s="138"/>
      <c r="W800" s="469"/>
      <c r="X800" s="469"/>
      <c r="Y800" s="469"/>
      <c r="Z800" s="469"/>
      <c r="AA800" s="469"/>
      <c r="AB800" s="469"/>
      <c r="AC800" s="469"/>
      <c r="AD800" s="469"/>
      <c r="AE800" s="469"/>
      <c r="AF800" s="469"/>
      <c r="AG800" s="469"/>
      <c r="AH800" s="469"/>
      <c r="AI800" s="469"/>
      <c r="AJ800" s="469"/>
      <c r="AK800" s="469"/>
      <c r="AL800" s="469"/>
      <c r="AM800" s="469"/>
      <c r="AN800" s="469"/>
      <c r="AO800" s="469"/>
    </row>
    <row r="801">
      <c r="A801" s="687"/>
      <c r="B801" s="685"/>
      <c r="C801" s="687"/>
      <c r="D801" s="687"/>
      <c r="E801" s="687"/>
      <c r="F801" s="687"/>
      <c r="G801" s="687"/>
      <c r="H801" s="688"/>
      <c r="I801" s="688"/>
      <c r="J801" s="688"/>
      <c r="K801" s="85"/>
      <c r="L801" s="85"/>
      <c r="M801" s="85"/>
      <c r="N801" s="85"/>
      <c r="O801" s="85"/>
      <c r="P801" s="85"/>
      <c r="Q801" s="138"/>
      <c r="R801" s="138"/>
      <c r="S801" s="138"/>
      <c r="T801" s="138"/>
      <c r="U801" s="138"/>
      <c r="V801" s="138"/>
      <c r="W801" s="469"/>
      <c r="X801" s="469"/>
      <c r="Y801" s="469"/>
      <c r="Z801" s="469"/>
      <c r="AA801" s="469"/>
      <c r="AB801" s="469"/>
      <c r="AC801" s="469"/>
      <c r="AD801" s="469"/>
      <c r="AE801" s="469"/>
      <c r="AF801" s="469"/>
      <c r="AG801" s="469"/>
      <c r="AH801" s="469"/>
      <c r="AI801" s="469"/>
      <c r="AJ801" s="469"/>
      <c r="AK801" s="469"/>
      <c r="AL801" s="469"/>
      <c r="AM801" s="469"/>
      <c r="AN801" s="469"/>
      <c r="AO801" s="469"/>
    </row>
    <row r="802">
      <c r="A802" s="687"/>
      <c r="B802" s="685"/>
      <c r="C802" s="687"/>
      <c r="D802" s="687"/>
      <c r="E802" s="687"/>
      <c r="F802" s="687"/>
      <c r="G802" s="687"/>
      <c r="H802" s="688"/>
      <c r="I802" s="688"/>
      <c r="J802" s="688"/>
      <c r="K802" s="85"/>
      <c r="L802" s="85"/>
      <c r="M802" s="85"/>
      <c r="N802" s="85"/>
      <c r="O802" s="85"/>
      <c r="P802" s="85"/>
      <c r="Q802" s="138"/>
      <c r="R802" s="138"/>
      <c r="S802" s="138"/>
      <c r="T802" s="138"/>
      <c r="U802" s="138"/>
      <c r="V802" s="138"/>
      <c r="W802" s="469"/>
      <c r="X802" s="469"/>
      <c r="Y802" s="469"/>
      <c r="Z802" s="469"/>
      <c r="AA802" s="469"/>
      <c r="AB802" s="469"/>
      <c r="AC802" s="469"/>
      <c r="AD802" s="469"/>
      <c r="AE802" s="469"/>
      <c r="AF802" s="469"/>
      <c r="AG802" s="469"/>
      <c r="AH802" s="469"/>
      <c r="AI802" s="469"/>
      <c r="AJ802" s="469"/>
      <c r="AK802" s="469"/>
      <c r="AL802" s="469"/>
      <c r="AM802" s="469"/>
      <c r="AN802" s="469"/>
      <c r="AO802" s="469"/>
    </row>
    <row r="803">
      <c r="A803" s="687"/>
      <c r="B803" s="685"/>
      <c r="C803" s="687"/>
      <c r="D803" s="687"/>
      <c r="E803" s="687"/>
      <c r="F803" s="687"/>
      <c r="G803" s="687"/>
      <c r="H803" s="688"/>
      <c r="I803" s="688"/>
      <c r="J803" s="688"/>
      <c r="K803" s="85"/>
      <c r="L803" s="85"/>
      <c r="M803" s="85"/>
      <c r="N803" s="85"/>
      <c r="O803" s="85"/>
      <c r="P803" s="85"/>
      <c r="Q803" s="138"/>
      <c r="R803" s="138"/>
      <c r="S803" s="138"/>
      <c r="T803" s="138"/>
      <c r="U803" s="138"/>
      <c r="V803" s="138"/>
      <c r="W803" s="469"/>
      <c r="X803" s="469"/>
      <c r="Y803" s="469"/>
      <c r="Z803" s="469"/>
      <c r="AA803" s="469"/>
      <c r="AB803" s="469"/>
      <c r="AC803" s="469"/>
      <c r="AD803" s="469"/>
      <c r="AE803" s="469"/>
      <c r="AF803" s="469"/>
      <c r="AG803" s="469"/>
      <c r="AH803" s="469"/>
      <c r="AI803" s="469"/>
      <c r="AJ803" s="469"/>
      <c r="AK803" s="469"/>
      <c r="AL803" s="469"/>
      <c r="AM803" s="469"/>
      <c r="AN803" s="469"/>
      <c r="AO803" s="469"/>
    </row>
    <row r="804">
      <c r="A804" s="687"/>
      <c r="B804" s="685"/>
      <c r="C804" s="687"/>
      <c r="D804" s="687"/>
      <c r="E804" s="687"/>
      <c r="F804" s="687"/>
      <c r="G804" s="687"/>
      <c r="H804" s="688"/>
      <c r="I804" s="688"/>
      <c r="J804" s="688"/>
      <c r="K804" s="85"/>
      <c r="L804" s="85"/>
      <c r="M804" s="85"/>
      <c r="N804" s="85"/>
      <c r="O804" s="85"/>
      <c r="P804" s="85"/>
      <c r="Q804" s="138"/>
      <c r="R804" s="138"/>
      <c r="S804" s="138"/>
      <c r="T804" s="138"/>
      <c r="U804" s="138"/>
      <c r="V804" s="138"/>
      <c r="W804" s="469"/>
      <c r="X804" s="469"/>
      <c r="Y804" s="469"/>
      <c r="Z804" s="469"/>
      <c r="AA804" s="469"/>
      <c r="AB804" s="469"/>
      <c r="AC804" s="469"/>
      <c r="AD804" s="469"/>
      <c r="AE804" s="469"/>
      <c r="AF804" s="469"/>
      <c r="AG804" s="469"/>
      <c r="AH804" s="469"/>
      <c r="AI804" s="469"/>
      <c r="AJ804" s="469"/>
      <c r="AK804" s="469"/>
      <c r="AL804" s="469"/>
      <c r="AM804" s="469"/>
      <c r="AN804" s="469"/>
      <c r="AO804" s="469"/>
    </row>
    <row r="805">
      <c r="A805" s="687"/>
      <c r="B805" s="685"/>
      <c r="C805" s="687"/>
      <c r="D805" s="687"/>
      <c r="E805" s="687"/>
      <c r="F805" s="687"/>
      <c r="G805" s="687"/>
      <c r="H805" s="688"/>
      <c r="I805" s="688"/>
      <c r="J805" s="688"/>
      <c r="K805" s="85"/>
      <c r="L805" s="85"/>
      <c r="M805" s="85"/>
      <c r="N805" s="85"/>
      <c r="O805" s="85"/>
      <c r="P805" s="85"/>
      <c r="Q805" s="138"/>
      <c r="R805" s="138"/>
      <c r="S805" s="138"/>
      <c r="T805" s="138"/>
      <c r="U805" s="138"/>
      <c r="V805" s="138"/>
      <c r="W805" s="469"/>
      <c r="X805" s="469"/>
      <c r="Y805" s="469"/>
      <c r="Z805" s="469"/>
      <c r="AA805" s="469"/>
      <c r="AB805" s="469"/>
      <c r="AC805" s="469"/>
      <c r="AD805" s="469"/>
      <c r="AE805" s="469"/>
      <c r="AF805" s="469"/>
      <c r="AG805" s="469"/>
      <c r="AH805" s="469"/>
      <c r="AI805" s="469"/>
      <c r="AJ805" s="469"/>
      <c r="AK805" s="469"/>
      <c r="AL805" s="469"/>
      <c r="AM805" s="469"/>
      <c r="AN805" s="469"/>
      <c r="AO805" s="469"/>
    </row>
    <row r="806">
      <c r="A806" s="687"/>
      <c r="B806" s="685"/>
      <c r="C806" s="687"/>
      <c r="D806" s="687"/>
      <c r="E806" s="687"/>
      <c r="F806" s="687"/>
      <c r="G806" s="687"/>
      <c r="H806" s="688"/>
      <c r="I806" s="688"/>
      <c r="J806" s="688"/>
      <c r="K806" s="85"/>
      <c r="L806" s="85"/>
      <c r="M806" s="85"/>
      <c r="N806" s="85"/>
      <c r="O806" s="85"/>
      <c r="P806" s="85"/>
      <c r="Q806" s="138"/>
      <c r="R806" s="138"/>
      <c r="S806" s="138"/>
      <c r="T806" s="138"/>
      <c r="U806" s="138"/>
      <c r="V806" s="138"/>
      <c r="W806" s="469"/>
      <c r="X806" s="469"/>
      <c r="Y806" s="469"/>
      <c r="Z806" s="469"/>
      <c r="AA806" s="469"/>
      <c r="AB806" s="469"/>
      <c r="AC806" s="469"/>
      <c r="AD806" s="469"/>
      <c r="AE806" s="469"/>
      <c r="AF806" s="469"/>
      <c r="AG806" s="469"/>
      <c r="AH806" s="469"/>
      <c r="AI806" s="469"/>
      <c r="AJ806" s="469"/>
      <c r="AK806" s="469"/>
      <c r="AL806" s="469"/>
      <c r="AM806" s="469"/>
      <c r="AN806" s="469"/>
      <c r="AO806" s="469"/>
    </row>
    <row r="807">
      <c r="A807" s="687"/>
      <c r="B807" s="685"/>
      <c r="C807" s="687"/>
      <c r="D807" s="687"/>
      <c r="E807" s="687"/>
      <c r="F807" s="687"/>
      <c r="G807" s="687"/>
      <c r="H807" s="688"/>
      <c r="I807" s="688"/>
      <c r="J807" s="688"/>
      <c r="K807" s="85"/>
      <c r="L807" s="85"/>
      <c r="M807" s="85"/>
      <c r="N807" s="85"/>
      <c r="O807" s="85"/>
      <c r="P807" s="85"/>
      <c r="Q807" s="138"/>
      <c r="R807" s="138"/>
      <c r="S807" s="138"/>
      <c r="T807" s="138"/>
      <c r="U807" s="138"/>
      <c r="V807" s="138"/>
      <c r="W807" s="469"/>
      <c r="X807" s="469"/>
      <c r="Y807" s="469"/>
      <c r="Z807" s="469"/>
      <c r="AA807" s="469"/>
      <c r="AB807" s="469"/>
      <c r="AC807" s="469"/>
      <c r="AD807" s="469"/>
      <c r="AE807" s="469"/>
      <c r="AF807" s="469"/>
      <c r="AG807" s="469"/>
      <c r="AH807" s="469"/>
      <c r="AI807" s="469"/>
      <c r="AJ807" s="469"/>
      <c r="AK807" s="469"/>
      <c r="AL807" s="469"/>
      <c r="AM807" s="469"/>
      <c r="AN807" s="469"/>
      <c r="AO807" s="469"/>
    </row>
    <row r="808">
      <c r="A808" s="687"/>
      <c r="B808" s="685"/>
      <c r="C808" s="687"/>
      <c r="D808" s="687"/>
      <c r="E808" s="687"/>
      <c r="F808" s="687"/>
      <c r="G808" s="687"/>
      <c r="H808" s="688"/>
      <c r="I808" s="688"/>
      <c r="J808" s="688"/>
      <c r="K808" s="85"/>
      <c r="L808" s="85"/>
      <c r="M808" s="85"/>
      <c r="N808" s="85"/>
      <c r="O808" s="85"/>
      <c r="P808" s="85"/>
      <c r="Q808" s="138"/>
      <c r="R808" s="138"/>
      <c r="S808" s="138"/>
      <c r="T808" s="138"/>
      <c r="U808" s="138"/>
      <c r="V808" s="138"/>
      <c r="W808" s="469"/>
      <c r="X808" s="469"/>
      <c r="Y808" s="469"/>
      <c r="Z808" s="469"/>
      <c r="AA808" s="469"/>
      <c r="AB808" s="469"/>
      <c r="AC808" s="469"/>
      <c r="AD808" s="469"/>
      <c r="AE808" s="469"/>
      <c r="AF808" s="469"/>
      <c r="AG808" s="469"/>
      <c r="AH808" s="469"/>
      <c r="AI808" s="469"/>
      <c r="AJ808" s="469"/>
      <c r="AK808" s="469"/>
      <c r="AL808" s="469"/>
      <c r="AM808" s="469"/>
      <c r="AN808" s="469"/>
      <c r="AO808" s="469"/>
    </row>
    <row r="809">
      <c r="A809" s="687"/>
      <c r="B809" s="685"/>
      <c r="C809" s="687"/>
      <c r="D809" s="687"/>
      <c r="E809" s="687"/>
      <c r="F809" s="687"/>
      <c r="G809" s="687"/>
      <c r="H809" s="688"/>
      <c r="I809" s="688"/>
      <c r="J809" s="688"/>
      <c r="K809" s="85"/>
      <c r="L809" s="85"/>
      <c r="M809" s="85"/>
      <c r="N809" s="85"/>
      <c r="O809" s="85"/>
      <c r="P809" s="85"/>
      <c r="Q809" s="138"/>
      <c r="R809" s="138"/>
      <c r="S809" s="138"/>
      <c r="T809" s="138"/>
      <c r="U809" s="138"/>
      <c r="V809" s="138"/>
      <c r="W809" s="469"/>
      <c r="X809" s="469"/>
      <c r="Y809" s="469"/>
      <c r="Z809" s="469"/>
      <c r="AA809" s="469"/>
      <c r="AB809" s="469"/>
      <c r="AC809" s="469"/>
      <c r="AD809" s="469"/>
      <c r="AE809" s="469"/>
      <c r="AF809" s="469"/>
      <c r="AG809" s="469"/>
      <c r="AH809" s="469"/>
      <c r="AI809" s="469"/>
      <c r="AJ809" s="469"/>
      <c r="AK809" s="469"/>
      <c r="AL809" s="469"/>
      <c r="AM809" s="469"/>
      <c r="AN809" s="469"/>
      <c r="AO809" s="469"/>
    </row>
    <row r="810">
      <c r="A810" s="687"/>
      <c r="B810" s="685"/>
      <c r="C810" s="687"/>
      <c r="D810" s="687"/>
      <c r="E810" s="687"/>
      <c r="F810" s="687"/>
      <c r="G810" s="687"/>
      <c r="H810" s="688"/>
      <c r="I810" s="688"/>
      <c r="J810" s="688"/>
      <c r="K810" s="85"/>
      <c r="L810" s="85"/>
      <c r="M810" s="85"/>
      <c r="N810" s="85"/>
      <c r="O810" s="85"/>
      <c r="P810" s="85"/>
      <c r="Q810" s="138"/>
      <c r="R810" s="138"/>
      <c r="S810" s="138"/>
      <c r="T810" s="138"/>
      <c r="U810" s="138"/>
      <c r="V810" s="138"/>
      <c r="W810" s="469"/>
      <c r="X810" s="469"/>
      <c r="Y810" s="469"/>
      <c r="Z810" s="469"/>
      <c r="AA810" s="469"/>
      <c r="AB810" s="469"/>
      <c r="AC810" s="469"/>
      <c r="AD810" s="469"/>
      <c r="AE810" s="469"/>
      <c r="AF810" s="469"/>
      <c r="AG810" s="469"/>
      <c r="AH810" s="469"/>
      <c r="AI810" s="469"/>
      <c r="AJ810" s="469"/>
      <c r="AK810" s="469"/>
      <c r="AL810" s="469"/>
      <c r="AM810" s="469"/>
      <c r="AN810" s="469"/>
      <c r="AO810" s="469"/>
    </row>
    <row r="811">
      <c r="A811" s="687"/>
      <c r="B811" s="685"/>
      <c r="C811" s="687"/>
      <c r="D811" s="687"/>
      <c r="E811" s="687"/>
      <c r="F811" s="687"/>
      <c r="G811" s="687"/>
      <c r="H811" s="688"/>
      <c r="I811" s="688"/>
      <c r="J811" s="688"/>
      <c r="K811" s="85"/>
      <c r="L811" s="85"/>
      <c r="M811" s="85"/>
      <c r="N811" s="85"/>
      <c r="O811" s="85"/>
      <c r="P811" s="85"/>
      <c r="Q811" s="138"/>
      <c r="R811" s="138"/>
      <c r="S811" s="138"/>
      <c r="T811" s="138"/>
      <c r="U811" s="138"/>
      <c r="V811" s="138"/>
      <c r="W811" s="469"/>
      <c r="X811" s="469"/>
      <c r="Y811" s="469"/>
      <c r="Z811" s="469"/>
      <c r="AA811" s="469"/>
      <c r="AB811" s="469"/>
      <c r="AC811" s="469"/>
      <c r="AD811" s="469"/>
      <c r="AE811" s="469"/>
      <c r="AF811" s="469"/>
      <c r="AG811" s="469"/>
      <c r="AH811" s="469"/>
      <c r="AI811" s="469"/>
      <c r="AJ811" s="469"/>
      <c r="AK811" s="469"/>
      <c r="AL811" s="469"/>
      <c r="AM811" s="469"/>
      <c r="AN811" s="469"/>
      <c r="AO811" s="469"/>
    </row>
    <row r="812">
      <c r="A812" s="687"/>
      <c r="B812" s="685"/>
      <c r="C812" s="687"/>
      <c r="D812" s="687"/>
      <c r="E812" s="687"/>
      <c r="F812" s="687"/>
      <c r="G812" s="687"/>
      <c r="H812" s="688"/>
      <c r="I812" s="688"/>
      <c r="J812" s="688"/>
      <c r="K812" s="85"/>
      <c r="L812" s="85"/>
      <c r="M812" s="85"/>
      <c r="N812" s="85"/>
      <c r="O812" s="85"/>
      <c r="P812" s="85"/>
      <c r="Q812" s="138"/>
      <c r="R812" s="138"/>
      <c r="S812" s="138"/>
      <c r="T812" s="138"/>
      <c r="U812" s="138"/>
      <c r="V812" s="138"/>
      <c r="W812" s="469"/>
      <c r="X812" s="469"/>
      <c r="Y812" s="469"/>
      <c r="Z812" s="469"/>
      <c r="AA812" s="469"/>
      <c r="AB812" s="469"/>
      <c r="AC812" s="469"/>
      <c r="AD812" s="469"/>
      <c r="AE812" s="469"/>
      <c r="AF812" s="469"/>
      <c r="AG812" s="469"/>
      <c r="AH812" s="469"/>
      <c r="AI812" s="469"/>
      <c r="AJ812" s="469"/>
      <c r="AK812" s="469"/>
      <c r="AL812" s="469"/>
      <c r="AM812" s="469"/>
      <c r="AN812" s="469"/>
      <c r="AO812" s="469"/>
    </row>
    <row r="813">
      <c r="A813" s="687"/>
      <c r="B813" s="685"/>
      <c r="C813" s="687"/>
      <c r="D813" s="687"/>
      <c r="E813" s="687"/>
      <c r="F813" s="687"/>
      <c r="G813" s="687"/>
      <c r="H813" s="688"/>
      <c r="I813" s="688"/>
      <c r="J813" s="688"/>
      <c r="K813" s="85"/>
      <c r="L813" s="85"/>
      <c r="M813" s="85"/>
      <c r="N813" s="85"/>
      <c r="O813" s="85"/>
      <c r="P813" s="85"/>
      <c r="Q813" s="138"/>
      <c r="R813" s="138"/>
      <c r="S813" s="138"/>
      <c r="T813" s="138"/>
      <c r="U813" s="138"/>
      <c r="V813" s="138"/>
      <c r="W813" s="469"/>
      <c r="X813" s="469"/>
      <c r="Y813" s="469"/>
      <c r="Z813" s="469"/>
      <c r="AA813" s="469"/>
      <c r="AB813" s="469"/>
      <c r="AC813" s="469"/>
      <c r="AD813" s="469"/>
      <c r="AE813" s="469"/>
      <c r="AF813" s="469"/>
      <c r="AG813" s="469"/>
      <c r="AH813" s="469"/>
      <c r="AI813" s="469"/>
      <c r="AJ813" s="469"/>
      <c r="AK813" s="469"/>
      <c r="AL813" s="469"/>
      <c r="AM813" s="469"/>
      <c r="AN813" s="469"/>
      <c r="AO813" s="469"/>
    </row>
    <row r="814">
      <c r="A814" s="687"/>
      <c r="B814" s="685"/>
      <c r="C814" s="687"/>
      <c r="D814" s="687"/>
      <c r="E814" s="687"/>
      <c r="F814" s="687"/>
      <c r="G814" s="687"/>
      <c r="H814" s="688"/>
      <c r="I814" s="688"/>
      <c r="J814" s="688"/>
      <c r="K814" s="85"/>
      <c r="L814" s="85"/>
      <c r="M814" s="85"/>
      <c r="N814" s="85"/>
      <c r="O814" s="85"/>
      <c r="P814" s="85"/>
      <c r="Q814" s="138"/>
      <c r="R814" s="138"/>
      <c r="S814" s="138"/>
      <c r="T814" s="138"/>
      <c r="U814" s="138"/>
      <c r="V814" s="138"/>
      <c r="W814" s="469"/>
      <c r="X814" s="469"/>
      <c r="Y814" s="469"/>
      <c r="Z814" s="469"/>
      <c r="AA814" s="469"/>
      <c r="AB814" s="469"/>
      <c r="AC814" s="469"/>
      <c r="AD814" s="469"/>
      <c r="AE814" s="469"/>
      <c r="AF814" s="469"/>
      <c r="AG814" s="469"/>
      <c r="AH814" s="469"/>
      <c r="AI814" s="469"/>
      <c r="AJ814" s="469"/>
      <c r="AK814" s="469"/>
      <c r="AL814" s="469"/>
      <c r="AM814" s="469"/>
      <c r="AN814" s="469"/>
      <c r="AO814" s="469"/>
    </row>
    <row r="815">
      <c r="A815" s="687"/>
      <c r="B815" s="685"/>
      <c r="C815" s="687"/>
      <c r="D815" s="687"/>
      <c r="E815" s="687"/>
      <c r="F815" s="687"/>
      <c r="G815" s="687"/>
      <c r="H815" s="688"/>
      <c r="I815" s="688"/>
      <c r="J815" s="688"/>
      <c r="K815" s="85"/>
      <c r="L815" s="85"/>
      <c r="M815" s="85"/>
      <c r="N815" s="85"/>
      <c r="O815" s="85"/>
      <c r="P815" s="85"/>
      <c r="Q815" s="138"/>
      <c r="R815" s="138"/>
      <c r="S815" s="138"/>
      <c r="T815" s="138"/>
      <c r="U815" s="138"/>
      <c r="V815" s="138"/>
      <c r="W815" s="469"/>
      <c r="X815" s="469"/>
      <c r="Y815" s="469"/>
      <c r="Z815" s="469"/>
      <c r="AA815" s="469"/>
      <c r="AB815" s="469"/>
      <c r="AC815" s="469"/>
      <c r="AD815" s="469"/>
      <c r="AE815" s="469"/>
      <c r="AF815" s="469"/>
      <c r="AG815" s="469"/>
      <c r="AH815" s="469"/>
      <c r="AI815" s="469"/>
      <c r="AJ815" s="469"/>
      <c r="AK815" s="469"/>
      <c r="AL815" s="469"/>
      <c r="AM815" s="469"/>
      <c r="AN815" s="469"/>
      <c r="AO815" s="469"/>
    </row>
    <row r="816">
      <c r="A816" s="687"/>
      <c r="B816" s="685"/>
      <c r="C816" s="687"/>
      <c r="D816" s="687"/>
      <c r="E816" s="687"/>
      <c r="F816" s="687"/>
      <c r="G816" s="687"/>
      <c r="H816" s="688"/>
      <c r="I816" s="688"/>
      <c r="J816" s="688"/>
      <c r="K816" s="85"/>
      <c r="L816" s="85"/>
      <c r="M816" s="85"/>
      <c r="N816" s="85"/>
      <c r="O816" s="85"/>
      <c r="P816" s="85"/>
      <c r="Q816" s="138"/>
      <c r="R816" s="138"/>
      <c r="S816" s="138"/>
      <c r="T816" s="138"/>
      <c r="U816" s="138"/>
      <c r="V816" s="138"/>
      <c r="W816" s="469"/>
      <c r="X816" s="469"/>
      <c r="Y816" s="469"/>
      <c r="Z816" s="469"/>
      <c r="AA816" s="469"/>
      <c r="AB816" s="469"/>
      <c r="AC816" s="469"/>
      <c r="AD816" s="469"/>
      <c r="AE816" s="469"/>
      <c r="AF816" s="469"/>
      <c r="AG816" s="469"/>
      <c r="AH816" s="469"/>
      <c r="AI816" s="469"/>
      <c r="AJ816" s="469"/>
      <c r="AK816" s="469"/>
      <c r="AL816" s="469"/>
      <c r="AM816" s="469"/>
      <c r="AN816" s="469"/>
      <c r="AO816" s="469"/>
    </row>
    <row r="817">
      <c r="A817" s="687"/>
      <c r="B817" s="685"/>
      <c r="C817" s="687"/>
      <c r="D817" s="687"/>
      <c r="E817" s="687"/>
      <c r="F817" s="687"/>
      <c r="G817" s="687"/>
      <c r="H817" s="688"/>
      <c r="I817" s="688"/>
      <c r="J817" s="688"/>
      <c r="K817" s="85"/>
      <c r="L817" s="85"/>
      <c r="M817" s="85"/>
      <c r="N817" s="85"/>
      <c r="O817" s="85"/>
      <c r="P817" s="85"/>
      <c r="Q817" s="138"/>
      <c r="R817" s="138"/>
      <c r="S817" s="138"/>
      <c r="T817" s="138"/>
      <c r="U817" s="138"/>
      <c r="V817" s="138"/>
      <c r="W817" s="469"/>
      <c r="X817" s="469"/>
      <c r="Y817" s="469"/>
      <c r="Z817" s="469"/>
      <c r="AA817" s="469"/>
      <c r="AB817" s="469"/>
      <c r="AC817" s="469"/>
      <c r="AD817" s="469"/>
      <c r="AE817" s="469"/>
      <c r="AF817" s="469"/>
      <c r="AG817" s="469"/>
      <c r="AH817" s="469"/>
      <c r="AI817" s="469"/>
      <c r="AJ817" s="469"/>
      <c r="AK817" s="469"/>
      <c r="AL817" s="469"/>
      <c r="AM817" s="469"/>
      <c r="AN817" s="469"/>
      <c r="AO817" s="469"/>
    </row>
    <row r="818">
      <c r="A818" s="687"/>
      <c r="B818" s="685"/>
      <c r="C818" s="687"/>
      <c r="D818" s="687"/>
      <c r="E818" s="687"/>
      <c r="F818" s="687"/>
      <c r="G818" s="687"/>
      <c r="H818" s="688"/>
      <c r="I818" s="688"/>
      <c r="J818" s="688"/>
      <c r="K818" s="85"/>
      <c r="L818" s="85"/>
      <c r="M818" s="85"/>
      <c r="N818" s="85"/>
      <c r="O818" s="85"/>
      <c r="P818" s="85"/>
      <c r="Q818" s="138"/>
      <c r="R818" s="138"/>
      <c r="S818" s="138"/>
      <c r="T818" s="138"/>
      <c r="U818" s="138"/>
      <c r="V818" s="138"/>
      <c r="W818" s="469"/>
      <c r="X818" s="469"/>
      <c r="Y818" s="469"/>
      <c r="Z818" s="469"/>
      <c r="AA818" s="469"/>
      <c r="AB818" s="469"/>
      <c r="AC818" s="469"/>
      <c r="AD818" s="469"/>
      <c r="AE818" s="469"/>
      <c r="AF818" s="469"/>
      <c r="AG818" s="469"/>
      <c r="AH818" s="469"/>
      <c r="AI818" s="469"/>
      <c r="AJ818" s="469"/>
      <c r="AK818" s="469"/>
      <c r="AL818" s="469"/>
      <c r="AM818" s="469"/>
      <c r="AN818" s="469"/>
      <c r="AO818" s="469"/>
    </row>
    <row r="819">
      <c r="A819" s="687"/>
      <c r="B819" s="685"/>
      <c r="C819" s="687"/>
      <c r="D819" s="687"/>
      <c r="E819" s="687"/>
      <c r="F819" s="687"/>
      <c r="G819" s="687"/>
      <c r="H819" s="688"/>
      <c r="I819" s="688"/>
      <c r="J819" s="688"/>
      <c r="K819" s="85"/>
      <c r="L819" s="85"/>
      <c r="M819" s="85"/>
      <c r="N819" s="85"/>
      <c r="O819" s="85"/>
      <c r="P819" s="85"/>
      <c r="Q819" s="138"/>
      <c r="R819" s="138"/>
      <c r="S819" s="138"/>
      <c r="T819" s="138"/>
      <c r="U819" s="138"/>
      <c r="V819" s="138"/>
      <c r="W819" s="469"/>
      <c r="X819" s="469"/>
      <c r="Y819" s="469"/>
      <c r="Z819" s="469"/>
      <c r="AA819" s="469"/>
      <c r="AB819" s="469"/>
      <c r="AC819" s="469"/>
      <c r="AD819" s="469"/>
      <c r="AE819" s="469"/>
      <c r="AF819" s="469"/>
      <c r="AG819" s="469"/>
      <c r="AH819" s="469"/>
      <c r="AI819" s="469"/>
      <c r="AJ819" s="469"/>
      <c r="AK819" s="469"/>
      <c r="AL819" s="469"/>
      <c r="AM819" s="469"/>
      <c r="AN819" s="469"/>
      <c r="AO819" s="469"/>
    </row>
    <row r="820">
      <c r="A820" s="687"/>
      <c r="B820" s="685"/>
      <c r="C820" s="687"/>
      <c r="D820" s="687"/>
      <c r="E820" s="687"/>
      <c r="F820" s="687"/>
      <c r="G820" s="687"/>
      <c r="H820" s="688"/>
      <c r="I820" s="688"/>
      <c r="J820" s="688"/>
      <c r="K820" s="85"/>
      <c r="L820" s="85"/>
      <c r="M820" s="85"/>
      <c r="N820" s="85"/>
      <c r="O820" s="85"/>
      <c r="P820" s="85"/>
      <c r="Q820" s="138"/>
      <c r="R820" s="138"/>
      <c r="S820" s="138"/>
      <c r="T820" s="138"/>
      <c r="U820" s="138"/>
      <c r="V820" s="138"/>
      <c r="W820" s="469"/>
      <c r="X820" s="469"/>
      <c r="Y820" s="469"/>
      <c r="Z820" s="469"/>
      <c r="AA820" s="469"/>
      <c r="AB820" s="469"/>
      <c r="AC820" s="469"/>
      <c r="AD820" s="469"/>
      <c r="AE820" s="469"/>
      <c r="AF820" s="469"/>
      <c r="AG820" s="469"/>
      <c r="AH820" s="469"/>
      <c r="AI820" s="469"/>
      <c r="AJ820" s="469"/>
      <c r="AK820" s="469"/>
      <c r="AL820" s="469"/>
      <c r="AM820" s="469"/>
      <c r="AN820" s="469"/>
      <c r="AO820" s="469"/>
    </row>
    <row r="821">
      <c r="A821" s="687"/>
      <c r="B821" s="685"/>
      <c r="C821" s="687"/>
      <c r="D821" s="687"/>
      <c r="E821" s="687"/>
      <c r="F821" s="687"/>
      <c r="G821" s="687"/>
      <c r="H821" s="688"/>
      <c r="I821" s="688"/>
      <c r="J821" s="688"/>
      <c r="K821" s="85"/>
      <c r="L821" s="85"/>
      <c r="M821" s="85"/>
      <c r="N821" s="85"/>
      <c r="O821" s="85"/>
      <c r="P821" s="85"/>
      <c r="Q821" s="138"/>
      <c r="R821" s="138"/>
      <c r="S821" s="138"/>
      <c r="T821" s="138"/>
      <c r="U821" s="138"/>
      <c r="V821" s="138"/>
      <c r="W821" s="469"/>
      <c r="X821" s="469"/>
      <c r="Y821" s="469"/>
      <c r="Z821" s="469"/>
      <c r="AA821" s="469"/>
      <c r="AB821" s="469"/>
      <c r="AC821" s="469"/>
      <c r="AD821" s="469"/>
      <c r="AE821" s="469"/>
      <c r="AF821" s="469"/>
      <c r="AG821" s="469"/>
      <c r="AH821" s="469"/>
      <c r="AI821" s="469"/>
      <c r="AJ821" s="469"/>
      <c r="AK821" s="469"/>
      <c r="AL821" s="469"/>
      <c r="AM821" s="469"/>
      <c r="AN821" s="469"/>
      <c r="AO821" s="469"/>
    </row>
    <row r="822">
      <c r="A822" s="687"/>
      <c r="B822" s="685"/>
      <c r="C822" s="687"/>
      <c r="D822" s="687"/>
      <c r="E822" s="687"/>
      <c r="F822" s="687"/>
      <c r="G822" s="687"/>
      <c r="H822" s="688"/>
      <c r="I822" s="688"/>
      <c r="J822" s="688"/>
      <c r="K822" s="85"/>
      <c r="L822" s="85"/>
      <c r="M822" s="85"/>
      <c r="N822" s="85"/>
      <c r="O822" s="85"/>
      <c r="P822" s="85"/>
      <c r="Q822" s="138"/>
      <c r="R822" s="138"/>
      <c r="S822" s="138"/>
      <c r="T822" s="138"/>
      <c r="U822" s="138"/>
      <c r="V822" s="138"/>
      <c r="W822" s="469"/>
      <c r="X822" s="469"/>
      <c r="Y822" s="469"/>
      <c r="Z822" s="469"/>
      <c r="AA822" s="469"/>
      <c r="AB822" s="469"/>
      <c r="AC822" s="469"/>
      <c r="AD822" s="469"/>
      <c r="AE822" s="469"/>
      <c r="AF822" s="469"/>
      <c r="AG822" s="469"/>
      <c r="AH822" s="469"/>
      <c r="AI822" s="469"/>
      <c r="AJ822" s="469"/>
      <c r="AK822" s="469"/>
      <c r="AL822" s="469"/>
      <c r="AM822" s="469"/>
      <c r="AN822" s="469"/>
      <c r="AO822" s="469"/>
    </row>
    <row r="823">
      <c r="A823" s="687"/>
      <c r="B823" s="685"/>
      <c r="C823" s="687"/>
      <c r="D823" s="687"/>
      <c r="E823" s="687"/>
      <c r="F823" s="687"/>
      <c r="G823" s="687"/>
      <c r="H823" s="688"/>
      <c r="I823" s="688"/>
      <c r="J823" s="688"/>
      <c r="K823" s="85"/>
      <c r="L823" s="85"/>
      <c r="M823" s="85"/>
      <c r="N823" s="85"/>
      <c r="O823" s="85"/>
      <c r="P823" s="85"/>
      <c r="Q823" s="138"/>
      <c r="R823" s="138"/>
      <c r="S823" s="138"/>
      <c r="T823" s="138"/>
      <c r="U823" s="138"/>
      <c r="V823" s="138"/>
      <c r="W823" s="469"/>
      <c r="X823" s="469"/>
      <c r="Y823" s="469"/>
      <c r="Z823" s="469"/>
      <c r="AA823" s="469"/>
      <c r="AB823" s="469"/>
      <c r="AC823" s="469"/>
      <c r="AD823" s="469"/>
      <c r="AE823" s="469"/>
      <c r="AF823" s="469"/>
      <c r="AG823" s="469"/>
      <c r="AH823" s="469"/>
      <c r="AI823" s="469"/>
      <c r="AJ823" s="469"/>
      <c r="AK823" s="469"/>
      <c r="AL823" s="469"/>
      <c r="AM823" s="469"/>
      <c r="AN823" s="469"/>
      <c r="AO823" s="469"/>
    </row>
    <row r="824">
      <c r="A824" s="687"/>
      <c r="B824" s="685"/>
      <c r="C824" s="687"/>
      <c r="D824" s="687"/>
      <c r="E824" s="687"/>
      <c r="F824" s="687"/>
      <c r="G824" s="687"/>
      <c r="H824" s="688"/>
      <c r="I824" s="688"/>
      <c r="J824" s="688"/>
      <c r="K824" s="85"/>
      <c r="L824" s="85"/>
      <c r="M824" s="85"/>
      <c r="N824" s="85"/>
      <c r="O824" s="85"/>
      <c r="P824" s="85"/>
      <c r="Q824" s="138"/>
      <c r="R824" s="138"/>
      <c r="S824" s="138"/>
      <c r="T824" s="138"/>
      <c r="U824" s="138"/>
      <c r="V824" s="138"/>
      <c r="W824" s="469"/>
      <c r="X824" s="469"/>
      <c r="Y824" s="469"/>
      <c r="Z824" s="469"/>
      <c r="AA824" s="469"/>
      <c r="AB824" s="469"/>
      <c r="AC824" s="469"/>
      <c r="AD824" s="469"/>
      <c r="AE824" s="469"/>
      <c r="AF824" s="469"/>
      <c r="AG824" s="469"/>
      <c r="AH824" s="469"/>
      <c r="AI824" s="469"/>
      <c r="AJ824" s="469"/>
      <c r="AK824" s="469"/>
      <c r="AL824" s="469"/>
      <c r="AM824" s="469"/>
      <c r="AN824" s="469"/>
      <c r="AO824" s="469"/>
    </row>
    <row r="825">
      <c r="A825" s="687"/>
      <c r="B825" s="685"/>
      <c r="C825" s="687"/>
      <c r="D825" s="687"/>
      <c r="E825" s="687"/>
      <c r="F825" s="687"/>
      <c r="G825" s="687"/>
      <c r="H825" s="688"/>
      <c r="I825" s="688"/>
      <c r="J825" s="688"/>
      <c r="K825" s="85"/>
      <c r="L825" s="85"/>
      <c r="M825" s="85"/>
      <c r="N825" s="85"/>
      <c r="O825" s="85"/>
      <c r="P825" s="85"/>
      <c r="Q825" s="138"/>
      <c r="R825" s="138"/>
      <c r="S825" s="138"/>
      <c r="T825" s="138"/>
      <c r="U825" s="138"/>
      <c r="V825" s="138"/>
      <c r="W825" s="82"/>
      <c r="X825" s="82"/>
      <c r="Y825" s="82"/>
      <c r="Z825" s="82"/>
      <c r="AA825" s="82"/>
      <c r="AB825" s="82"/>
      <c r="AC825" s="82"/>
      <c r="AD825" s="82"/>
      <c r="AE825" s="82"/>
      <c r="AF825" s="82"/>
      <c r="AG825" s="82"/>
      <c r="AH825" s="82"/>
      <c r="AI825" s="82"/>
      <c r="AJ825" s="82"/>
      <c r="AK825" s="82"/>
      <c r="AL825" s="82"/>
      <c r="AM825" s="82"/>
      <c r="AN825" s="82"/>
      <c r="AO825" s="82"/>
    </row>
    <row r="826">
      <c r="A826" s="687"/>
      <c r="B826" s="685"/>
      <c r="C826" s="687"/>
      <c r="D826" s="687"/>
      <c r="E826" s="687"/>
      <c r="F826" s="687"/>
      <c r="G826" s="687"/>
      <c r="H826" s="688"/>
      <c r="I826" s="688"/>
      <c r="J826" s="688"/>
      <c r="K826" s="85"/>
      <c r="L826" s="85"/>
      <c r="M826" s="85"/>
      <c r="N826" s="85"/>
      <c r="O826" s="85"/>
      <c r="P826" s="85"/>
      <c r="Q826" s="138"/>
      <c r="R826" s="138"/>
      <c r="S826" s="138"/>
      <c r="T826" s="138"/>
      <c r="U826" s="138"/>
      <c r="V826" s="138"/>
      <c r="W826" s="82"/>
      <c r="X826" s="82"/>
      <c r="Y826" s="82"/>
      <c r="Z826" s="82"/>
      <c r="AA826" s="82"/>
      <c r="AB826" s="82"/>
      <c r="AC826" s="82"/>
      <c r="AD826" s="82"/>
      <c r="AE826" s="82"/>
      <c r="AF826" s="82"/>
      <c r="AG826" s="82"/>
      <c r="AH826" s="82"/>
      <c r="AI826" s="82"/>
      <c r="AJ826" s="82"/>
      <c r="AK826" s="82"/>
      <c r="AL826" s="82"/>
      <c r="AM826" s="82"/>
      <c r="AN826" s="82"/>
      <c r="AO826" s="82"/>
    </row>
    <row r="827">
      <c r="A827" s="687"/>
      <c r="B827" s="685"/>
      <c r="C827" s="687"/>
      <c r="D827" s="687"/>
      <c r="E827" s="687"/>
      <c r="F827" s="687"/>
      <c r="G827" s="687"/>
      <c r="H827" s="688"/>
      <c r="I827" s="688"/>
      <c r="J827" s="688"/>
      <c r="K827" s="85"/>
      <c r="L827" s="85"/>
      <c r="M827" s="85"/>
      <c r="N827" s="85"/>
      <c r="O827" s="85"/>
      <c r="P827" s="85"/>
      <c r="Q827" s="138"/>
      <c r="R827" s="138"/>
      <c r="S827" s="138"/>
      <c r="T827" s="138"/>
      <c r="U827" s="138"/>
      <c r="V827" s="138"/>
      <c r="W827" s="82"/>
      <c r="X827" s="82"/>
      <c r="Y827" s="82"/>
      <c r="Z827" s="82"/>
      <c r="AA827" s="82"/>
      <c r="AB827" s="82"/>
      <c r="AC827" s="82"/>
      <c r="AD827" s="82"/>
      <c r="AE827" s="82"/>
      <c r="AF827" s="82"/>
      <c r="AG827" s="82"/>
      <c r="AH827" s="82"/>
      <c r="AI827" s="82"/>
      <c r="AJ827" s="82"/>
      <c r="AK827" s="82"/>
      <c r="AL827" s="82"/>
      <c r="AM827" s="82"/>
      <c r="AN827" s="82"/>
      <c r="AO827" s="82"/>
    </row>
    <row r="828">
      <c r="A828" s="687"/>
      <c r="B828" s="685"/>
      <c r="C828" s="687"/>
      <c r="D828" s="687"/>
      <c r="E828" s="687"/>
      <c r="F828" s="687"/>
      <c r="G828" s="687"/>
      <c r="H828" s="688"/>
      <c r="I828" s="688"/>
      <c r="J828" s="688"/>
      <c r="K828" s="85"/>
      <c r="L828" s="85"/>
      <c r="M828" s="85"/>
      <c r="N828" s="85"/>
      <c r="O828" s="85"/>
      <c r="P828" s="85"/>
      <c r="Q828" s="138"/>
      <c r="R828" s="138"/>
      <c r="S828" s="138"/>
      <c r="T828" s="138"/>
      <c r="U828" s="138"/>
      <c r="V828" s="138"/>
      <c r="W828" s="82"/>
      <c r="X828" s="82"/>
      <c r="Y828" s="82"/>
      <c r="Z828" s="82"/>
      <c r="AA828" s="82"/>
      <c r="AB828" s="82"/>
      <c r="AC828" s="82"/>
      <c r="AD828" s="82"/>
      <c r="AE828" s="82"/>
      <c r="AF828" s="82"/>
      <c r="AG828" s="82"/>
      <c r="AH828" s="82"/>
      <c r="AI828" s="82"/>
      <c r="AJ828" s="82"/>
      <c r="AK828" s="82"/>
      <c r="AL828" s="82"/>
      <c r="AM828" s="82"/>
      <c r="AN828" s="82"/>
      <c r="AO828" s="82"/>
    </row>
    <row r="829">
      <c r="A829" s="687"/>
      <c r="B829" s="685"/>
      <c r="C829" s="687"/>
      <c r="D829" s="687"/>
      <c r="E829" s="687"/>
      <c r="F829" s="687"/>
      <c r="G829" s="687"/>
      <c r="H829" s="688"/>
      <c r="I829" s="688"/>
      <c r="J829" s="688"/>
      <c r="K829" s="85"/>
      <c r="L829" s="85"/>
      <c r="M829" s="85"/>
      <c r="N829" s="85"/>
      <c r="O829" s="85"/>
      <c r="P829" s="85"/>
      <c r="Q829" s="138"/>
      <c r="R829" s="138"/>
      <c r="S829" s="138"/>
      <c r="T829" s="138"/>
      <c r="U829" s="138"/>
      <c r="V829" s="138"/>
      <c r="W829" s="82"/>
      <c r="X829" s="82"/>
      <c r="Y829" s="82"/>
      <c r="Z829" s="82"/>
      <c r="AA829" s="82"/>
      <c r="AB829" s="82"/>
      <c r="AC829" s="82"/>
      <c r="AD829" s="82"/>
      <c r="AE829" s="82"/>
      <c r="AF829" s="82"/>
      <c r="AG829" s="82"/>
      <c r="AH829" s="82"/>
      <c r="AI829" s="82"/>
      <c r="AJ829" s="82"/>
      <c r="AK829" s="82"/>
      <c r="AL829" s="82"/>
      <c r="AM829" s="82"/>
      <c r="AN829" s="82"/>
      <c r="AO829" s="82"/>
    </row>
    <row r="830">
      <c r="A830" s="687"/>
      <c r="B830" s="685"/>
      <c r="C830" s="687"/>
      <c r="D830" s="687"/>
      <c r="E830" s="687"/>
      <c r="F830" s="687"/>
      <c r="G830" s="687"/>
      <c r="H830" s="688"/>
      <c r="I830" s="688"/>
      <c r="J830" s="688"/>
      <c r="K830" s="85"/>
      <c r="L830" s="85"/>
      <c r="M830" s="85"/>
      <c r="N830" s="85"/>
      <c r="O830" s="85"/>
      <c r="P830" s="85"/>
      <c r="Q830" s="138"/>
      <c r="R830" s="138"/>
      <c r="S830" s="138"/>
      <c r="T830" s="138"/>
      <c r="U830" s="138"/>
      <c r="V830" s="138"/>
      <c r="W830" s="82"/>
      <c r="X830" s="82"/>
      <c r="Y830" s="82"/>
      <c r="Z830" s="82"/>
      <c r="AA830" s="82"/>
      <c r="AB830" s="82"/>
      <c r="AC830" s="82"/>
      <c r="AD830" s="82"/>
      <c r="AE830" s="82"/>
      <c r="AF830" s="82"/>
      <c r="AG830" s="82"/>
      <c r="AH830" s="82"/>
      <c r="AI830" s="82"/>
      <c r="AJ830" s="82"/>
      <c r="AK830" s="82"/>
      <c r="AL830" s="82"/>
      <c r="AM830" s="82"/>
      <c r="AN830" s="82"/>
      <c r="AO830" s="82"/>
    </row>
    <row r="831">
      <c r="A831" s="687"/>
      <c r="B831" s="685"/>
      <c r="C831" s="687"/>
      <c r="D831" s="687"/>
      <c r="E831" s="687"/>
      <c r="F831" s="687"/>
      <c r="G831" s="687"/>
      <c r="H831" s="688"/>
      <c r="I831" s="688"/>
      <c r="J831" s="688"/>
      <c r="K831" s="85"/>
      <c r="L831" s="85"/>
      <c r="M831" s="85"/>
      <c r="N831" s="85"/>
      <c r="O831" s="85"/>
      <c r="P831" s="85"/>
      <c r="Q831" s="138"/>
      <c r="R831" s="138"/>
      <c r="S831" s="138"/>
      <c r="T831" s="138"/>
      <c r="U831" s="138"/>
      <c r="V831" s="138"/>
      <c r="W831" s="82"/>
      <c r="X831" s="82"/>
      <c r="Y831" s="82"/>
      <c r="Z831" s="82"/>
      <c r="AA831" s="82"/>
      <c r="AB831" s="82"/>
      <c r="AC831" s="82"/>
      <c r="AD831" s="82"/>
      <c r="AE831" s="82"/>
      <c r="AF831" s="82"/>
      <c r="AG831" s="82"/>
      <c r="AH831" s="82"/>
      <c r="AI831" s="82"/>
      <c r="AJ831" s="82"/>
      <c r="AK831" s="82"/>
      <c r="AL831" s="82"/>
      <c r="AM831" s="82"/>
      <c r="AN831" s="82"/>
      <c r="AO831" s="82"/>
    </row>
    <row r="832">
      <c r="A832" s="687"/>
      <c r="B832" s="685"/>
      <c r="C832" s="687"/>
      <c r="D832" s="687"/>
      <c r="E832" s="687"/>
      <c r="F832" s="687"/>
      <c r="G832" s="687"/>
      <c r="H832" s="688"/>
      <c r="I832" s="688"/>
      <c r="J832" s="688"/>
      <c r="K832" s="85"/>
      <c r="L832" s="85"/>
      <c r="M832" s="85"/>
      <c r="N832" s="85"/>
      <c r="O832" s="85"/>
      <c r="P832" s="85"/>
      <c r="Q832" s="138"/>
      <c r="R832" s="138"/>
      <c r="S832" s="138"/>
      <c r="T832" s="138"/>
      <c r="U832" s="138"/>
      <c r="V832" s="138"/>
      <c r="W832" s="82"/>
      <c r="X832" s="82"/>
      <c r="Y832" s="82"/>
      <c r="Z832" s="82"/>
      <c r="AA832" s="82"/>
      <c r="AB832" s="82"/>
      <c r="AC832" s="82"/>
      <c r="AD832" s="82"/>
      <c r="AE832" s="82"/>
      <c r="AF832" s="82"/>
      <c r="AG832" s="82"/>
      <c r="AH832" s="82"/>
      <c r="AI832" s="82"/>
      <c r="AJ832" s="82"/>
      <c r="AK832" s="82"/>
      <c r="AL832" s="82"/>
      <c r="AM832" s="82"/>
      <c r="AN832" s="82"/>
      <c r="AO832" s="82"/>
    </row>
    <row r="833">
      <c r="A833" s="687"/>
      <c r="B833" s="685"/>
      <c r="C833" s="687"/>
      <c r="D833" s="687"/>
      <c r="E833" s="687"/>
      <c r="F833" s="687"/>
      <c r="G833" s="687"/>
      <c r="H833" s="688"/>
      <c r="I833" s="688"/>
      <c r="J833" s="688"/>
      <c r="K833" s="85"/>
      <c r="L833" s="85"/>
      <c r="M833" s="85"/>
      <c r="N833" s="85"/>
      <c r="O833" s="85"/>
      <c r="P833" s="85"/>
      <c r="Q833" s="138"/>
      <c r="R833" s="138"/>
      <c r="S833" s="138"/>
      <c r="T833" s="138"/>
      <c r="U833" s="138"/>
      <c r="V833" s="138"/>
      <c r="W833" s="82"/>
      <c r="X833" s="82"/>
      <c r="Y833" s="82"/>
      <c r="Z833" s="82"/>
      <c r="AA833" s="82"/>
      <c r="AB833" s="82"/>
      <c r="AC833" s="82"/>
      <c r="AD833" s="82"/>
      <c r="AE833" s="82"/>
      <c r="AF833" s="82"/>
      <c r="AG833" s="82"/>
      <c r="AH833" s="82"/>
      <c r="AI833" s="82"/>
      <c r="AJ833" s="82"/>
      <c r="AK833" s="82"/>
      <c r="AL833" s="82"/>
      <c r="AM833" s="82"/>
      <c r="AN833" s="82"/>
      <c r="AO833" s="82"/>
    </row>
    <row r="834">
      <c r="A834" s="687"/>
      <c r="B834" s="685"/>
      <c r="C834" s="687"/>
      <c r="D834" s="687"/>
      <c r="E834" s="687"/>
      <c r="F834" s="687"/>
      <c r="G834" s="687"/>
      <c r="H834" s="688"/>
      <c r="I834" s="688"/>
      <c r="J834" s="688"/>
      <c r="K834" s="85"/>
      <c r="L834" s="85"/>
      <c r="M834" s="85"/>
      <c r="N834" s="85"/>
      <c r="O834" s="85"/>
      <c r="P834" s="85"/>
      <c r="Q834" s="138"/>
      <c r="R834" s="138"/>
      <c r="S834" s="138"/>
      <c r="T834" s="138"/>
      <c r="U834" s="138"/>
      <c r="V834" s="138"/>
      <c r="W834" s="82"/>
      <c r="X834" s="82"/>
      <c r="Y834" s="82"/>
      <c r="Z834" s="82"/>
      <c r="AA834" s="82"/>
      <c r="AB834" s="82"/>
      <c r="AC834" s="82"/>
      <c r="AD834" s="82"/>
      <c r="AE834" s="82"/>
      <c r="AF834" s="82"/>
      <c r="AG834" s="82"/>
      <c r="AH834" s="82"/>
      <c r="AI834" s="82"/>
      <c r="AJ834" s="82"/>
      <c r="AK834" s="82"/>
      <c r="AL834" s="82"/>
      <c r="AM834" s="82"/>
      <c r="AN834" s="82"/>
      <c r="AO834" s="82"/>
    </row>
    <row r="835">
      <c r="A835" s="687"/>
      <c r="B835" s="685"/>
      <c r="C835" s="687"/>
      <c r="D835" s="687"/>
      <c r="E835" s="687"/>
      <c r="F835" s="687"/>
      <c r="G835" s="687"/>
      <c r="H835" s="688"/>
      <c r="I835" s="688"/>
      <c r="J835" s="688"/>
      <c r="K835" s="85"/>
      <c r="L835" s="85"/>
      <c r="M835" s="85"/>
      <c r="N835" s="85"/>
      <c r="O835" s="85"/>
      <c r="P835" s="85"/>
      <c r="Q835" s="138"/>
      <c r="R835" s="138"/>
      <c r="S835" s="138"/>
      <c r="T835" s="138"/>
      <c r="U835" s="138"/>
      <c r="V835" s="138"/>
      <c r="W835" s="82"/>
      <c r="X835" s="82"/>
      <c r="Y835" s="82"/>
      <c r="Z835" s="82"/>
      <c r="AA835" s="82"/>
      <c r="AB835" s="82"/>
      <c r="AC835" s="82"/>
      <c r="AD835" s="82"/>
      <c r="AE835" s="82"/>
      <c r="AF835" s="82"/>
      <c r="AG835" s="82"/>
      <c r="AH835" s="82"/>
      <c r="AI835" s="82"/>
      <c r="AJ835" s="82"/>
      <c r="AK835" s="82"/>
      <c r="AL835" s="82"/>
      <c r="AM835" s="82"/>
      <c r="AN835" s="82"/>
      <c r="AO835" s="82"/>
    </row>
    <row r="836">
      <c r="A836" s="687"/>
      <c r="B836" s="685"/>
      <c r="C836" s="687"/>
      <c r="D836" s="687"/>
      <c r="E836" s="687"/>
      <c r="F836" s="687"/>
      <c r="G836" s="687"/>
      <c r="H836" s="688"/>
      <c r="I836" s="688"/>
      <c r="J836" s="688"/>
      <c r="K836" s="85"/>
      <c r="L836" s="85"/>
      <c r="M836" s="85"/>
      <c r="N836" s="85"/>
      <c r="O836" s="85"/>
      <c r="P836" s="85"/>
      <c r="Q836" s="138"/>
      <c r="R836" s="138"/>
      <c r="S836" s="138"/>
      <c r="T836" s="138"/>
      <c r="U836" s="138"/>
      <c r="V836" s="138"/>
      <c r="W836" s="82"/>
      <c r="X836" s="82"/>
      <c r="Y836" s="82"/>
      <c r="Z836" s="82"/>
      <c r="AA836" s="82"/>
      <c r="AB836" s="82"/>
      <c r="AC836" s="82"/>
      <c r="AD836" s="82"/>
      <c r="AE836" s="82"/>
      <c r="AF836" s="82"/>
      <c r="AG836" s="82"/>
      <c r="AH836" s="82"/>
      <c r="AI836" s="82"/>
      <c r="AJ836" s="82"/>
      <c r="AK836" s="82"/>
      <c r="AL836" s="82"/>
      <c r="AM836" s="82"/>
      <c r="AN836" s="82"/>
      <c r="AO836" s="82"/>
    </row>
    <row r="837">
      <c r="A837" s="687"/>
      <c r="B837" s="685"/>
      <c r="C837" s="687"/>
      <c r="D837" s="687"/>
      <c r="E837" s="687"/>
      <c r="F837" s="687"/>
      <c r="G837" s="687"/>
      <c r="H837" s="688"/>
      <c r="I837" s="688"/>
      <c r="J837" s="688"/>
      <c r="K837" s="85"/>
      <c r="L837" s="85"/>
      <c r="M837" s="85"/>
      <c r="N837" s="85"/>
      <c r="O837" s="85"/>
      <c r="P837" s="85"/>
      <c r="Q837" s="138"/>
      <c r="R837" s="138"/>
      <c r="S837" s="138"/>
      <c r="T837" s="138"/>
      <c r="U837" s="138"/>
      <c r="V837" s="138"/>
      <c r="W837" s="82"/>
      <c r="X837" s="82"/>
      <c r="Y837" s="82"/>
      <c r="Z837" s="82"/>
      <c r="AA837" s="82"/>
      <c r="AB837" s="82"/>
      <c r="AC837" s="82"/>
      <c r="AD837" s="82"/>
      <c r="AE837" s="82"/>
      <c r="AF837" s="82"/>
      <c r="AG837" s="82"/>
      <c r="AH837" s="82"/>
      <c r="AI837" s="82"/>
      <c r="AJ837" s="82"/>
      <c r="AK837" s="82"/>
      <c r="AL837" s="82"/>
      <c r="AM837" s="82"/>
      <c r="AN837" s="82"/>
      <c r="AO837" s="82"/>
    </row>
    <row r="838">
      <c r="A838" s="687"/>
      <c r="B838" s="685"/>
      <c r="C838" s="687"/>
      <c r="D838" s="687"/>
      <c r="E838" s="687"/>
      <c r="F838" s="687"/>
      <c r="G838" s="687"/>
      <c r="H838" s="688"/>
      <c r="I838" s="688"/>
      <c r="J838" s="688"/>
      <c r="K838" s="85"/>
      <c r="L838" s="85"/>
      <c r="M838" s="85"/>
      <c r="N838" s="85"/>
      <c r="O838" s="85"/>
      <c r="P838" s="85"/>
      <c r="Q838" s="138"/>
      <c r="R838" s="138"/>
      <c r="S838" s="138"/>
      <c r="T838" s="138"/>
      <c r="U838" s="138"/>
      <c r="V838" s="138"/>
      <c r="W838" s="82"/>
      <c r="X838" s="82"/>
      <c r="Y838" s="82"/>
      <c r="Z838" s="82"/>
      <c r="AA838" s="82"/>
      <c r="AB838" s="82"/>
      <c r="AC838" s="82"/>
      <c r="AD838" s="82"/>
      <c r="AE838" s="82"/>
      <c r="AF838" s="82"/>
      <c r="AG838" s="82"/>
      <c r="AH838" s="82"/>
      <c r="AI838" s="82"/>
      <c r="AJ838" s="82"/>
      <c r="AK838" s="82"/>
      <c r="AL838" s="82"/>
      <c r="AM838" s="82"/>
      <c r="AN838" s="82"/>
      <c r="AO838" s="82"/>
    </row>
    <row r="839">
      <c r="A839" s="687"/>
      <c r="B839" s="685"/>
      <c r="C839" s="687"/>
      <c r="D839" s="687"/>
      <c r="E839" s="687"/>
      <c r="F839" s="687"/>
      <c r="G839" s="687"/>
      <c r="H839" s="688"/>
      <c r="I839" s="688"/>
      <c r="J839" s="688"/>
      <c r="K839" s="85"/>
      <c r="L839" s="85"/>
      <c r="M839" s="85"/>
      <c r="N839" s="85"/>
      <c r="O839" s="85"/>
      <c r="P839" s="85"/>
      <c r="Q839" s="138"/>
      <c r="R839" s="138"/>
      <c r="S839" s="138"/>
      <c r="T839" s="138"/>
      <c r="U839" s="138"/>
      <c r="V839" s="138"/>
      <c r="W839" s="82"/>
      <c r="X839" s="82"/>
      <c r="Y839" s="82"/>
      <c r="Z839" s="82"/>
      <c r="AA839" s="82"/>
      <c r="AB839" s="82"/>
      <c r="AC839" s="82"/>
      <c r="AD839" s="82"/>
      <c r="AE839" s="82"/>
      <c r="AF839" s="82"/>
      <c r="AG839" s="82"/>
      <c r="AH839" s="82"/>
      <c r="AI839" s="82"/>
      <c r="AJ839" s="82"/>
      <c r="AK839" s="82"/>
      <c r="AL839" s="82"/>
      <c r="AM839" s="82"/>
      <c r="AN839" s="82"/>
      <c r="AO839" s="82"/>
    </row>
    <row r="840">
      <c r="A840" s="687"/>
      <c r="B840" s="685"/>
      <c r="C840" s="687"/>
      <c r="D840" s="687"/>
      <c r="E840" s="687"/>
      <c r="F840" s="687"/>
      <c r="G840" s="687"/>
      <c r="H840" s="688"/>
      <c r="I840" s="688"/>
      <c r="J840" s="688"/>
      <c r="K840" s="85"/>
      <c r="L840" s="85"/>
      <c r="M840" s="85"/>
      <c r="N840" s="85"/>
      <c r="O840" s="85"/>
      <c r="P840" s="85"/>
      <c r="Q840" s="138"/>
      <c r="R840" s="138"/>
      <c r="S840" s="138"/>
      <c r="T840" s="138"/>
      <c r="U840" s="138"/>
      <c r="V840" s="138"/>
      <c r="W840" s="82"/>
      <c r="X840" s="82"/>
      <c r="Y840" s="82"/>
      <c r="Z840" s="82"/>
      <c r="AA840" s="82"/>
      <c r="AB840" s="82"/>
      <c r="AC840" s="82"/>
      <c r="AD840" s="82"/>
      <c r="AE840" s="82"/>
      <c r="AF840" s="82"/>
      <c r="AG840" s="82"/>
      <c r="AH840" s="82"/>
      <c r="AI840" s="82"/>
      <c r="AJ840" s="82"/>
      <c r="AK840" s="82"/>
      <c r="AL840" s="82"/>
      <c r="AM840" s="82"/>
      <c r="AN840" s="82"/>
      <c r="AO840" s="82"/>
    </row>
    <row r="841">
      <c r="A841" s="687"/>
      <c r="B841" s="685"/>
      <c r="C841" s="687"/>
      <c r="D841" s="687"/>
      <c r="E841" s="687"/>
      <c r="F841" s="687"/>
      <c r="G841" s="687"/>
      <c r="H841" s="688"/>
      <c r="I841" s="688"/>
      <c r="J841" s="688"/>
      <c r="K841" s="85"/>
      <c r="L841" s="85"/>
      <c r="M841" s="85"/>
      <c r="N841" s="85"/>
      <c r="O841" s="85"/>
      <c r="P841" s="85"/>
      <c r="Q841" s="138"/>
      <c r="R841" s="138"/>
      <c r="S841" s="138"/>
      <c r="T841" s="138"/>
      <c r="U841" s="138"/>
      <c r="V841" s="138"/>
      <c r="W841" s="82"/>
      <c r="X841" s="82"/>
      <c r="Y841" s="82"/>
      <c r="Z841" s="82"/>
      <c r="AA841" s="82"/>
      <c r="AB841" s="82"/>
      <c r="AC841" s="82"/>
      <c r="AD841" s="82"/>
      <c r="AE841" s="82"/>
      <c r="AF841" s="82"/>
      <c r="AG841" s="82"/>
      <c r="AH841" s="82"/>
      <c r="AI841" s="82"/>
      <c r="AJ841" s="82"/>
      <c r="AK841" s="82"/>
      <c r="AL841" s="82"/>
      <c r="AM841" s="82"/>
      <c r="AN841" s="82"/>
      <c r="AO841" s="82"/>
    </row>
    <row r="842">
      <c r="A842" s="687"/>
      <c r="B842" s="685"/>
      <c r="C842" s="687"/>
      <c r="D842" s="687"/>
      <c r="E842" s="687"/>
      <c r="F842" s="687"/>
      <c r="G842" s="687"/>
      <c r="H842" s="688"/>
      <c r="I842" s="688"/>
      <c r="J842" s="688"/>
      <c r="K842" s="85"/>
      <c r="L842" s="85"/>
      <c r="M842" s="85"/>
      <c r="N842" s="85"/>
      <c r="O842" s="85"/>
      <c r="P842" s="85"/>
      <c r="Q842" s="138"/>
      <c r="R842" s="138"/>
      <c r="S842" s="138"/>
      <c r="T842" s="138"/>
      <c r="U842" s="138"/>
      <c r="V842" s="138"/>
      <c r="W842" s="82"/>
      <c r="X842" s="82"/>
      <c r="Y842" s="82"/>
      <c r="Z842" s="82"/>
      <c r="AA842" s="82"/>
      <c r="AB842" s="82"/>
      <c r="AC842" s="82"/>
      <c r="AD842" s="82"/>
      <c r="AE842" s="82"/>
      <c r="AF842" s="82"/>
      <c r="AG842" s="82"/>
      <c r="AH842" s="82"/>
      <c r="AI842" s="82"/>
      <c r="AJ842" s="82"/>
      <c r="AK842" s="82"/>
      <c r="AL842" s="82"/>
      <c r="AM842" s="82"/>
      <c r="AN842" s="82"/>
      <c r="AO842" s="82"/>
    </row>
    <row r="843">
      <c r="A843" s="687"/>
      <c r="B843" s="685"/>
      <c r="C843" s="687"/>
      <c r="D843" s="687"/>
      <c r="E843" s="687"/>
      <c r="F843" s="687"/>
      <c r="G843" s="687"/>
      <c r="H843" s="688"/>
      <c r="I843" s="688"/>
      <c r="J843" s="688"/>
      <c r="K843" s="85"/>
      <c r="L843" s="85"/>
      <c r="M843" s="85"/>
      <c r="N843" s="85"/>
      <c r="O843" s="85"/>
      <c r="P843" s="85"/>
      <c r="Q843" s="138"/>
      <c r="R843" s="138"/>
      <c r="S843" s="138"/>
      <c r="T843" s="138"/>
      <c r="U843" s="138"/>
      <c r="V843" s="138"/>
      <c r="W843" s="82"/>
      <c r="X843" s="82"/>
      <c r="Y843" s="82"/>
      <c r="Z843" s="82"/>
      <c r="AA843" s="82"/>
      <c r="AB843" s="82"/>
      <c r="AC843" s="82"/>
      <c r="AD843" s="82"/>
      <c r="AE843" s="82"/>
      <c r="AF843" s="82"/>
      <c r="AG843" s="82"/>
      <c r="AH843" s="82"/>
      <c r="AI843" s="82"/>
      <c r="AJ843" s="82"/>
      <c r="AK843" s="82"/>
      <c r="AL843" s="82"/>
      <c r="AM843" s="82"/>
      <c r="AN843" s="82"/>
      <c r="AO843" s="82"/>
    </row>
    <row r="844">
      <c r="A844" s="687"/>
      <c r="B844" s="685"/>
      <c r="C844" s="687"/>
      <c r="D844" s="687"/>
      <c r="E844" s="687"/>
      <c r="F844" s="687"/>
      <c r="G844" s="687"/>
      <c r="H844" s="688"/>
      <c r="I844" s="688"/>
      <c r="J844" s="688"/>
      <c r="K844" s="85"/>
      <c r="L844" s="85"/>
      <c r="M844" s="85"/>
      <c r="N844" s="85"/>
      <c r="O844" s="85"/>
      <c r="P844" s="85"/>
      <c r="Q844" s="138"/>
      <c r="R844" s="138"/>
      <c r="S844" s="138"/>
      <c r="T844" s="138"/>
      <c r="U844" s="138"/>
      <c r="V844" s="82"/>
      <c r="W844" s="82"/>
      <c r="X844" s="82"/>
      <c r="Y844" s="82"/>
      <c r="Z844" s="82"/>
      <c r="AA844" s="82"/>
      <c r="AB844" s="82"/>
      <c r="AC844" s="82"/>
      <c r="AD844" s="82"/>
      <c r="AE844" s="82"/>
      <c r="AF844" s="82"/>
      <c r="AG844" s="82"/>
      <c r="AH844" s="82"/>
      <c r="AI844" s="82"/>
      <c r="AJ844" s="82"/>
      <c r="AK844" s="82"/>
      <c r="AL844" s="82"/>
      <c r="AM844" s="82"/>
      <c r="AN844" s="82"/>
      <c r="AO844" s="82"/>
    </row>
    <row r="845">
      <c r="A845" s="687"/>
      <c r="B845" s="685"/>
      <c r="C845" s="687"/>
      <c r="D845" s="687"/>
      <c r="E845" s="687"/>
      <c r="F845" s="687"/>
      <c r="G845" s="687"/>
      <c r="H845" s="688"/>
      <c r="I845" s="688"/>
      <c r="J845" s="688"/>
      <c r="K845" s="85"/>
      <c r="L845" s="85"/>
      <c r="M845" s="85"/>
      <c r="N845" s="85"/>
      <c r="O845" s="85"/>
      <c r="P845" s="85"/>
      <c r="Q845" s="138"/>
      <c r="R845" s="138"/>
      <c r="S845" s="138"/>
      <c r="T845" s="138"/>
      <c r="U845" s="138"/>
      <c r="V845" s="82"/>
      <c r="W845" s="82"/>
      <c r="X845" s="82"/>
      <c r="Y845" s="82"/>
      <c r="Z845" s="82"/>
      <c r="AA845" s="82"/>
      <c r="AB845" s="82"/>
      <c r="AC845" s="82"/>
      <c r="AD845" s="82"/>
      <c r="AE845" s="82"/>
      <c r="AF845" s="82"/>
      <c r="AG845" s="82"/>
      <c r="AH845" s="82"/>
      <c r="AI845" s="82"/>
      <c r="AJ845" s="82"/>
      <c r="AK845" s="82"/>
      <c r="AL845" s="82"/>
      <c r="AM845" s="82"/>
      <c r="AN845" s="82"/>
      <c r="AO845" s="82"/>
    </row>
    <row r="846">
      <c r="A846" s="687"/>
      <c r="B846" s="685"/>
      <c r="C846" s="687"/>
      <c r="D846" s="687"/>
      <c r="E846" s="687"/>
      <c r="F846" s="687"/>
      <c r="G846" s="687"/>
      <c r="H846" s="688"/>
      <c r="I846" s="688"/>
      <c r="J846" s="688"/>
      <c r="K846" s="85"/>
      <c r="L846" s="85"/>
      <c r="M846" s="85"/>
      <c r="N846" s="85"/>
      <c r="O846" s="85"/>
      <c r="P846" s="85"/>
      <c r="Q846" s="138"/>
      <c r="R846" s="138"/>
      <c r="S846" s="138"/>
      <c r="T846" s="138"/>
      <c r="U846" s="138"/>
      <c r="V846" s="82"/>
      <c r="W846" s="82"/>
      <c r="X846" s="82"/>
      <c r="Y846" s="82"/>
      <c r="Z846" s="82"/>
      <c r="AA846" s="82"/>
      <c r="AB846" s="82"/>
      <c r="AC846" s="82"/>
      <c r="AD846" s="82"/>
      <c r="AE846" s="82"/>
      <c r="AF846" s="82"/>
      <c r="AG846" s="82"/>
      <c r="AH846" s="82"/>
      <c r="AI846" s="82"/>
      <c r="AJ846" s="82"/>
      <c r="AK846" s="82"/>
      <c r="AL846" s="82"/>
      <c r="AM846" s="82"/>
      <c r="AN846" s="82"/>
      <c r="AO846" s="82"/>
    </row>
    <row r="847">
      <c r="A847" s="687"/>
      <c r="B847" s="685"/>
      <c r="C847" s="687"/>
      <c r="D847" s="687"/>
      <c r="E847" s="687"/>
      <c r="F847" s="687"/>
      <c r="G847" s="687"/>
      <c r="H847" s="688"/>
      <c r="I847" s="688"/>
      <c r="J847" s="688"/>
      <c r="K847" s="85"/>
      <c r="L847" s="85"/>
      <c r="M847" s="85"/>
      <c r="N847" s="85"/>
      <c r="O847" s="85"/>
      <c r="P847" s="85"/>
      <c r="Q847" s="138"/>
      <c r="R847" s="138"/>
      <c r="S847" s="138"/>
      <c r="T847" s="138"/>
      <c r="U847" s="138"/>
      <c r="V847" s="82"/>
      <c r="W847" s="82"/>
      <c r="X847" s="82"/>
      <c r="Y847" s="82"/>
      <c r="Z847" s="82"/>
      <c r="AA847" s="82"/>
      <c r="AB847" s="82"/>
      <c r="AC847" s="82"/>
      <c r="AD847" s="82"/>
      <c r="AE847" s="82"/>
      <c r="AF847" s="82"/>
      <c r="AG847" s="82"/>
      <c r="AH847" s="82"/>
      <c r="AI847" s="82"/>
      <c r="AJ847" s="82"/>
      <c r="AK847" s="82"/>
      <c r="AL847" s="82"/>
      <c r="AM847" s="82"/>
      <c r="AN847" s="82"/>
      <c r="AO847" s="82"/>
    </row>
    <row r="848">
      <c r="A848" s="687"/>
      <c r="B848" s="685"/>
      <c r="C848" s="687"/>
      <c r="D848" s="687"/>
      <c r="E848" s="687"/>
      <c r="F848" s="687"/>
      <c r="G848" s="687"/>
      <c r="H848" s="688"/>
      <c r="I848" s="688"/>
      <c r="J848" s="688"/>
      <c r="K848" s="85"/>
      <c r="L848" s="85"/>
      <c r="M848" s="85"/>
      <c r="N848" s="85"/>
      <c r="O848" s="85"/>
      <c r="P848" s="85"/>
      <c r="Q848" s="138"/>
      <c r="R848" s="138"/>
      <c r="S848" s="138"/>
      <c r="T848" s="138"/>
      <c r="U848" s="138"/>
      <c r="V848" s="82"/>
      <c r="W848" s="82"/>
      <c r="X848" s="82"/>
      <c r="Y848" s="82"/>
      <c r="Z848" s="82"/>
      <c r="AA848" s="82"/>
      <c r="AB848" s="82"/>
      <c r="AC848" s="82"/>
      <c r="AD848" s="82"/>
      <c r="AE848" s="82"/>
      <c r="AF848" s="82"/>
      <c r="AG848" s="82"/>
      <c r="AH848" s="82"/>
      <c r="AI848" s="82"/>
      <c r="AJ848" s="82"/>
      <c r="AK848" s="82"/>
      <c r="AL848" s="82"/>
      <c r="AM848" s="82"/>
      <c r="AN848" s="82"/>
      <c r="AO848" s="82"/>
    </row>
    <row r="849">
      <c r="A849" s="687"/>
      <c r="B849" s="685"/>
      <c r="C849" s="687"/>
      <c r="D849" s="687"/>
      <c r="E849" s="687"/>
      <c r="F849" s="687"/>
      <c r="G849" s="687"/>
      <c r="H849" s="688"/>
      <c r="I849" s="688"/>
      <c r="J849" s="688"/>
      <c r="K849" s="85"/>
      <c r="L849" s="85"/>
      <c r="M849" s="85"/>
      <c r="N849" s="85"/>
      <c r="O849" s="85"/>
      <c r="P849" s="85"/>
      <c r="Q849" s="138"/>
      <c r="R849" s="138"/>
      <c r="S849" s="138"/>
      <c r="T849" s="138"/>
      <c r="U849" s="138"/>
      <c r="V849" s="82"/>
      <c r="W849" s="82"/>
      <c r="X849" s="82"/>
      <c r="Y849" s="82"/>
      <c r="Z849" s="82"/>
      <c r="AA849" s="82"/>
      <c r="AB849" s="82"/>
      <c r="AC849" s="82"/>
      <c r="AD849" s="82"/>
      <c r="AE849" s="82"/>
      <c r="AF849" s="82"/>
      <c r="AG849" s="82"/>
      <c r="AH849" s="82"/>
      <c r="AI849" s="82"/>
      <c r="AJ849" s="82"/>
      <c r="AK849" s="82"/>
      <c r="AL849" s="82"/>
      <c r="AM849" s="82"/>
      <c r="AN849" s="82"/>
      <c r="AO849" s="82"/>
    </row>
    <row r="850">
      <c r="A850" s="687"/>
      <c r="B850" s="685"/>
      <c r="C850" s="687"/>
      <c r="D850" s="687"/>
      <c r="E850" s="687"/>
      <c r="F850" s="687"/>
      <c r="G850" s="687"/>
      <c r="H850" s="688"/>
      <c r="I850" s="688"/>
      <c r="J850" s="688"/>
      <c r="K850" s="85"/>
      <c r="L850" s="85"/>
      <c r="M850" s="85"/>
      <c r="N850" s="85"/>
      <c r="O850" s="85"/>
      <c r="P850" s="85"/>
      <c r="Q850" s="138"/>
      <c r="R850" s="138"/>
      <c r="S850" s="138"/>
      <c r="T850" s="138"/>
      <c r="U850" s="138"/>
      <c r="V850" s="82"/>
      <c r="W850" s="82"/>
      <c r="X850" s="82"/>
      <c r="Y850" s="82"/>
      <c r="Z850" s="82"/>
      <c r="AA850" s="82"/>
      <c r="AB850" s="82"/>
      <c r="AC850" s="82"/>
      <c r="AD850" s="82"/>
      <c r="AE850" s="82"/>
      <c r="AF850" s="82"/>
      <c r="AG850" s="82"/>
      <c r="AH850" s="82"/>
      <c r="AI850" s="82"/>
      <c r="AJ850" s="82"/>
      <c r="AK850" s="82"/>
      <c r="AL850" s="82"/>
      <c r="AM850" s="82"/>
      <c r="AN850" s="82"/>
      <c r="AO850" s="82"/>
    </row>
    <row r="851">
      <c r="A851" s="687"/>
      <c r="B851" s="685"/>
      <c r="C851" s="687"/>
      <c r="D851" s="687"/>
      <c r="E851" s="687"/>
      <c r="F851" s="687"/>
      <c r="G851" s="687"/>
      <c r="H851" s="688"/>
      <c r="I851" s="688"/>
      <c r="J851" s="688"/>
      <c r="K851" s="688"/>
      <c r="L851" s="688"/>
      <c r="M851" s="688"/>
      <c r="N851" s="688"/>
      <c r="O851" s="688"/>
      <c r="P851" s="688"/>
      <c r="Q851" s="721"/>
      <c r="R851" s="721"/>
      <c r="S851" s="721"/>
      <c r="T851" s="721"/>
      <c r="U851" s="721"/>
      <c r="V851" s="82"/>
      <c r="W851" s="82"/>
      <c r="X851" s="82"/>
      <c r="Y851" s="82"/>
      <c r="Z851" s="82"/>
      <c r="AA851" s="82"/>
      <c r="AB851" s="82"/>
      <c r="AC851" s="82"/>
      <c r="AD851" s="82"/>
      <c r="AE851" s="82"/>
      <c r="AF851" s="82"/>
      <c r="AG851" s="82"/>
      <c r="AH851" s="82"/>
      <c r="AI851" s="82"/>
      <c r="AJ851" s="82"/>
      <c r="AK851" s="82"/>
      <c r="AL851" s="82"/>
      <c r="AM851" s="82"/>
      <c r="AN851" s="82"/>
      <c r="AO851" s="82"/>
    </row>
    <row r="852">
      <c r="A852" s="687"/>
      <c r="B852" s="685"/>
      <c r="C852" s="687"/>
      <c r="D852" s="687"/>
      <c r="E852" s="687"/>
      <c r="F852" s="687"/>
      <c r="G852" s="687"/>
      <c r="H852" s="688"/>
      <c r="I852" s="688"/>
      <c r="J852" s="688"/>
      <c r="K852" s="688"/>
      <c r="L852" s="688"/>
      <c r="M852" s="688"/>
      <c r="N852" s="688"/>
      <c r="O852" s="688"/>
      <c r="P852" s="688"/>
      <c r="Q852" s="721"/>
      <c r="R852" s="721"/>
      <c r="S852" s="721"/>
      <c r="T852" s="721"/>
      <c r="U852" s="721"/>
      <c r="V852" s="82"/>
      <c r="W852" s="82"/>
      <c r="X852" s="82"/>
      <c r="Y852" s="82"/>
      <c r="Z852" s="82"/>
      <c r="AA852" s="82"/>
      <c r="AB852" s="82"/>
      <c r="AC852" s="82"/>
      <c r="AD852" s="82"/>
      <c r="AE852" s="82"/>
      <c r="AF852" s="82"/>
      <c r="AG852" s="82"/>
      <c r="AH852" s="82"/>
      <c r="AI852" s="82"/>
      <c r="AJ852" s="82"/>
      <c r="AK852" s="82"/>
      <c r="AL852" s="82"/>
      <c r="AM852" s="82"/>
      <c r="AN852" s="82"/>
      <c r="AO852" s="82"/>
    </row>
    <row r="853">
      <c r="A853" s="687"/>
      <c r="B853" s="685"/>
      <c r="C853" s="687"/>
      <c r="D853" s="687"/>
      <c r="E853" s="687"/>
      <c r="F853" s="687"/>
      <c r="G853" s="687"/>
      <c r="H853" s="688"/>
      <c r="I853" s="688"/>
      <c r="J853" s="688"/>
      <c r="K853" s="688"/>
      <c r="L853" s="688"/>
      <c r="M853" s="688"/>
      <c r="N853" s="688"/>
      <c r="O853" s="688"/>
      <c r="P853" s="688"/>
      <c r="Q853" s="721"/>
      <c r="R853" s="721"/>
      <c r="S853" s="721"/>
      <c r="T853" s="721"/>
      <c r="U853" s="721"/>
      <c r="V853" s="82"/>
      <c r="W853" s="82"/>
      <c r="X853" s="82"/>
      <c r="Y853" s="82"/>
      <c r="Z853" s="82"/>
      <c r="AA853" s="82"/>
      <c r="AB853" s="82"/>
      <c r="AC853" s="82"/>
      <c r="AD853" s="82"/>
      <c r="AE853" s="82"/>
      <c r="AF853" s="82"/>
      <c r="AG853" s="82"/>
      <c r="AH853" s="82"/>
      <c r="AI853" s="82"/>
      <c r="AJ853" s="82"/>
      <c r="AK853" s="82"/>
      <c r="AL853" s="82"/>
      <c r="AM853" s="82"/>
      <c r="AN853" s="82"/>
      <c r="AO853" s="82"/>
    </row>
    <row r="854">
      <c r="A854" s="687"/>
      <c r="B854" s="685"/>
      <c r="C854" s="687"/>
      <c r="D854" s="687"/>
      <c r="E854" s="687"/>
      <c r="F854" s="687"/>
      <c r="G854" s="687"/>
      <c r="H854" s="688"/>
      <c r="I854" s="688"/>
      <c r="J854" s="688"/>
      <c r="K854" s="688"/>
      <c r="L854" s="688"/>
      <c r="M854" s="688"/>
      <c r="N854" s="688"/>
      <c r="O854" s="688"/>
      <c r="P854" s="688"/>
      <c r="Q854" s="721"/>
      <c r="R854" s="721"/>
      <c r="S854" s="721"/>
      <c r="T854" s="721"/>
      <c r="U854" s="721"/>
      <c r="V854" s="82"/>
      <c r="W854" s="82"/>
      <c r="X854" s="82"/>
      <c r="Y854" s="82"/>
      <c r="Z854" s="82"/>
      <c r="AA854" s="82"/>
      <c r="AB854" s="82"/>
      <c r="AC854" s="82"/>
      <c r="AD854" s="82"/>
      <c r="AE854" s="82"/>
      <c r="AF854" s="82"/>
      <c r="AG854" s="82"/>
      <c r="AH854" s="82"/>
      <c r="AI854" s="82"/>
      <c r="AJ854" s="82"/>
      <c r="AK854" s="82"/>
      <c r="AL854" s="82"/>
      <c r="AM854" s="82"/>
      <c r="AN854" s="82"/>
      <c r="AO854" s="82"/>
    </row>
    <row r="855">
      <c r="A855" s="687"/>
      <c r="B855" s="685"/>
      <c r="C855" s="687"/>
      <c r="D855" s="687"/>
      <c r="E855" s="687"/>
      <c r="F855" s="687"/>
      <c r="G855" s="687"/>
      <c r="H855" s="688"/>
      <c r="I855" s="688"/>
      <c r="J855" s="688"/>
      <c r="K855" s="688"/>
      <c r="L855" s="688"/>
      <c r="M855" s="688"/>
      <c r="N855" s="688"/>
      <c r="O855" s="688"/>
      <c r="P855" s="688"/>
      <c r="Q855" s="721"/>
      <c r="R855" s="721"/>
      <c r="S855" s="721"/>
      <c r="T855" s="721"/>
      <c r="U855" s="721"/>
      <c r="V855" s="82"/>
      <c r="W855" s="82"/>
      <c r="X855" s="82"/>
      <c r="Y855" s="82"/>
      <c r="Z855" s="82"/>
      <c r="AA855" s="82"/>
      <c r="AB855" s="82"/>
      <c r="AC855" s="82"/>
      <c r="AD855" s="82"/>
      <c r="AE855" s="82"/>
      <c r="AF855" s="82"/>
      <c r="AG855" s="82"/>
      <c r="AH855" s="82"/>
      <c r="AI855" s="82"/>
      <c r="AJ855" s="82"/>
      <c r="AK855" s="82"/>
      <c r="AL855" s="82"/>
      <c r="AM855" s="82"/>
      <c r="AN855" s="82"/>
      <c r="AO855" s="82"/>
    </row>
    <row r="856">
      <c r="A856" s="687"/>
      <c r="B856" s="685"/>
      <c r="C856" s="687"/>
      <c r="D856" s="687"/>
      <c r="E856" s="687"/>
      <c r="F856" s="687"/>
      <c r="G856" s="687"/>
      <c r="H856" s="688"/>
      <c r="I856" s="688"/>
      <c r="J856" s="688"/>
      <c r="K856" s="688"/>
      <c r="L856" s="688"/>
      <c r="M856" s="688"/>
      <c r="N856" s="688"/>
      <c r="O856" s="688"/>
      <c r="P856" s="688"/>
      <c r="Q856" s="721"/>
      <c r="R856" s="721"/>
      <c r="S856" s="721"/>
      <c r="T856" s="721"/>
      <c r="U856" s="721"/>
      <c r="V856" s="82"/>
      <c r="W856" s="82"/>
      <c r="X856" s="82"/>
      <c r="Y856" s="82"/>
      <c r="Z856" s="82"/>
      <c r="AA856" s="82"/>
      <c r="AB856" s="82"/>
      <c r="AC856" s="82"/>
      <c r="AD856" s="82"/>
      <c r="AE856" s="82"/>
      <c r="AF856" s="82"/>
      <c r="AG856" s="82"/>
      <c r="AH856" s="82"/>
      <c r="AI856" s="82"/>
      <c r="AJ856" s="82"/>
      <c r="AK856" s="82"/>
      <c r="AL856" s="82"/>
      <c r="AM856" s="82"/>
      <c r="AN856" s="82"/>
      <c r="AO856" s="82"/>
    </row>
    <row r="857">
      <c r="A857" s="687"/>
      <c r="B857" s="685"/>
      <c r="C857" s="687"/>
      <c r="D857" s="687"/>
      <c r="E857" s="687"/>
      <c r="F857" s="687"/>
      <c r="G857" s="687"/>
      <c r="H857" s="688"/>
      <c r="I857" s="688"/>
      <c r="J857" s="688"/>
      <c r="K857" s="688"/>
      <c r="L857" s="688"/>
      <c r="M857" s="688"/>
      <c r="N857" s="688"/>
      <c r="O857" s="688"/>
      <c r="P857" s="688"/>
      <c r="Q857" s="721"/>
      <c r="R857" s="721"/>
      <c r="S857" s="721"/>
      <c r="T857" s="721"/>
      <c r="U857" s="721"/>
      <c r="V857" s="82"/>
      <c r="W857" s="82"/>
      <c r="X857" s="82"/>
      <c r="Y857" s="82"/>
      <c r="Z857" s="82"/>
      <c r="AA857" s="82"/>
      <c r="AB857" s="82"/>
      <c r="AC857" s="82"/>
      <c r="AD857" s="82"/>
      <c r="AE857" s="82"/>
      <c r="AF857" s="82"/>
      <c r="AG857" s="82"/>
      <c r="AH857" s="82"/>
      <c r="AI857" s="82"/>
      <c r="AJ857" s="82"/>
      <c r="AK857" s="82"/>
      <c r="AL857" s="82"/>
      <c r="AM857" s="82"/>
      <c r="AN857" s="82"/>
      <c r="AO857" s="82"/>
    </row>
    <row r="858">
      <c r="A858" s="687"/>
      <c r="B858" s="685"/>
      <c r="C858" s="687"/>
      <c r="D858" s="687"/>
      <c r="E858" s="687"/>
      <c r="F858" s="687"/>
      <c r="G858" s="687"/>
      <c r="H858" s="688"/>
      <c r="I858" s="688"/>
      <c r="J858" s="688"/>
      <c r="K858" s="688"/>
      <c r="L858" s="688"/>
      <c r="M858" s="688"/>
      <c r="N858" s="688"/>
      <c r="O858" s="688"/>
      <c r="P858" s="688"/>
      <c r="Q858" s="721"/>
      <c r="R858" s="721"/>
      <c r="S858" s="721"/>
      <c r="T858" s="721"/>
      <c r="U858" s="721"/>
      <c r="V858" s="82"/>
      <c r="W858" s="82"/>
      <c r="X858" s="82"/>
      <c r="Y858" s="82"/>
      <c r="Z858" s="82"/>
      <c r="AA858" s="82"/>
      <c r="AB858" s="82"/>
      <c r="AC858" s="82"/>
      <c r="AD858" s="82"/>
      <c r="AE858" s="82"/>
      <c r="AF858" s="82"/>
      <c r="AG858" s="82"/>
      <c r="AH858" s="82"/>
      <c r="AI858" s="82"/>
      <c r="AJ858" s="82"/>
      <c r="AK858" s="82"/>
      <c r="AL858" s="82"/>
      <c r="AM858" s="82"/>
      <c r="AN858" s="82"/>
      <c r="AO858" s="82"/>
    </row>
    <row r="859">
      <c r="A859" s="687"/>
      <c r="B859" s="685"/>
      <c r="C859" s="687"/>
      <c r="D859" s="687"/>
      <c r="E859" s="687"/>
      <c r="F859" s="687"/>
      <c r="G859" s="687"/>
      <c r="H859" s="688"/>
      <c r="I859" s="688"/>
      <c r="J859" s="688"/>
      <c r="K859" s="688"/>
      <c r="L859" s="688"/>
      <c r="M859" s="688"/>
      <c r="N859" s="688"/>
      <c r="O859" s="688"/>
      <c r="P859" s="688"/>
      <c r="Q859" s="721"/>
      <c r="R859" s="721"/>
      <c r="S859" s="721"/>
      <c r="T859" s="721"/>
      <c r="U859" s="721"/>
      <c r="V859" s="82"/>
      <c r="W859" s="82"/>
      <c r="X859" s="82"/>
      <c r="Y859" s="82"/>
      <c r="Z859" s="82"/>
      <c r="AA859" s="82"/>
      <c r="AB859" s="82"/>
      <c r="AC859" s="82"/>
      <c r="AD859" s="82"/>
      <c r="AE859" s="82"/>
      <c r="AF859" s="82"/>
      <c r="AG859" s="82"/>
      <c r="AH859" s="82"/>
      <c r="AI859" s="82"/>
      <c r="AJ859" s="82"/>
      <c r="AK859" s="82"/>
      <c r="AL859" s="82"/>
      <c r="AM859" s="82"/>
      <c r="AN859" s="82"/>
      <c r="AO859" s="82"/>
    </row>
    <row r="860">
      <c r="A860" s="687"/>
      <c r="B860" s="685"/>
      <c r="C860" s="687"/>
      <c r="D860" s="687"/>
      <c r="E860" s="687"/>
      <c r="F860" s="687"/>
      <c r="G860" s="687"/>
      <c r="H860" s="688"/>
      <c r="I860" s="688"/>
      <c r="J860" s="688"/>
      <c r="K860" s="688"/>
      <c r="L860" s="688"/>
      <c r="M860" s="688"/>
      <c r="N860" s="688"/>
      <c r="O860" s="688"/>
      <c r="P860" s="688"/>
      <c r="Q860" s="721"/>
      <c r="R860" s="721"/>
      <c r="S860" s="721"/>
      <c r="T860" s="721"/>
      <c r="U860" s="721"/>
      <c r="V860" s="82"/>
      <c r="W860" s="82"/>
      <c r="X860" s="82"/>
      <c r="Y860" s="82"/>
      <c r="Z860" s="82"/>
      <c r="AA860" s="82"/>
      <c r="AB860" s="82"/>
      <c r="AC860" s="82"/>
      <c r="AD860" s="82"/>
      <c r="AE860" s="82"/>
      <c r="AF860" s="82"/>
      <c r="AG860" s="82"/>
      <c r="AH860" s="82"/>
      <c r="AI860" s="82"/>
      <c r="AJ860" s="82"/>
      <c r="AK860" s="82"/>
      <c r="AL860" s="82"/>
      <c r="AM860" s="82"/>
      <c r="AN860" s="82"/>
      <c r="AO860" s="82"/>
    </row>
    <row r="861">
      <c r="A861" s="687"/>
      <c r="B861" s="685"/>
      <c r="C861" s="687"/>
      <c r="D861" s="687"/>
      <c r="E861" s="687"/>
      <c r="F861" s="687"/>
      <c r="G861" s="687"/>
      <c r="H861" s="688"/>
      <c r="I861" s="688"/>
      <c r="J861" s="688"/>
      <c r="K861" s="688"/>
      <c r="L861" s="688"/>
      <c r="M861" s="688"/>
      <c r="N861" s="688"/>
      <c r="O861" s="688"/>
      <c r="P861" s="688"/>
      <c r="Q861" s="721"/>
      <c r="R861" s="721"/>
      <c r="S861" s="721"/>
      <c r="T861" s="721"/>
      <c r="U861" s="721"/>
      <c r="V861" s="82"/>
      <c r="W861" s="82"/>
      <c r="X861" s="82"/>
      <c r="Y861" s="82"/>
      <c r="Z861" s="82"/>
      <c r="AA861" s="82"/>
      <c r="AB861" s="82"/>
      <c r="AC861" s="82"/>
      <c r="AD861" s="82"/>
      <c r="AE861" s="82"/>
      <c r="AF861" s="82"/>
      <c r="AG861" s="82"/>
      <c r="AH861" s="82"/>
      <c r="AI861" s="82"/>
      <c r="AJ861" s="82"/>
      <c r="AK861" s="82"/>
      <c r="AL861" s="82"/>
      <c r="AM861" s="82"/>
      <c r="AN861" s="82"/>
      <c r="AO861" s="82"/>
    </row>
    <row r="862">
      <c r="A862" s="687"/>
      <c r="B862" s="685"/>
      <c r="C862" s="687"/>
      <c r="D862" s="687"/>
      <c r="E862" s="687"/>
      <c r="F862" s="687"/>
      <c r="G862" s="687"/>
      <c r="H862" s="688"/>
      <c r="I862" s="688"/>
      <c r="J862" s="688"/>
      <c r="K862" s="688"/>
      <c r="L862" s="688"/>
      <c r="M862" s="688"/>
      <c r="N862" s="688"/>
      <c r="O862" s="688"/>
      <c r="P862" s="688"/>
      <c r="Q862" s="721"/>
      <c r="R862" s="721"/>
      <c r="S862" s="721"/>
      <c r="T862" s="721"/>
      <c r="U862" s="721"/>
      <c r="V862" s="82"/>
      <c r="W862" s="82"/>
      <c r="X862" s="82"/>
      <c r="Y862" s="82"/>
      <c r="Z862" s="82"/>
      <c r="AA862" s="82"/>
      <c r="AB862" s="82"/>
      <c r="AC862" s="82"/>
      <c r="AD862" s="82"/>
      <c r="AE862" s="82"/>
      <c r="AF862" s="82"/>
      <c r="AG862" s="82"/>
      <c r="AH862" s="82"/>
      <c r="AI862" s="82"/>
      <c r="AJ862" s="82"/>
      <c r="AK862" s="82"/>
      <c r="AL862" s="82"/>
      <c r="AM862" s="82"/>
      <c r="AN862" s="82"/>
      <c r="AO862" s="82"/>
    </row>
    <row r="863">
      <c r="A863" s="687"/>
      <c r="B863" s="685"/>
      <c r="C863" s="687"/>
      <c r="D863" s="687"/>
      <c r="E863" s="687"/>
      <c r="F863" s="687"/>
      <c r="G863" s="687"/>
      <c r="H863" s="688"/>
      <c r="I863" s="688"/>
      <c r="J863" s="688"/>
      <c r="K863" s="688"/>
      <c r="L863" s="688"/>
      <c r="M863" s="688"/>
      <c r="N863" s="688"/>
      <c r="O863" s="688"/>
      <c r="P863" s="688"/>
      <c r="Q863" s="721"/>
      <c r="R863" s="721"/>
      <c r="S863" s="721"/>
      <c r="T863" s="721"/>
      <c r="U863" s="721"/>
      <c r="V863" s="82"/>
      <c r="W863" s="82"/>
      <c r="X863" s="82"/>
      <c r="Y863" s="82"/>
      <c r="Z863" s="82"/>
      <c r="AA863" s="82"/>
      <c r="AB863" s="82"/>
      <c r="AC863" s="82"/>
      <c r="AD863" s="82"/>
      <c r="AE863" s="82"/>
      <c r="AF863" s="82"/>
      <c r="AG863" s="82"/>
      <c r="AH863" s="82"/>
      <c r="AI863" s="82"/>
      <c r="AJ863" s="82"/>
      <c r="AK863" s="82"/>
      <c r="AL863" s="82"/>
      <c r="AM863" s="82"/>
      <c r="AN863" s="82"/>
      <c r="AO863" s="82"/>
    </row>
    <row r="864">
      <c r="A864" s="687"/>
      <c r="B864" s="685"/>
      <c r="C864" s="687"/>
      <c r="D864" s="687"/>
      <c r="E864" s="687"/>
      <c r="F864" s="687"/>
      <c r="G864" s="687"/>
      <c r="H864" s="688"/>
      <c r="I864" s="688"/>
      <c r="J864" s="688"/>
      <c r="K864" s="688"/>
      <c r="L864" s="688"/>
      <c r="M864" s="688"/>
      <c r="N864" s="688"/>
      <c r="O864" s="688"/>
      <c r="P864" s="688"/>
      <c r="Q864" s="721"/>
      <c r="R864" s="721"/>
      <c r="S864" s="721"/>
      <c r="T864" s="721"/>
      <c r="U864" s="721"/>
      <c r="V864" s="82"/>
      <c r="W864" s="82"/>
      <c r="X864" s="82"/>
      <c r="Y864" s="82"/>
      <c r="Z864" s="82"/>
      <c r="AA864" s="82"/>
      <c r="AB864" s="82"/>
      <c r="AC864" s="82"/>
      <c r="AD864" s="82"/>
      <c r="AE864" s="82"/>
      <c r="AF864" s="82"/>
      <c r="AG864" s="82"/>
      <c r="AH864" s="82"/>
      <c r="AI864" s="82"/>
      <c r="AJ864" s="82"/>
      <c r="AK864" s="82"/>
      <c r="AL864" s="82"/>
      <c r="AM864" s="82"/>
      <c r="AN864" s="82"/>
      <c r="AO864" s="82"/>
    </row>
    <row r="865">
      <c r="A865" s="687"/>
      <c r="B865" s="685"/>
      <c r="C865" s="687"/>
      <c r="D865" s="687"/>
      <c r="E865" s="687"/>
      <c r="F865" s="687"/>
      <c r="G865" s="687"/>
      <c r="H865" s="688"/>
      <c r="I865" s="688"/>
      <c r="J865" s="688"/>
      <c r="K865" s="688"/>
      <c r="L865" s="688"/>
      <c r="M865" s="688"/>
      <c r="N865" s="688"/>
      <c r="O865" s="688"/>
      <c r="P865" s="688"/>
      <c r="Q865" s="721"/>
      <c r="R865" s="721"/>
      <c r="S865" s="721"/>
      <c r="T865" s="721"/>
      <c r="U865" s="721"/>
      <c r="V865" s="82"/>
      <c r="W865" s="82"/>
      <c r="X865" s="82"/>
      <c r="Y865" s="82"/>
      <c r="Z865" s="82"/>
      <c r="AA865" s="82"/>
      <c r="AB865" s="82"/>
      <c r="AC865" s="82"/>
      <c r="AD865" s="82"/>
      <c r="AE865" s="82"/>
      <c r="AF865" s="82"/>
      <c r="AG865" s="82"/>
      <c r="AH865" s="82"/>
      <c r="AI865" s="82"/>
      <c r="AJ865" s="82"/>
      <c r="AK865" s="82"/>
      <c r="AL865" s="82"/>
      <c r="AM865" s="82"/>
      <c r="AN865" s="82"/>
      <c r="AO865" s="82"/>
    </row>
    <row r="866">
      <c r="A866" s="687"/>
      <c r="B866" s="685"/>
      <c r="C866" s="687"/>
      <c r="D866" s="687"/>
      <c r="E866" s="687"/>
      <c r="F866" s="687"/>
      <c r="G866" s="687"/>
      <c r="H866" s="688"/>
      <c r="I866" s="688"/>
      <c r="J866" s="688"/>
      <c r="K866" s="688"/>
      <c r="L866" s="688"/>
      <c r="M866" s="688"/>
      <c r="N866" s="688"/>
      <c r="O866" s="688"/>
      <c r="P866" s="688"/>
      <c r="Q866" s="721"/>
      <c r="R866" s="721"/>
      <c r="S866" s="721"/>
      <c r="T866" s="721"/>
      <c r="U866" s="721"/>
      <c r="V866" s="82"/>
      <c r="W866" s="82"/>
      <c r="X866" s="82"/>
      <c r="Y866" s="82"/>
      <c r="Z866" s="82"/>
      <c r="AA866" s="82"/>
      <c r="AB866" s="82"/>
      <c r="AC866" s="82"/>
      <c r="AD866" s="82"/>
      <c r="AE866" s="82"/>
      <c r="AF866" s="82"/>
      <c r="AG866" s="82"/>
      <c r="AH866" s="82"/>
      <c r="AI866" s="82"/>
      <c r="AJ866" s="82"/>
      <c r="AK866" s="82"/>
      <c r="AL866" s="82"/>
      <c r="AM866" s="82"/>
      <c r="AN866" s="82"/>
      <c r="AO866" s="82"/>
    </row>
    <row r="867">
      <c r="A867" s="687"/>
      <c r="B867" s="685"/>
      <c r="C867" s="687"/>
      <c r="D867" s="687"/>
      <c r="E867" s="687"/>
      <c r="F867" s="687"/>
      <c r="G867" s="687"/>
      <c r="H867" s="688"/>
      <c r="I867" s="688"/>
      <c r="J867" s="688"/>
      <c r="K867" s="688"/>
      <c r="L867" s="688"/>
      <c r="M867" s="688"/>
      <c r="N867" s="688"/>
      <c r="O867" s="688"/>
      <c r="P867" s="688"/>
      <c r="Q867" s="721"/>
      <c r="R867" s="721"/>
      <c r="S867" s="721"/>
      <c r="T867" s="721"/>
      <c r="U867" s="721"/>
      <c r="V867" s="82"/>
      <c r="W867" s="82"/>
      <c r="X867" s="82"/>
      <c r="Y867" s="82"/>
      <c r="Z867" s="82"/>
      <c r="AA867" s="82"/>
      <c r="AB867" s="82"/>
      <c r="AC867" s="82"/>
      <c r="AD867" s="82"/>
      <c r="AE867" s="82"/>
      <c r="AF867" s="82"/>
      <c r="AG867" s="82"/>
      <c r="AH867" s="82"/>
      <c r="AI867" s="82"/>
      <c r="AJ867" s="82"/>
      <c r="AK867" s="82"/>
      <c r="AL867" s="82"/>
      <c r="AM867" s="82"/>
      <c r="AN867" s="82"/>
      <c r="AO867" s="82"/>
    </row>
    <row r="868">
      <c r="A868" s="687"/>
      <c r="B868" s="685"/>
      <c r="C868" s="687"/>
      <c r="D868" s="687"/>
      <c r="E868" s="687"/>
      <c r="F868" s="687"/>
      <c r="G868" s="687"/>
      <c r="H868" s="688"/>
      <c r="I868" s="688"/>
      <c r="J868" s="688"/>
      <c r="K868" s="688"/>
      <c r="L868" s="688"/>
      <c r="M868" s="688"/>
      <c r="N868" s="688"/>
      <c r="O868" s="688"/>
      <c r="P868" s="688"/>
      <c r="Q868" s="721"/>
      <c r="R868" s="721"/>
      <c r="S868" s="721"/>
      <c r="T868" s="721"/>
      <c r="U868" s="721"/>
      <c r="V868" s="82"/>
      <c r="W868" s="82"/>
      <c r="X868" s="82"/>
      <c r="Y868" s="82"/>
      <c r="Z868" s="82"/>
      <c r="AA868" s="82"/>
      <c r="AB868" s="82"/>
      <c r="AC868" s="82"/>
      <c r="AD868" s="82"/>
      <c r="AE868" s="82"/>
      <c r="AF868" s="82"/>
      <c r="AG868" s="82"/>
      <c r="AH868" s="82"/>
      <c r="AI868" s="82"/>
      <c r="AJ868" s="82"/>
      <c r="AK868" s="82"/>
      <c r="AL868" s="82"/>
      <c r="AM868" s="82"/>
      <c r="AN868" s="82"/>
      <c r="AO868" s="82"/>
    </row>
    <row r="869">
      <c r="A869" s="687"/>
      <c r="B869" s="685"/>
      <c r="C869" s="687"/>
      <c r="D869" s="687"/>
      <c r="E869" s="687"/>
      <c r="F869" s="687"/>
      <c r="G869" s="687"/>
      <c r="H869" s="688"/>
      <c r="I869" s="688"/>
      <c r="J869" s="688"/>
      <c r="K869" s="688"/>
      <c r="L869" s="688"/>
      <c r="M869" s="688"/>
      <c r="N869" s="688"/>
      <c r="O869" s="688"/>
      <c r="P869" s="688"/>
      <c r="Q869" s="721"/>
      <c r="R869" s="721"/>
      <c r="S869" s="721"/>
      <c r="T869" s="721"/>
      <c r="U869" s="721"/>
      <c r="V869" s="82"/>
      <c r="W869" s="82"/>
      <c r="X869" s="82"/>
      <c r="Y869" s="82"/>
      <c r="Z869" s="82"/>
      <c r="AA869" s="82"/>
      <c r="AB869" s="82"/>
      <c r="AC869" s="82"/>
      <c r="AD869" s="82"/>
      <c r="AE869" s="82"/>
      <c r="AF869" s="82"/>
      <c r="AG869" s="82"/>
      <c r="AH869" s="82"/>
      <c r="AI869" s="82"/>
      <c r="AJ869" s="82"/>
      <c r="AK869" s="82"/>
      <c r="AL869" s="82"/>
      <c r="AM869" s="82"/>
      <c r="AN869" s="82"/>
      <c r="AO869" s="82"/>
    </row>
    <row r="870">
      <c r="A870" s="687"/>
      <c r="B870" s="685"/>
      <c r="C870" s="687"/>
      <c r="D870" s="687"/>
      <c r="E870" s="687"/>
      <c r="F870" s="687"/>
      <c r="G870" s="687"/>
      <c r="H870" s="688"/>
      <c r="I870" s="688"/>
      <c r="J870" s="688"/>
      <c r="K870" s="688"/>
      <c r="L870" s="688"/>
      <c r="M870" s="688"/>
      <c r="N870" s="688"/>
      <c r="O870" s="688"/>
      <c r="P870" s="688"/>
      <c r="Q870" s="721"/>
      <c r="R870" s="721"/>
      <c r="S870" s="721"/>
      <c r="T870" s="721"/>
      <c r="U870" s="721"/>
      <c r="V870" s="82"/>
      <c r="W870" s="82"/>
      <c r="X870" s="82"/>
      <c r="Y870" s="82"/>
      <c r="Z870" s="82"/>
      <c r="AA870" s="82"/>
      <c r="AB870" s="82"/>
      <c r="AC870" s="82"/>
      <c r="AD870" s="82"/>
      <c r="AE870" s="82"/>
      <c r="AF870" s="82"/>
      <c r="AG870" s="82"/>
      <c r="AH870" s="82"/>
      <c r="AI870" s="82"/>
      <c r="AJ870" s="82"/>
      <c r="AK870" s="82"/>
      <c r="AL870" s="82"/>
      <c r="AM870" s="82"/>
      <c r="AN870" s="82"/>
      <c r="AO870" s="82"/>
    </row>
    <row r="871">
      <c r="A871" s="687"/>
      <c r="B871" s="685"/>
      <c r="C871" s="687"/>
      <c r="D871" s="687"/>
      <c r="E871" s="687"/>
      <c r="F871" s="687"/>
      <c r="G871" s="687"/>
      <c r="H871" s="688"/>
      <c r="I871" s="688"/>
      <c r="J871" s="688"/>
      <c r="K871" s="688"/>
      <c r="L871" s="688"/>
      <c r="M871" s="688"/>
      <c r="N871" s="688"/>
      <c r="O871" s="688"/>
      <c r="P871" s="688"/>
      <c r="Q871" s="721"/>
      <c r="R871" s="721"/>
      <c r="S871" s="721"/>
      <c r="T871" s="721"/>
      <c r="U871" s="721"/>
      <c r="V871" s="82"/>
      <c r="W871" s="82"/>
      <c r="X871" s="82"/>
      <c r="Y871" s="82"/>
      <c r="Z871" s="82"/>
      <c r="AA871" s="82"/>
      <c r="AB871" s="82"/>
      <c r="AC871" s="82"/>
      <c r="AD871" s="82"/>
      <c r="AE871" s="82"/>
      <c r="AF871" s="82"/>
      <c r="AG871" s="82"/>
      <c r="AH871" s="82"/>
      <c r="AI871" s="82"/>
      <c r="AJ871" s="82"/>
      <c r="AK871" s="82"/>
      <c r="AL871" s="82"/>
      <c r="AM871" s="82"/>
      <c r="AN871" s="82"/>
      <c r="AO871" s="82"/>
    </row>
    <row r="872">
      <c r="A872" s="687"/>
      <c r="B872" s="685"/>
      <c r="C872" s="687"/>
      <c r="D872" s="687"/>
      <c r="E872" s="687"/>
      <c r="F872" s="687"/>
      <c r="G872" s="687"/>
      <c r="H872" s="688"/>
      <c r="I872" s="688"/>
      <c r="J872" s="688"/>
      <c r="K872" s="688"/>
      <c r="L872" s="688"/>
      <c r="M872" s="688"/>
      <c r="N872" s="688"/>
      <c r="O872" s="688"/>
      <c r="P872" s="688"/>
      <c r="Q872" s="721"/>
      <c r="R872" s="721"/>
      <c r="S872" s="721"/>
      <c r="T872" s="721"/>
      <c r="U872" s="721"/>
      <c r="V872" s="82"/>
      <c r="W872" s="82"/>
      <c r="X872" s="82"/>
      <c r="Y872" s="82"/>
      <c r="Z872" s="82"/>
      <c r="AA872" s="82"/>
      <c r="AB872" s="82"/>
      <c r="AC872" s="82"/>
      <c r="AD872" s="82"/>
      <c r="AE872" s="82"/>
      <c r="AF872" s="82"/>
      <c r="AG872" s="82"/>
      <c r="AH872" s="82"/>
      <c r="AI872" s="82"/>
      <c r="AJ872" s="82"/>
      <c r="AK872" s="82"/>
      <c r="AL872" s="82"/>
      <c r="AM872" s="82"/>
      <c r="AN872" s="82"/>
      <c r="AO872" s="82"/>
    </row>
    <row r="873">
      <c r="A873" s="687"/>
      <c r="B873" s="685"/>
      <c r="C873" s="687"/>
      <c r="D873" s="687"/>
      <c r="E873" s="687"/>
      <c r="F873" s="687"/>
      <c r="G873" s="687"/>
      <c r="H873" s="688"/>
      <c r="I873" s="688"/>
      <c r="J873" s="688"/>
      <c r="K873" s="688"/>
      <c r="L873" s="688"/>
      <c r="M873" s="688"/>
      <c r="N873" s="688"/>
      <c r="O873" s="688"/>
      <c r="P873" s="688"/>
      <c r="Q873" s="721"/>
      <c r="R873" s="721"/>
      <c r="S873" s="721"/>
      <c r="T873" s="721"/>
      <c r="U873" s="721"/>
      <c r="V873" s="82"/>
      <c r="W873" s="82"/>
      <c r="X873" s="82"/>
      <c r="Y873" s="82"/>
      <c r="Z873" s="82"/>
      <c r="AA873" s="82"/>
      <c r="AB873" s="82"/>
      <c r="AC873" s="82"/>
      <c r="AD873" s="82"/>
      <c r="AE873" s="82"/>
      <c r="AF873" s="82"/>
      <c r="AG873" s="82"/>
      <c r="AH873" s="82"/>
      <c r="AI873" s="82"/>
      <c r="AJ873" s="82"/>
      <c r="AK873" s="82"/>
      <c r="AL873" s="82"/>
      <c r="AM873" s="82"/>
      <c r="AN873" s="82"/>
      <c r="AO873" s="82"/>
    </row>
    <row r="874">
      <c r="A874" s="687"/>
      <c r="B874" s="685"/>
      <c r="C874" s="687"/>
      <c r="D874" s="687"/>
      <c r="E874" s="687"/>
      <c r="F874" s="687"/>
      <c r="G874" s="687"/>
      <c r="H874" s="688"/>
      <c r="I874" s="688"/>
      <c r="J874" s="688"/>
      <c r="K874" s="688"/>
      <c r="L874" s="688"/>
      <c r="M874" s="688"/>
      <c r="N874" s="688"/>
      <c r="O874" s="688"/>
      <c r="P874" s="688"/>
      <c r="Q874" s="721"/>
      <c r="R874" s="721"/>
      <c r="S874" s="721"/>
      <c r="T874" s="721"/>
      <c r="U874" s="721"/>
      <c r="V874" s="82"/>
      <c r="W874" s="82"/>
      <c r="X874" s="82"/>
      <c r="Y874" s="82"/>
      <c r="Z874" s="82"/>
      <c r="AA874" s="82"/>
      <c r="AB874" s="82"/>
      <c r="AC874" s="82"/>
      <c r="AD874" s="82"/>
      <c r="AE874" s="82"/>
      <c r="AF874" s="82"/>
      <c r="AG874" s="82"/>
      <c r="AH874" s="82"/>
      <c r="AI874" s="82"/>
      <c r="AJ874" s="82"/>
      <c r="AK874" s="82"/>
      <c r="AL874" s="82"/>
      <c r="AM874" s="82"/>
      <c r="AN874" s="82"/>
      <c r="AO874" s="82"/>
    </row>
    <row r="875">
      <c r="A875" s="687"/>
      <c r="B875" s="685"/>
      <c r="C875" s="687"/>
      <c r="D875" s="687"/>
      <c r="E875" s="687"/>
      <c r="F875" s="687"/>
      <c r="G875" s="687"/>
      <c r="H875" s="688"/>
      <c r="I875" s="688"/>
      <c r="J875" s="688"/>
      <c r="K875" s="688"/>
      <c r="L875" s="688"/>
      <c r="M875" s="688"/>
      <c r="N875" s="688"/>
      <c r="O875" s="688"/>
      <c r="P875" s="688"/>
      <c r="Q875" s="721"/>
      <c r="R875" s="721"/>
      <c r="S875" s="721"/>
      <c r="T875" s="721"/>
      <c r="U875" s="721"/>
      <c r="V875" s="82"/>
      <c r="W875" s="82"/>
      <c r="X875" s="82"/>
      <c r="Y875" s="82"/>
      <c r="Z875" s="82"/>
      <c r="AA875" s="82"/>
      <c r="AB875" s="82"/>
      <c r="AC875" s="82"/>
      <c r="AD875" s="82"/>
      <c r="AE875" s="82"/>
      <c r="AF875" s="82"/>
      <c r="AG875" s="82"/>
      <c r="AH875" s="82"/>
      <c r="AI875" s="82"/>
      <c r="AJ875" s="82"/>
      <c r="AK875" s="82"/>
      <c r="AL875" s="82"/>
      <c r="AM875" s="82"/>
      <c r="AN875" s="82"/>
      <c r="AO875" s="82"/>
    </row>
    <row r="876">
      <c r="A876" s="687"/>
      <c r="B876" s="685"/>
      <c r="C876" s="687"/>
      <c r="D876" s="687"/>
      <c r="E876" s="687"/>
      <c r="F876" s="687"/>
      <c r="G876" s="687"/>
      <c r="H876" s="688"/>
      <c r="I876" s="688"/>
      <c r="J876" s="688"/>
      <c r="K876" s="688"/>
      <c r="L876" s="688"/>
      <c r="M876" s="688"/>
      <c r="N876" s="688"/>
      <c r="O876" s="688"/>
      <c r="P876" s="688"/>
      <c r="Q876" s="721"/>
      <c r="R876" s="721"/>
      <c r="S876" s="721"/>
      <c r="T876" s="721"/>
      <c r="U876" s="721"/>
      <c r="V876" s="82"/>
      <c r="W876" s="82"/>
      <c r="X876" s="82"/>
      <c r="Y876" s="82"/>
      <c r="Z876" s="82"/>
      <c r="AA876" s="82"/>
      <c r="AB876" s="82"/>
      <c r="AC876" s="82"/>
      <c r="AD876" s="82"/>
      <c r="AE876" s="82"/>
      <c r="AF876" s="82"/>
      <c r="AG876" s="82"/>
      <c r="AH876" s="82"/>
      <c r="AI876" s="82"/>
      <c r="AJ876" s="82"/>
      <c r="AK876" s="82"/>
      <c r="AL876" s="82"/>
      <c r="AM876" s="82"/>
      <c r="AN876" s="82"/>
      <c r="AO876" s="82"/>
    </row>
    <row r="877">
      <c r="A877" s="687"/>
      <c r="B877" s="685"/>
      <c r="C877" s="687"/>
      <c r="D877" s="687"/>
      <c r="E877" s="687"/>
      <c r="F877" s="687"/>
      <c r="G877" s="687"/>
      <c r="H877" s="688"/>
      <c r="I877" s="688"/>
      <c r="J877" s="688"/>
      <c r="K877" s="688"/>
      <c r="L877" s="688"/>
      <c r="M877" s="688"/>
      <c r="N877" s="688"/>
      <c r="O877" s="688"/>
      <c r="P877" s="688"/>
      <c r="Q877" s="721"/>
      <c r="R877" s="721"/>
      <c r="S877" s="721"/>
      <c r="T877" s="721"/>
      <c r="U877" s="721"/>
      <c r="V877" s="82"/>
      <c r="W877" s="82"/>
      <c r="X877" s="82"/>
      <c r="Y877" s="82"/>
      <c r="Z877" s="82"/>
      <c r="AA877" s="82"/>
      <c r="AB877" s="82"/>
      <c r="AC877" s="82"/>
      <c r="AD877" s="82"/>
      <c r="AE877" s="82"/>
      <c r="AF877" s="82"/>
      <c r="AG877" s="82"/>
      <c r="AH877" s="82"/>
      <c r="AI877" s="82"/>
      <c r="AJ877" s="82"/>
      <c r="AK877" s="82"/>
      <c r="AL877" s="82"/>
      <c r="AM877" s="82"/>
      <c r="AN877" s="82"/>
      <c r="AO877" s="82"/>
    </row>
    <row r="878">
      <c r="A878" s="687"/>
      <c r="B878" s="685"/>
      <c r="C878" s="687"/>
      <c r="D878" s="687"/>
      <c r="E878" s="687"/>
      <c r="F878" s="687"/>
      <c r="G878" s="687"/>
      <c r="H878" s="688"/>
      <c r="I878" s="688"/>
      <c r="J878" s="688"/>
      <c r="K878" s="688"/>
      <c r="L878" s="688"/>
      <c r="M878" s="688"/>
      <c r="N878" s="688"/>
      <c r="O878" s="688"/>
      <c r="P878" s="688"/>
      <c r="Q878" s="721"/>
      <c r="R878" s="721"/>
      <c r="S878" s="721"/>
      <c r="T878" s="721"/>
      <c r="U878" s="721"/>
      <c r="V878" s="82"/>
      <c r="W878" s="82"/>
      <c r="X878" s="82"/>
      <c r="Y878" s="82"/>
      <c r="Z878" s="82"/>
      <c r="AA878" s="82"/>
      <c r="AB878" s="82"/>
      <c r="AC878" s="82"/>
      <c r="AD878" s="82"/>
      <c r="AE878" s="82"/>
      <c r="AF878" s="82"/>
      <c r="AG878" s="82"/>
      <c r="AH878" s="82"/>
      <c r="AI878" s="82"/>
      <c r="AJ878" s="82"/>
      <c r="AK878" s="82"/>
      <c r="AL878" s="82"/>
      <c r="AM878" s="82"/>
      <c r="AN878" s="82"/>
      <c r="AO878" s="82"/>
    </row>
    <row r="879">
      <c r="A879" s="687"/>
      <c r="B879" s="685"/>
      <c r="C879" s="687"/>
      <c r="D879" s="687"/>
      <c r="E879" s="687"/>
      <c r="F879" s="687"/>
      <c r="G879" s="687"/>
      <c r="H879" s="688"/>
      <c r="I879" s="688"/>
      <c r="J879" s="688"/>
      <c r="K879" s="688"/>
      <c r="L879" s="688"/>
      <c r="M879" s="688"/>
      <c r="N879" s="688"/>
      <c r="O879" s="688"/>
      <c r="P879" s="688"/>
      <c r="Q879" s="721"/>
      <c r="R879" s="721"/>
      <c r="S879" s="721"/>
      <c r="T879" s="721"/>
      <c r="U879" s="721"/>
      <c r="V879" s="82"/>
      <c r="W879" s="82"/>
      <c r="X879" s="82"/>
      <c r="Y879" s="82"/>
      <c r="Z879" s="82"/>
      <c r="AA879" s="82"/>
      <c r="AB879" s="82"/>
      <c r="AC879" s="82"/>
      <c r="AD879" s="82"/>
      <c r="AE879" s="82"/>
      <c r="AF879" s="82"/>
      <c r="AG879" s="82"/>
      <c r="AH879" s="82"/>
      <c r="AI879" s="82"/>
      <c r="AJ879" s="82"/>
      <c r="AK879" s="82"/>
      <c r="AL879" s="82"/>
      <c r="AM879" s="82"/>
      <c r="AN879" s="82"/>
      <c r="AO879" s="82"/>
    </row>
    <row r="880">
      <c r="A880" s="687"/>
      <c r="B880" s="685"/>
      <c r="C880" s="687"/>
      <c r="D880" s="687"/>
      <c r="E880" s="687"/>
      <c r="F880" s="687"/>
      <c r="G880" s="687"/>
      <c r="H880" s="688"/>
      <c r="I880" s="688"/>
      <c r="J880" s="688"/>
      <c r="K880" s="688"/>
      <c r="L880" s="688"/>
      <c r="M880" s="688"/>
      <c r="N880" s="688"/>
      <c r="O880" s="688"/>
      <c r="P880" s="688"/>
      <c r="Q880" s="721"/>
      <c r="R880" s="721"/>
      <c r="S880" s="721"/>
      <c r="T880" s="721"/>
      <c r="U880" s="721"/>
      <c r="V880" s="82"/>
      <c r="W880" s="82"/>
      <c r="X880" s="82"/>
      <c r="Y880" s="82"/>
      <c r="Z880" s="82"/>
      <c r="AA880" s="82"/>
      <c r="AB880" s="82"/>
      <c r="AC880" s="82"/>
      <c r="AD880" s="82"/>
      <c r="AE880" s="82"/>
      <c r="AF880" s="82"/>
      <c r="AG880" s="82"/>
      <c r="AH880" s="82"/>
      <c r="AI880" s="82"/>
      <c r="AJ880" s="82"/>
      <c r="AK880" s="82"/>
      <c r="AL880" s="82"/>
      <c r="AM880" s="82"/>
      <c r="AN880" s="82"/>
      <c r="AO880" s="82"/>
    </row>
    <row r="881">
      <c r="A881" s="687"/>
      <c r="B881" s="685"/>
      <c r="C881" s="687"/>
      <c r="D881" s="687"/>
      <c r="E881" s="687"/>
      <c r="F881" s="687"/>
      <c r="G881" s="687"/>
      <c r="H881" s="688"/>
      <c r="I881" s="688"/>
      <c r="J881" s="688"/>
      <c r="K881" s="688"/>
      <c r="L881" s="688"/>
      <c r="M881" s="688"/>
      <c r="N881" s="688"/>
      <c r="O881" s="688"/>
      <c r="P881" s="688"/>
      <c r="Q881" s="721"/>
      <c r="R881" s="721"/>
      <c r="S881" s="721"/>
      <c r="T881" s="721"/>
      <c r="U881" s="721"/>
      <c r="V881" s="82"/>
      <c r="W881" s="82"/>
      <c r="X881" s="82"/>
      <c r="Y881" s="82"/>
      <c r="Z881" s="82"/>
      <c r="AA881" s="82"/>
      <c r="AB881" s="82"/>
      <c r="AC881" s="82"/>
      <c r="AD881" s="82"/>
      <c r="AE881" s="82"/>
      <c r="AF881" s="82"/>
      <c r="AG881" s="82"/>
      <c r="AH881" s="82"/>
      <c r="AI881" s="82"/>
      <c r="AJ881" s="82"/>
      <c r="AK881" s="82"/>
      <c r="AL881" s="82"/>
      <c r="AM881" s="82"/>
      <c r="AN881" s="82"/>
      <c r="AO881" s="82"/>
    </row>
    <row r="882">
      <c r="A882" s="687"/>
      <c r="B882" s="685"/>
      <c r="C882" s="687"/>
      <c r="D882" s="687"/>
      <c r="E882" s="687"/>
      <c r="F882" s="687"/>
      <c r="G882" s="687"/>
      <c r="H882" s="688"/>
      <c r="I882" s="688"/>
      <c r="J882" s="688"/>
      <c r="K882" s="688"/>
      <c r="L882" s="688"/>
      <c r="M882" s="688"/>
      <c r="N882" s="688"/>
      <c r="O882" s="688"/>
      <c r="P882" s="688"/>
      <c r="Q882" s="721"/>
      <c r="R882" s="721"/>
      <c r="S882" s="721"/>
      <c r="T882" s="721"/>
      <c r="U882" s="721"/>
      <c r="V882" s="82"/>
      <c r="W882" s="82"/>
      <c r="X882" s="82"/>
      <c r="Y882" s="82"/>
      <c r="Z882" s="82"/>
      <c r="AA882" s="82"/>
      <c r="AB882" s="82"/>
      <c r="AC882" s="82"/>
      <c r="AD882" s="82"/>
      <c r="AE882" s="82"/>
      <c r="AF882" s="82"/>
      <c r="AG882" s="82"/>
      <c r="AH882" s="82"/>
      <c r="AI882" s="82"/>
      <c r="AJ882" s="82"/>
      <c r="AK882" s="82"/>
      <c r="AL882" s="82"/>
      <c r="AM882" s="82"/>
      <c r="AN882" s="82"/>
      <c r="AO882" s="82"/>
    </row>
    <row r="883">
      <c r="A883" s="687"/>
      <c r="B883" s="685"/>
      <c r="C883" s="687"/>
      <c r="D883" s="687"/>
      <c r="E883" s="687"/>
      <c r="F883" s="687"/>
      <c r="G883" s="687"/>
      <c r="H883" s="688"/>
      <c r="I883" s="688"/>
      <c r="J883" s="688"/>
      <c r="K883" s="688"/>
      <c r="L883" s="688"/>
      <c r="M883" s="688"/>
      <c r="N883" s="688"/>
      <c r="O883" s="688"/>
      <c r="P883" s="688"/>
      <c r="Q883" s="721"/>
      <c r="R883" s="721"/>
      <c r="S883" s="721"/>
      <c r="T883" s="721"/>
      <c r="U883" s="721"/>
      <c r="V883" s="82"/>
      <c r="W883" s="82"/>
      <c r="X883" s="82"/>
      <c r="Y883" s="82"/>
      <c r="Z883" s="82"/>
      <c r="AA883" s="82"/>
      <c r="AB883" s="82"/>
      <c r="AC883" s="82"/>
      <c r="AD883" s="82"/>
      <c r="AE883" s="82"/>
      <c r="AF883" s="82"/>
      <c r="AG883" s="82"/>
      <c r="AH883" s="82"/>
      <c r="AI883" s="82"/>
      <c r="AJ883" s="82"/>
      <c r="AK883" s="82"/>
      <c r="AL883" s="82"/>
      <c r="AM883" s="82"/>
      <c r="AN883" s="82"/>
      <c r="AO883" s="82"/>
    </row>
    <row r="884">
      <c r="A884" s="687"/>
      <c r="B884" s="685"/>
      <c r="C884" s="687"/>
      <c r="D884" s="687"/>
      <c r="E884" s="687"/>
      <c r="F884" s="687"/>
      <c r="G884" s="687"/>
      <c r="H884" s="688"/>
      <c r="I884" s="688"/>
      <c r="J884" s="688"/>
      <c r="K884" s="688"/>
      <c r="L884" s="688"/>
      <c r="M884" s="688"/>
      <c r="N884" s="688"/>
      <c r="O884" s="688"/>
      <c r="P884" s="688"/>
      <c r="Q884" s="721"/>
      <c r="R884" s="721"/>
      <c r="S884" s="721"/>
      <c r="T884" s="721"/>
      <c r="U884" s="721"/>
      <c r="V884" s="82"/>
      <c r="W884" s="82"/>
      <c r="X884" s="82"/>
      <c r="Y884" s="82"/>
      <c r="Z884" s="82"/>
      <c r="AA884" s="82"/>
      <c r="AB884" s="82"/>
      <c r="AC884" s="82"/>
      <c r="AD884" s="82"/>
      <c r="AE884" s="82"/>
      <c r="AF884" s="82"/>
      <c r="AG884" s="82"/>
      <c r="AH884" s="82"/>
      <c r="AI884" s="82"/>
      <c r="AJ884" s="82"/>
      <c r="AK884" s="82"/>
      <c r="AL884" s="82"/>
      <c r="AM884" s="82"/>
      <c r="AN884" s="82"/>
      <c r="AO884" s="82"/>
    </row>
    <row r="885">
      <c r="A885" s="687"/>
      <c r="B885" s="685"/>
      <c r="C885" s="687"/>
      <c r="D885" s="687"/>
      <c r="E885" s="687"/>
      <c r="F885" s="687"/>
      <c r="G885" s="687"/>
      <c r="H885" s="688"/>
      <c r="I885" s="688"/>
      <c r="J885" s="688"/>
      <c r="K885" s="688"/>
      <c r="L885" s="688"/>
      <c r="M885" s="688"/>
      <c r="N885" s="688"/>
      <c r="O885" s="688"/>
      <c r="P885" s="688"/>
      <c r="Q885" s="721"/>
      <c r="R885" s="721"/>
      <c r="S885" s="721"/>
      <c r="T885" s="721"/>
      <c r="U885" s="721"/>
      <c r="V885" s="82"/>
      <c r="W885" s="82"/>
      <c r="X885" s="82"/>
      <c r="Y885" s="82"/>
      <c r="Z885" s="82"/>
      <c r="AA885" s="82"/>
      <c r="AB885" s="82"/>
      <c r="AC885" s="82"/>
      <c r="AD885" s="82"/>
      <c r="AE885" s="82"/>
      <c r="AF885" s="82"/>
      <c r="AG885" s="82"/>
      <c r="AH885" s="82"/>
      <c r="AI885" s="82"/>
      <c r="AJ885" s="82"/>
      <c r="AK885" s="82"/>
      <c r="AL885" s="82"/>
      <c r="AM885" s="82"/>
      <c r="AN885" s="82"/>
      <c r="AO885" s="82"/>
    </row>
    <row r="886">
      <c r="A886" s="687"/>
      <c r="B886" s="685"/>
      <c r="C886" s="687"/>
      <c r="D886" s="687"/>
      <c r="E886" s="687"/>
      <c r="F886" s="687"/>
      <c r="G886" s="687"/>
      <c r="H886" s="688"/>
      <c r="I886" s="688"/>
      <c r="J886" s="688"/>
      <c r="K886" s="688"/>
      <c r="L886" s="688"/>
      <c r="M886" s="688"/>
      <c r="N886" s="688"/>
      <c r="O886" s="688"/>
      <c r="P886" s="688"/>
      <c r="Q886" s="721"/>
      <c r="R886" s="721"/>
      <c r="S886" s="721"/>
      <c r="T886" s="721"/>
      <c r="U886" s="721"/>
      <c r="V886" s="82"/>
      <c r="W886" s="82"/>
      <c r="X886" s="82"/>
      <c r="Y886" s="82"/>
      <c r="Z886" s="82"/>
      <c r="AA886" s="82"/>
      <c r="AB886" s="82"/>
      <c r="AC886" s="82"/>
      <c r="AD886" s="82"/>
      <c r="AE886" s="82"/>
      <c r="AF886" s="82"/>
      <c r="AG886" s="82"/>
      <c r="AH886" s="82"/>
      <c r="AI886" s="82"/>
      <c r="AJ886" s="82"/>
      <c r="AK886" s="82"/>
      <c r="AL886" s="82"/>
      <c r="AM886" s="82"/>
      <c r="AN886" s="82"/>
      <c r="AO886" s="82"/>
    </row>
    <row r="887">
      <c r="A887" s="687"/>
      <c r="B887" s="685"/>
      <c r="C887" s="687"/>
      <c r="D887" s="687"/>
      <c r="E887" s="687"/>
      <c r="F887" s="687"/>
      <c r="G887" s="687"/>
      <c r="H887" s="688"/>
      <c r="I887" s="688"/>
      <c r="J887" s="688"/>
      <c r="K887" s="688"/>
      <c r="L887" s="688"/>
      <c r="M887" s="688"/>
      <c r="N887" s="688"/>
      <c r="O887" s="688"/>
      <c r="P887" s="688"/>
      <c r="Q887" s="721"/>
      <c r="R887" s="721"/>
      <c r="S887" s="721"/>
      <c r="T887" s="721"/>
      <c r="U887" s="721"/>
      <c r="V887" s="82"/>
      <c r="W887" s="82"/>
      <c r="X887" s="82"/>
      <c r="Y887" s="82"/>
      <c r="Z887" s="82"/>
      <c r="AA887" s="82"/>
      <c r="AB887" s="82"/>
      <c r="AC887" s="82"/>
      <c r="AD887" s="82"/>
      <c r="AE887" s="82"/>
      <c r="AF887" s="82"/>
      <c r="AG887" s="82"/>
      <c r="AH887" s="82"/>
      <c r="AI887" s="82"/>
      <c r="AJ887" s="82"/>
      <c r="AK887" s="82"/>
      <c r="AL887" s="82"/>
      <c r="AM887" s="82"/>
      <c r="AN887" s="82"/>
      <c r="AO887" s="82"/>
    </row>
    <row r="888">
      <c r="A888" s="687"/>
      <c r="B888" s="685"/>
      <c r="C888" s="687"/>
      <c r="D888" s="687"/>
      <c r="E888" s="687"/>
      <c r="F888" s="687"/>
      <c r="G888" s="687"/>
      <c r="H888" s="688"/>
      <c r="I888" s="688"/>
      <c r="J888" s="688"/>
      <c r="K888" s="688"/>
      <c r="L888" s="688"/>
      <c r="M888" s="688"/>
      <c r="N888" s="688"/>
      <c r="O888" s="688"/>
      <c r="P888" s="688"/>
      <c r="Q888" s="721"/>
      <c r="R888" s="721"/>
      <c r="S888" s="721"/>
      <c r="T888" s="721"/>
      <c r="U888" s="721"/>
      <c r="V888" s="82"/>
      <c r="W888" s="82"/>
      <c r="X888" s="82"/>
      <c r="Y888" s="82"/>
      <c r="Z888" s="82"/>
      <c r="AA888" s="82"/>
      <c r="AB888" s="82"/>
      <c r="AC888" s="82"/>
      <c r="AD888" s="82"/>
      <c r="AE888" s="82"/>
      <c r="AF888" s="82"/>
      <c r="AG888" s="82"/>
      <c r="AH888" s="82"/>
      <c r="AI888" s="82"/>
      <c r="AJ888" s="82"/>
      <c r="AK888" s="82"/>
      <c r="AL888" s="82"/>
      <c r="AM888" s="82"/>
      <c r="AN888" s="82"/>
      <c r="AO888" s="82"/>
    </row>
    <row r="889">
      <c r="A889" s="687"/>
      <c r="B889" s="685"/>
      <c r="C889" s="687"/>
      <c r="D889" s="687"/>
      <c r="E889" s="687"/>
      <c r="F889" s="687"/>
      <c r="G889" s="687"/>
      <c r="H889" s="688"/>
      <c r="I889" s="688"/>
      <c r="J889" s="688"/>
      <c r="K889" s="688"/>
      <c r="L889" s="688"/>
      <c r="M889" s="688"/>
      <c r="N889" s="688"/>
      <c r="O889" s="688"/>
      <c r="P889" s="688"/>
      <c r="Q889" s="721"/>
      <c r="R889" s="721"/>
      <c r="S889" s="721"/>
      <c r="T889" s="721"/>
      <c r="U889" s="721"/>
      <c r="V889" s="82"/>
      <c r="W889" s="82"/>
      <c r="X889" s="82"/>
      <c r="Y889" s="82"/>
      <c r="Z889" s="82"/>
      <c r="AA889" s="82"/>
      <c r="AB889" s="82"/>
      <c r="AC889" s="82"/>
      <c r="AD889" s="82"/>
      <c r="AE889" s="82"/>
      <c r="AF889" s="82"/>
      <c r="AG889" s="82"/>
      <c r="AH889" s="82"/>
      <c r="AI889" s="82"/>
      <c r="AJ889" s="82"/>
      <c r="AK889" s="82"/>
      <c r="AL889" s="82"/>
      <c r="AM889" s="82"/>
      <c r="AN889" s="82"/>
      <c r="AO889" s="82"/>
    </row>
    <row r="890">
      <c r="A890" s="687"/>
      <c r="B890" s="685"/>
      <c r="C890" s="687"/>
      <c r="D890" s="687"/>
      <c r="E890" s="687"/>
      <c r="F890" s="687"/>
      <c r="G890" s="687"/>
      <c r="H890" s="688"/>
      <c r="I890" s="688"/>
      <c r="J890" s="688"/>
      <c r="K890" s="688"/>
      <c r="L890" s="688"/>
      <c r="M890" s="688"/>
      <c r="N890" s="688"/>
      <c r="O890" s="688"/>
      <c r="P890" s="688"/>
      <c r="Q890" s="721"/>
      <c r="R890" s="721"/>
      <c r="S890" s="721"/>
      <c r="T890" s="721"/>
      <c r="U890" s="721"/>
      <c r="V890" s="82"/>
      <c r="W890" s="82"/>
      <c r="X890" s="82"/>
      <c r="Y890" s="82"/>
      <c r="Z890" s="82"/>
      <c r="AA890" s="82"/>
      <c r="AB890" s="82"/>
      <c r="AC890" s="82"/>
      <c r="AD890" s="82"/>
      <c r="AE890" s="82"/>
      <c r="AF890" s="82"/>
      <c r="AG890" s="82"/>
      <c r="AH890" s="82"/>
      <c r="AI890" s="82"/>
      <c r="AJ890" s="82"/>
      <c r="AK890" s="82"/>
      <c r="AL890" s="82"/>
      <c r="AM890" s="82"/>
      <c r="AN890" s="82"/>
      <c r="AO890" s="82"/>
    </row>
    <row r="891">
      <c r="A891" s="687"/>
      <c r="B891" s="685"/>
      <c r="C891" s="687"/>
      <c r="D891" s="687"/>
      <c r="E891" s="687"/>
      <c r="F891" s="687"/>
      <c r="G891" s="687"/>
      <c r="H891" s="688"/>
      <c r="I891" s="688"/>
      <c r="J891" s="688"/>
      <c r="K891" s="688"/>
      <c r="L891" s="688"/>
      <c r="M891" s="688"/>
      <c r="N891" s="688"/>
      <c r="O891" s="688"/>
      <c r="P891" s="688"/>
      <c r="Q891" s="721"/>
      <c r="R891" s="721"/>
      <c r="S891" s="721"/>
      <c r="T891" s="721"/>
      <c r="U891" s="721"/>
      <c r="V891" s="82"/>
      <c r="W891" s="82"/>
      <c r="X891" s="82"/>
      <c r="Y891" s="82"/>
      <c r="Z891" s="82"/>
      <c r="AA891" s="82"/>
      <c r="AB891" s="82"/>
      <c r="AC891" s="82"/>
      <c r="AD891" s="82"/>
      <c r="AE891" s="82"/>
      <c r="AF891" s="82"/>
      <c r="AG891" s="82"/>
      <c r="AH891" s="82"/>
      <c r="AI891" s="82"/>
      <c r="AJ891" s="82"/>
      <c r="AK891" s="82"/>
      <c r="AL891" s="82"/>
      <c r="AM891" s="82"/>
      <c r="AN891" s="82"/>
      <c r="AO891" s="82"/>
    </row>
    <row r="892">
      <c r="A892" s="687"/>
      <c r="B892" s="685"/>
      <c r="C892" s="687"/>
      <c r="D892" s="687"/>
      <c r="E892" s="687"/>
      <c r="F892" s="687"/>
      <c r="G892" s="687"/>
      <c r="H892" s="688"/>
      <c r="I892" s="688"/>
      <c r="J892" s="688"/>
      <c r="K892" s="688"/>
      <c r="L892" s="688"/>
      <c r="M892" s="688"/>
      <c r="N892" s="688"/>
      <c r="O892" s="688"/>
      <c r="P892" s="688"/>
      <c r="Q892" s="721"/>
      <c r="R892" s="721"/>
      <c r="S892" s="721"/>
      <c r="T892" s="721"/>
      <c r="U892" s="721"/>
      <c r="V892" s="82"/>
      <c r="W892" s="82"/>
      <c r="X892" s="82"/>
      <c r="Y892" s="82"/>
      <c r="Z892" s="82"/>
      <c r="AA892" s="82"/>
      <c r="AB892" s="82"/>
      <c r="AC892" s="82"/>
      <c r="AD892" s="82"/>
      <c r="AE892" s="82"/>
      <c r="AF892" s="82"/>
      <c r="AG892" s="82"/>
      <c r="AH892" s="82"/>
      <c r="AI892" s="82"/>
      <c r="AJ892" s="82"/>
      <c r="AK892" s="82"/>
      <c r="AL892" s="82"/>
      <c r="AM892" s="82"/>
      <c r="AN892" s="82"/>
      <c r="AO892" s="82"/>
    </row>
    <row r="893">
      <c r="A893" s="687"/>
      <c r="B893" s="685"/>
      <c r="C893" s="687"/>
      <c r="D893" s="687"/>
      <c r="E893" s="687"/>
      <c r="F893" s="687"/>
      <c r="G893" s="687"/>
      <c r="H893" s="688"/>
      <c r="I893" s="688"/>
      <c r="J893" s="688"/>
      <c r="K893" s="688"/>
      <c r="L893" s="688"/>
      <c r="M893" s="688"/>
      <c r="N893" s="688"/>
      <c r="O893" s="688"/>
      <c r="P893" s="688"/>
      <c r="Q893" s="721"/>
      <c r="R893" s="721"/>
      <c r="S893" s="721"/>
      <c r="T893" s="721"/>
      <c r="U893" s="721"/>
      <c r="V893" s="82"/>
      <c r="W893" s="82"/>
      <c r="X893" s="82"/>
      <c r="Y893" s="82"/>
      <c r="Z893" s="82"/>
      <c r="AA893" s="82"/>
      <c r="AB893" s="82"/>
      <c r="AC893" s="82"/>
      <c r="AD893" s="82"/>
      <c r="AE893" s="82"/>
      <c r="AF893" s="82"/>
      <c r="AG893" s="82"/>
      <c r="AH893" s="82"/>
      <c r="AI893" s="82"/>
      <c r="AJ893" s="82"/>
      <c r="AK893" s="82"/>
      <c r="AL893" s="82"/>
      <c r="AM893" s="82"/>
      <c r="AN893" s="82"/>
      <c r="AO893" s="82"/>
    </row>
    <row r="894">
      <c r="A894" s="687"/>
      <c r="B894" s="685"/>
      <c r="C894" s="687"/>
      <c r="D894" s="687"/>
      <c r="E894" s="687"/>
      <c r="F894" s="687"/>
      <c r="G894" s="687"/>
      <c r="H894" s="688"/>
      <c r="I894" s="688"/>
      <c r="J894" s="688"/>
      <c r="K894" s="688"/>
      <c r="L894" s="688"/>
      <c r="M894" s="688"/>
      <c r="N894" s="688"/>
      <c r="O894" s="688"/>
      <c r="P894" s="688"/>
      <c r="Q894" s="721"/>
      <c r="R894" s="721"/>
      <c r="S894" s="721"/>
      <c r="T894" s="721"/>
      <c r="U894" s="721"/>
      <c r="V894" s="82"/>
      <c r="W894" s="82"/>
      <c r="X894" s="82"/>
      <c r="Y894" s="82"/>
      <c r="Z894" s="82"/>
      <c r="AA894" s="82"/>
      <c r="AB894" s="82"/>
      <c r="AC894" s="82"/>
      <c r="AD894" s="82"/>
      <c r="AE894" s="82"/>
      <c r="AF894" s="82"/>
      <c r="AG894" s="82"/>
      <c r="AH894" s="82"/>
      <c r="AI894" s="82"/>
      <c r="AJ894" s="82"/>
      <c r="AK894" s="82"/>
      <c r="AL894" s="82"/>
      <c r="AM894" s="82"/>
      <c r="AN894" s="82"/>
      <c r="AO894" s="82"/>
    </row>
    <row r="895">
      <c r="A895" s="687"/>
      <c r="B895" s="685"/>
      <c r="C895" s="687"/>
      <c r="D895" s="687"/>
      <c r="E895" s="687"/>
      <c r="F895" s="687"/>
      <c r="G895" s="687"/>
      <c r="H895" s="688"/>
      <c r="I895" s="688"/>
      <c r="J895" s="688"/>
      <c r="K895" s="688"/>
      <c r="L895" s="688"/>
      <c r="M895" s="688"/>
      <c r="N895" s="688"/>
      <c r="O895" s="688"/>
      <c r="P895" s="688"/>
      <c r="Q895" s="721"/>
      <c r="R895" s="721"/>
      <c r="S895" s="721"/>
      <c r="T895" s="721"/>
      <c r="U895" s="721"/>
      <c r="V895" s="82"/>
      <c r="W895" s="82"/>
      <c r="X895" s="82"/>
      <c r="Y895" s="82"/>
      <c r="Z895" s="82"/>
      <c r="AA895" s="82"/>
      <c r="AB895" s="82"/>
      <c r="AC895" s="82"/>
      <c r="AD895" s="82"/>
      <c r="AE895" s="82"/>
      <c r="AF895" s="82"/>
      <c r="AG895" s="82"/>
      <c r="AH895" s="82"/>
      <c r="AI895" s="82"/>
      <c r="AJ895" s="82"/>
      <c r="AK895" s="82"/>
      <c r="AL895" s="82"/>
      <c r="AM895" s="82"/>
      <c r="AN895" s="82"/>
      <c r="AO895" s="82"/>
    </row>
    <row r="896">
      <c r="A896" s="687"/>
      <c r="B896" s="685"/>
      <c r="C896" s="687"/>
      <c r="D896" s="687"/>
      <c r="E896" s="687"/>
      <c r="F896" s="687"/>
      <c r="G896" s="687"/>
      <c r="H896" s="688"/>
      <c r="I896" s="688"/>
      <c r="J896" s="688"/>
      <c r="K896" s="688"/>
      <c r="L896" s="688"/>
      <c r="M896" s="688"/>
      <c r="N896" s="688"/>
      <c r="O896" s="688"/>
      <c r="P896" s="688"/>
      <c r="Q896" s="721"/>
      <c r="R896" s="721"/>
      <c r="S896" s="721"/>
      <c r="T896" s="721"/>
      <c r="U896" s="721"/>
      <c r="V896" s="82"/>
      <c r="W896" s="82"/>
      <c r="X896" s="82"/>
      <c r="Y896" s="82"/>
      <c r="Z896" s="82"/>
      <c r="AA896" s="82"/>
      <c r="AB896" s="82"/>
      <c r="AC896" s="82"/>
      <c r="AD896" s="82"/>
      <c r="AE896" s="82"/>
      <c r="AF896" s="82"/>
      <c r="AG896" s="82"/>
      <c r="AH896" s="82"/>
      <c r="AI896" s="82"/>
      <c r="AJ896" s="82"/>
      <c r="AK896" s="82"/>
      <c r="AL896" s="82"/>
      <c r="AM896" s="82"/>
      <c r="AN896" s="82"/>
      <c r="AO896" s="82"/>
    </row>
    <row r="897">
      <c r="A897" s="687"/>
      <c r="B897" s="685"/>
      <c r="C897" s="687"/>
      <c r="D897" s="687"/>
      <c r="E897" s="687"/>
      <c r="F897" s="687"/>
      <c r="G897" s="687"/>
      <c r="H897" s="688"/>
      <c r="I897" s="688"/>
      <c r="J897" s="688"/>
      <c r="K897" s="688"/>
      <c r="L897" s="688"/>
      <c r="M897" s="688"/>
      <c r="N897" s="688"/>
      <c r="O897" s="688"/>
      <c r="P897" s="688"/>
      <c r="Q897" s="721"/>
      <c r="R897" s="721"/>
      <c r="S897" s="721"/>
      <c r="T897" s="721"/>
      <c r="U897" s="721"/>
      <c r="V897" s="82"/>
      <c r="W897" s="82"/>
      <c r="X897" s="82"/>
      <c r="Y897" s="82"/>
      <c r="Z897" s="82"/>
      <c r="AA897" s="82"/>
      <c r="AB897" s="82"/>
      <c r="AC897" s="82"/>
      <c r="AD897" s="82"/>
      <c r="AE897" s="82"/>
      <c r="AF897" s="82"/>
      <c r="AG897" s="82"/>
      <c r="AH897" s="82"/>
      <c r="AI897" s="82"/>
      <c r="AJ897" s="82"/>
      <c r="AK897" s="82"/>
      <c r="AL897" s="82"/>
      <c r="AM897" s="82"/>
      <c r="AN897" s="82"/>
      <c r="AO897" s="82"/>
    </row>
    <row r="898">
      <c r="A898" s="687"/>
      <c r="B898" s="685"/>
      <c r="C898" s="687"/>
      <c r="D898" s="687"/>
      <c r="E898" s="687"/>
      <c r="F898" s="687"/>
      <c r="G898" s="687"/>
      <c r="H898" s="688"/>
      <c r="I898" s="688"/>
      <c r="J898" s="688"/>
      <c r="K898" s="688"/>
      <c r="L898" s="688"/>
      <c r="M898" s="688"/>
      <c r="N898" s="688"/>
      <c r="O898" s="688"/>
      <c r="P898" s="688"/>
      <c r="Q898" s="721"/>
      <c r="R898" s="721"/>
      <c r="S898" s="721"/>
      <c r="T898" s="721"/>
      <c r="U898" s="721"/>
      <c r="V898" s="82"/>
      <c r="W898" s="82"/>
      <c r="X898" s="82"/>
      <c r="Y898" s="82"/>
      <c r="Z898" s="82"/>
      <c r="AA898" s="82"/>
      <c r="AB898" s="82"/>
      <c r="AC898" s="82"/>
      <c r="AD898" s="82"/>
      <c r="AE898" s="82"/>
      <c r="AF898" s="82"/>
      <c r="AG898" s="82"/>
      <c r="AH898" s="82"/>
      <c r="AI898" s="82"/>
      <c r="AJ898" s="82"/>
      <c r="AK898" s="82"/>
      <c r="AL898" s="82"/>
      <c r="AM898" s="82"/>
      <c r="AN898" s="82"/>
      <c r="AO898" s="82"/>
    </row>
    <row r="899">
      <c r="A899" s="687"/>
      <c r="B899" s="685"/>
      <c r="C899" s="687"/>
      <c r="D899" s="687"/>
      <c r="E899" s="687"/>
      <c r="F899" s="687"/>
      <c r="G899" s="687"/>
      <c r="H899" s="688"/>
      <c r="I899" s="688"/>
      <c r="J899" s="688"/>
      <c r="K899" s="688"/>
      <c r="L899" s="688"/>
      <c r="M899" s="688"/>
      <c r="N899" s="688"/>
      <c r="O899" s="688"/>
      <c r="P899" s="688"/>
      <c r="Q899" s="721"/>
      <c r="R899" s="721"/>
      <c r="S899" s="721"/>
      <c r="T899" s="721"/>
      <c r="U899" s="721"/>
      <c r="V899" s="82"/>
      <c r="W899" s="82"/>
      <c r="X899" s="82"/>
      <c r="Y899" s="82"/>
      <c r="Z899" s="82"/>
      <c r="AA899" s="82"/>
      <c r="AB899" s="82"/>
      <c r="AC899" s="82"/>
      <c r="AD899" s="82"/>
      <c r="AE899" s="82"/>
      <c r="AF899" s="82"/>
      <c r="AG899" s="82"/>
      <c r="AH899" s="82"/>
      <c r="AI899" s="82"/>
      <c r="AJ899" s="82"/>
      <c r="AK899" s="82"/>
      <c r="AL899" s="82"/>
      <c r="AM899" s="82"/>
      <c r="AN899" s="82"/>
      <c r="AO899" s="82"/>
    </row>
    <row r="900">
      <c r="A900" s="687"/>
      <c r="B900" s="685"/>
      <c r="C900" s="687"/>
      <c r="D900" s="687"/>
      <c r="E900" s="687"/>
      <c r="F900" s="687"/>
      <c r="G900" s="687"/>
      <c r="H900" s="688"/>
      <c r="I900" s="688"/>
      <c r="J900" s="688"/>
      <c r="K900" s="688"/>
      <c r="L900" s="688"/>
      <c r="M900" s="688"/>
      <c r="N900" s="688"/>
      <c r="O900" s="688"/>
      <c r="P900" s="688"/>
      <c r="Q900" s="721"/>
      <c r="R900" s="721"/>
      <c r="S900" s="721"/>
      <c r="T900" s="721"/>
      <c r="U900" s="721"/>
      <c r="V900" s="82"/>
      <c r="W900" s="82"/>
      <c r="X900" s="82"/>
      <c r="Y900" s="82"/>
      <c r="Z900" s="82"/>
      <c r="AA900" s="82"/>
      <c r="AB900" s="82"/>
      <c r="AC900" s="82"/>
      <c r="AD900" s="82"/>
      <c r="AE900" s="82"/>
      <c r="AF900" s="82"/>
      <c r="AG900" s="82"/>
      <c r="AH900" s="82"/>
      <c r="AI900" s="82"/>
      <c r="AJ900" s="82"/>
      <c r="AK900" s="82"/>
      <c r="AL900" s="82"/>
      <c r="AM900" s="82"/>
      <c r="AN900" s="82"/>
      <c r="AO900" s="82"/>
    </row>
    <row r="901">
      <c r="A901" s="687"/>
      <c r="B901" s="685"/>
      <c r="C901" s="687"/>
      <c r="D901" s="687"/>
      <c r="E901" s="687"/>
      <c r="F901" s="687"/>
      <c r="G901" s="687"/>
      <c r="H901" s="688"/>
      <c r="I901" s="688"/>
      <c r="J901" s="688"/>
      <c r="K901" s="688"/>
      <c r="L901" s="688"/>
      <c r="M901" s="688"/>
      <c r="N901" s="688"/>
      <c r="O901" s="688"/>
      <c r="P901" s="688"/>
      <c r="Q901" s="721"/>
      <c r="R901" s="721"/>
      <c r="S901" s="721"/>
      <c r="T901" s="721"/>
      <c r="U901" s="721"/>
      <c r="V901" s="82"/>
      <c r="W901" s="82"/>
      <c r="X901" s="82"/>
      <c r="Y901" s="82"/>
      <c r="Z901" s="82"/>
      <c r="AA901" s="82"/>
      <c r="AB901" s="82"/>
      <c r="AC901" s="82"/>
      <c r="AD901" s="82"/>
      <c r="AE901" s="82"/>
      <c r="AF901" s="82"/>
      <c r="AG901" s="82"/>
      <c r="AH901" s="82"/>
      <c r="AI901" s="82"/>
      <c r="AJ901" s="82"/>
      <c r="AK901" s="82"/>
      <c r="AL901" s="82"/>
      <c r="AM901" s="82"/>
      <c r="AN901" s="82"/>
      <c r="AO901" s="82"/>
    </row>
    <row r="902">
      <c r="A902" s="687"/>
      <c r="B902" s="685"/>
      <c r="C902" s="687"/>
      <c r="D902" s="687"/>
      <c r="E902" s="687"/>
      <c r="F902" s="687"/>
      <c r="G902" s="687"/>
      <c r="H902" s="688"/>
      <c r="I902" s="688"/>
      <c r="J902" s="688"/>
      <c r="K902" s="688"/>
      <c r="L902" s="688"/>
      <c r="M902" s="688"/>
      <c r="N902" s="688"/>
      <c r="O902" s="688"/>
      <c r="P902" s="688"/>
      <c r="Q902" s="721"/>
      <c r="R902" s="721"/>
      <c r="S902" s="721"/>
      <c r="T902" s="721"/>
      <c r="U902" s="721"/>
      <c r="V902" s="82"/>
      <c r="W902" s="82"/>
      <c r="X902" s="82"/>
      <c r="Y902" s="82"/>
      <c r="Z902" s="82"/>
      <c r="AA902" s="82"/>
      <c r="AB902" s="82"/>
      <c r="AC902" s="82"/>
      <c r="AD902" s="82"/>
      <c r="AE902" s="82"/>
      <c r="AF902" s="82"/>
      <c r="AG902" s="82"/>
      <c r="AH902" s="82"/>
      <c r="AI902" s="82"/>
      <c r="AJ902" s="82"/>
      <c r="AK902" s="82"/>
      <c r="AL902" s="82"/>
      <c r="AM902" s="82"/>
      <c r="AN902" s="82"/>
      <c r="AO902" s="82"/>
    </row>
    <row r="903">
      <c r="A903" s="687"/>
      <c r="B903" s="685"/>
      <c r="C903" s="687"/>
      <c r="D903" s="687"/>
      <c r="E903" s="687"/>
      <c r="F903" s="687"/>
      <c r="G903" s="687"/>
      <c r="H903" s="688"/>
      <c r="I903" s="688"/>
      <c r="J903" s="688"/>
      <c r="K903" s="688"/>
      <c r="L903" s="688"/>
      <c r="M903" s="688"/>
      <c r="N903" s="688"/>
      <c r="O903" s="688"/>
      <c r="P903" s="688"/>
      <c r="Q903" s="721"/>
      <c r="R903" s="721"/>
      <c r="S903" s="721"/>
      <c r="T903" s="721"/>
      <c r="U903" s="721"/>
      <c r="V903" s="82"/>
      <c r="W903" s="82"/>
      <c r="X903" s="82"/>
      <c r="Y903" s="82"/>
      <c r="Z903" s="82"/>
      <c r="AA903" s="82"/>
      <c r="AB903" s="82"/>
      <c r="AC903" s="82"/>
      <c r="AD903" s="82"/>
      <c r="AE903" s="82"/>
      <c r="AF903" s="82"/>
      <c r="AG903" s="82"/>
      <c r="AH903" s="82"/>
      <c r="AI903" s="82"/>
      <c r="AJ903" s="82"/>
      <c r="AK903" s="82"/>
      <c r="AL903" s="82"/>
      <c r="AM903" s="82"/>
      <c r="AN903" s="82"/>
      <c r="AO903" s="82"/>
    </row>
    <row r="904">
      <c r="A904" s="687"/>
      <c r="B904" s="685"/>
      <c r="C904" s="687"/>
      <c r="D904" s="687"/>
      <c r="E904" s="687"/>
      <c r="F904" s="687"/>
      <c r="G904" s="687"/>
      <c r="H904" s="688"/>
      <c r="I904" s="688"/>
      <c r="J904" s="688"/>
      <c r="K904" s="688"/>
      <c r="L904" s="688"/>
      <c r="M904" s="688"/>
      <c r="N904" s="688"/>
      <c r="O904" s="688"/>
      <c r="P904" s="688"/>
      <c r="Q904" s="721"/>
      <c r="R904" s="721"/>
      <c r="S904" s="721"/>
      <c r="T904" s="721"/>
      <c r="U904" s="721"/>
      <c r="V904" s="82"/>
      <c r="W904" s="82"/>
      <c r="X904" s="82"/>
      <c r="Y904" s="82"/>
      <c r="Z904" s="82"/>
      <c r="AA904" s="82"/>
      <c r="AB904" s="82"/>
      <c r="AC904" s="82"/>
      <c r="AD904" s="82"/>
      <c r="AE904" s="82"/>
      <c r="AF904" s="82"/>
      <c r="AG904" s="82"/>
      <c r="AH904" s="82"/>
      <c r="AI904" s="82"/>
      <c r="AJ904" s="82"/>
      <c r="AK904" s="82"/>
      <c r="AL904" s="82"/>
      <c r="AM904" s="82"/>
      <c r="AN904" s="82"/>
      <c r="AO904" s="82"/>
    </row>
    <row r="905">
      <c r="A905" s="687"/>
      <c r="B905" s="685"/>
      <c r="C905" s="687"/>
      <c r="D905" s="687"/>
      <c r="E905" s="687"/>
      <c r="F905" s="687"/>
      <c r="G905" s="687"/>
      <c r="H905" s="688"/>
      <c r="I905" s="688"/>
      <c r="J905" s="688"/>
      <c r="K905" s="688"/>
      <c r="L905" s="688"/>
      <c r="M905" s="688"/>
      <c r="N905" s="688"/>
      <c r="O905" s="688"/>
      <c r="P905" s="688"/>
      <c r="Q905" s="721"/>
      <c r="R905" s="721"/>
      <c r="S905" s="721"/>
      <c r="T905" s="721"/>
      <c r="U905" s="721"/>
      <c r="V905" s="82"/>
      <c r="W905" s="82"/>
      <c r="X905" s="82"/>
      <c r="Y905" s="82"/>
      <c r="Z905" s="82"/>
      <c r="AA905" s="82"/>
      <c r="AB905" s="82"/>
      <c r="AC905" s="82"/>
      <c r="AD905" s="82"/>
      <c r="AE905" s="82"/>
      <c r="AF905" s="82"/>
      <c r="AG905" s="82"/>
      <c r="AH905" s="82"/>
      <c r="AI905" s="82"/>
      <c r="AJ905" s="82"/>
      <c r="AK905" s="82"/>
      <c r="AL905" s="82"/>
      <c r="AM905" s="82"/>
      <c r="AN905" s="82"/>
      <c r="AO905" s="82"/>
    </row>
    <row r="906">
      <c r="A906" s="687"/>
      <c r="B906" s="685"/>
      <c r="C906" s="687"/>
      <c r="D906" s="687"/>
      <c r="E906" s="687"/>
      <c r="F906" s="687"/>
      <c r="G906" s="687"/>
      <c r="H906" s="688"/>
      <c r="I906" s="688"/>
      <c r="J906" s="688"/>
      <c r="K906" s="688"/>
      <c r="L906" s="688"/>
      <c r="M906" s="688"/>
      <c r="N906" s="688"/>
      <c r="O906" s="688"/>
      <c r="P906" s="688"/>
      <c r="Q906" s="721"/>
      <c r="R906" s="721"/>
      <c r="S906" s="721"/>
      <c r="T906" s="721"/>
      <c r="U906" s="721"/>
      <c r="V906" s="82"/>
      <c r="W906" s="82"/>
      <c r="X906" s="82"/>
      <c r="Y906" s="82"/>
      <c r="Z906" s="82"/>
      <c r="AA906" s="82"/>
      <c r="AB906" s="82"/>
      <c r="AC906" s="82"/>
      <c r="AD906" s="82"/>
      <c r="AE906" s="82"/>
      <c r="AF906" s="82"/>
      <c r="AG906" s="82"/>
      <c r="AH906" s="82"/>
      <c r="AI906" s="82"/>
      <c r="AJ906" s="82"/>
      <c r="AK906" s="82"/>
      <c r="AL906" s="82"/>
      <c r="AM906" s="82"/>
      <c r="AN906" s="82"/>
      <c r="AO906" s="82"/>
    </row>
    <row r="907">
      <c r="A907" s="687"/>
      <c r="B907" s="685"/>
      <c r="C907" s="687"/>
      <c r="D907" s="687"/>
      <c r="E907" s="687"/>
      <c r="F907" s="687"/>
      <c r="G907" s="687"/>
      <c r="H907" s="688"/>
      <c r="I907" s="688"/>
      <c r="J907" s="688"/>
      <c r="K907" s="688"/>
      <c r="L907" s="688"/>
      <c r="M907" s="688"/>
      <c r="N907" s="688"/>
      <c r="O907" s="688"/>
      <c r="P907" s="688"/>
      <c r="Q907" s="721"/>
      <c r="R907" s="721"/>
      <c r="S907" s="721"/>
      <c r="T907" s="721"/>
      <c r="U907" s="721"/>
      <c r="V907" s="82"/>
      <c r="W907" s="82"/>
      <c r="X907" s="82"/>
      <c r="Y907" s="82"/>
      <c r="Z907" s="82"/>
      <c r="AA907" s="82"/>
      <c r="AB907" s="82"/>
      <c r="AC907" s="82"/>
      <c r="AD907" s="82"/>
      <c r="AE907" s="82"/>
      <c r="AF907" s="82"/>
      <c r="AG907" s="82"/>
      <c r="AH907" s="82"/>
      <c r="AI907" s="82"/>
      <c r="AJ907" s="82"/>
      <c r="AK907" s="82"/>
      <c r="AL907" s="82"/>
      <c r="AM907" s="82"/>
      <c r="AN907" s="82"/>
      <c r="AO907" s="82"/>
    </row>
    <row r="908">
      <c r="A908" s="687"/>
      <c r="B908" s="685"/>
      <c r="C908" s="687"/>
      <c r="D908" s="687"/>
      <c r="E908" s="687"/>
      <c r="F908" s="687"/>
      <c r="G908" s="687"/>
      <c r="H908" s="688"/>
      <c r="I908" s="688"/>
      <c r="J908" s="688"/>
      <c r="K908" s="688"/>
      <c r="L908" s="688"/>
      <c r="M908" s="688"/>
      <c r="N908" s="688"/>
      <c r="O908" s="688"/>
      <c r="P908" s="688"/>
      <c r="Q908" s="721"/>
      <c r="R908" s="721"/>
      <c r="S908" s="721"/>
      <c r="T908" s="721"/>
      <c r="U908" s="721"/>
      <c r="V908" s="82"/>
      <c r="W908" s="82"/>
      <c r="X908" s="82"/>
      <c r="Y908" s="82"/>
      <c r="Z908" s="82"/>
      <c r="AA908" s="82"/>
      <c r="AB908" s="82"/>
      <c r="AC908" s="82"/>
      <c r="AD908" s="82"/>
      <c r="AE908" s="82"/>
      <c r="AF908" s="82"/>
      <c r="AG908" s="82"/>
      <c r="AH908" s="82"/>
      <c r="AI908" s="82"/>
      <c r="AJ908" s="82"/>
      <c r="AK908" s="82"/>
      <c r="AL908" s="82"/>
      <c r="AM908" s="82"/>
      <c r="AN908" s="82"/>
      <c r="AO908" s="82"/>
    </row>
    <row r="909">
      <c r="A909" s="687"/>
      <c r="B909" s="685"/>
      <c r="C909" s="687"/>
      <c r="D909" s="687"/>
      <c r="E909" s="687"/>
      <c r="F909" s="687"/>
      <c r="G909" s="687"/>
      <c r="H909" s="688"/>
      <c r="I909" s="688"/>
      <c r="J909" s="688"/>
      <c r="K909" s="688"/>
      <c r="L909" s="688"/>
      <c r="M909" s="688"/>
      <c r="N909" s="688"/>
      <c r="O909" s="688"/>
      <c r="P909" s="688"/>
      <c r="Q909" s="721"/>
      <c r="R909" s="721"/>
      <c r="S909" s="721"/>
      <c r="T909" s="721"/>
      <c r="U909" s="721"/>
      <c r="V909" s="82"/>
      <c r="W909" s="82"/>
      <c r="X909" s="82"/>
      <c r="Y909" s="82"/>
      <c r="Z909" s="82"/>
      <c r="AA909" s="82"/>
      <c r="AB909" s="82"/>
      <c r="AC909" s="82"/>
      <c r="AD909" s="82"/>
      <c r="AE909" s="82"/>
      <c r="AF909" s="82"/>
      <c r="AG909" s="82"/>
      <c r="AH909" s="82"/>
      <c r="AI909" s="82"/>
      <c r="AJ909" s="82"/>
      <c r="AK909" s="82"/>
      <c r="AL909" s="82"/>
      <c r="AM909" s="82"/>
      <c r="AN909" s="82"/>
      <c r="AO909" s="82"/>
    </row>
    <row r="910">
      <c r="A910" s="687"/>
      <c r="B910" s="685"/>
      <c r="C910" s="687"/>
      <c r="D910" s="687"/>
      <c r="E910" s="687"/>
      <c r="F910" s="687"/>
      <c r="G910" s="687"/>
      <c r="H910" s="688"/>
      <c r="I910" s="688"/>
      <c r="J910" s="688"/>
      <c r="K910" s="688"/>
      <c r="L910" s="688"/>
      <c r="M910" s="688"/>
      <c r="N910" s="688"/>
      <c r="O910" s="688"/>
      <c r="P910" s="688"/>
      <c r="Q910" s="721"/>
      <c r="R910" s="721"/>
      <c r="S910" s="721"/>
      <c r="T910" s="721"/>
      <c r="U910" s="721"/>
      <c r="V910" s="82"/>
      <c r="W910" s="82"/>
      <c r="X910" s="82"/>
      <c r="Y910" s="82"/>
      <c r="Z910" s="82"/>
      <c r="AA910" s="82"/>
      <c r="AB910" s="82"/>
      <c r="AC910" s="82"/>
      <c r="AD910" s="82"/>
      <c r="AE910" s="82"/>
      <c r="AF910" s="82"/>
      <c r="AG910" s="82"/>
      <c r="AH910" s="82"/>
      <c r="AI910" s="82"/>
      <c r="AJ910" s="82"/>
      <c r="AK910" s="82"/>
      <c r="AL910" s="82"/>
      <c r="AM910" s="82"/>
      <c r="AN910" s="82"/>
      <c r="AO910" s="82"/>
    </row>
    <row r="911">
      <c r="A911" s="687"/>
      <c r="B911" s="685"/>
      <c r="C911" s="687"/>
      <c r="D911" s="687"/>
      <c r="E911" s="687"/>
      <c r="F911" s="687"/>
      <c r="G911" s="687"/>
      <c r="H911" s="688"/>
      <c r="I911" s="688"/>
      <c r="J911" s="688"/>
      <c r="K911" s="688"/>
      <c r="L911" s="688"/>
      <c r="M911" s="688"/>
      <c r="N911" s="688"/>
      <c r="O911" s="688"/>
      <c r="P911" s="688"/>
      <c r="Q911" s="721"/>
      <c r="R911" s="721"/>
      <c r="S911" s="721"/>
      <c r="T911" s="721"/>
      <c r="U911" s="721"/>
      <c r="V911" s="82"/>
      <c r="W911" s="82"/>
      <c r="X911" s="82"/>
      <c r="Y911" s="82"/>
      <c r="Z911" s="82"/>
      <c r="AA911" s="82"/>
      <c r="AB911" s="82"/>
      <c r="AC911" s="82"/>
      <c r="AD911" s="82"/>
      <c r="AE911" s="82"/>
      <c r="AF911" s="82"/>
      <c r="AG911" s="82"/>
      <c r="AH911" s="82"/>
      <c r="AI911" s="82"/>
      <c r="AJ911" s="82"/>
      <c r="AK911" s="82"/>
      <c r="AL911" s="82"/>
      <c r="AM911" s="82"/>
      <c r="AN911" s="82"/>
      <c r="AO911" s="82"/>
    </row>
    <row r="912">
      <c r="A912" s="687"/>
      <c r="B912" s="685"/>
      <c r="C912" s="687"/>
      <c r="D912" s="687"/>
      <c r="E912" s="687"/>
      <c r="F912" s="687"/>
      <c r="G912" s="687"/>
      <c r="H912" s="688"/>
      <c r="I912" s="688"/>
      <c r="J912" s="688"/>
      <c r="K912" s="688"/>
      <c r="L912" s="688"/>
      <c r="M912" s="688"/>
      <c r="N912" s="688"/>
      <c r="O912" s="688"/>
      <c r="P912" s="688"/>
      <c r="Q912" s="721"/>
      <c r="R912" s="721"/>
      <c r="S912" s="721"/>
      <c r="T912" s="721"/>
      <c r="U912" s="721"/>
      <c r="V912" s="82"/>
      <c r="W912" s="82"/>
      <c r="X912" s="82"/>
      <c r="Y912" s="82"/>
      <c r="Z912" s="82"/>
      <c r="AA912" s="82"/>
      <c r="AB912" s="82"/>
      <c r="AC912" s="82"/>
      <c r="AD912" s="82"/>
      <c r="AE912" s="82"/>
      <c r="AF912" s="82"/>
      <c r="AG912" s="82"/>
      <c r="AH912" s="82"/>
      <c r="AI912" s="82"/>
      <c r="AJ912" s="82"/>
      <c r="AK912" s="82"/>
      <c r="AL912" s="82"/>
      <c r="AM912" s="82"/>
      <c r="AN912" s="82"/>
      <c r="AO912" s="82"/>
    </row>
    <row r="913">
      <c r="A913" s="687"/>
      <c r="B913" s="685"/>
      <c r="C913" s="687"/>
      <c r="D913" s="687"/>
      <c r="E913" s="687"/>
      <c r="F913" s="687"/>
      <c r="G913" s="687"/>
      <c r="H913" s="688"/>
      <c r="I913" s="688"/>
      <c r="J913" s="688"/>
      <c r="K913" s="688"/>
      <c r="L913" s="688"/>
      <c r="M913" s="688"/>
      <c r="N913" s="688"/>
      <c r="O913" s="688"/>
      <c r="P913" s="688"/>
      <c r="Q913" s="721"/>
      <c r="R913" s="721"/>
      <c r="S913" s="721"/>
      <c r="T913" s="721"/>
      <c r="U913" s="721"/>
      <c r="V913" s="82"/>
      <c r="W913" s="82"/>
      <c r="X913" s="82"/>
      <c r="Y913" s="82"/>
      <c r="Z913" s="82"/>
      <c r="AA913" s="82"/>
      <c r="AB913" s="82"/>
      <c r="AC913" s="82"/>
      <c r="AD913" s="82"/>
      <c r="AE913" s="82"/>
      <c r="AF913" s="82"/>
      <c r="AG913" s="82"/>
      <c r="AH913" s="82"/>
      <c r="AI913" s="82"/>
      <c r="AJ913" s="82"/>
      <c r="AK913" s="82"/>
      <c r="AL913" s="82"/>
      <c r="AM913" s="82"/>
      <c r="AN913" s="82"/>
      <c r="AO913" s="82"/>
    </row>
    <row r="914">
      <c r="A914" s="687"/>
      <c r="B914" s="685"/>
      <c r="C914" s="687"/>
      <c r="D914" s="687"/>
      <c r="E914" s="687"/>
      <c r="F914" s="687"/>
      <c r="G914" s="687"/>
      <c r="H914" s="688"/>
      <c r="I914" s="688"/>
      <c r="J914" s="688"/>
      <c r="K914" s="688"/>
      <c r="L914" s="688"/>
      <c r="M914" s="688"/>
      <c r="N914" s="688"/>
      <c r="O914" s="688"/>
      <c r="P914" s="688"/>
      <c r="Q914" s="721"/>
      <c r="R914" s="721"/>
      <c r="S914" s="721"/>
      <c r="T914" s="721"/>
      <c r="U914" s="721"/>
      <c r="V914" s="82"/>
      <c r="W914" s="82"/>
      <c r="X914" s="82"/>
      <c r="Y914" s="82"/>
      <c r="Z914" s="82"/>
      <c r="AA914" s="82"/>
      <c r="AB914" s="82"/>
      <c r="AC914" s="82"/>
      <c r="AD914" s="82"/>
      <c r="AE914" s="82"/>
      <c r="AF914" s="82"/>
      <c r="AG914" s="82"/>
      <c r="AH914" s="82"/>
      <c r="AI914" s="82"/>
      <c r="AJ914" s="82"/>
      <c r="AK914" s="82"/>
      <c r="AL914" s="82"/>
      <c r="AM914" s="82"/>
      <c r="AN914" s="82"/>
      <c r="AO914" s="82"/>
    </row>
    <row r="915">
      <c r="A915" s="687"/>
      <c r="B915" s="685"/>
      <c r="C915" s="687"/>
      <c r="D915" s="687"/>
      <c r="E915" s="687"/>
      <c r="F915" s="687"/>
      <c r="G915" s="687"/>
      <c r="H915" s="688"/>
      <c r="I915" s="688"/>
      <c r="J915" s="688"/>
      <c r="K915" s="688"/>
      <c r="L915" s="688"/>
      <c r="M915" s="688"/>
      <c r="N915" s="688"/>
      <c r="O915" s="688"/>
      <c r="P915" s="688"/>
      <c r="Q915" s="721"/>
      <c r="R915" s="721"/>
      <c r="S915" s="721"/>
      <c r="T915" s="721"/>
      <c r="U915" s="721"/>
      <c r="V915" s="82"/>
      <c r="W915" s="82"/>
      <c r="X915" s="82"/>
      <c r="Y915" s="82"/>
      <c r="Z915" s="82"/>
      <c r="AA915" s="82"/>
      <c r="AB915" s="82"/>
      <c r="AC915" s="82"/>
      <c r="AD915" s="82"/>
      <c r="AE915" s="82"/>
      <c r="AF915" s="82"/>
      <c r="AG915" s="82"/>
      <c r="AH915" s="82"/>
      <c r="AI915" s="82"/>
      <c r="AJ915" s="82"/>
      <c r="AK915" s="82"/>
      <c r="AL915" s="82"/>
      <c r="AM915" s="82"/>
      <c r="AN915" s="82"/>
      <c r="AO915" s="82"/>
    </row>
    <row r="916">
      <c r="A916" s="687"/>
      <c r="B916" s="685"/>
      <c r="C916" s="687"/>
      <c r="D916" s="687"/>
      <c r="E916" s="687"/>
      <c r="F916" s="687"/>
      <c r="G916" s="687"/>
      <c r="H916" s="688"/>
      <c r="I916" s="688"/>
      <c r="J916" s="688"/>
      <c r="K916" s="688"/>
      <c r="L916" s="688"/>
      <c r="M916" s="688"/>
      <c r="N916" s="688"/>
      <c r="O916" s="688"/>
      <c r="P916" s="688"/>
      <c r="Q916" s="721"/>
      <c r="R916" s="721"/>
      <c r="S916" s="721"/>
      <c r="T916" s="721"/>
      <c r="U916" s="721"/>
      <c r="V916" s="82"/>
      <c r="W916" s="82"/>
      <c r="X916" s="82"/>
      <c r="Y916" s="82"/>
      <c r="Z916" s="82"/>
      <c r="AA916" s="82"/>
      <c r="AB916" s="82"/>
      <c r="AC916" s="82"/>
      <c r="AD916" s="82"/>
      <c r="AE916" s="82"/>
      <c r="AF916" s="82"/>
      <c r="AG916" s="82"/>
      <c r="AH916" s="82"/>
      <c r="AI916" s="82"/>
      <c r="AJ916" s="82"/>
      <c r="AK916" s="82"/>
      <c r="AL916" s="82"/>
      <c r="AM916" s="82"/>
      <c r="AN916" s="82"/>
      <c r="AO916" s="82"/>
    </row>
    <row r="917">
      <c r="A917" s="687"/>
      <c r="B917" s="685"/>
      <c r="C917" s="687"/>
      <c r="D917" s="687"/>
      <c r="E917" s="687"/>
      <c r="F917" s="687"/>
      <c r="G917" s="687"/>
      <c r="H917" s="688"/>
      <c r="I917" s="688"/>
      <c r="J917" s="688"/>
      <c r="K917" s="688"/>
      <c r="L917" s="688"/>
      <c r="M917" s="688"/>
      <c r="N917" s="688"/>
      <c r="O917" s="688"/>
      <c r="P917" s="688"/>
      <c r="Q917" s="721"/>
      <c r="R917" s="721"/>
      <c r="S917" s="721"/>
      <c r="T917" s="721"/>
      <c r="U917" s="721"/>
      <c r="V917" s="82"/>
      <c r="W917" s="82"/>
      <c r="X917" s="82"/>
      <c r="Y917" s="82"/>
      <c r="Z917" s="82"/>
      <c r="AA917" s="82"/>
      <c r="AB917" s="82"/>
      <c r="AC917" s="82"/>
      <c r="AD917" s="82"/>
      <c r="AE917" s="82"/>
      <c r="AF917" s="82"/>
      <c r="AG917" s="82"/>
      <c r="AH917" s="82"/>
      <c r="AI917" s="82"/>
      <c r="AJ917" s="82"/>
      <c r="AK917" s="82"/>
      <c r="AL917" s="82"/>
      <c r="AM917" s="82"/>
      <c r="AN917" s="82"/>
      <c r="AO917" s="82"/>
    </row>
    <row r="918">
      <c r="A918" s="687"/>
      <c r="B918" s="685"/>
      <c r="C918" s="687"/>
      <c r="D918" s="687"/>
      <c r="E918" s="687"/>
      <c r="F918" s="687"/>
      <c r="G918" s="687"/>
      <c r="H918" s="688"/>
      <c r="I918" s="688"/>
      <c r="J918" s="688"/>
      <c r="K918" s="688"/>
      <c r="L918" s="688"/>
      <c r="M918" s="688"/>
      <c r="N918" s="688"/>
      <c r="O918" s="688"/>
      <c r="P918" s="688"/>
      <c r="Q918" s="721"/>
      <c r="R918" s="721"/>
      <c r="S918" s="721"/>
      <c r="T918" s="721"/>
      <c r="U918" s="721"/>
      <c r="V918" s="82"/>
      <c r="W918" s="82"/>
      <c r="X918" s="82"/>
      <c r="Y918" s="82"/>
      <c r="Z918" s="82"/>
      <c r="AA918" s="82"/>
      <c r="AB918" s="82"/>
      <c r="AC918" s="82"/>
      <c r="AD918" s="82"/>
      <c r="AE918" s="82"/>
      <c r="AF918" s="82"/>
      <c r="AG918" s="82"/>
      <c r="AH918" s="82"/>
      <c r="AI918" s="82"/>
      <c r="AJ918" s="82"/>
      <c r="AK918" s="82"/>
      <c r="AL918" s="82"/>
      <c r="AM918" s="82"/>
      <c r="AN918" s="82"/>
      <c r="AO918" s="82"/>
    </row>
    <row r="919">
      <c r="A919" s="687"/>
      <c r="B919" s="685"/>
      <c r="C919" s="687"/>
      <c r="D919" s="687"/>
      <c r="E919" s="687"/>
      <c r="F919" s="687"/>
      <c r="G919" s="687"/>
      <c r="H919" s="688"/>
      <c r="I919" s="688"/>
      <c r="J919" s="688"/>
      <c r="K919" s="688"/>
      <c r="L919" s="688"/>
      <c r="M919" s="688"/>
      <c r="N919" s="688"/>
      <c r="O919" s="688"/>
      <c r="P919" s="688"/>
      <c r="Q919" s="721"/>
      <c r="R919" s="721"/>
      <c r="S919" s="721"/>
      <c r="T919" s="721"/>
      <c r="U919" s="721"/>
      <c r="V919" s="82"/>
      <c r="W919" s="82"/>
      <c r="X919" s="82"/>
      <c r="Y919" s="82"/>
      <c r="Z919" s="82"/>
      <c r="AA919" s="82"/>
      <c r="AB919" s="82"/>
      <c r="AC919" s="82"/>
      <c r="AD919" s="82"/>
      <c r="AE919" s="82"/>
      <c r="AF919" s="82"/>
      <c r="AG919" s="82"/>
      <c r="AH919" s="82"/>
      <c r="AI919" s="82"/>
      <c r="AJ919" s="82"/>
      <c r="AK919" s="82"/>
      <c r="AL919" s="82"/>
      <c r="AM919" s="82"/>
      <c r="AN919" s="82"/>
      <c r="AO919" s="82"/>
    </row>
    <row r="920">
      <c r="A920" s="687"/>
      <c r="B920" s="685"/>
      <c r="C920" s="687"/>
      <c r="D920" s="687"/>
      <c r="E920" s="687"/>
      <c r="F920" s="687"/>
      <c r="G920" s="687"/>
      <c r="H920" s="688"/>
      <c r="I920" s="688"/>
      <c r="J920" s="688"/>
      <c r="K920" s="688"/>
      <c r="L920" s="688"/>
      <c r="M920" s="688"/>
      <c r="N920" s="688"/>
      <c r="O920" s="688"/>
      <c r="P920" s="688"/>
      <c r="Q920" s="721"/>
      <c r="R920" s="721"/>
      <c r="S920" s="721"/>
      <c r="T920" s="721"/>
      <c r="U920" s="721"/>
      <c r="V920" s="82"/>
      <c r="W920" s="82"/>
      <c r="X920" s="82"/>
      <c r="Y920" s="82"/>
      <c r="Z920" s="82"/>
      <c r="AA920" s="82"/>
      <c r="AB920" s="82"/>
      <c r="AC920" s="82"/>
      <c r="AD920" s="82"/>
      <c r="AE920" s="82"/>
      <c r="AF920" s="82"/>
      <c r="AG920" s="82"/>
      <c r="AH920" s="82"/>
      <c r="AI920" s="82"/>
      <c r="AJ920" s="82"/>
      <c r="AK920" s="82"/>
      <c r="AL920" s="82"/>
      <c r="AM920" s="82"/>
      <c r="AN920" s="82"/>
      <c r="AO920" s="82"/>
    </row>
    <row r="921">
      <c r="A921" s="687"/>
      <c r="B921" s="685"/>
      <c r="C921" s="687"/>
      <c r="D921" s="687"/>
      <c r="E921" s="687"/>
      <c r="F921" s="687"/>
      <c r="G921" s="687"/>
      <c r="H921" s="688"/>
      <c r="I921" s="688"/>
      <c r="J921" s="688"/>
      <c r="K921" s="688"/>
      <c r="L921" s="688"/>
      <c r="M921" s="688"/>
      <c r="N921" s="688"/>
      <c r="O921" s="688"/>
      <c r="P921" s="688"/>
      <c r="Q921" s="721"/>
      <c r="R921" s="721"/>
      <c r="S921" s="721"/>
      <c r="T921" s="721"/>
      <c r="U921" s="721"/>
      <c r="V921" s="82"/>
      <c r="W921" s="82"/>
      <c r="X921" s="82"/>
      <c r="Y921" s="82"/>
      <c r="Z921" s="82"/>
      <c r="AA921" s="82"/>
      <c r="AB921" s="82"/>
      <c r="AC921" s="82"/>
      <c r="AD921" s="82"/>
      <c r="AE921" s="82"/>
      <c r="AF921" s="82"/>
      <c r="AG921" s="82"/>
      <c r="AH921" s="82"/>
      <c r="AI921" s="82"/>
      <c r="AJ921" s="82"/>
      <c r="AK921" s="82"/>
      <c r="AL921" s="82"/>
      <c r="AM921" s="82"/>
      <c r="AN921" s="82"/>
      <c r="AO921" s="82"/>
    </row>
    <row r="922">
      <c r="A922" s="687"/>
      <c r="B922" s="685"/>
      <c r="C922" s="687"/>
      <c r="D922" s="687"/>
      <c r="E922" s="687"/>
      <c r="F922" s="687"/>
      <c r="G922" s="687"/>
      <c r="H922" s="688"/>
      <c r="I922" s="688"/>
      <c r="J922" s="688"/>
      <c r="K922" s="688"/>
      <c r="L922" s="688"/>
      <c r="M922" s="688"/>
      <c r="N922" s="688"/>
      <c r="O922" s="688"/>
      <c r="P922" s="688"/>
      <c r="Q922" s="721"/>
      <c r="R922" s="721"/>
      <c r="S922" s="721"/>
      <c r="T922" s="721"/>
      <c r="U922" s="721"/>
      <c r="V922" s="82"/>
      <c r="W922" s="82"/>
      <c r="X922" s="82"/>
      <c r="Y922" s="82"/>
      <c r="Z922" s="82"/>
      <c r="AA922" s="82"/>
      <c r="AB922" s="82"/>
      <c r="AC922" s="82"/>
      <c r="AD922" s="82"/>
      <c r="AE922" s="82"/>
      <c r="AF922" s="82"/>
      <c r="AG922" s="82"/>
      <c r="AH922" s="82"/>
      <c r="AI922" s="82"/>
      <c r="AJ922" s="82"/>
      <c r="AK922" s="82"/>
      <c r="AL922" s="82"/>
      <c r="AM922" s="82"/>
      <c r="AN922" s="82"/>
      <c r="AO922" s="82"/>
    </row>
    <row r="923">
      <c r="A923" s="687"/>
      <c r="B923" s="685"/>
      <c r="C923" s="687"/>
      <c r="D923" s="687"/>
      <c r="E923" s="687"/>
      <c r="F923" s="687"/>
      <c r="G923" s="687"/>
      <c r="H923" s="688"/>
      <c r="I923" s="688"/>
      <c r="J923" s="688"/>
      <c r="K923" s="688"/>
      <c r="L923" s="688"/>
      <c r="M923" s="688"/>
      <c r="N923" s="688"/>
      <c r="O923" s="688"/>
      <c r="P923" s="688"/>
      <c r="Q923" s="721"/>
      <c r="R923" s="721"/>
      <c r="S923" s="721"/>
      <c r="T923" s="721"/>
      <c r="U923" s="721"/>
      <c r="V923" s="82"/>
      <c r="W923" s="82"/>
      <c r="X923" s="82"/>
      <c r="Y923" s="82"/>
      <c r="Z923" s="82"/>
      <c r="AA923" s="82"/>
      <c r="AB923" s="82"/>
      <c r="AC923" s="82"/>
      <c r="AD923" s="82"/>
      <c r="AE923" s="82"/>
      <c r="AF923" s="82"/>
      <c r="AG923" s="82"/>
      <c r="AH923" s="82"/>
      <c r="AI923" s="82"/>
      <c r="AJ923" s="82"/>
      <c r="AK923" s="82"/>
      <c r="AL923" s="82"/>
      <c r="AM923" s="82"/>
      <c r="AN923" s="82"/>
      <c r="AO923" s="82"/>
    </row>
    <row r="924">
      <c r="A924" s="687"/>
      <c r="B924" s="685"/>
      <c r="C924" s="687"/>
      <c r="D924" s="687"/>
      <c r="E924" s="687"/>
      <c r="F924" s="687"/>
      <c r="G924" s="687"/>
      <c r="H924" s="688"/>
      <c r="I924" s="688"/>
      <c r="J924" s="688"/>
      <c r="K924" s="688"/>
      <c r="L924" s="688"/>
      <c r="M924" s="688"/>
      <c r="N924" s="688"/>
      <c r="O924" s="688"/>
      <c r="P924" s="688"/>
      <c r="Q924" s="721"/>
      <c r="R924" s="721"/>
      <c r="S924" s="721"/>
      <c r="T924" s="721"/>
      <c r="U924" s="721"/>
      <c r="V924" s="82"/>
      <c r="W924" s="82"/>
      <c r="X924" s="82"/>
      <c r="Y924" s="82"/>
      <c r="Z924" s="82"/>
      <c r="AA924" s="82"/>
      <c r="AB924" s="82"/>
      <c r="AC924" s="82"/>
      <c r="AD924" s="82"/>
      <c r="AE924" s="82"/>
      <c r="AF924" s="82"/>
      <c r="AG924" s="82"/>
      <c r="AH924" s="82"/>
      <c r="AI924" s="82"/>
      <c r="AJ924" s="82"/>
      <c r="AK924" s="82"/>
      <c r="AL924" s="82"/>
      <c r="AM924" s="82"/>
      <c r="AN924" s="82"/>
      <c r="AO924" s="82"/>
    </row>
    <row r="925">
      <c r="A925" s="687"/>
      <c r="B925" s="685"/>
      <c r="C925" s="687"/>
      <c r="D925" s="687"/>
      <c r="E925" s="687"/>
      <c r="F925" s="687"/>
      <c r="G925" s="687"/>
      <c r="H925" s="688"/>
      <c r="I925" s="688"/>
      <c r="J925" s="688"/>
      <c r="K925" s="688"/>
      <c r="L925" s="688"/>
      <c r="M925" s="688"/>
      <c r="N925" s="688"/>
      <c r="O925" s="688"/>
      <c r="P925" s="688"/>
      <c r="Q925" s="721"/>
      <c r="R925" s="721"/>
      <c r="S925" s="721"/>
      <c r="T925" s="721"/>
      <c r="U925" s="721"/>
      <c r="V925" s="82"/>
      <c r="W925" s="82"/>
      <c r="X925" s="82"/>
      <c r="Y925" s="82"/>
      <c r="Z925" s="82"/>
      <c r="AA925" s="82"/>
      <c r="AB925" s="82"/>
      <c r="AC925" s="82"/>
      <c r="AD925" s="82"/>
      <c r="AE925" s="82"/>
      <c r="AF925" s="82"/>
      <c r="AG925" s="82"/>
      <c r="AH925" s="82"/>
      <c r="AI925" s="82"/>
      <c r="AJ925" s="82"/>
      <c r="AK925" s="82"/>
      <c r="AL925" s="82"/>
      <c r="AM925" s="82"/>
      <c r="AN925" s="82"/>
      <c r="AO925" s="82"/>
    </row>
    <row r="926">
      <c r="A926" s="687"/>
      <c r="B926" s="685"/>
      <c r="C926" s="687"/>
      <c r="D926" s="687"/>
      <c r="E926" s="687"/>
      <c r="F926" s="687"/>
      <c r="G926" s="687"/>
      <c r="H926" s="688"/>
      <c r="I926" s="688"/>
      <c r="J926" s="688"/>
      <c r="K926" s="688"/>
      <c r="L926" s="688"/>
      <c r="M926" s="688"/>
      <c r="N926" s="688"/>
      <c r="O926" s="688"/>
      <c r="P926" s="688"/>
      <c r="Q926" s="721"/>
      <c r="R926" s="721"/>
      <c r="S926" s="721"/>
      <c r="T926" s="721"/>
      <c r="U926" s="721"/>
      <c r="V926" s="82"/>
      <c r="W926" s="82"/>
      <c r="X926" s="82"/>
      <c r="Y926" s="82"/>
      <c r="Z926" s="82"/>
      <c r="AA926" s="82"/>
      <c r="AB926" s="82"/>
      <c r="AC926" s="82"/>
      <c r="AD926" s="82"/>
      <c r="AE926" s="82"/>
      <c r="AF926" s="82"/>
      <c r="AG926" s="82"/>
      <c r="AH926" s="82"/>
      <c r="AI926" s="82"/>
      <c r="AJ926" s="82"/>
      <c r="AK926" s="82"/>
      <c r="AL926" s="82"/>
      <c r="AM926" s="82"/>
      <c r="AN926" s="82"/>
      <c r="AO926" s="82"/>
    </row>
    <row r="927">
      <c r="A927" s="687"/>
      <c r="B927" s="685"/>
      <c r="C927" s="687"/>
      <c r="D927" s="687"/>
      <c r="E927" s="687"/>
      <c r="F927" s="687"/>
      <c r="G927" s="687"/>
      <c r="H927" s="688"/>
      <c r="I927" s="688"/>
      <c r="J927" s="688"/>
      <c r="K927" s="688"/>
      <c r="L927" s="688"/>
      <c r="M927" s="688"/>
      <c r="N927" s="688"/>
      <c r="O927" s="688"/>
      <c r="P927" s="688"/>
      <c r="Q927" s="721"/>
      <c r="R927" s="721"/>
      <c r="S927" s="721"/>
      <c r="T927" s="721"/>
      <c r="U927" s="721"/>
      <c r="V927" s="82"/>
      <c r="W927" s="82"/>
      <c r="X927" s="82"/>
      <c r="Y927" s="82"/>
      <c r="Z927" s="82"/>
      <c r="AA927" s="82"/>
      <c r="AB927" s="82"/>
      <c r="AC927" s="82"/>
      <c r="AD927" s="82"/>
      <c r="AE927" s="82"/>
      <c r="AF927" s="82"/>
      <c r="AG927" s="82"/>
      <c r="AH927" s="82"/>
      <c r="AI927" s="82"/>
      <c r="AJ927" s="82"/>
      <c r="AK927" s="82"/>
      <c r="AL927" s="82"/>
      <c r="AM927" s="82"/>
      <c r="AN927" s="82"/>
      <c r="AO927" s="82"/>
    </row>
    <row r="928">
      <c r="A928" s="687"/>
      <c r="B928" s="685"/>
      <c r="C928" s="687"/>
      <c r="D928" s="687"/>
      <c r="E928" s="687"/>
      <c r="F928" s="687"/>
      <c r="G928" s="687"/>
      <c r="H928" s="688"/>
      <c r="I928" s="688"/>
      <c r="J928" s="688"/>
      <c r="K928" s="688"/>
      <c r="L928" s="688"/>
      <c r="M928" s="688"/>
      <c r="N928" s="688"/>
      <c r="O928" s="688"/>
      <c r="P928" s="688"/>
      <c r="Q928" s="721"/>
      <c r="R928" s="721"/>
      <c r="S928" s="721"/>
      <c r="T928" s="721"/>
      <c r="U928" s="721"/>
      <c r="V928" s="82"/>
      <c r="W928" s="82"/>
      <c r="X928" s="82"/>
      <c r="Y928" s="82"/>
      <c r="Z928" s="82"/>
      <c r="AA928" s="82"/>
      <c r="AB928" s="82"/>
      <c r="AC928" s="82"/>
      <c r="AD928" s="82"/>
      <c r="AE928" s="82"/>
      <c r="AF928" s="82"/>
      <c r="AG928" s="82"/>
      <c r="AH928" s="82"/>
      <c r="AI928" s="82"/>
      <c r="AJ928" s="82"/>
      <c r="AK928" s="82"/>
      <c r="AL928" s="82"/>
      <c r="AM928" s="82"/>
      <c r="AN928" s="82"/>
      <c r="AO928" s="82"/>
    </row>
    <row r="929">
      <c r="A929" s="687"/>
      <c r="B929" s="685"/>
      <c r="C929" s="687"/>
      <c r="D929" s="687"/>
      <c r="E929" s="687"/>
      <c r="F929" s="687"/>
      <c r="G929" s="687"/>
      <c r="H929" s="688"/>
      <c r="I929" s="688"/>
      <c r="J929" s="688"/>
      <c r="K929" s="688"/>
      <c r="L929" s="688"/>
      <c r="M929" s="688"/>
      <c r="N929" s="688"/>
      <c r="O929" s="688"/>
      <c r="P929" s="688"/>
      <c r="Q929" s="721"/>
      <c r="R929" s="721"/>
      <c r="S929" s="721"/>
      <c r="T929" s="721"/>
      <c r="U929" s="721"/>
      <c r="V929" s="82"/>
      <c r="W929" s="82"/>
      <c r="X929" s="82"/>
      <c r="Y929" s="82"/>
      <c r="Z929" s="82"/>
      <c r="AA929" s="82"/>
      <c r="AB929" s="82"/>
      <c r="AC929" s="82"/>
      <c r="AD929" s="82"/>
      <c r="AE929" s="82"/>
      <c r="AF929" s="82"/>
      <c r="AG929" s="82"/>
      <c r="AH929" s="82"/>
      <c r="AI929" s="82"/>
      <c r="AJ929" s="82"/>
      <c r="AK929" s="82"/>
      <c r="AL929" s="82"/>
      <c r="AM929" s="82"/>
      <c r="AN929" s="82"/>
      <c r="AO929" s="82"/>
    </row>
    <row r="930">
      <c r="A930" s="687"/>
      <c r="B930" s="685"/>
      <c r="C930" s="687"/>
      <c r="D930" s="687"/>
      <c r="E930" s="687"/>
      <c r="F930" s="687"/>
      <c r="G930" s="687"/>
      <c r="H930" s="688"/>
      <c r="I930" s="688"/>
      <c r="J930" s="688"/>
      <c r="K930" s="688"/>
      <c r="L930" s="688"/>
      <c r="M930" s="688"/>
      <c r="N930" s="688"/>
      <c r="O930" s="688"/>
      <c r="P930" s="688"/>
      <c r="Q930" s="721"/>
      <c r="R930" s="721"/>
      <c r="S930" s="721"/>
      <c r="T930" s="721"/>
      <c r="U930" s="721"/>
      <c r="V930" s="82"/>
      <c r="W930" s="82"/>
      <c r="X930" s="82"/>
      <c r="Y930" s="82"/>
      <c r="Z930" s="82"/>
      <c r="AA930" s="82"/>
      <c r="AB930" s="82"/>
      <c r="AC930" s="82"/>
      <c r="AD930" s="82"/>
      <c r="AE930" s="82"/>
      <c r="AF930" s="82"/>
      <c r="AG930" s="82"/>
      <c r="AH930" s="82"/>
      <c r="AI930" s="82"/>
      <c r="AJ930" s="82"/>
      <c r="AK930" s="82"/>
      <c r="AL930" s="82"/>
      <c r="AM930" s="82"/>
      <c r="AN930" s="82"/>
      <c r="AO930" s="82"/>
    </row>
    <row r="931">
      <c r="A931" s="687"/>
      <c r="B931" s="685"/>
      <c r="C931" s="687"/>
      <c r="D931" s="687"/>
      <c r="E931" s="687"/>
      <c r="F931" s="687"/>
      <c r="G931" s="687"/>
      <c r="H931" s="688"/>
      <c r="I931" s="688"/>
      <c r="J931" s="688"/>
      <c r="K931" s="688"/>
      <c r="L931" s="688"/>
      <c r="M931" s="688"/>
      <c r="N931" s="688"/>
      <c r="O931" s="688"/>
      <c r="P931" s="688"/>
      <c r="Q931" s="721"/>
      <c r="R931" s="721"/>
      <c r="S931" s="721"/>
      <c r="T931" s="721"/>
      <c r="U931" s="721"/>
      <c r="V931" s="82"/>
      <c r="W931" s="82"/>
      <c r="X931" s="82"/>
      <c r="Y931" s="82"/>
      <c r="Z931" s="82"/>
      <c r="AA931" s="82"/>
      <c r="AB931" s="82"/>
      <c r="AC931" s="82"/>
      <c r="AD931" s="82"/>
      <c r="AE931" s="82"/>
      <c r="AF931" s="82"/>
      <c r="AG931" s="82"/>
      <c r="AH931" s="82"/>
      <c r="AI931" s="82"/>
      <c r="AJ931" s="82"/>
      <c r="AK931" s="82"/>
      <c r="AL931" s="82"/>
      <c r="AM931" s="82"/>
      <c r="AN931" s="82"/>
      <c r="AO931" s="82"/>
    </row>
    <row r="932">
      <c r="A932" s="687"/>
      <c r="B932" s="685"/>
      <c r="C932" s="687"/>
      <c r="D932" s="687"/>
      <c r="E932" s="687"/>
      <c r="F932" s="687"/>
      <c r="G932" s="687"/>
      <c r="H932" s="688"/>
      <c r="I932" s="688"/>
      <c r="J932" s="688"/>
      <c r="K932" s="688"/>
      <c r="L932" s="688"/>
      <c r="M932" s="688"/>
      <c r="N932" s="688"/>
      <c r="O932" s="688"/>
      <c r="P932" s="688"/>
      <c r="Q932" s="721"/>
      <c r="R932" s="721"/>
      <c r="S932" s="721"/>
      <c r="T932" s="721"/>
      <c r="U932" s="721"/>
      <c r="V932" s="82"/>
      <c r="W932" s="82"/>
      <c r="X932" s="82"/>
      <c r="Y932" s="82"/>
      <c r="Z932" s="82"/>
      <c r="AA932" s="82"/>
      <c r="AB932" s="82"/>
      <c r="AC932" s="82"/>
      <c r="AD932" s="82"/>
      <c r="AE932" s="82"/>
      <c r="AF932" s="82"/>
      <c r="AG932" s="82"/>
      <c r="AH932" s="82"/>
      <c r="AI932" s="82"/>
      <c r="AJ932" s="82"/>
      <c r="AK932" s="82"/>
      <c r="AL932" s="82"/>
      <c r="AM932" s="82"/>
      <c r="AN932" s="82"/>
      <c r="AO932" s="82"/>
    </row>
    <row r="933">
      <c r="A933" s="687"/>
      <c r="B933" s="685"/>
      <c r="C933" s="687"/>
      <c r="D933" s="687"/>
      <c r="E933" s="687"/>
      <c r="F933" s="687"/>
      <c r="G933" s="687"/>
      <c r="H933" s="688"/>
      <c r="I933" s="688"/>
      <c r="J933" s="688"/>
      <c r="K933" s="688"/>
      <c r="L933" s="688"/>
      <c r="M933" s="688"/>
      <c r="N933" s="688"/>
      <c r="O933" s="688"/>
      <c r="P933" s="688"/>
      <c r="Q933" s="721"/>
      <c r="R933" s="721"/>
      <c r="S933" s="721"/>
      <c r="T933" s="721"/>
      <c r="U933" s="721"/>
      <c r="V933" s="82"/>
      <c r="W933" s="82"/>
      <c r="X933" s="82"/>
      <c r="Y933" s="82"/>
      <c r="Z933" s="82"/>
      <c r="AA933" s="82"/>
      <c r="AB933" s="82"/>
      <c r="AC933" s="82"/>
      <c r="AD933" s="82"/>
      <c r="AE933" s="82"/>
      <c r="AF933" s="82"/>
      <c r="AG933" s="82"/>
      <c r="AH933" s="82"/>
      <c r="AI933" s="82"/>
      <c r="AJ933" s="82"/>
      <c r="AK933" s="82"/>
      <c r="AL933" s="82"/>
      <c r="AM933" s="82"/>
      <c r="AN933" s="82"/>
      <c r="AO933" s="82"/>
    </row>
    <row r="934">
      <c r="A934" s="687"/>
      <c r="B934" s="685"/>
      <c r="C934" s="687"/>
      <c r="D934" s="687"/>
      <c r="E934" s="687"/>
      <c r="F934" s="687"/>
      <c r="G934" s="687"/>
      <c r="H934" s="688"/>
      <c r="I934" s="688"/>
      <c r="J934" s="688"/>
      <c r="K934" s="688"/>
      <c r="L934" s="688"/>
      <c r="M934" s="688"/>
      <c r="N934" s="688"/>
      <c r="O934" s="688"/>
      <c r="P934" s="688"/>
      <c r="Q934" s="721"/>
      <c r="R934" s="721"/>
      <c r="S934" s="721"/>
      <c r="T934" s="721"/>
      <c r="U934" s="721"/>
      <c r="V934" s="82"/>
      <c r="W934" s="82"/>
      <c r="X934" s="82"/>
      <c r="Y934" s="82"/>
      <c r="Z934" s="82"/>
      <c r="AA934" s="82"/>
      <c r="AB934" s="82"/>
      <c r="AC934" s="82"/>
      <c r="AD934" s="82"/>
      <c r="AE934" s="82"/>
      <c r="AF934" s="82"/>
      <c r="AG934" s="82"/>
      <c r="AH934" s="82"/>
      <c r="AI934" s="82"/>
      <c r="AJ934" s="82"/>
      <c r="AK934" s="82"/>
      <c r="AL934" s="82"/>
      <c r="AM934" s="82"/>
      <c r="AN934" s="82"/>
      <c r="AO934" s="82"/>
    </row>
    <row r="935">
      <c r="A935" s="687"/>
      <c r="B935" s="685"/>
      <c r="C935" s="687"/>
      <c r="D935" s="687"/>
      <c r="E935" s="687"/>
      <c r="F935" s="687"/>
      <c r="G935" s="687"/>
      <c r="H935" s="688"/>
      <c r="I935" s="688"/>
      <c r="J935" s="688"/>
      <c r="K935" s="688"/>
      <c r="L935" s="688"/>
      <c r="M935" s="688"/>
      <c r="N935" s="688"/>
      <c r="O935" s="688"/>
      <c r="P935" s="688"/>
      <c r="Q935" s="721"/>
      <c r="R935" s="721"/>
      <c r="S935" s="721"/>
      <c r="T935" s="721"/>
      <c r="U935" s="721"/>
      <c r="V935" s="82"/>
      <c r="W935" s="82"/>
      <c r="X935" s="82"/>
      <c r="Y935" s="82"/>
      <c r="Z935" s="82"/>
      <c r="AA935" s="82"/>
      <c r="AB935" s="82"/>
      <c r="AC935" s="82"/>
      <c r="AD935" s="82"/>
      <c r="AE935" s="82"/>
      <c r="AF935" s="82"/>
      <c r="AG935" s="82"/>
      <c r="AH935" s="82"/>
      <c r="AI935" s="82"/>
      <c r="AJ935" s="82"/>
      <c r="AK935" s="82"/>
      <c r="AL935" s="82"/>
      <c r="AM935" s="82"/>
      <c r="AN935" s="82"/>
      <c r="AO935" s="82"/>
    </row>
    <row r="936">
      <c r="A936" s="687"/>
      <c r="C936" s="687"/>
      <c r="D936" s="687"/>
      <c r="E936" s="687"/>
      <c r="F936" s="687"/>
      <c r="G936" s="687"/>
      <c r="H936" s="688"/>
      <c r="I936" s="688"/>
      <c r="J936" s="688"/>
      <c r="K936" s="688"/>
      <c r="L936" s="688"/>
      <c r="M936" s="688"/>
      <c r="N936" s="688"/>
      <c r="O936" s="688"/>
      <c r="P936" s="688"/>
      <c r="Q936" s="721"/>
      <c r="R936" s="721"/>
      <c r="S936" s="721"/>
      <c r="T936" s="721"/>
      <c r="U936" s="721"/>
      <c r="V936" s="82"/>
      <c r="W936" s="82"/>
      <c r="X936" s="82"/>
      <c r="Y936" s="82"/>
      <c r="Z936" s="82"/>
      <c r="AA936" s="82"/>
      <c r="AB936" s="82"/>
      <c r="AC936" s="82"/>
      <c r="AD936" s="82"/>
      <c r="AE936" s="82"/>
      <c r="AF936" s="82"/>
      <c r="AG936" s="82"/>
      <c r="AH936" s="82"/>
      <c r="AI936" s="82"/>
      <c r="AJ936" s="82"/>
      <c r="AK936" s="82"/>
      <c r="AL936" s="82"/>
      <c r="AM936" s="82"/>
      <c r="AN936" s="82"/>
      <c r="AO936" s="82"/>
    </row>
    <row r="937">
      <c r="A937" s="687"/>
      <c r="C937" s="687"/>
      <c r="D937" s="687"/>
      <c r="E937" s="687"/>
      <c r="F937" s="687"/>
      <c r="G937" s="687"/>
      <c r="H937" s="688"/>
      <c r="I937" s="688"/>
      <c r="J937" s="688"/>
      <c r="K937" s="688"/>
      <c r="L937" s="688"/>
      <c r="M937" s="688"/>
      <c r="N937" s="688"/>
      <c r="O937" s="688"/>
      <c r="P937" s="688"/>
      <c r="Q937" s="721"/>
      <c r="R937" s="721"/>
      <c r="S937" s="721"/>
      <c r="T937" s="721"/>
      <c r="U937" s="721"/>
      <c r="V937" s="82"/>
      <c r="W937" s="82"/>
      <c r="X937" s="82"/>
      <c r="Y937" s="82"/>
      <c r="Z937" s="82"/>
      <c r="AA937" s="82"/>
      <c r="AB937" s="82"/>
      <c r="AC937" s="82"/>
      <c r="AD937" s="82"/>
      <c r="AE937" s="82"/>
      <c r="AF937" s="82"/>
      <c r="AG937" s="82"/>
      <c r="AH937" s="82"/>
      <c r="AI937" s="82"/>
      <c r="AJ937" s="82"/>
      <c r="AK937" s="82"/>
      <c r="AL937" s="82"/>
      <c r="AM937" s="82"/>
      <c r="AN937" s="82"/>
      <c r="AO937" s="82"/>
    </row>
    <row r="938">
      <c r="A938" s="687"/>
      <c r="C938" s="687"/>
      <c r="D938" s="687"/>
      <c r="E938" s="687"/>
      <c r="F938" s="687"/>
      <c r="G938" s="687"/>
      <c r="H938" s="688"/>
      <c r="I938" s="688"/>
      <c r="J938" s="688"/>
      <c r="K938" s="688"/>
      <c r="L938" s="688"/>
      <c r="M938" s="688"/>
      <c r="N938" s="688"/>
      <c r="O938" s="688"/>
      <c r="P938" s="688"/>
      <c r="Q938" s="721"/>
      <c r="R938" s="721"/>
      <c r="S938" s="721"/>
      <c r="T938" s="721"/>
      <c r="U938" s="721"/>
      <c r="V938" s="82"/>
      <c r="W938" s="82"/>
      <c r="X938" s="82"/>
      <c r="Y938" s="82"/>
      <c r="Z938" s="82"/>
      <c r="AA938" s="82"/>
      <c r="AB938" s="82"/>
      <c r="AC938" s="82"/>
      <c r="AD938" s="82"/>
      <c r="AE938" s="82"/>
      <c r="AF938" s="82"/>
      <c r="AG938" s="82"/>
      <c r="AH938" s="82"/>
      <c r="AI938" s="82"/>
      <c r="AJ938" s="82"/>
      <c r="AK938" s="82"/>
      <c r="AL938" s="82"/>
      <c r="AM938" s="82"/>
      <c r="AN938" s="82"/>
      <c r="AO938" s="82"/>
    </row>
    <row r="939">
      <c r="A939" s="687"/>
      <c r="C939" s="687"/>
      <c r="D939" s="687"/>
      <c r="E939" s="687"/>
      <c r="F939" s="687"/>
      <c r="G939" s="687"/>
      <c r="H939" s="688"/>
      <c r="I939" s="688"/>
      <c r="J939" s="688"/>
      <c r="K939" s="688"/>
      <c r="L939" s="688"/>
      <c r="M939" s="688"/>
      <c r="N939" s="688"/>
      <c r="O939" s="688"/>
      <c r="P939" s="688"/>
      <c r="Q939" s="721"/>
      <c r="R939" s="721"/>
      <c r="S939" s="721"/>
      <c r="T939" s="721"/>
      <c r="U939" s="721"/>
      <c r="V939" s="82"/>
      <c r="W939" s="82"/>
      <c r="X939" s="82"/>
      <c r="Y939" s="82"/>
      <c r="Z939" s="82"/>
      <c r="AA939" s="82"/>
      <c r="AB939" s="82"/>
      <c r="AC939" s="82"/>
      <c r="AD939" s="82"/>
      <c r="AE939" s="82"/>
      <c r="AF939" s="82"/>
      <c r="AG939" s="82"/>
      <c r="AH939" s="82"/>
      <c r="AI939" s="82"/>
      <c r="AJ939" s="82"/>
      <c r="AK939" s="82"/>
      <c r="AL939" s="82"/>
      <c r="AM939" s="82"/>
      <c r="AN939" s="82"/>
      <c r="AO939" s="82"/>
    </row>
    <row r="940">
      <c r="A940" s="687"/>
      <c r="C940" s="687"/>
      <c r="D940" s="687"/>
      <c r="E940" s="687"/>
      <c r="F940" s="687"/>
      <c r="G940" s="687"/>
      <c r="H940" s="688"/>
      <c r="I940" s="688"/>
      <c r="J940" s="688"/>
      <c r="K940" s="688"/>
      <c r="L940" s="688"/>
      <c r="M940" s="688"/>
      <c r="N940" s="688"/>
      <c r="O940" s="688"/>
      <c r="P940" s="688"/>
      <c r="Q940" s="721"/>
      <c r="R940" s="721"/>
      <c r="S940" s="721"/>
      <c r="T940" s="721"/>
      <c r="U940" s="721"/>
      <c r="V940" s="82"/>
      <c r="W940" s="82"/>
      <c r="X940" s="82"/>
      <c r="Y940" s="82"/>
      <c r="Z940" s="82"/>
      <c r="AA940" s="82"/>
      <c r="AB940" s="82"/>
      <c r="AC940" s="82"/>
      <c r="AD940" s="82"/>
      <c r="AE940" s="82"/>
      <c r="AF940" s="82"/>
      <c r="AG940" s="82"/>
      <c r="AH940" s="82"/>
      <c r="AI940" s="82"/>
      <c r="AJ940" s="82"/>
      <c r="AK940" s="82"/>
      <c r="AL940" s="82"/>
      <c r="AM940" s="82"/>
      <c r="AN940" s="82"/>
      <c r="AO940" s="82"/>
    </row>
    <row r="941">
      <c r="A941" s="687"/>
      <c r="C941" s="687"/>
      <c r="D941" s="687"/>
      <c r="E941" s="687"/>
      <c r="F941" s="687"/>
      <c r="G941" s="687"/>
      <c r="H941" s="688"/>
      <c r="I941" s="688"/>
      <c r="J941" s="688"/>
      <c r="K941" s="688"/>
      <c r="L941" s="688"/>
      <c r="M941" s="688"/>
      <c r="N941" s="688"/>
      <c r="O941" s="688"/>
      <c r="P941" s="688"/>
      <c r="Q941" s="721"/>
      <c r="R941" s="721"/>
      <c r="S941" s="721"/>
      <c r="T941" s="721"/>
      <c r="U941" s="721"/>
      <c r="V941" s="82"/>
      <c r="W941" s="82"/>
      <c r="X941" s="82"/>
      <c r="Y941" s="82"/>
      <c r="Z941" s="82"/>
      <c r="AA941" s="82"/>
      <c r="AB941" s="82"/>
      <c r="AC941" s="82"/>
      <c r="AD941" s="82"/>
      <c r="AE941" s="82"/>
      <c r="AF941" s="82"/>
      <c r="AG941" s="82"/>
      <c r="AH941" s="82"/>
      <c r="AI941" s="82"/>
      <c r="AJ941" s="82"/>
      <c r="AK941" s="82"/>
      <c r="AL941" s="82"/>
      <c r="AM941" s="82"/>
      <c r="AN941" s="82"/>
      <c r="AO941" s="82"/>
    </row>
    <row r="942">
      <c r="A942" s="687"/>
      <c r="C942" s="687"/>
      <c r="D942" s="687"/>
      <c r="E942" s="687"/>
      <c r="F942" s="687"/>
      <c r="G942" s="687"/>
      <c r="H942" s="688"/>
      <c r="I942" s="688"/>
      <c r="J942" s="688"/>
      <c r="K942" s="688"/>
      <c r="L942" s="688"/>
      <c r="M942" s="688"/>
      <c r="N942" s="688"/>
      <c r="O942" s="688"/>
      <c r="P942" s="688"/>
      <c r="Q942" s="721"/>
      <c r="R942" s="721"/>
      <c r="S942" s="721"/>
      <c r="T942" s="721"/>
      <c r="U942" s="721"/>
      <c r="V942" s="82"/>
      <c r="W942" s="82"/>
      <c r="X942" s="82"/>
      <c r="Y942" s="82"/>
      <c r="Z942" s="82"/>
      <c r="AA942" s="82"/>
      <c r="AB942" s="82"/>
      <c r="AC942" s="82"/>
      <c r="AD942" s="82"/>
      <c r="AE942" s="82"/>
      <c r="AF942" s="82"/>
      <c r="AG942" s="82"/>
      <c r="AH942" s="82"/>
      <c r="AI942" s="82"/>
      <c r="AJ942" s="82"/>
      <c r="AK942" s="82"/>
      <c r="AL942" s="82"/>
      <c r="AM942" s="82"/>
      <c r="AN942" s="82"/>
      <c r="AO942" s="82"/>
    </row>
    <row r="943">
      <c r="A943" s="687"/>
      <c r="C943" s="687"/>
      <c r="D943" s="687"/>
      <c r="E943" s="687"/>
      <c r="F943" s="687"/>
      <c r="G943" s="687"/>
      <c r="H943" s="688"/>
      <c r="I943" s="688"/>
      <c r="J943" s="688"/>
      <c r="K943" s="688"/>
      <c r="L943" s="688"/>
      <c r="M943" s="688"/>
      <c r="N943" s="688"/>
      <c r="O943" s="688"/>
      <c r="P943" s="688"/>
      <c r="Q943" s="721"/>
      <c r="R943" s="721"/>
      <c r="S943" s="721"/>
      <c r="T943" s="721"/>
      <c r="U943" s="721"/>
      <c r="V943" s="82"/>
      <c r="W943" s="82"/>
      <c r="X943" s="82"/>
      <c r="Y943" s="82"/>
      <c r="Z943" s="82"/>
      <c r="AA943" s="82"/>
      <c r="AB943" s="82"/>
      <c r="AC943" s="82"/>
      <c r="AD943" s="82"/>
      <c r="AE943" s="82"/>
      <c r="AF943" s="82"/>
      <c r="AG943" s="82"/>
      <c r="AH943" s="82"/>
      <c r="AI943" s="82"/>
      <c r="AJ943" s="82"/>
      <c r="AK943" s="82"/>
      <c r="AL943" s="82"/>
      <c r="AM943" s="82"/>
      <c r="AN943" s="82"/>
      <c r="AO943" s="82"/>
    </row>
    <row r="944">
      <c r="A944" s="687"/>
      <c r="C944" s="687"/>
      <c r="D944" s="687"/>
      <c r="E944" s="687"/>
      <c r="F944" s="687"/>
      <c r="G944" s="687"/>
      <c r="H944" s="688"/>
      <c r="I944" s="688"/>
      <c r="J944" s="688"/>
      <c r="K944" s="688"/>
      <c r="L944" s="688"/>
      <c r="M944" s="688"/>
      <c r="N944" s="688"/>
      <c r="O944" s="688"/>
      <c r="P944" s="688"/>
      <c r="Q944" s="721"/>
      <c r="R944" s="721"/>
      <c r="S944" s="721"/>
      <c r="T944" s="721"/>
      <c r="U944" s="721"/>
      <c r="V944" s="82"/>
      <c r="W944" s="82"/>
      <c r="X944" s="82"/>
      <c r="Y944" s="82"/>
      <c r="Z944" s="82"/>
      <c r="AA944" s="82"/>
      <c r="AB944" s="82"/>
      <c r="AC944" s="82"/>
      <c r="AD944" s="82"/>
      <c r="AE944" s="82"/>
      <c r="AF944" s="82"/>
      <c r="AG944" s="82"/>
      <c r="AH944" s="82"/>
      <c r="AI944" s="82"/>
      <c r="AJ944" s="82"/>
      <c r="AK944" s="82"/>
      <c r="AL944" s="82"/>
      <c r="AM944" s="82"/>
      <c r="AN944" s="82"/>
      <c r="AO944" s="82"/>
    </row>
    <row r="945">
      <c r="A945" s="687"/>
      <c r="C945" s="687"/>
      <c r="D945" s="687"/>
      <c r="E945" s="687"/>
      <c r="F945" s="687"/>
      <c r="G945" s="687"/>
      <c r="H945" s="688"/>
      <c r="I945" s="688"/>
      <c r="J945" s="688"/>
      <c r="K945" s="688"/>
      <c r="L945" s="688"/>
      <c r="M945" s="688"/>
      <c r="N945" s="688"/>
      <c r="O945" s="688"/>
      <c r="P945" s="688"/>
      <c r="Q945" s="721"/>
      <c r="R945" s="721"/>
      <c r="S945" s="721"/>
      <c r="T945" s="721"/>
      <c r="U945" s="721"/>
      <c r="V945" s="82"/>
      <c r="W945" s="82"/>
      <c r="X945" s="82"/>
      <c r="Y945" s="82"/>
      <c r="Z945" s="82"/>
      <c r="AA945" s="82"/>
      <c r="AB945" s="82"/>
      <c r="AC945" s="82"/>
      <c r="AD945" s="82"/>
      <c r="AE945" s="82"/>
      <c r="AF945" s="82"/>
      <c r="AG945" s="82"/>
      <c r="AH945" s="82"/>
      <c r="AI945" s="82"/>
      <c r="AJ945" s="82"/>
      <c r="AK945" s="82"/>
      <c r="AL945" s="82"/>
      <c r="AM945" s="82"/>
      <c r="AN945" s="82"/>
      <c r="AO945" s="82"/>
    </row>
    <row r="946">
      <c r="A946" s="687"/>
      <c r="C946" s="687"/>
      <c r="D946" s="687"/>
      <c r="E946" s="687"/>
      <c r="F946" s="687"/>
      <c r="G946" s="687"/>
      <c r="H946" s="688"/>
      <c r="I946" s="688"/>
      <c r="J946" s="688"/>
      <c r="K946" s="688"/>
      <c r="L946" s="688"/>
      <c r="M946" s="688"/>
      <c r="N946" s="688"/>
      <c r="O946" s="688"/>
      <c r="P946" s="688"/>
      <c r="Q946" s="721"/>
      <c r="R946" s="721"/>
      <c r="S946" s="721"/>
      <c r="T946" s="721"/>
      <c r="U946" s="721"/>
      <c r="V946" s="82"/>
      <c r="W946" s="82"/>
      <c r="X946" s="82"/>
      <c r="Y946" s="82"/>
      <c r="Z946" s="82"/>
      <c r="AA946" s="82"/>
      <c r="AB946" s="82"/>
      <c r="AC946" s="82"/>
      <c r="AD946" s="82"/>
      <c r="AE946" s="82"/>
      <c r="AF946" s="82"/>
      <c r="AG946" s="82"/>
      <c r="AH946" s="82"/>
      <c r="AI946" s="82"/>
      <c r="AJ946" s="82"/>
      <c r="AK946" s="82"/>
      <c r="AL946" s="82"/>
      <c r="AM946" s="82"/>
      <c r="AN946" s="82"/>
      <c r="AO946" s="82"/>
    </row>
    <row r="947">
      <c r="A947" s="687"/>
      <c r="C947" s="687"/>
      <c r="D947" s="687"/>
      <c r="E947" s="687"/>
      <c r="F947" s="687"/>
      <c r="G947" s="687"/>
      <c r="H947" s="688"/>
      <c r="I947" s="688"/>
      <c r="J947" s="688"/>
      <c r="K947" s="688"/>
      <c r="L947" s="688"/>
      <c r="M947" s="688"/>
      <c r="N947" s="688"/>
      <c r="O947" s="688"/>
      <c r="P947" s="688"/>
      <c r="Q947" s="721"/>
      <c r="R947" s="721"/>
      <c r="S947" s="721"/>
      <c r="T947" s="721"/>
      <c r="U947" s="721"/>
      <c r="V947" s="82"/>
      <c r="W947" s="82"/>
      <c r="X947" s="82"/>
      <c r="Y947" s="82"/>
      <c r="Z947" s="82"/>
      <c r="AA947" s="82"/>
      <c r="AB947" s="82"/>
      <c r="AC947" s="82"/>
      <c r="AD947" s="82"/>
      <c r="AE947" s="82"/>
      <c r="AF947" s="82"/>
      <c r="AG947" s="82"/>
      <c r="AH947" s="82"/>
      <c r="AI947" s="82"/>
      <c r="AJ947" s="82"/>
      <c r="AK947" s="82"/>
      <c r="AL947" s="82"/>
      <c r="AM947" s="82"/>
      <c r="AN947" s="82"/>
      <c r="AO947" s="82"/>
    </row>
    <row r="948">
      <c r="A948" s="687"/>
      <c r="C948" s="687"/>
      <c r="D948" s="687"/>
      <c r="E948" s="687"/>
      <c r="F948" s="687"/>
      <c r="G948" s="687"/>
      <c r="H948" s="688"/>
      <c r="I948" s="688"/>
      <c r="J948" s="688"/>
      <c r="K948" s="688"/>
      <c r="L948" s="688"/>
      <c r="M948" s="688"/>
      <c r="N948" s="688"/>
      <c r="O948" s="688"/>
      <c r="P948" s="688"/>
      <c r="Q948" s="721"/>
      <c r="R948" s="721"/>
      <c r="S948" s="721"/>
      <c r="T948" s="721"/>
      <c r="U948" s="721"/>
      <c r="V948" s="82"/>
      <c r="W948" s="82"/>
      <c r="X948" s="82"/>
      <c r="Y948" s="82"/>
      <c r="Z948" s="82"/>
      <c r="AA948" s="82"/>
      <c r="AB948" s="82"/>
      <c r="AC948" s="82"/>
      <c r="AD948" s="82"/>
      <c r="AE948" s="82"/>
      <c r="AF948" s="82"/>
      <c r="AG948" s="82"/>
      <c r="AH948" s="82"/>
      <c r="AI948" s="82"/>
      <c r="AJ948" s="82"/>
      <c r="AK948" s="82"/>
      <c r="AL948" s="82"/>
      <c r="AM948" s="82"/>
      <c r="AN948" s="82"/>
      <c r="AO948" s="82"/>
    </row>
    <row r="949">
      <c r="A949" s="687"/>
      <c r="C949" s="687"/>
      <c r="D949" s="687"/>
      <c r="E949" s="687"/>
      <c r="F949" s="687"/>
      <c r="G949" s="687"/>
      <c r="H949" s="688"/>
      <c r="I949" s="688"/>
      <c r="J949" s="688"/>
      <c r="K949" s="688"/>
      <c r="L949" s="688"/>
      <c r="M949" s="688"/>
      <c r="N949" s="688"/>
      <c r="O949" s="688"/>
      <c r="P949" s="688"/>
      <c r="Q949" s="721"/>
      <c r="R949" s="721"/>
      <c r="S949" s="721"/>
      <c r="T949" s="721"/>
      <c r="U949" s="721"/>
      <c r="V949" s="82"/>
      <c r="W949" s="82"/>
      <c r="X949" s="82"/>
      <c r="Y949" s="82"/>
      <c r="Z949" s="82"/>
      <c r="AA949" s="82"/>
      <c r="AB949" s="82"/>
      <c r="AC949" s="82"/>
      <c r="AD949" s="82"/>
      <c r="AE949" s="82"/>
      <c r="AF949" s="82"/>
      <c r="AG949" s="82"/>
      <c r="AH949" s="82"/>
      <c r="AI949" s="82"/>
      <c r="AJ949" s="82"/>
      <c r="AK949" s="82"/>
      <c r="AL949" s="82"/>
      <c r="AM949" s="82"/>
      <c r="AN949" s="82"/>
      <c r="AO949" s="82"/>
    </row>
    <row r="950">
      <c r="A950" s="687"/>
      <c r="C950" s="687"/>
      <c r="D950" s="687"/>
      <c r="E950" s="687"/>
      <c r="F950" s="687"/>
      <c r="G950" s="687"/>
      <c r="H950" s="688"/>
      <c r="I950" s="688"/>
      <c r="J950" s="688"/>
      <c r="K950" s="688"/>
      <c r="L950" s="688"/>
      <c r="M950" s="688"/>
      <c r="N950" s="688"/>
      <c r="O950" s="688"/>
      <c r="P950" s="688"/>
      <c r="Q950" s="721"/>
      <c r="R950" s="721"/>
      <c r="S950" s="721"/>
      <c r="T950" s="721"/>
      <c r="U950" s="721"/>
      <c r="V950" s="82"/>
      <c r="W950" s="82"/>
      <c r="X950" s="82"/>
      <c r="Y950" s="82"/>
      <c r="Z950" s="82"/>
      <c r="AA950" s="82"/>
      <c r="AB950" s="82"/>
      <c r="AC950" s="82"/>
      <c r="AD950" s="82"/>
      <c r="AE950" s="82"/>
      <c r="AF950" s="82"/>
      <c r="AG950" s="82"/>
      <c r="AH950" s="82"/>
      <c r="AI950" s="82"/>
      <c r="AJ950" s="82"/>
      <c r="AK950" s="82"/>
      <c r="AL950" s="82"/>
      <c r="AM950" s="82"/>
      <c r="AN950" s="82"/>
      <c r="AO950" s="82"/>
    </row>
    <row r="951">
      <c r="A951" s="687"/>
      <c r="C951" s="687"/>
      <c r="D951" s="687"/>
      <c r="E951" s="687"/>
      <c r="F951" s="687"/>
      <c r="G951" s="687"/>
      <c r="H951" s="688"/>
      <c r="I951" s="688"/>
      <c r="J951" s="688"/>
      <c r="K951" s="688"/>
      <c r="L951" s="688"/>
      <c r="M951" s="688"/>
      <c r="N951" s="688"/>
      <c r="O951" s="688"/>
      <c r="P951" s="688"/>
      <c r="Q951" s="721"/>
      <c r="R951" s="721"/>
      <c r="S951" s="721"/>
      <c r="T951" s="721"/>
      <c r="U951" s="721"/>
      <c r="V951" s="82"/>
      <c r="W951" s="82"/>
      <c r="X951" s="82"/>
      <c r="Y951" s="82"/>
      <c r="Z951" s="82"/>
      <c r="AA951" s="82"/>
      <c r="AB951" s="82"/>
      <c r="AC951" s="82"/>
      <c r="AD951" s="82"/>
      <c r="AE951" s="82"/>
      <c r="AF951" s="82"/>
      <c r="AG951" s="82"/>
      <c r="AH951" s="82"/>
      <c r="AI951" s="82"/>
      <c r="AJ951" s="82"/>
      <c r="AK951" s="82"/>
      <c r="AL951" s="82"/>
      <c r="AM951" s="82"/>
      <c r="AN951" s="82"/>
      <c r="AO951" s="82"/>
    </row>
    <row r="952">
      <c r="A952" s="687"/>
      <c r="C952" s="687"/>
      <c r="D952" s="687"/>
      <c r="E952" s="687"/>
      <c r="F952" s="687"/>
      <c r="G952" s="687"/>
      <c r="H952" s="688"/>
      <c r="I952" s="688"/>
      <c r="J952" s="688"/>
      <c r="K952" s="688"/>
      <c r="L952" s="688"/>
      <c r="M952" s="688"/>
      <c r="N952" s="688"/>
      <c r="O952" s="688"/>
      <c r="P952" s="688"/>
      <c r="Q952" s="721"/>
      <c r="R952" s="721"/>
      <c r="S952" s="721"/>
      <c r="T952" s="721"/>
      <c r="U952" s="721"/>
      <c r="V952" s="82"/>
      <c r="W952" s="82"/>
      <c r="X952" s="82"/>
      <c r="Y952" s="82"/>
      <c r="Z952" s="82"/>
      <c r="AA952" s="82"/>
      <c r="AB952" s="82"/>
      <c r="AC952" s="82"/>
      <c r="AD952" s="82"/>
      <c r="AE952" s="82"/>
      <c r="AF952" s="82"/>
      <c r="AG952" s="82"/>
      <c r="AH952" s="82"/>
      <c r="AI952" s="82"/>
      <c r="AJ952" s="82"/>
      <c r="AK952" s="82"/>
      <c r="AL952" s="82"/>
      <c r="AM952" s="82"/>
      <c r="AN952" s="82"/>
      <c r="AO952" s="82"/>
    </row>
    <row r="953">
      <c r="A953" s="687"/>
      <c r="C953" s="687"/>
      <c r="D953" s="687"/>
      <c r="E953" s="687"/>
      <c r="F953" s="687"/>
      <c r="G953" s="687"/>
      <c r="H953" s="688"/>
      <c r="I953" s="688"/>
      <c r="J953" s="688"/>
      <c r="K953" s="688"/>
      <c r="L953" s="688"/>
      <c r="M953" s="688"/>
      <c r="N953" s="688"/>
      <c r="O953" s="688"/>
      <c r="P953" s="688"/>
      <c r="Q953" s="721"/>
      <c r="R953" s="721"/>
      <c r="S953" s="721"/>
      <c r="T953" s="721"/>
      <c r="U953" s="721"/>
      <c r="V953" s="82"/>
      <c r="W953" s="82"/>
      <c r="X953" s="82"/>
      <c r="Y953" s="82"/>
      <c r="Z953" s="82"/>
      <c r="AA953" s="82"/>
      <c r="AB953" s="82"/>
      <c r="AC953" s="82"/>
      <c r="AD953" s="82"/>
      <c r="AE953" s="82"/>
      <c r="AF953" s="82"/>
      <c r="AG953" s="82"/>
      <c r="AH953" s="82"/>
      <c r="AI953" s="82"/>
      <c r="AJ953" s="82"/>
      <c r="AK953" s="82"/>
      <c r="AL953" s="82"/>
      <c r="AM953" s="82"/>
      <c r="AN953" s="82"/>
      <c r="AO953" s="82"/>
    </row>
    <row r="954">
      <c r="A954" s="687"/>
      <c r="C954" s="687"/>
      <c r="D954" s="687"/>
      <c r="E954" s="687"/>
      <c r="F954" s="687"/>
      <c r="G954" s="687"/>
      <c r="H954" s="688"/>
      <c r="I954" s="688"/>
      <c r="J954" s="688"/>
      <c r="K954" s="688"/>
      <c r="L954" s="688"/>
      <c r="M954" s="688"/>
      <c r="N954" s="688"/>
      <c r="O954" s="688"/>
      <c r="P954" s="688"/>
      <c r="Q954" s="721"/>
      <c r="R954" s="721"/>
      <c r="S954" s="721"/>
      <c r="T954" s="721"/>
      <c r="U954" s="721"/>
      <c r="V954" s="82"/>
      <c r="W954" s="82"/>
      <c r="X954" s="82"/>
      <c r="Y954" s="82"/>
      <c r="Z954" s="82"/>
      <c r="AA954" s="82"/>
      <c r="AB954" s="82"/>
      <c r="AC954" s="82"/>
      <c r="AD954" s="82"/>
      <c r="AE954" s="82"/>
      <c r="AF954" s="82"/>
      <c r="AG954" s="82"/>
      <c r="AH954" s="82"/>
      <c r="AI954" s="82"/>
      <c r="AJ954" s="82"/>
      <c r="AK954" s="82"/>
      <c r="AL954" s="82"/>
      <c r="AM954" s="82"/>
      <c r="AN954" s="82"/>
      <c r="AO954" s="82"/>
    </row>
    <row r="955">
      <c r="A955" s="687"/>
      <c r="C955" s="687"/>
      <c r="D955" s="687"/>
      <c r="E955" s="687"/>
      <c r="F955" s="687"/>
      <c r="G955" s="687"/>
      <c r="H955" s="688"/>
      <c r="I955" s="688"/>
      <c r="J955" s="688"/>
      <c r="K955" s="688"/>
      <c r="L955" s="688"/>
      <c r="M955" s="688"/>
      <c r="N955" s="688"/>
      <c r="O955" s="688"/>
      <c r="P955" s="688"/>
      <c r="Q955" s="721"/>
      <c r="R955" s="721"/>
      <c r="S955" s="721"/>
      <c r="T955" s="721"/>
      <c r="U955" s="721"/>
      <c r="V955" s="82"/>
      <c r="W955" s="82"/>
      <c r="X955" s="82"/>
      <c r="Y955" s="82"/>
      <c r="Z955" s="82"/>
      <c r="AA955" s="82"/>
      <c r="AB955" s="82"/>
      <c r="AC955" s="82"/>
      <c r="AD955" s="82"/>
      <c r="AE955" s="82"/>
      <c r="AF955" s="82"/>
      <c r="AG955" s="82"/>
      <c r="AH955" s="82"/>
      <c r="AI955" s="82"/>
      <c r="AJ955" s="82"/>
      <c r="AK955" s="82"/>
      <c r="AL955" s="82"/>
      <c r="AM955" s="82"/>
      <c r="AN955" s="82"/>
      <c r="AO955" s="82"/>
    </row>
    <row r="956">
      <c r="A956" s="687"/>
      <c r="C956" s="687"/>
      <c r="D956" s="687"/>
      <c r="E956" s="687"/>
      <c r="F956" s="687"/>
      <c r="G956" s="687"/>
      <c r="H956" s="688"/>
      <c r="I956" s="688"/>
      <c r="J956" s="688"/>
      <c r="K956" s="688"/>
      <c r="L956" s="688"/>
      <c r="M956" s="688"/>
      <c r="N956" s="688"/>
      <c r="O956" s="688"/>
      <c r="P956" s="688"/>
      <c r="Q956" s="721"/>
      <c r="R956" s="721"/>
      <c r="S956" s="721"/>
      <c r="T956" s="721"/>
      <c r="U956" s="721"/>
      <c r="V956" s="82"/>
      <c r="W956" s="82"/>
      <c r="X956" s="82"/>
      <c r="Y956" s="82"/>
      <c r="Z956" s="82"/>
      <c r="AA956" s="82"/>
      <c r="AB956" s="82"/>
      <c r="AC956" s="82"/>
      <c r="AD956" s="82"/>
      <c r="AE956" s="82"/>
      <c r="AF956" s="82"/>
      <c r="AG956" s="82"/>
      <c r="AH956" s="82"/>
      <c r="AI956" s="82"/>
      <c r="AJ956" s="82"/>
      <c r="AK956" s="82"/>
      <c r="AL956" s="82"/>
      <c r="AM956" s="82"/>
      <c r="AN956" s="82"/>
      <c r="AO956" s="82"/>
    </row>
    <row r="957">
      <c r="A957" s="687"/>
      <c r="C957" s="687"/>
      <c r="D957" s="687"/>
      <c r="E957" s="687"/>
      <c r="F957" s="687"/>
      <c r="G957" s="687"/>
      <c r="H957" s="688"/>
      <c r="I957" s="688"/>
      <c r="J957" s="688"/>
      <c r="K957" s="688"/>
      <c r="L957" s="688"/>
      <c r="M957" s="688"/>
      <c r="N957" s="688"/>
      <c r="O957" s="688"/>
      <c r="P957" s="688"/>
      <c r="Q957" s="721"/>
      <c r="R957" s="721"/>
      <c r="S957" s="721"/>
      <c r="T957" s="721"/>
      <c r="U957" s="721"/>
      <c r="V957" s="82"/>
      <c r="W957" s="82"/>
      <c r="X957" s="82"/>
      <c r="Y957" s="82"/>
      <c r="Z957" s="82"/>
      <c r="AA957" s="82"/>
      <c r="AB957" s="82"/>
      <c r="AC957" s="82"/>
      <c r="AD957" s="82"/>
      <c r="AE957" s="82"/>
      <c r="AF957" s="82"/>
      <c r="AG957" s="82"/>
      <c r="AH957" s="82"/>
      <c r="AI957" s="82"/>
      <c r="AJ957" s="82"/>
      <c r="AK957" s="82"/>
      <c r="AL957" s="82"/>
      <c r="AM957" s="82"/>
      <c r="AN957" s="82"/>
      <c r="AO957" s="82"/>
    </row>
    <row r="958">
      <c r="A958" s="687"/>
      <c r="C958" s="687"/>
      <c r="D958" s="687"/>
      <c r="E958" s="687"/>
      <c r="F958" s="687"/>
      <c r="G958" s="687"/>
      <c r="H958" s="688"/>
      <c r="I958" s="688"/>
      <c r="J958" s="688"/>
      <c r="K958" s="688"/>
      <c r="L958" s="688"/>
      <c r="M958" s="688"/>
      <c r="N958" s="688"/>
      <c r="O958" s="688"/>
      <c r="P958" s="688"/>
      <c r="Q958" s="721"/>
      <c r="R958" s="721"/>
      <c r="S958" s="721"/>
      <c r="T958" s="721"/>
      <c r="U958" s="721"/>
      <c r="V958" s="82"/>
      <c r="W958" s="82"/>
      <c r="X958" s="82"/>
      <c r="Y958" s="82"/>
      <c r="Z958" s="82"/>
      <c r="AA958" s="82"/>
      <c r="AB958" s="82"/>
      <c r="AC958" s="82"/>
      <c r="AD958" s="82"/>
      <c r="AE958" s="82"/>
      <c r="AF958" s="82"/>
      <c r="AG958" s="82"/>
      <c r="AH958" s="82"/>
      <c r="AI958" s="82"/>
      <c r="AJ958" s="82"/>
      <c r="AK958" s="82"/>
      <c r="AL958" s="82"/>
      <c r="AM958" s="82"/>
      <c r="AN958" s="82"/>
      <c r="AO958" s="82"/>
    </row>
    <row r="959">
      <c r="A959" s="687"/>
      <c r="C959" s="687"/>
      <c r="D959" s="687"/>
      <c r="E959" s="687"/>
      <c r="F959" s="687"/>
      <c r="G959" s="687"/>
      <c r="H959" s="688"/>
      <c r="I959" s="688"/>
      <c r="J959" s="688"/>
      <c r="K959" s="688"/>
      <c r="L959" s="688"/>
      <c r="M959" s="688"/>
      <c r="N959" s="688"/>
      <c r="O959" s="688"/>
      <c r="P959" s="688"/>
      <c r="Q959" s="721"/>
      <c r="R959" s="721"/>
      <c r="S959" s="721"/>
      <c r="T959" s="721"/>
      <c r="U959" s="721"/>
      <c r="V959" s="82"/>
      <c r="W959" s="82"/>
      <c r="X959" s="82"/>
      <c r="Y959" s="82"/>
      <c r="Z959" s="82"/>
      <c r="AA959" s="82"/>
      <c r="AB959" s="82"/>
      <c r="AC959" s="82"/>
      <c r="AD959" s="82"/>
      <c r="AE959" s="82"/>
      <c r="AF959" s="82"/>
      <c r="AG959" s="82"/>
      <c r="AH959" s="82"/>
      <c r="AI959" s="82"/>
      <c r="AJ959" s="82"/>
      <c r="AK959" s="82"/>
      <c r="AL959" s="82"/>
      <c r="AM959" s="82"/>
      <c r="AN959" s="82"/>
      <c r="AO959" s="82"/>
    </row>
    <row r="960">
      <c r="A960" s="687"/>
      <c r="C960" s="687"/>
      <c r="D960" s="687"/>
      <c r="E960" s="687"/>
      <c r="F960" s="687"/>
      <c r="G960" s="687"/>
      <c r="H960" s="688"/>
      <c r="I960" s="688"/>
      <c r="J960" s="688"/>
      <c r="K960" s="688"/>
      <c r="L960" s="688"/>
      <c r="M960" s="688"/>
      <c r="N960" s="688"/>
      <c r="O960" s="688"/>
      <c r="P960" s="688"/>
      <c r="Q960" s="721"/>
      <c r="R960" s="721"/>
      <c r="S960" s="721"/>
      <c r="T960" s="721"/>
      <c r="U960" s="721"/>
      <c r="V960" s="82"/>
      <c r="W960" s="82"/>
      <c r="X960" s="82"/>
      <c r="Y960" s="82"/>
      <c r="Z960" s="82"/>
      <c r="AA960" s="82"/>
      <c r="AB960" s="82"/>
      <c r="AC960" s="82"/>
      <c r="AD960" s="82"/>
      <c r="AE960" s="82"/>
      <c r="AF960" s="82"/>
      <c r="AG960" s="82"/>
      <c r="AH960" s="82"/>
      <c r="AI960" s="82"/>
      <c r="AJ960" s="82"/>
      <c r="AK960" s="82"/>
      <c r="AL960" s="82"/>
      <c r="AM960" s="82"/>
      <c r="AN960" s="82"/>
      <c r="AO960" s="82"/>
    </row>
    <row r="961">
      <c r="A961" s="687"/>
      <c r="C961" s="687"/>
      <c r="D961" s="687"/>
      <c r="E961" s="687"/>
      <c r="F961" s="687"/>
      <c r="G961" s="687"/>
      <c r="H961" s="688"/>
      <c r="I961" s="688"/>
      <c r="J961" s="688"/>
      <c r="K961" s="688"/>
      <c r="L961" s="688"/>
      <c r="M961" s="688"/>
      <c r="N961" s="688"/>
      <c r="O961" s="688"/>
      <c r="P961" s="688"/>
      <c r="Q961" s="721"/>
      <c r="R961" s="721"/>
      <c r="S961" s="721"/>
      <c r="T961" s="721"/>
      <c r="U961" s="721"/>
      <c r="V961" s="82"/>
      <c r="W961" s="82"/>
      <c r="X961" s="82"/>
      <c r="Y961" s="82"/>
      <c r="Z961" s="82"/>
      <c r="AA961" s="82"/>
      <c r="AB961" s="82"/>
      <c r="AC961" s="82"/>
      <c r="AD961" s="82"/>
      <c r="AE961" s="82"/>
      <c r="AF961" s="82"/>
      <c r="AG961" s="82"/>
      <c r="AH961" s="82"/>
      <c r="AI961" s="82"/>
      <c r="AJ961" s="82"/>
      <c r="AK961" s="82"/>
      <c r="AL961" s="82"/>
      <c r="AM961" s="82"/>
      <c r="AN961" s="82"/>
      <c r="AO961" s="82"/>
    </row>
    <row r="962">
      <c r="A962" s="687"/>
      <c r="C962" s="687"/>
      <c r="D962" s="687"/>
      <c r="E962" s="687"/>
      <c r="F962" s="687"/>
      <c r="G962" s="687"/>
      <c r="H962" s="688"/>
      <c r="I962" s="688"/>
      <c r="J962" s="688"/>
      <c r="K962" s="688"/>
      <c r="L962" s="688"/>
      <c r="M962" s="688"/>
      <c r="N962" s="688"/>
      <c r="O962" s="688"/>
      <c r="P962" s="688"/>
      <c r="Q962" s="721"/>
      <c r="R962" s="721"/>
      <c r="S962" s="721"/>
      <c r="T962" s="721"/>
      <c r="U962" s="721"/>
      <c r="V962" s="82"/>
      <c r="W962" s="82"/>
      <c r="X962" s="82"/>
      <c r="Y962" s="82"/>
      <c r="Z962" s="82"/>
      <c r="AA962" s="82"/>
      <c r="AB962" s="82"/>
      <c r="AC962" s="82"/>
      <c r="AD962" s="82"/>
      <c r="AE962" s="82"/>
      <c r="AF962" s="82"/>
      <c r="AG962" s="82"/>
      <c r="AH962" s="82"/>
      <c r="AI962" s="82"/>
      <c r="AJ962" s="82"/>
      <c r="AK962" s="82"/>
      <c r="AL962" s="82"/>
      <c r="AM962" s="82"/>
      <c r="AN962" s="82"/>
      <c r="AO962" s="82"/>
    </row>
    <row r="963">
      <c r="A963" s="687"/>
      <c r="C963" s="687"/>
      <c r="D963" s="687"/>
      <c r="E963" s="687"/>
      <c r="F963" s="687"/>
      <c r="G963" s="687"/>
      <c r="H963" s="688"/>
      <c r="I963" s="688"/>
      <c r="J963" s="688"/>
      <c r="K963" s="688"/>
      <c r="L963" s="688"/>
      <c r="M963" s="688"/>
      <c r="N963" s="688"/>
      <c r="O963" s="688"/>
      <c r="P963" s="688"/>
      <c r="Q963" s="721"/>
      <c r="R963" s="721"/>
      <c r="S963" s="721"/>
      <c r="T963" s="721"/>
      <c r="U963" s="721"/>
      <c r="V963" s="82"/>
      <c r="W963" s="82"/>
      <c r="X963" s="82"/>
      <c r="Y963" s="82"/>
      <c r="Z963" s="82"/>
      <c r="AA963" s="82"/>
      <c r="AB963" s="82"/>
      <c r="AC963" s="82"/>
      <c r="AD963" s="82"/>
      <c r="AE963" s="82"/>
      <c r="AF963" s="82"/>
      <c r="AG963" s="82"/>
      <c r="AH963" s="82"/>
      <c r="AI963" s="82"/>
      <c r="AJ963" s="82"/>
      <c r="AK963" s="82"/>
      <c r="AL963" s="82"/>
      <c r="AM963" s="82"/>
      <c r="AN963" s="82"/>
      <c r="AO963" s="82"/>
    </row>
    <row r="964">
      <c r="A964" s="687"/>
      <c r="C964" s="687"/>
      <c r="D964" s="687"/>
      <c r="E964" s="687"/>
      <c r="F964" s="687"/>
      <c r="G964" s="687"/>
      <c r="H964" s="688"/>
      <c r="I964" s="688"/>
      <c r="J964" s="688"/>
      <c r="K964" s="688"/>
      <c r="L964" s="688"/>
      <c r="M964" s="688"/>
      <c r="N964" s="688"/>
      <c r="O964" s="688"/>
      <c r="P964" s="688"/>
      <c r="Q964" s="721"/>
      <c r="R964" s="721"/>
      <c r="S964" s="721"/>
      <c r="T964" s="721"/>
      <c r="U964" s="721"/>
      <c r="V964" s="82"/>
      <c r="W964" s="82"/>
      <c r="X964" s="82"/>
      <c r="Y964" s="82"/>
      <c r="Z964" s="82"/>
      <c r="AA964" s="82"/>
      <c r="AB964" s="82"/>
      <c r="AC964" s="82"/>
      <c r="AD964" s="82"/>
      <c r="AE964" s="82"/>
      <c r="AF964" s="82"/>
      <c r="AG964" s="82"/>
      <c r="AH964" s="82"/>
      <c r="AI964" s="82"/>
      <c r="AJ964" s="82"/>
      <c r="AK964" s="82"/>
      <c r="AL964" s="82"/>
      <c r="AM964" s="82"/>
      <c r="AN964" s="82"/>
      <c r="AO964" s="82"/>
    </row>
    <row r="965">
      <c r="A965" s="687"/>
      <c r="C965" s="687"/>
      <c r="D965" s="687"/>
      <c r="E965" s="687"/>
      <c r="F965" s="687"/>
      <c r="G965" s="687"/>
      <c r="H965" s="688"/>
      <c r="I965" s="688"/>
      <c r="J965" s="688"/>
      <c r="K965" s="688"/>
      <c r="L965" s="688"/>
      <c r="M965" s="688"/>
      <c r="N965" s="688"/>
      <c r="O965" s="688"/>
      <c r="P965" s="688"/>
      <c r="Q965" s="721"/>
      <c r="R965" s="721"/>
      <c r="S965" s="721"/>
      <c r="T965" s="721"/>
      <c r="U965" s="721"/>
      <c r="V965" s="82"/>
      <c r="W965" s="82"/>
      <c r="X965" s="82"/>
      <c r="Y965" s="82"/>
      <c r="Z965" s="82"/>
      <c r="AA965" s="82"/>
      <c r="AB965" s="82"/>
      <c r="AC965" s="82"/>
      <c r="AD965" s="82"/>
      <c r="AE965" s="82"/>
      <c r="AF965" s="82"/>
      <c r="AG965" s="82"/>
      <c r="AH965" s="82"/>
      <c r="AI965" s="82"/>
      <c r="AJ965" s="82"/>
      <c r="AK965" s="82"/>
      <c r="AL965" s="82"/>
      <c r="AM965" s="82"/>
      <c r="AN965" s="82"/>
      <c r="AO965" s="82"/>
    </row>
    <row r="966">
      <c r="A966" s="687"/>
      <c r="C966" s="687"/>
      <c r="D966" s="687"/>
      <c r="E966" s="687"/>
      <c r="F966" s="687"/>
      <c r="G966" s="687"/>
      <c r="H966" s="688"/>
      <c r="I966" s="688"/>
      <c r="J966" s="688"/>
      <c r="K966" s="688"/>
      <c r="L966" s="688"/>
      <c r="M966" s="688"/>
      <c r="N966" s="688"/>
      <c r="O966" s="688"/>
      <c r="P966" s="688"/>
      <c r="Q966" s="721"/>
      <c r="R966" s="721"/>
      <c r="S966" s="721"/>
      <c r="T966" s="721"/>
      <c r="U966" s="721"/>
      <c r="V966" s="82"/>
      <c r="W966" s="82"/>
      <c r="X966" s="82"/>
      <c r="Y966" s="82"/>
      <c r="Z966" s="82"/>
      <c r="AA966" s="82"/>
      <c r="AB966" s="82"/>
      <c r="AC966" s="82"/>
      <c r="AD966" s="82"/>
      <c r="AE966" s="82"/>
      <c r="AF966" s="82"/>
      <c r="AG966" s="82"/>
      <c r="AH966" s="82"/>
      <c r="AI966" s="82"/>
      <c r="AJ966" s="82"/>
      <c r="AK966" s="82"/>
      <c r="AL966" s="82"/>
      <c r="AM966" s="82"/>
      <c r="AN966" s="82"/>
      <c r="AO966" s="82"/>
    </row>
    <row r="967">
      <c r="A967" s="687"/>
      <c r="C967" s="687"/>
      <c r="D967" s="687"/>
      <c r="E967" s="687"/>
      <c r="F967" s="687"/>
      <c r="G967" s="687"/>
      <c r="H967" s="688"/>
      <c r="I967" s="688"/>
      <c r="J967" s="688"/>
      <c r="K967" s="688"/>
      <c r="L967" s="688"/>
      <c r="M967" s="688"/>
      <c r="N967" s="688"/>
      <c r="O967" s="688"/>
      <c r="P967" s="688"/>
      <c r="Q967" s="721"/>
      <c r="R967" s="721"/>
      <c r="S967" s="721"/>
      <c r="T967" s="721"/>
      <c r="U967" s="721"/>
      <c r="V967" s="82"/>
      <c r="W967" s="82"/>
      <c r="X967" s="82"/>
      <c r="Y967" s="82"/>
      <c r="Z967" s="82"/>
      <c r="AA967" s="82"/>
      <c r="AB967" s="82"/>
      <c r="AC967" s="82"/>
      <c r="AD967" s="82"/>
      <c r="AE967" s="82"/>
      <c r="AF967" s="82"/>
      <c r="AG967" s="82"/>
      <c r="AH967" s="82"/>
      <c r="AI967" s="82"/>
      <c r="AJ967" s="82"/>
      <c r="AK967" s="82"/>
      <c r="AL967" s="82"/>
      <c r="AM967" s="82"/>
      <c r="AN967" s="82"/>
      <c r="AO967" s="82"/>
    </row>
    <row r="968">
      <c r="A968" s="687"/>
      <c r="C968" s="687"/>
      <c r="D968" s="687"/>
      <c r="E968" s="687"/>
      <c r="F968" s="687"/>
      <c r="G968" s="687"/>
      <c r="H968" s="688"/>
      <c r="I968" s="688"/>
      <c r="J968" s="688"/>
      <c r="K968" s="688"/>
      <c r="L968" s="688"/>
      <c r="M968" s="688"/>
      <c r="N968" s="688"/>
      <c r="O968" s="688"/>
      <c r="P968" s="688"/>
      <c r="Q968" s="721"/>
      <c r="R968" s="721"/>
      <c r="S968" s="721"/>
      <c r="T968" s="721"/>
      <c r="U968" s="721"/>
      <c r="V968" s="82"/>
      <c r="W968" s="82"/>
      <c r="X968" s="82"/>
      <c r="Y968" s="82"/>
      <c r="Z968" s="82"/>
      <c r="AA968" s="82"/>
      <c r="AB968" s="82"/>
      <c r="AC968" s="82"/>
      <c r="AD968" s="82"/>
      <c r="AE968" s="82"/>
      <c r="AF968" s="82"/>
      <c r="AG968" s="82"/>
      <c r="AH968" s="82"/>
      <c r="AI968" s="82"/>
      <c r="AJ968" s="82"/>
      <c r="AK968" s="82"/>
      <c r="AL968" s="82"/>
      <c r="AM968" s="82"/>
      <c r="AN968" s="82"/>
      <c r="AO968" s="82"/>
    </row>
    <row r="969">
      <c r="A969" s="85"/>
      <c r="C969" s="687"/>
      <c r="E969" s="687"/>
      <c r="F969" s="687"/>
      <c r="G969" s="89"/>
      <c r="H969" s="89"/>
      <c r="I969" s="688"/>
      <c r="J969" s="89"/>
      <c r="K969" s="688"/>
      <c r="L969" s="688"/>
      <c r="M969" s="688"/>
      <c r="N969" s="688"/>
      <c r="O969" s="688"/>
      <c r="P969" s="688"/>
      <c r="Q969" s="721"/>
      <c r="R969" s="721"/>
      <c r="S969" s="721"/>
      <c r="T969" s="721"/>
      <c r="U969" s="721"/>
      <c r="V969" s="82"/>
      <c r="W969" s="82"/>
      <c r="X969" s="82"/>
      <c r="Y969" s="82"/>
      <c r="Z969" s="82"/>
      <c r="AA969" s="82"/>
      <c r="AB969" s="82"/>
      <c r="AC969" s="82"/>
      <c r="AD969" s="82"/>
      <c r="AE969" s="82"/>
      <c r="AF969" s="82"/>
      <c r="AG969" s="82"/>
      <c r="AH969" s="82"/>
      <c r="AI969" s="82"/>
      <c r="AJ969" s="82"/>
      <c r="AK969" s="82"/>
      <c r="AL969" s="82"/>
      <c r="AM969" s="82"/>
      <c r="AN969" s="82"/>
      <c r="AO969" s="82"/>
    </row>
  </sheetData>
  <conditionalFormatting sqref="Y2:Y5 Y7">
    <cfRule type="colorScale" priority="1">
      <colorScale>
        <cfvo type="min"/>
        <cfvo type="max"/>
        <color rgb="FFFFFFFF"/>
        <color rgb="FFE67C73"/>
      </colorScale>
    </cfRule>
  </conditionalFormatting>
  <conditionalFormatting sqref="G1 G648:G968">
    <cfRule type="containsText" dxfId="5" priority="2" operator="containsText" text="reply">
      <formula>NOT(ISERROR(SEARCH(("reply"),(G1))))</formula>
    </cfRule>
  </conditionalFormatting>
  <hyperlinks>
    <hyperlink r:id="rId1" ref="E21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6.75"/>
    <col customWidth="1" min="3" max="3" width="15.13"/>
    <col customWidth="1" min="4" max="4" width="15.5"/>
    <col customWidth="1" min="7" max="7" width="16.5"/>
    <col customWidth="1" min="9" max="9" width="17.13"/>
  </cols>
  <sheetData>
    <row r="1">
      <c r="A1" s="587" t="s">
        <v>3033</v>
      </c>
      <c r="B1" s="588" t="s">
        <v>3034</v>
      </c>
      <c r="C1" s="589" t="s">
        <v>3035</v>
      </c>
      <c r="D1" s="588" t="s">
        <v>20</v>
      </c>
      <c r="E1" s="588" t="s">
        <v>23</v>
      </c>
      <c r="F1" s="588" t="s">
        <v>26</v>
      </c>
      <c r="G1" s="590" t="s">
        <v>29</v>
      </c>
      <c r="H1" s="588" t="s">
        <v>41</v>
      </c>
      <c r="I1" s="588" t="s">
        <v>3036</v>
      </c>
      <c r="J1" s="588" t="s">
        <v>3037</v>
      </c>
      <c r="K1" s="591" t="s">
        <v>43</v>
      </c>
      <c r="L1" s="591" t="s">
        <v>47</v>
      </c>
      <c r="M1" s="591" t="s">
        <v>50</v>
      </c>
      <c r="N1" s="591" t="s">
        <v>53</v>
      </c>
      <c r="O1" s="591" t="s">
        <v>55</v>
      </c>
      <c r="P1" s="591" t="s">
        <v>58</v>
      </c>
      <c r="Q1" s="591" t="s">
        <v>59</v>
      </c>
      <c r="R1" s="591" t="s">
        <v>60</v>
      </c>
      <c r="S1" s="591" t="s">
        <v>61</v>
      </c>
      <c r="T1" s="592" t="s">
        <v>62</v>
      </c>
      <c r="U1" s="592" t="s">
        <v>63</v>
      </c>
    </row>
    <row r="2">
      <c r="A2" s="593">
        <v>44946.0</v>
      </c>
      <c r="B2" s="594">
        <v>44949.0</v>
      </c>
      <c r="C2" s="595">
        <v>268.0</v>
      </c>
      <c r="D2" s="594">
        <v>44899.0</v>
      </c>
      <c r="E2" s="596" t="s">
        <v>3041</v>
      </c>
      <c r="F2" s="597" t="s">
        <v>3042</v>
      </c>
      <c r="G2" s="598" t="s">
        <v>3043</v>
      </c>
      <c r="H2" s="597" t="s">
        <v>162</v>
      </c>
      <c r="I2" s="599" t="s">
        <v>3044</v>
      </c>
      <c r="J2" s="597" t="s">
        <v>3045</v>
      </c>
      <c r="K2" s="597">
        <v>1.0</v>
      </c>
      <c r="L2" s="600"/>
      <c r="M2" s="600"/>
      <c r="N2" s="597">
        <v>1.0</v>
      </c>
      <c r="O2" s="600"/>
      <c r="P2" s="597">
        <v>1.0</v>
      </c>
      <c r="Q2" s="600"/>
      <c r="R2" s="600"/>
      <c r="S2" s="600"/>
      <c r="T2" s="600"/>
      <c r="U2" s="600"/>
      <c r="V2" s="601"/>
      <c r="W2" s="601"/>
      <c r="X2" s="601"/>
      <c r="Y2" s="601"/>
      <c r="Z2" s="601"/>
    </row>
    <row r="3">
      <c r="A3" s="593">
        <v>44931.0</v>
      </c>
      <c r="B3" s="594">
        <v>44934.0</v>
      </c>
      <c r="C3" s="595">
        <v>336.19</v>
      </c>
      <c r="D3" s="594">
        <v>44900.0</v>
      </c>
      <c r="E3" s="597" t="s">
        <v>3049</v>
      </c>
      <c r="F3" s="597" t="s">
        <v>3050</v>
      </c>
      <c r="G3" s="598" t="s">
        <v>3051</v>
      </c>
      <c r="H3" s="597" t="s">
        <v>162</v>
      </c>
      <c r="I3" s="602" t="s">
        <v>3044</v>
      </c>
      <c r="J3" s="597" t="s">
        <v>3045</v>
      </c>
      <c r="K3" s="603"/>
      <c r="L3" s="597">
        <v>1.0</v>
      </c>
      <c r="M3" s="600"/>
      <c r="N3" s="600"/>
      <c r="O3" s="600"/>
      <c r="P3" s="600"/>
      <c r="Q3" s="600"/>
      <c r="R3" s="600"/>
      <c r="S3" s="600"/>
      <c r="T3" s="600"/>
      <c r="U3" s="600"/>
      <c r="V3" s="601"/>
      <c r="W3" s="601"/>
      <c r="X3" s="601"/>
      <c r="Y3" s="601"/>
      <c r="Z3" s="601"/>
    </row>
    <row r="4">
      <c r="A4" s="593">
        <v>44947.0</v>
      </c>
      <c r="B4" s="594">
        <v>44949.0</v>
      </c>
      <c r="C4" s="595">
        <v>330.82</v>
      </c>
      <c r="D4" s="594">
        <v>44920.0</v>
      </c>
      <c r="E4" s="604" t="s">
        <v>3052</v>
      </c>
      <c r="F4" s="139" t="s">
        <v>3053</v>
      </c>
      <c r="G4" s="605" t="s">
        <v>3054</v>
      </c>
      <c r="H4" s="597" t="s">
        <v>162</v>
      </c>
      <c r="I4" s="602" t="s">
        <v>3044</v>
      </c>
      <c r="J4" s="597" t="s">
        <v>3045</v>
      </c>
      <c r="K4" s="597">
        <v>1.0</v>
      </c>
      <c r="L4" s="600"/>
      <c r="M4" s="597">
        <v>1.0</v>
      </c>
      <c r="N4" s="597"/>
      <c r="O4" s="600"/>
      <c r="P4" s="597">
        <v>1.0</v>
      </c>
      <c r="Q4" s="600"/>
      <c r="R4" s="600"/>
      <c r="S4" s="600"/>
      <c r="T4" s="600"/>
      <c r="U4" s="600"/>
      <c r="V4" s="601"/>
      <c r="W4" s="601"/>
      <c r="X4" s="601"/>
      <c r="Y4" s="601"/>
      <c r="Z4" s="601"/>
    </row>
    <row r="5">
      <c r="A5" s="593">
        <v>44940.0</v>
      </c>
      <c r="B5" s="594">
        <v>44942.0</v>
      </c>
      <c r="C5" s="595">
        <v>330.45</v>
      </c>
      <c r="D5" s="594">
        <v>44911.0</v>
      </c>
      <c r="E5" s="604" t="s">
        <v>3058</v>
      </c>
      <c r="F5" s="139" t="s">
        <v>3059</v>
      </c>
      <c r="G5" s="605" t="s">
        <v>3060</v>
      </c>
      <c r="H5" s="597" t="s">
        <v>162</v>
      </c>
      <c r="I5" s="602" t="s">
        <v>3044</v>
      </c>
      <c r="J5" s="597" t="s">
        <v>3045</v>
      </c>
      <c r="K5" s="597">
        <v>1.0</v>
      </c>
      <c r="L5" s="600"/>
      <c r="M5" s="597">
        <v>1.0</v>
      </c>
      <c r="N5" s="600"/>
      <c r="O5" s="600"/>
      <c r="P5" s="597">
        <v>1.0</v>
      </c>
      <c r="Q5" s="600"/>
      <c r="R5" s="600"/>
      <c r="S5" s="600"/>
      <c r="T5" s="600"/>
      <c r="U5" s="600"/>
      <c r="V5" s="601"/>
      <c r="W5" s="601"/>
      <c r="X5" s="601"/>
      <c r="Y5" s="601"/>
      <c r="Z5" s="601"/>
    </row>
    <row r="6">
      <c r="A6" s="593">
        <v>44942.0</v>
      </c>
      <c r="B6" s="594">
        <v>44944.0</v>
      </c>
      <c r="C6" s="595">
        <v>277.63</v>
      </c>
      <c r="D6" s="594">
        <v>44909.0</v>
      </c>
      <c r="E6" s="604" t="s">
        <v>3061</v>
      </c>
      <c r="F6" s="139" t="s">
        <v>3062</v>
      </c>
      <c r="G6" s="605" t="s">
        <v>3063</v>
      </c>
      <c r="H6" s="597" t="s">
        <v>162</v>
      </c>
      <c r="I6" s="602" t="s">
        <v>3044</v>
      </c>
      <c r="J6" s="597" t="s">
        <v>3045</v>
      </c>
      <c r="K6" s="597">
        <v>1.0</v>
      </c>
      <c r="L6" s="603"/>
      <c r="M6" s="600"/>
      <c r="N6" s="597">
        <v>1.0</v>
      </c>
      <c r="O6" s="600"/>
      <c r="P6" s="597">
        <v>1.0</v>
      </c>
      <c r="Q6" s="600"/>
      <c r="R6" s="600"/>
      <c r="S6" s="600"/>
      <c r="T6" s="600"/>
      <c r="U6" s="600"/>
      <c r="V6" s="601"/>
      <c r="W6" s="601"/>
      <c r="X6" s="601"/>
      <c r="Y6" s="601"/>
      <c r="Z6" s="601"/>
    </row>
    <row r="7">
      <c r="A7" s="593">
        <v>44945.0</v>
      </c>
      <c r="B7" s="594">
        <v>44950.0</v>
      </c>
      <c r="C7" s="595">
        <v>228.43</v>
      </c>
      <c r="D7" s="594">
        <v>44892.0</v>
      </c>
      <c r="E7" s="607" t="s">
        <v>3065</v>
      </c>
      <c r="F7" s="469" t="s">
        <v>3067</v>
      </c>
      <c r="G7" s="608" t="s">
        <v>3069</v>
      </c>
      <c r="H7" s="597" t="s">
        <v>162</v>
      </c>
      <c r="I7" s="602" t="s">
        <v>3070</v>
      </c>
      <c r="J7" s="597" t="s">
        <v>3045</v>
      </c>
      <c r="K7" s="597">
        <v>1.0</v>
      </c>
      <c r="L7" s="603"/>
      <c r="M7" s="600"/>
      <c r="N7" s="600"/>
      <c r="O7" s="603"/>
      <c r="P7" s="597">
        <v>1.0</v>
      </c>
      <c r="Q7" s="600"/>
      <c r="R7" s="600"/>
      <c r="S7" s="600"/>
      <c r="T7" s="600"/>
      <c r="U7" s="600"/>
      <c r="V7" s="601"/>
      <c r="W7" s="601"/>
      <c r="X7" s="601"/>
      <c r="Y7" s="601"/>
      <c r="Z7" s="601"/>
    </row>
    <row r="8">
      <c r="A8" s="593">
        <v>44939.0</v>
      </c>
      <c r="B8" s="594">
        <v>44943.0</v>
      </c>
      <c r="C8" s="595">
        <v>363.84</v>
      </c>
      <c r="D8" s="594">
        <v>44890.0</v>
      </c>
      <c r="E8" s="607" t="s">
        <v>3071</v>
      </c>
      <c r="F8" s="469" t="s">
        <v>3072</v>
      </c>
      <c r="G8" s="608" t="s">
        <v>3073</v>
      </c>
      <c r="H8" s="597" t="s">
        <v>162</v>
      </c>
      <c r="I8" s="602" t="s">
        <v>3070</v>
      </c>
      <c r="J8" s="597" t="s">
        <v>3045</v>
      </c>
      <c r="K8" s="597">
        <v>1.0</v>
      </c>
      <c r="L8" s="600"/>
      <c r="M8" s="597">
        <v>1.0</v>
      </c>
      <c r="N8" s="597">
        <v>1.0</v>
      </c>
      <c r="O8" s="600"/>
      <c r="P8" s="597">
        <v>1.0</v>
      </c>
      <c r="Q8" s="600"/>
      <c r="R8" s="600"/>
      <c r="S8" s="600"/>
      <c r="T8" s="600"/>
      <c r="U8" s="600"/>
      <c r="V8" s="601"/>
      <c r="W8" s="601"/>
      <c r="X8" s="601"/>
      <c r="Y8" s="601"/>
      <c r="Z8" s="601"/>
    </row>
    <row r="9">
      <c r="A9" s="593">
        <v>44945.0</v>
      </c>
      <c r="B9" s="594">
        <v>44949.0</v>
      </c>
      <c r="C9" s="595">
        <v>257.74</v>
      </c>
      <c r="D9" s="594">
        <v>44888.0</v>
      </c>
      <c r="E9" s="607" t="s">
        <v>3076</v>
      </c>
      <c r="F9" s="597" t="s">
        <v>3077</v>
      </c>
      <c r="G9" s="598" t="s">
        <v>3078</v>
      </c>
      <c r="H9" s="597" t="s">
        <v>162</v>
      </c>
      <c r="I9" s="602" t="s">
        <v>3044</v>
      </c>
      <c r="J9" s="597" t="s">
        <v>3045</v>
      </c>
      <c r="K9" s="597">
        <v>1.0</v>
      </c>
      <c r="L9" s="603"/>
      <c r="M9" s="600"/>
      <c r="N9" s="600"/>
      <c r="O9" s="600"/>
      <c r="P9" s="597">
        <v>1.0</v>
      </c>
      <c r="Q9" s="600"/>
      <c r="R9" s="600"/>
      <c r="S9" s="600"/>
      <c r="T9" s="600"/>
      <c r="U9" s="600"/>
      <c r="V9" s="601"/>
      <c r="W9" s="601"/>
      <c r="X9" s="601"/>
      <c r="Y9" s="601"/>
      <c r="Z9" s="601"/>
    </row>
    <row r="10">
      <c r="A10" s="593">
        <v>44943.0</v>
      </c>
      <c r="B10" s="594">
        <v>44945.0</v>
      </c>
      <c r="C10" s="595">
        <v>255.94</v>
      </c>
      <c r="D10" s="594">
        <v>44888.0</v>
      </c>
      <c r="E10" s="607" t="s">
        <v>3083</v>
      </c>
      <c r="F10" s="469" t="s">
        <v>3084</v>
      </c>
      <c r="G10" s="608" t="s">
        <v>3085</v>
      </c>
      <c r="H10" s="597" t="s">
        <v>162</v>
      </c>
      <c r="I10" s="602" t="s">
        <v>3086</v>
      </c>
      <c r="J10" s="597" t="s">
        <v>3045</v>
      </c>
      <c r="K10" s="597">
        <v>1.0</v>
      </c>
      <c r="L10" s="603"/>
      <c r="M10" s="600"/>
      <c r="N10" s="603"/>
      <c r="O10" s="600"/>
      <c r="P10" s="597">
        <v>1.0</v>
      </c>
      <c r="Q10" s="600"/>
      <c r="R10" s="600"/>
      <c r="S10" s="600"/>
      <c r="T10" s="600"/>
      <c r="U10" s="600"/>
      <c r="V10" s="601"/>
      <c r="W10" s="601"/>
      <c r="X10" s="601"/>
      <c r="Y10" s="601"/>
      <c r="Z10" s="601"/>
    </row>
    <row r="11">
      <c r="A11" s="593">
        <v>44941.0</v>
      </c>
      <c r="B11" s="594">
        <v>44943.0</v>
      </c>
      <c r="C11" s="595">
        <v>380.7</v>
      </c>
      <c r="D11" s="594">
        <v>44886.0</v>
      </c>
      <c r="E11" s="607" t="s">
        <v>3093</v>
      </c>
      <c r="F11" s="469" t="s">
        <v>3094</v>
      </c>
      <c r="G11" s="608" t="s">
        <v>3096</v>
      </c>
      <c r="H11" s="597" t="s">
        <v>162</v>
      </c>
      <c r="I11" s="602" t="s">
        <v>3044</v>
      </c>
      <c r="J11" s="597" t="s">
        <v>3045</v>
      </c>
      <c r="K11" s="597">
        <v>1.0</v>
      </c>
      <c r="L11" s="600"/>
      <c r="M11" s="597">
        <v>1.0</v>
      </c>
      <c r="N11" s="597">
        <v>1.0</v>
      </c>
      <c r="O11" s="600"/>
      <c r="P11" s="597">
        <v>1.0</v>
      </c>
      <c r="Q11" s="597">
        <v>1.0</v>
      </c>
      <c r="R11" s="600"/>
      <c r="S11" s="600"/>
      <c r="T11" s="600"/>
      <c r="U11" s="600"/>
      <c r="V11" s="601"/>
      <c r="W11" s="601"/>
      <c r="X11" s="601"/>
      <c r="Y11" s="601"/>
      <c r="Z11" s="601"/>
    </row>
    <row r="12">
      <c r="A12" s="593">
        <v>44932.0</v>
      </c>
      <c r="B12" s="594">
        <v>44935.0</v>
      </c>
      <c r="C12" s="595">
        <v>357.38</v>
      </c>
      <c r="D12" s="594">
        <v>44886.0</v>
      </c>
      <c r="E12" s="607" t="s">
        <v>3101</v>
      </c>
      <c r="F12" s="469" t="s">
        <v>3102</v>
      </c>
      <c r="G12" s="608" t="s">
        <v>3103</v>
      </c>
      <c r="H12" s="597" t="s">
        <v>162</v>
      </c>
      <c r="I12" s="602" t="s">
        <v>3070</v>
      </c>
      <c r="J12" s="597" t="s">
        <v>3045</v>
      </c>
      <c r="K12" s="597">
        <v>1.0</v>
      </c>
      <c r="L12" s="600"/>
      <c r="M12" s="597">
        <v>1.0</v>
      </c>
      <c r="N12" s="597">
        <v>1.0</v>
      </c>
      <c r="O12" s="600"/>
      <c r="P12" s="597">
        <v>1.0</v>
      </c>
      <c r="Q12" s="600"/>
      <c r="R12" s="600"/>
      <c r="S12" s="600"/>
      <c r="T12" s="600"/>
      <c r="U12" s="600"/>
      <c r="V12" s="601"/>
      <c r="W12" s="601"/>
      <c r="X12" s="601"/>
      <c r="Y12" s="601"/>
      <c r="Z12" s="601"/>
    </row>
    <row r="13">
      <c r="A13" s="624">
        <v>44943.0</v>
      </c>
      <c r="B13" s="625">
        <v>44956.0</v>
      </c>
      <c r="C13" s="627">
        <v>258.32</v>
      </c>
      <c r="D13" s="625">
        <v>44884.0</v>
      </c>
      <c r="E13" s="628" t="s">
        <v>3114</v>
      </c>
      <c r="F13" s="628" t="s">
        <v>3116</v>
      </c>
      <c r="G13" s="629" t="s">
        <v>3117</v>
      </c>
      <c r="H13" s="628" t="s">
        <v>162</v>
      </c>
      <c r="I13" s="628" t="s">
        <v>3118</v>
      </c>
      <c r="J13" s="628" t="s">
        <v>3119</v>
      </c>
      <c r="K13" s="628">
        <v>1.0</v>
      </c>
      <c r="L13" s="630"/>
      <c r="M13" s="630"/>
      <c r="N13" s="632"/>
      <c r="O13" s="630"/>
      <c r="P13" s="628">
        <v>1.0</v>
      </c>
      <c r="Q13" s="632"/>
      <c r="R13" s="630"/>
      <c r="S13" s="630"/>
      <c r="T13" s="630"/>
      <c r="U13" s="630"/>
      <c r="V13" s="634"/>
      <c r="W13" s="634"/>
      <c r="X13" s="634"/>
      <c r="Y13" s="634"/>
      <c r="Z13" s="634"/>
    </row>
    <row r="14">
      <c r="A14" s="593">
        <v>44940.0</v>
      </c>
      <c r="B14" s="594">
        <v>44943.0</v>
      </c>
      <c r="C14" s="595">
        <v>262.33</v>
      </c>
      <c r="D14" s="594">
        <v>44883.0</v>
      </c>
      <c r="E14" s="607" t="s">
        <v>3127</v>
      </c>
      <c r="F14" s="469" t="s">
        <v>3128</v>
      </c>
      <c r="G14" s="608" t="s">
        <v>3129</v>
      </c>
      <c r="H14" s="597" t="s">
        <v>162</v>
      </c>
      <c r="I14" s="602" t="s">
        <v>3130</v>
      </c>
      <c r="J14" s="597" t="s">
        <v>3045</v>
      </c>
      <c r="K14" s="597">
        <v>1.0</v>
      </c>
      <c r="L14" s="603"/>
      <c r="M14" s="600"/>
      <c r="N14" s="603"/>
      <c r="O14" s="600"/>
      <c r="P14" s="597">
        <v>1.0</v>
      </c>
      <c r="Q14" s="600"/>
      <c r="R14" s="600"/>
      <c r="S14" s="600"/>
      <c r="T14" s="600"/>
      <c r="U14" s="600"/>
      <c r="V14" s="601"/>
      <c r="W14" s="601"/>
      <c r="X14" s="601"/>
      <c r="Y14" s="601"/>
      <c r="Z14" s="601"/>
    </row>
    <row r="15">
      <c r="A15" s="593">
        <v>44946.0</v>
      </c>
      <c r="B15" s="594">
        <v>44950.0</v>
      </c>
      <c r="C15" s="595">
        <v>358.2</v>
      </c>
      <c r="D15" s="594">
        <v>44881.0</v>
      </c>
      <c r="E15" s="607" t="s">
        <v>3135</v>
      </c>
      <c r="F15" s="469" t="s">
        <v>3136</v>
      </c>
      <c r="G15" s="608" t="s">
        <v>3137</v>
      </c>
      <c r="H15" s="597" t="s">
        <v>162</v>
      </c>
      <c r="I15" s="602" t="s">
        <v>3070</v>
      </c>
      <c r="J15" s="597" t="s">
        <v>3045</v>
      </c>
      <c r="K15" s="597">
        <v>1.0</v>
      </c>
      <c r="L15" s="603"/>
      <c r="M15" s="597">
        <v>1.0</v>
      </c>
      <c r="N15" s="597">
        <v>1.0</v>
      </c>
      <c r="O15" s="600"/>
      <c r="P15" s="597">
        <v>1.0</v>
      </c>
      <c r="Q15" s="600"/>
      <c r="R15" s="600"/>
      <c r="S15" s="600"/>
      <c r="T15" s="600"/>
      <c r="U15" s="600"/>
      <c r="V15" s="601"/>
      <c r="W15" s="601"/>
      <c r="X15" s="601"/>
      <c r="Y15" s="601"/>
      <c r="Z15" s="601"/>
    </row>
    <row r="16">
      <c r="A16" s="593">
        <v>44944.0</v>
      </c>
      <c r="B16" s="594">
        <v>44946.0</v>
      </c>
      <c r="C16" s="595">
        <v>259.46</v>
      </c>
      <c r="D16" s="594">
        <v>44880.0</v>
      </c>
      <c r="E16" s="607" t="s">
        <v>3139</v>
      </c>
      <c r="F16" s="641" t="s">
        <v>3140</v>
      </c>
      <c r="G16" s="642" t="s">
        <v>3141</v>
      </c>
      <c r="H16" s="597" t="s">
        <v>162</v>
      </c>
      <c r="I16" s="602" t="s">
        <v>3070</v>
      </c>
      <c r="J16" s="597" t="s">
        <v>3045</v>
      </c>
      <c r="K16" s="597">
        <v>1.0</v>
      </c>
      <c r="L16" s="603"/>
      <c r="M16" s="600"/>
      <c r="N16" s="600"/>
      <c r="O16" s="600"/>
      <c r="P16" s="597">
        <v>1.0</v>
      </c>
      <c r="Q16" s="600"/>
      <c r="R16" s="600"/>
      <c r="S16" s="600"/>
      <c r="T16" s="600"/>
      <c r="U16" s="600"/>
      <c r="V16" s="601"/>
      <c r="W16" s="601"/>
      <c r="X16" s="601"/>
      <c r="Y16" s="601"/>
      <c r="Z16" s="601"/>
    </row>
    <row r="17">
      <c r="A17" s="593">
        <v>44928.0</v>
      </c>
      <c r="B17" s="594">
        <v>44930.0</v>
      </c>
      <c r="C17" s="595">
        <v>256.44</v>
      </c>
      <c r="D17" s="594">
        <v>44880.0</v>
      </c>
      <c r="E17" s="607" t="s">
        <v>3149</v>
      </c>
      <c r="F17" s="469" t="s">
        <v>3152</v>
      </c>
      <c r="G17" s="608" t="s">
        <v>3153</v>
      </c>
      <c r="H17" s="597" t="s">
        <v>162</v>
      </c>
      <c r="I17" s="602" t="s">
        <v>3044</v>
      </c>
      <c r="J17" s="597" t="s">
        <v>3045</v>
      </c>
      <c r="K17" s="597">
        <v>1.0</v>
      </c>
      <c r="L17" s="603"/>
      <c r="M17" s="600"/>
      <c r="N17" s="600"/>
      <c r="O17" s="600"/>
      <c r="P17" s="597">
        <v>1.0</v>
      </c>
      <c r="Q17" s="600"/>
      <c r="R17" s="600"/>
      <c r="S17" s="600"/>
      <c r="T17" s="600"/>
      <c r="U17" s="600"/>
      <c r="V17" s="601"/>
      <c r="W17" s="601"/>
      <c r="X17" s="601"/>
      <c r="Y17" s="601"/>
      <c r="Z17" s="601"/>
    </row>
    <row r="18">
      <c r="A18" s="593">
        <v>44950.0</v>
      </c>
      <c r="B18" s="594">
        <v>44952.0</v>
      </c>
      <c r="C18" s="595">
        <v>331.94</v>
      </c>
      <c r="D18" s="594">
        <v>44878.0</v>
      </c>
      <c r="E18" s="607" t="s">
        <v>3154</v>
      </c>
      <c r="F18" s="469" t="s">
        <v>3155</v>
      </c>
      <c r="G18" s="608" t="s">
        <v>3156</v>
      </c>
      <c r="H18" s="597" t="s">
        <v>162</v>
      </c>
      <c r="I18" s="602" t="s">
        <v>3070</v>
      </c>
      <c r="J18" s="597" t="s">
        <v>3045</v>
      </c>
      <c r="K18" s="597">
        <v>1.0</v>
      </c>
      <c r="L18" s="603"/>
      <c r="M18" s="597">
        <v>1.0</v>
      </c>
      <c r="N18" s="600"/>
      <c r="O18" s="600"/>
      <c r="P18" s="597">
        <v>1.0</v>
      </c>
      <c r="Q18" s="600"/>
      <c r="R18" s="600"/>
      <c r="S18" s="600"/>
      <c r="T18" s="600"/>
      <c r="U18" s="600"/>
      <c r="V18" s="601"/>
      <c r="W18" s="601"/>
      <c r="X18" s="601"/>
      <c r="Y18" s="601"/>
      <c r="Z18" s="601"/>
    </row>
    <row r="19">
      <c r="A19" s="593">
        <v>44945.0</v>
      </c>
      <c r="B19" s="594">
        <v>44950.0</v>
      </c>
      <c r="C19" s="595">
        <v>336.53</v>
      </c>
      <c r="D19" s="594">
        <v>44878.0</v>
      </c>
      <c r="E19" s="607" t="s">
        <v>3161</v>
      </c>
      <c r="F19" s="469" t="s">
        <v>3162</v>
      </c>
      <c r="G19" s="608" t="s">
        <v>3163</v>
      </c>
      <c r="H19" s="597" t="s">
        <v>162</v>
      </c>
      <c r="I19" s="602" t="s">
        <v>3070</v>
      </c>
      <c r="J19" s="597" t="s">
        <v>3045</v>
      </c>
      <c r="K19" s="597">
        <v>1.0</v>
      </c>
      <c r="L19" s="603"/>
      <c r="M19" s="597">
        <v>1.0</v>
      </c>
      <c r="N19" s="603"/>
      <c r="O19" s="600"/>
      <c r="P19" s="597">
        <v>1.0</v>
      </c>
      <c r="Q19" s="600"/>
      <c r="R19" s="600"/>
      <c r="S19" s="600"/>
      <c r="T19" s="600"/>
      <c r="U19" s="600"/>
      <c r="V19" s="601"/>
      <c r="W19" s="601"/>
      <c r="X19" s="601"/>
      <c r="Y19" s="601"/>
      <c r="Z19" s="601"/>
    </row>
    <row r="20">
      <c r="A20" s="593">
        <v>44929.0</v>
      </c>
      <c r="B20" s="594">
        <v>44931.0</v>
      </c>
      <c r="C20" s="595">
        <v>246.92</v>
      </c>
      <c r="D20" s="594">
        <v>44875.0</v>
      </c>
      <c r="E20" s="607" t="s">
        <v>3170</v>
      </c>
      <c r="F20" s="469" t="s">
        <v>3172</v>
      </c>
      <c r="G20" s="608" t="s">
        <v>3173</v>
      </c>
      <c r="H20" s="597" t="s">
        <v>162</v>
      </c>
      <c r="I20" s="602" t="s">
        <v>3044</v>
      </c>
      <c r="J20" s="597" t="s">
        <v>3045</v>
      </c>
      <c r="K20" s="597">
        <v>1.0</v>
      </c>
      <c r="L20" s="600"/>
      <c r="M20" s="600"/>
      <c r="N20" s="600"/>
      <c r="O20" s="600"/>
      <c r="P20" s="597">
        <v>1.0</v>
      </c>
      <c r="Q20" s="600"/>
      <c r="R20" s="600"/>
      <c r="S20" s="600"/>
      <c r="T20" s="600"/>
      <c r="U20" s="600"/>
      <c r="V20" s="601"/>
      <c r="W20" s="601"/>
      <c r="X20" s="601"/>
      <c r="Y20" s="601"/>
      <c r="Z20" s="601"/>
    </row>
    <row r="21">
      <c r="A21" s="593">
        <v>44939.0</v>
      </c>
      <c r="B21" s="594">
        <v>44943.0</v>
      </c>
      <c r="C21" s="595">
        <v>338.67</v>
      </c>
      <c r="D21" s="594">
        <v>45240.0</v>
      </c>
      <c r="E21" s="607" t="s">
        <v>3180</v>
      </c>
      <c r="F21" s="469" t="s">
        <v>3182</v>
      </c>
      <c r="G21" s="608" t="s">
        <v>3184</v>
      </c>
      <c r="H21" s="597" t="s">
        <v>162</v>
      </c>
      <c r="I21" s="602" t="s">
        <v>3086</v>
      </c>
      <c r="J21" s="597" t="s">
        <v>3045</v>
      </c>
      <c r="K21" s="603"/>
      <c r="L21" s="597">
        <v>1.0</v>
      </c>
      <c r="M21" s="600"/>
      <c r="N21" s="600"/>
      <c r="O21" s="600"/>
      <c r="P21" s="597">
        <v>1.0</v>
      </c>
      <c r="Q21" s="600"/>
      <c r="R21" s="600"/>
      <c r="S21" s="600"/>
      <c r="T21" s="600"/>
      <c r="U21" s="600"/>
      <c r="V21" s="601"/>
      <c r="W21" s="601"/>
      <c r="X21" s="601"/>
      <c r="Y21" s="601"/>
      <c r="Z21" s="601"/>
    </row>
    <row r="22">
      <c r="A22" s="593">
        <v>44943.0</v>
      </c>
      <c r="B22" s="594">
        <v>44945.0</v>
      </c>
      <c r="C22" s="595">
        <v>257.74</v>
      </c>
      <c r="D22" s="594">
        <v>44873.0</v>
      </c>
      <c r="E22" s="607" t="s">
        <v>3189</v>
      </c>
      <c r="F22" s="469" t="s">
        <v>3190</v>
      </c>
      <c r="G22" s="608" t="s">
        <v>3191</v>
      </c>
      <c r="H22" s="597" t="s">
        <v>162</v>
      </c>
      <c r="I22" s="602" t="s">
        <v>3086</v>
      </c>
      <c r="J22" s="597" t="s">
        <v>3045</v>
      </c>
      <c r="K22" s="597">
        <v>1.0</v>
      </c>
      <c r="L22" s="600"/>
      <c r="M22" s="600"/>
      <c r="N22" s="600"/>
      <c r="O22" s="600"/>
      <c r="P22" s="597">
        <v>1.0</v>
      </c>
      <c r="Q22" s="597"/>
      <c r="R22" s="600"/>
      <c r="S22" s="600"/>
      <c r="T22" s="600"/>
      <c r="U22" s="600"/>
      <c r="V22" s="601"/>
      <c r="W22" s="601"/>
      <c r="X22" s="601"/>
      <c r="Y22" s="601"/>
      <c r="Z22" s="601"/>
    </row>
    <row r="23">
      <c r="A23" s="593">
        <v>44947.0</v>
      </c>
      <c r="B23" s="594">
        <v>44950.0</v>
      </c>
      <c r="C23" s="595">
        <v>283.18</v>
      </c>
      <c r="D23" s="594">
        <v>44871.0</v>
      </c>
      <c r="E23" s="644" t="s">
        <v>3196</v>
      </c>
      <c r="F23" s="645" t="s">
        <v>3198</v>
      </c>
      <c r="G23" s="646" t="s">
        <v>3202</v>
      </c>
      <c r="H23" s="597" t="s">
        <v>162</v>
      </c>
      <c r="I23" s="602" t="s">
        <v>3086</v>
      </c>
      <c r="J23" s="597" t="s">
        <v>3045</v>
      </c>
      <c r="K23" s="597">
        <v>1.0</v>
      </c>
      <c r="L23" s="600"/>
      <c r="M23" s="600"/>
      <c r="N23" s="597">
        <v>1.0</v>
      </c>
      <c r="O23" s="600"/>
      <c r="P23" s="597">
        <v>1.0</v>
      </c>
      <c r="Q23" s="600"/>
      <c r="R23" s="600"/>
      <c r="S23" s="600"/>
      <c r="T23" s="600"/>
      <c r="U23" s="600"/>
      <c r="V23" s="601"/>
      <c r="W23" s="601"/>
      <c r="X23" s="601"/>
      <c r="Y23" s="601"/>
      <c r="Z23" s="601"/>
    </row>
    <row r="24">
      <c r="A24" s="593">
        <v>44933.0</v>
      </c>
      <c r="B24" s="594">
        <v>44935.0</v>
      </c>
      <c r="C24" s="595">
        <v>256.6</v>
      </c>
      <c r="D24" s="594">
        <v>44870.0</v>
      </c>
      <c r="E24" s="647" t="s">
        <v>3206</v>
      </c>
      <c r="F24" s="469" t="s">
        <v>3208</v>
      </c>
      <c r="G24" s="608" t="s">
        <v>3210</v>
      </c>
      <c r="H24" s="597" t="s">
        <v>162</v>
      </c>
      <c r="I24" s="602" t="s">
        <v>3070</v>
      </c>
      <c r="J24" s="597" t="s">
        <v>3045</v>
      </c>
      <c r="K24" s="597">
        <v>1.0</v>
      </c>
      <c r="L24" s="603"/>
      <c r="M24" s="600"/>
      <c r="N24" s="600"/>
      <c r="O24" s="600"/>
      <c r="P24" s="597">
        <v>1.0</v>
      </c>
      <c r="Q24" s="600"/>
      <c r="R24" s="600"/>
      <c r="S24" s="600"/>
      <c r="T24" s="600"/>
      <c r="U24" s="600"/>
      <c r="V24" s="601"/>
      <c r="W24" s="601"/>
      <c r="X24" s="601"/>
      <c r="Y24" s="601"/>
      <c r="Z24" s="601"/>
    </row>
    <row r="25">
      <c r="A25" s="593">
        <v>44934.0</v>
      </c>
      <c r="B25" s="594">
        <v>44935.0</v>
      </c>
      <c r="C25" s="595">
        <v>322.79</v>
      </c>
      <c r="D25" s="594">
        <v>44867.0</v>
      </c>
      <c r="E25" s="607" t="s">
        <v>3216</v>
      </c>
      <c r="F25" s="469" t="s">
        <v>3217</v>
      </c>
      <c r="G25" s="608" t="s">
        <v>3219</v>
      </c>
      <c r="H25" s="597" t="s">
        <v>162</v>
      </c>
      <c r="I25" s="602" t="s">
        <v>3086</v>
      </c>
      <c r="J25" s="597" t="s">
        <v>3045</v>
      </c>
      <c r="K25" s="603"/>
      <c r="L25" s="597">
        <v>1.0</v>
      </c>
      <c r="M25" s="600"/>
      <c r="N25" s="600"/>
      <c r="O25" s="600"/>
      <c r="P25" s="603"/>
      <c r="Q25" s="600"/>
      <c r="R25" s="600"/>
      <c r="S25" s="600"/>
      <c r="T25" s="600"/>
      <c r="U25" s="600"/>
      <c r="V25" s="601"/>
      <c r="W25" s="601"/>
      <c r="X25" s="601"/>
      <c r="Y25" s="601"/>
      <c r="Z25" s="601"/>
    </row>
    <row r="26">
      <c r="A26" s="650">
        <v>44947.0</v>
      </c>
      <c r="B26" s="651">
        <v>44949.0</v>
      </c>
      <c r="C26" s="652">
        <v>273.19</v>
      </c>
      <c r="D26" s="651">
        <v>44866.0</v>
      </c>
      <c r="E26" s="607" t="s">
        <v>3226</v>
      </c>
      <c r="F26" s="469" t="s">
        <v>3227</v>
      </c>
      <c r="G26" s="608" t="s">
        <v>3228</v>
      </c>
      <c r="H26" s="597" t="s">
        <v>162</v>
      </c>
      <c r="I26" s="602" t="s">
        <v>3229</v>
      </c>
      <c r="J26" s="597" t="s">
        <v>3045</v>
      </c>
      <c r="K26" s="653">
        <v>1.0</v>
      </c>
      <c r="L26" s="654"/>
      <c r="M26" s="655"/>
      <c r="N26" s="653">
        <v>1.0</v>
      </c>
      <c r="O26" s="655"/>
      <c r="P26" s="653">
        <v>1.0</v>
      </c>
      <c r="Q26" s="655"/>
      <c r="R26" s="655"/>
      <c r="S26" s="655"/>
      <c r="T26" s="655"/>
      <c r="U26" s="655"/>
      <c r="V26" s="615"/>
      <c r="W26" s="615"/>
      <c r="X26" s="615"/>
      <c r="Y26" s="615"/>
      <c r="Z26" s="615"/>
    </row>
    <row r="27">
      <c r="A27" s="650">
        <v>44940.0</v>
      </c>
      <c r="B27" s="651">
        <v>44942.0</v>
      </c>
      <c r="C27" s="652">
        <v>247.14</v>
      </c>
      <c r="D27" s="651">
        <v>44866.0</v>
      </c>
      <c r="E27" s="607" t="s">
        <v>3235</v>
      </c>
      <c r="F27" s="469" t="s">
        <v>3238</v>
      </c>
      <c r="G27" s="608" t="s">
        <v>3240</v>
      </c>
      <c r="H27" s="597" t="s">
        <v>162</v>
      </c>
      <c r="I27" s="602" t="s">
        <v>3044</v>
      </c>
      <c r="J27" s="597" t="s">
        <v>3045</v>
      </c>
      <c r="K27" s="653">
        <v>1.0</v>
      </c>
      <c r="L27" s="654"/>
      <c r="M27" s="655"/>
      <c r="N27" s="653">
        <v>1.0</v>
      </c>
      <c r="O27" s="654"/>
      <c r="P27" s="655"/>
      <c r="Q27" s="655"/>
      <c r="R27" s="655"/>
      <c r="S27" s="655"/>
      <c r="T27" s="655"/>
      <c r="U27" s="655"/>
      <c r="V27" s="615"/>
      <c r="W27" s="615"/>
      <c r="X27" s="615"/>
      <c r="Y27" s="615"/>
      <c r="Z27" s="615"/>
    </row>
    <row r="28">
      <c r="A28" s="650">
        <v>44929.0</v>
      </c>
      <c r="B28" s="651">
        <v>44931.0</v>
      </c>
      <c r="C28" s="652">
        <v>375.97</v>
      </c>
      <c r="D28" s="651">
        <v>44863.0</v>
      </c>
      <c r="E28" s="607" t="s">
        <v>3241</v>
      </c>
      <c r="F28" s="469" t="s">
        <v>3242</v>
      </c>
      <c r="G28" s="608" t="s">
        <v>3243</v>
      </c>
      <c r="H28" s="597" t="s">
        <v>162</v>
      </c>
      <c r="I28" s="602" t="s">
        <v>3070</v>
      </c>
      <c r="J28" s="597" t="s">
        <v>3045</v>
      </c>
      <c r="K28" s="653">
        <v>1.0</v>
      </c>
      <c r="L28" s="655"/>
      <c r="M28" s="653">
        <v>1.0</v>
      </c>
      <c r="N28" s="653">
        <v>1.0</v>
      </c>
      <c r="O28" s="655"/>
      <c r="P28" s="653">
        <v>1.0</v>
      </c>
      <c r="Q28" s="653">
        <v>1.0</v>
      </c>
      <c r="R28" s="655"/>
      <c r="S28" s="655"/>
      <c r="T28" s="655"/>
      <c r="U28" s="655"/>
      <c r="V28" s="615"/>
      <c r="W28" s="615"/>
      <c r="X28" s="615"/>
      <c r="Y28" s="615"/>
      <c r="Z28" s="615"/>
    </row>
    <row r="29">
      <c r="A29" s="650">
        <v>44934.0</v>
      </c>
      <c r="B29" s="651">
        <v>44936.0</v>
      </c>
      <c r="C29" s="652">
        <v>326.54</v>
      </c>
      <c r="D29" s="651">
        <v>44859.0</v>
      </c>
      <c r="E29" s="607" t="s">
        <v>3251</v>
      </c>
      <c r="F29" s="469" t="s">
        <v>3253</v>
      </c>
      <c r="G29" s="608" t="s">
        <v>3254</v>
      </c>
      <c r="H29" s="597" t="s">
        <v>162</v>
      </c>
      <c r="I29" s="657" t="s">
        <v>3255</v>
      </c>
      <c r="J29" s="597" t="s">
        <v>3045</v>
      </c>
      <c r="K29" s="655"/>
      <c r="L29" s="653">
        <v>1.0</v>
      </c>
      <c r="M29" s="655"/>
      <c r="N29" s="655"/>
      <c r="O29" s="655"/>
      <c r="P29" s="653">
        <v>1.0</v>
      </c>
      <c r="Q29" s="655"/>
      <c r="R29" s="655"/>
      <c r="S29" s="655"/>
      <c r="T29" s="655"/>
      <c r="U29" s="655"/>
      <c r="V29" s="615"/>
      <c r="W29" s="615"/>
      <c r="X29" s="615"/>
      <c r="Y29" s="615"/>
      <c r="Z29" s="615"/>
    </row>
    <row r="30">
      <c r="A30" s="650">
        <v>44939.0</v>
      </c>
      <c r="B30" s="651">
        <v>44943.0</v>
      </c>
      <c r="C30" s="652">
        <v>247.69</v>
      </c>
      <c r="D30" s="651">
        <v>44855.0</v>
      </c>
      <c r="E30" s="607" t="s">
        <v>3257</v>
      </c>
      <c r="F30" s="469" t="s">
        <v>3260</v>
      </c>
      <c r="G30" s="608" t="s">
        <v>3262</v>
      </c>
      <c r="H30" s="597" t="s">
        <v>162</v>
      </c>
      <c r="I30" s="653" t="s">
        <v>3070</v>
      </c>
      <c r="J30" s="597" t="s">
        <v>3045</v>
      </c>
      <c r="K30" s="653">
        <v>1.0</v>
      </c>
      <c r="L30" s="654"/>
      <c r="M30" s="655"/>
      <c r="N30" s="655"/>
      <c r="O30" s="655"/>
      <c r="P30" s="653">
        <v>1.0</v>
      </c>
      <c r="Q30" s="655"/>
      <c r="R30" s="655"/>
      <c r="S30" s="655"/>
      <c r="T30" s="655"/>
      <c r="U30" s="655"/>
      <c r="V30" s="615"/>
      <c r="W30" s="615"/>
      <c r="X30" s="615"/>
      <c r="Y30" s="615"/>
      <c r="Z30" s="615"/>
    </row>
    <row r="31">
      <c r="A31" s="650">
        <v>44952.0</v>
      </c>
      <c r="B31" s="650">
        <v>44952.0</v>
      </c>
      <c r="C31" s="652">
        <v>576.0</v>
      </c>
      <c r="D31" s="651">
        <v>44850.0</v>
      </c>
      <c r="E31" s="607" t="s">
        <v>3267</v>
      </c>
      <c r="F31" s="469" t="s">
        <v>3268</v>
      </c>
      <c r="G31" s="608" t="s">
        <v>3270</v>
      </c>
      <c r="H31" s="597" t="s">
        <v>162</v>
      </c>
      <c r="I31" s="653" t="s">
        <v>3070</v>
      </c>
      <c r="J31" s="597" t="s">
        <v>3045</v>
      </c>
      <c r="K31" s="653">
        <v>2.0</v>
      </c>
      <c r="L31" s="654"/>
      <c r="M31" s="653">
        <v>2.0</v>
      </c>
      <c r="N31" s="654"/>
      <c r="O31" s="655"/>
      <c r="P31" s="653">
        <v>2.0</v>
      </c>
      <c r="Q31" s="654"/>
      <c r="R31" s="655"/>
      <c r="S31" s="655"/>
      <c r="T31" s="655"/>
      <c r="U31" s="655"/>
      <c r="V31" s="615"/>
      <c r="W31" s="615"/>
      <c r="X31" s="615"/>
      <c r="Y31" s="615"/>
      <c r="Z31" s="615"/>
    </row>
    <row r="32">
      <c r="A32" s="650">
        <v>44946.0</v>
      </c>
      <c r="B32" s="651">
        <v>44950.0</v>
      </c>
      <c r="C32" s="652">
        <v>299.68</v>
      </c>
      <c r="D32" s="651">
        <v>44849.0</v>
      </c>
      <c r="E32" s="607" t="s">
        <v>3277</v>
      </c>
      <c r="F32" s="469" t="s">
        <v>3278</v>
      </c>
      <c r="G32" s="608" t="s">
        <v>3280</v>
      </c>
      <c r="H32" s="597" t="s">
        <v>162</v>
      </c>
      <c r="I32" s="602" t="s">
        <v>3044</v>
      </c>
      <c r="J32" s="597" t="s">
        <v>3045</v>
      </c>
      <c r="K32" s="653">
        <v>1.0</v>
      </c>
      <c r="L32" s="655"/>
      <c r="M32" s="655"/>
      <c r="N32" s="653">
        <v>1.0</v>
      </c>
      <c r="O32" s="655"/>
      <c r="P32" s="653">
        <v>1.0</v>
      </c>
      <c r="Q32" s="655"/>
      <c r="R32" s="655"/>
      <c r="S32" s="655"/>
      <c r="T32" s="655"/>
      <c r="U32" s="655"/>
      <c r="V32" s="615"/>
      <c r="W32" s="615"/>
      <c r="X32" s="615"/>
      <c r="Y32" s="615"/>
      <c r="Z32" s="615"/>
    </row>
    <row r="33">
      <c r="A33" s="650">
        <v>44950.0</v>
      </c>
      <c r="B33" s="651">
        <v>44952.0</v>
      </c>
      <c r="C33" s="652">
        <v>322.35</v>
      </c>
      <c r="D33" s="651">
        <v>44665.0</v>
      </c>
      <c r="E33" s="607" t="s">
        <v>2839</v>
      </c>
      <c r="F33" s="469" t="s">
        <v>2840</v>
      </c>
      <c r="G33" s="608" t="s">
        <v>2841</v>
      </c>
      <c r="H33" s="597" t="s">
        <v>162</v>
      </c>
      <c r="I33" s="653" t="s">
        <v>3070</v>
      </c>
      <c r="J33" s="597" t="s">
        <v>3045</v>
      </c>
      <c r="K33" s="655"/>
      <c r="L33" s="653">
        <v>1.0</v>
      </c>
      <c r="M33" s="654"/>
      <c r="N33" s="655"/>
      <c r="O33" s="655"/>
      <c r="P33" s="655"/>
      <c r="Q33" s="655"/>
      <c r="R33" s="655"/>
      <c r="S33" s="655"/>
      <c r="T33" s="655"/>
      <c r="U33" s="655"/>
      <c r="V33" s="615"/>
      <c r="W33" s="615"/>
      <c r="X33" s="615"/>
      <c r="Y33" s="615"/>
      <c r="Z33" s="615"/>
    </row>
    <row r="34">
      <c r="A34" s="650">
        <v>44940.0</v>
      </c>
      <c r="B34" s="651">
        <v>44943.0</v>
      </c>
      <c r="C34" s="652">
        <v>294.0</v>
      </c>
      <c r="D34" s="651">
        <v>44643.0</v>
      </c>
      <c r="E34" s="607" t="s">
        <v>3294</v>
      </c>
      <c r="F34" s="469" t="s">
        <v>3297</v>
      </c>
      <c r="G34" s="608" t="s">
        <v>3299</v>
      </c>
      <c r="H34" s="597" t="s">
        <v>162</v>
      </c>
      <c r="I34" s="653" t="s">
        <v>3070</v>
      </c>
      <c r="J34" s="597" t="s">
        <v>3045</v>
      </c>
      <c r="K34" s="655"/>
      <c r="L34" s="653">
        <v>1.0</v>
      </c>
      <c r="M34" s="655"/>
      <c r="N34" s="654"/>
      <c r="O34" s="655"/>
      <c r="P34" s="654"/>
      <c r="Q34" s="655"/>
      <c r="R34" s="655"/>
      <c r="S34" s="655"/>
      <c r="T34" s="655"/>
      <c r="U34" s="655"/>
      <c r="V34" s="615"/>
      <c r="W34" s="615"/>
      <c r="X34" s="615"/>
      <c r="Y34" s="615"/>
      <c r="Z34" s="615"/>
    </row>
    <row r="35">
      <c r="A35" s="650">
        <v>44939.0</v>
      </c>
      <c r="B35" s="651">
        <v>44943.0</v>
      </c>
      <c r="C35" s="652">
        <v>231.0</v>
      </c>
      <c r="D35" s="651">
        <v>44478.0</v>
      </c>
      <c r="E35" s="607" t="s">
        <v>3311</v>
      </c>
      <c r="F35" s="469" t="s">
        <v>3313</v>
      </c>
      <c r="G35" s="608" t="s">
        <v>3314</v>
      </c>
      <c r="H35" s="597" t="s">
        <v>162</v>
      </c>
      <c r="I35" s="653" t="s">
        <v>3070</v>
      </c>
      <c r="J35" s="597" t="s">
        <v>3045</v>
      </c>
      <c r="K35" s="653">
        <v>1.0</v>
      </c>
      <c r="L35" s="654"/>
      <c r="M35" s="655"/>
      <c r="N35" s="655"/>
      <c r="O35" s="655"/>
      <c r="P35" s="654"/>
      <c r="Q35" s="655"/>
      <c r="R35" s="655"/>
      <c r="S35" s="655"/>
      <c r="T35" s="655"/>
      <c r="U35" s="655"/>
      <c r="V35" s="615"/>
      <c r="W35" s="615"/>
      <c r="X35" s="615"/>
      <c r="Y35" s="615"/>
      <c r="Z35" s="615"/>
    </row>
    <row r="36">
      <c r="A36" s="661"/>
      <c r="B36" s="655"/>
      <c r="C36" s="662"/>
      <c r="D36" s="655"/>
      <c r="E36" s="654"/>
      <c r="F36" s="654"/>
      <c r="G36" s="663"/>
      <c r="H36" s="654"/>
      <c r="I36" s="654"/>
      <c r="J36" s="654"/>
      <c r="K36" s="655"/>
      <c r="L36" s="654"/>
      <c r="M36" s="655"/>
      <c r="N36" s="655"/>
      <c r="O36" s="655"/>
      <c r="P36" s="654"/>
      <c r="Q36" s="654"/>
      <c r="R36" s="655"/>
      <c r="S36" s="655"/>
      <c r="T36" s="655"/>
      <c r="U36" s="655"/>
      <c r="V36" s="615"/>
      <c r="W36" s="615"/>
      <c r="X36" s="615"/>
      <c r="Y36" s="615"/>
      <c r="Z36" s="615"/>
    </row>
    <row r="37">
      <c r="A37" s="661"/>
      <c r="B37" s="655"/>
      <c r="C37" s="662"/>
      <c r="D37" s="655"/>
      <c r="E37" s="654"/>
      <c r="F37" s="654"/>
      <c r="G37" s="663"/>
      <c r="H37" s="654"/>
      <c r="I37" s="654"/>
      <c r="J37" s="654"/>
      <c r="K37" s="655"/>
      <c r="L37" s="654"/>
      <c r="M37" s="655"/>
      <c r="N37" s="655"/>
      <c r="O37" s="655"/>
      <c r="P37" s="655"/>
      <c r="Q37" s="655"/>
      <c r="R37" s="655"/>
      <c r="S37" s="655"/>
      <c r="T37" s="655"/>
      <c r="U37" s="655"/>
      <c r="V37" s="615"/>
      <c r="W37" s="615"/>
      <c r="X37" s="615"/>
      <c r="Y37" s="615"/>
      <c r="Z37" s="615"/>
    </row>
    <row r="38">
      <c r="A38" s="661"/>
      <c r="B38" s="655"/>
      <c r="C38" s="662"/>
      <c r="D38" s="655"/>
      <c r="E38" s="654"/>
      <c r="F38" s="654"/>
      <c r="G38" s="663"/>
      <c r="H38" s="654"/>
      <c r="I38" s="654"/>
      <c r="J38" s="654"/>
      <c r="K38" s="655"/>
      <c r="L38" s="654"/>
      <c r="M38" s="655"/>
      <c r="N38" s="655"/>
      <c r="O38" s="655"/>
      <c r="P38" s="655"/>
      <c r="Q38" s="655"/>
      <c r="R38" s="655"/>
      <c r="S38" s="655"/>
      <c r="T38" s="655"/>
      <c r="U38" s="655"/>
      <c r="V38" s="615"/>
      <c r="W38" s="615"/>
      <c r="X38" s="615"/>
      <c r="Y38" s="615"/>
      <c r="Z38" s="615"/>
    </row>
    <row r="39">
      <c r="A39" s="664"/>
      <c r="B39" s="435"/>
      <c r="C39" s="665"/>
      <c r="D39" s="435"/>
      <c r="E39" s="336"/>
      <c r="F39" s="115"/>
      <c r="G39" s="666"/>
      <c r="H39" s="115"/>
      <c r="I39" s="115"/>
      <c r="J39" s="115"/>
      <c r="K39" s="435"/>
      <c r="L39" s="115"/>
      <c r="M39" s="435"/>
      <c r="N39" s="115"/>
      <c r="O39" s="435"/>
      <c r="P39" s="435"/>
      <c r="Q39" s="435"/>
      <c r="R39" s="435"/>
      <c r="S39" s="435"/>
      <c r="T39" s="435"/>
      <c r="U39" s="435"/>
    </row>
    <row r="40">
      <c r="A40" s="664"/>
      <c r="B40" s="435"/>
      <c r="C40" s="665"/>
      <c r="D40" s="115"/>
      <c r="E40" s="115"/>
      <c r="F40" s="115"/>
      <c r="G40" s="666"/>
      <c r="H40" s="115"/>
      <c r="I40" s="115"/>
      <c r="J40" s="115"/>
      <c r="K40" s="115"/>
      <c r="L40" s="435"/>
      <c r="M40" s="435"/>
      <c r="N40" s="435"/>
      <c r="O40" s="435"/>
      <c r="P40" s="115"/>
      <c r="Q40" s="435"/>
      <c r="R40" s="435"/>
      <c r="S40" s="435"/>
      <c r="T40" s="435"/>
      <c r="U40" s="435"/>
    </row>
    <row r="41">
      <c r="A41" s="664"/>
      <c r="B41" s="435"/>
      <c r="C41" s="665"/>
      <c r="D41" s="435"/>
      <c r="E41" s="115"/>
      <c r="F41" s="115"/>
      <c r="G41" s="666"/>
      <c r="H41" s="115"/>
      <c r="I41" s="115"/>
      <c r="J41" s="115"/>
      <c r="K41" s="115"/>
      <c r="L41" s="435"/>
      <c r="M41" s="435"/>
      <c r="N41" s="115"/>
      <c r="O41" s="435"/>
      <c r="P41" s="115"/>
      <c r="Q41" s="435"/>
      <c r="R41" s="435"/>
      <c r="S41" s="435"/>
      <c r="T41" s="435"/>
      <c r="U41" s="435"/>
    </row>
    <row r="42">
      <c r="A42" s="664"/>
      <c r="B42" s="435"/>
      <c r="C42" s="665"/>
      <c r="D42" s="435"/>
      <c r="E42" s="115"/>
      <c r="F42" s="115"/>
      <c r="G42" s="666"/>
      <c r="H42" s="115"/>
      <c r="I42" s="115"/>
      <c r="J42" s="115"/>
      <c r="K42" s="435"/>
      <c r="L42" s="115"/>
      <c r="M42" s="435"/>
      <c r="N42" s="435"/>
      <c r="O42" s="435"/>
      <c r="P42" s="115"/>
      <c r="Q42" s="435"/>
      <c r="R42" s="435"/>
      <c r="S42" s="435"/>
      <c r="T42" s="435"/>
      <c r="U42" s="435"/>
    </row>
    <row r="43">
      <c r="A43" s="664"/>
      <c r="B43" s="435"/>
      <c r="C43" s="665"/>
      <c r="D43" s="435"/>
      <c r="E43" s="115"/>
      <c r="F43" s="115"/>
      <c r="G43" s="666"/>
      <c r="H43" s="115"/>
      <c r="I43" s="115"/>
      <c r="J43" s="115"/>
      <c r="K43" s="115"/>
      <c r="L43" s="435"/>
      <c r="M43" s="435"/>
      <c r="N43" s="435"/>
      <c r="O43" s="435"/>
      <c r="P43" s="115"/>
      <c r="Q43" s="435"/>
      <c r="R43" s="435"/>
      <c r="S43" s="435"/>
      <c r="T43" s="435"/>
      <c r="U43" s="435"/>
    </row>
    <row r="44">
      <c r="A44" s="664"/>
      <c r="B44" s="435"/>
      <c r="C44" s="665"/>
      <c r="D44" s="435"/>
      <c r="E44" s="115"/>
      <c r="F44" s="115"/>
      <c r="G44" s="666"/>
      <c r="H44" s="115"/>
      <c r="I44" s="115"/>
      <c r="J44" s="115"/>
      <c r="K44" s="435"/>
      <c r="L44" s="115"/>
      <c r="M44" s="435"/>
      <c r="N44" s="115"/>
      <c r="O44" s="435"/>
      <c r="P44" s="115"/>
      <c r="Q44" s="115"/>
      <c r="R44" s="435"/>
      <c r="S44" s="435"/>
      <c r="T44" s="435"/>
      <c r="U44" s="435"/>
    </row>
    <row r="45">
      <c r="A45" s="664"/>
      <c r="B45" s="435"/>
      <c r="C45" s="665"/>
      <c r="D45" s="435"/>
      <c r="E45" s="115"/>
      <c r="F45" s="115"/>
      <c r="G45" s="666"/>
      <c r="H45" s="115"/>
      <c r="I45" s="115"/>
      <c r="J45" s="115"/>
      <c r="K45" s="115"/>
      <c r="L45" s="435"/>
      <c r="M45" s="435"/>
      <c r="N45" s="435"/>
      <c r="O45" s="435"/>
      <c r="P45" s="115"/>
      <c r="Q45" s="435"/>
      <c r="R45" s="435"/>
      <c r="S45" s="435"/>
      <c r="T45" s="435"/>
      <c r="U45" s="435"/>
    </row>
    <row r="46">
      <c r="A46" s="664"/>
      <c r="B46" s="435"/>
      <c r="C46" s="665"/>
      <c r="D46" s="435"/>
      <c r="E46" s="115"/>
      <c r="F46" s="115"/>
      <c r="G46" s="666"/>
      <c r="H46" s="115"/>
      <c r="I46" s="115"/>
      <c r="J46" s="115"/>
      <c r="K46" s="435"/>
      <c r="L46" s="115"/>
      <c r="M46" s="435"/>
      <c r="N46" s="435"/>
      <c r="O46" s="435"/>
      <c r="P46" s="115"/>
      <c r="Q46" s="435"/>
      <c r="R46" s="435"/>
      <c r="S46" s="435"/>
      <c r="T46" s="435"/>
      <c r="U46" s="435"/>
    </row>
    <row r="47">
      <c r="A47" s="664"/>
      <c r="B47" s="435"/>
      <c r="C47" s="665"/>
      <c r="D47" s="435"/>
      <c r="E47" s="336"/>
      <c r="F47" s="115"/>
      <c r="G47" s="666"/>
      <c r="H47" s="115"/>
      <c r="I47" s="115"/>
      <c r="J47" s="115"/>
      <c r="K47" s="435"/>
      <c r="L47" s="115"/>
      <c r="M47" s="435"/>
      <c r="N47" s="435"/>
      <c r="O47" s="435"/>
      <c r="P47" s="115"/>
      <c r="Q47" s="435"/>
      <c r="R47" s="435"/>
      <c r="S47" s="435"/>
      <c r="T47" s="435"/>
      <c r="U47" s="435"/>
    </row>
    <row r="48">
      <c r="A48" s="664"/>
      <c r="B48" s="435"/>
      <c r="C48" s="665"/>
      <c r="D48" s="435"/>
      <c r="E48" s="115"/>
      <c r="F48" s="435"/>
      <c r="G48" s="671"/>
      <c r="H48" s="115"/>
      <c r="I48" s="115"/>
      <c r="J48" s="115"/>
      <c r="K48" s="435"/>
      <c r="L48" s="115"/>
      <c r="M48" s="435"/>
      <c r="N48" s="435"/>
      <c r="O48" s="435"/>
      <c r="P48" s="115"/>
      <c r="Q48" s="435"/>
      <c r="R48" s="435"/>
      <c r="S48" s="435"/>
      <c r="T48" s="435"/>
      <c r="U48" s="435"/>
    </row>
    <row r="49">
      <c r="A49" s="664"/>
      <c r="B49" s="435"/>
      <c r="C49" s="665"/>
      <c r="D49" s="435"/>
      <c r="E49" s="115"/>
      <c r="F49" s="115"/>
      <c r="G49" s="666"/>
      <c r="H49" s="115"/>
      <c r="I49" s="115"/>
      <c r="J49" s="115"/>
      <c r="K49" s="115"/>
      <c r="L49" s="435"/>
      <c r="M49" s="435"/>
      <c r="N49" s="435"/>
      <c r="O49" s="435"/>
      <c r="P49" s="435"/>
      <c r="Q49" s="435"/>
      <c r="R49" s="435"/>
      <c r="S49" s="435"/>
      <c r="T49" s="435"/>
      <c r="U49" s="435"/>
    </row>
    <row r="50">
      <c r="A50" s="664"/>
      <c r="B50" s="435"/>
      <c r="C50" s="665"/>
      <c r="D50" s="435"/>
      <c r="E50" s="115"/>
      <c r="F50" s="115"/>
      <c r="G50" s="666"/>
      <c r="H50" s="115"/>
      <c r="I50" s="115"/>
      <c r="J50" s="115"/>
      <c r="K50" s="435"/>
      <c r="L50" s="115"/>
      <c r="M50" s="435"/>
      <c r="N50" s="435"/>
      <c r="O50" s="435"/>
      <c r="P50" s="435"/>
      <c r="Q50" s="435"/>
      <c r="R50" s="435"/>
      <c r="S50" s="435"/>
      <c r="T50" s="435"/>
      <c r="U50" s="435"/>
    </row>
    <row r="51">
      <c r="A51" s="664"/>
      <c r="B51" s="435"/>
      <c r="C51" s="665"/>
      <c r="D51" s="435"/>
      <c r="E51" s="115"/>
      <c r="F51" s="115"/>
      <c r="G51" s="666"/>
      <c r="H51" s="115"/>
      <c r="I51" s="115"/>
      <c r="J51" s="115"/>
      <c r="K51" s="435"/>
      <c r="L51" s="115"/>
      <c r="M51" s="435"/>
      <c r="N51" s="435"/>
      <c r="O51" s="435"/>
      <c r="P51" s="115"/>
      <c r="Q51" s="435"/>
      <c r="R51" s="435"/>
      <c r="S51" s="435"/>
      <c r="T51" s="435"/>
      <c r="U51" s="435"/>
    </row>
    <row r="52">
      <c r="A52" s="664"/>
      <c r="B52" s="435"/>
      <c r="C52" s="665"/>
      <c r="D52" s="435"/>
      <c r="E52" s="115"/>
      <c r="F52" s="115"/>
      <c r="G52" s="666"/>
      <c r="H52" s="115"/>
      <c r="I52" s="115"/>
      <c r="J52" s="115"/>
      <c r="K52" s="435"/>
      <c r="L52" s="115"/>
      <c r="M52" s="435"/>
      <c r="N52" s="115"/>
      <c r="O52" s="435"/>
      <c r="P52" s="115"/>
      <c r="Q52" s="435"/>
      <c r="R52" s="435"/>
      <c r="S52" s="435"/>
      <c r="T52" s="435"/>
      <c r="U52" s="435"/>
    </row>
    <row r="53">
      <c r="A53" s="664"/>
      <c r="B53" s="435"/>
      <c r="C53" s="665"/>
      <c r="D53" s="435"/>
      <c r="E53" s="115"/>
      <c r="F53" s="115"/>
      <c r="G53" s="666"/>
      <c r="H53" s="115"/>
      <c r="I53" s="115"/>
      <c r="J53" s="115"/>
      <c r="K53" s="115"/>
      <c r="L53" s="435"/>
      <c r="M53" s="435"/>
      <c r="N53" s="435"/>
      <c r="O53" s="435"/>
      <c r="P53" s="115"/>
      <c r="Q53" s="435"/>
      <c r="R53" s="435"/>
      <c r="S53" s="435"/>
      <c r="T53" s="435"/>
      <c r="U53" s="435"/>
    </row>
    <row r="54">
      <c r="A54" s="664"/>
      <c r="B54" s="435"/>
      <c r="C54" s="665"/>
      <c r="D54" s="435"/>
      <c r="E54" s="115"/>
      <c r="F54" s="115"/>
      <c r="G54" s="666"/>
      <c r="H54" s="115"/>
      <c r="I54" s="115"/>
      <c r="J54" s="115"/>
      <c r="K54" s="435"/>
      <c r="L54" s="115"/>
      <c r="M54" s="435"/>
      <c r="N54" s="435"/>
      <c r="O54" s="435"/>
      <c r="P54" s="435"/>
      <c r="Q54" s="435"/>
      <c r="R54" s="435"/>
      <c r="S54" s="435"/>
      <c r="T54" s="435"/>
      <c r="U54" s="435"/>
    </row>
    <row r="55">
      <c r="A55" s="664"/>
      <c r="B55" s="435"/>
      <c r="C55" s="665"/>
      <c r="D55" s="435"/>
      <c r="E55" s="115"/>
      <c r="F55" s="115"/>
      <c r="G55" s="666"/>
      <c r="H55" s="115"/>
      <c r="I55" s="115"/>
      <c r="J55" s="115"/>
      <c r="K55" s="435"/>
      <c r="L55" s="115"/>
      <c r="M55" s="435"/>
      <c r="N55" s="435"/>
      <c r="O55" s="435"/>
      <c r="P55" s="435"/>
      <c r="Q55" s="435"/>
      <c r="R55" s="435"/>
      <c r="S55" s="435"/>
      <c r="T55" s="435"/>
      <c r="U55" s="435"/>
    </row>
    <row r="56">
      <c r="A56" s="664"/>
      <c r="B56" s="435"/>
      <c r="C56" s="665"/>
      <c r="D56" s="435"/>
      <c r="E56" s="115"/>
      <c r="F56" s="115"/>
      <c r="G56" s="666"/>
      <c r="H56" s="115"/>
      <c r="I56" s="115"/>
      <c r="J56" s="115"/>
      <c r="K56" s="435"/>
      <c r="L56" s="435"/>
      <c r="M56" s="435"/>
      <c r="N56" s="435"/>
      <c r="O56" s="435"/>
      <c r="P56" s="435"/>
      <c r="Q56" s="435"/>
      <c r="R56" s="435"/>
      <c r="S56" s="435"/>
      <c r="T56" s="435"/>
      <c r="U56" s="435"/>
    </row>
    <row r="57">
      <c r="A57" s="664"/>
      <c r="B57" s="435"/>
      <c r="C57" s="665"/>
      <c r="D57" s="435"/>
      <c r="E57" s="435"/>
      <c r="F57" s="115"/>
      <c r="G57" s="671"/>
      <c r="H57" s="115"/>
      <c r="I57" s="115"/>
      <c r="J57" s="115"/>
      <c r="K57" s="435"/>
      <c r="L57" s="435"/>
      <c r="M57" s="435"/>
      <c r="N57" s="435"/>
      <c r="O57" s="435"/>
      <c r="P57" s="435"/>
      <c r="Q57" s="435"/>
      <c r="R57" s="435"/>
      <c r="S57" s="435"/>
      <c r="T57" s="435"/>
      <c r="U57" s="435"/>
    </row>
    <row r="58">
      <c r="A58" s="664"/>
      <c r="B58" s="435"/>
      <c r="C58" s="665"/>
      <c r="D58" s="435"/>
      <c r="E58" s="115"/>
      <c r="F58" s="115"/>
      <c r="G58" s="666"/>
      <c r="H58" s="115"/>
      <c r="I58" s="115"/>
      <c r="J58" s="115"/>
      <c r="K58" s="115"/>
      <c r="L58" s="435"/>
      <c r="M58" s="435"/>
      <c r="N58" s="435"/>
      <c r="O58" s="435"/>
      <c r="P58" s="435"/>
      <c r="Q58" s="435"/>
      <c r="R58" s="435"/>
      <c r="S58" s="435"/>
      <c r="T58" s="435"/>
      <c r="U58" s="435"/>
    </row>
    <row r="59">
      <c r="A59" s="664"/>
      <c r="B59" s="435"/>
      <c r="C59" s="665"/>
      <c r="D59" s="435"/>
      <c r="E59" s="115"/>
      <c r="F59" s="115"/>
      <c r="G59" s="666"/>
      <c r="H59" s="115"/>
      <c r="I59" s="115"/>
      <c r="J59" s="115"/>
      <c r="K59" s="435"/>
      <c r="L59" s="435"/>
      <c r="M59" s="435"/>
      <c r="N59" s="435"/>
      <c r="O59" s="115"/>
      <c r="P59" s="435"/>
      <c r="Q59" s="435"/>
      <c r="R59" s="435"/>
      <c r="S59" s="435"/>
      <c r="T59" s="435"/>
      <c r="U59" s="435"/>
    </row>
    <row r="60">
      <c r="A60" s="664"/>
      <c r="B60" s="435"/>
      <c r="C60" s="665"/>
      <c r="D60" s="435"/>
      <c r="E60" s="115"/>
      <c r="F60" s="115"/>
      <c r="G60" s="666"/>
      <c r="H60" s="115"/>
      <c r="I60" s="115"/>
      <c r="J60" s="115"/>
      <c r="K60" s="435"/>
      <c r="L60" s="435"/>
      <c r="M60" s="435"/>
      <c r="N60" s="435"/>
      <c r="O60" s="435"/>
      <c r="P60" s="435"/>
      <c r="Q60" s="115"/>
      <c r="R60" s="435"/>
      <c r="S60" s="435"/>
      <c r="T60" s="435"/>
      <c r="U60" s="435"/>
    </row>
    <row r="61">
      <c r="A61" s="664"/>
      <c r="B61" s="435"/>
      <c r="C61" s="665"/>
      <c r="D61" s="435"/>
      <c r="E61" s="115"/>
      <c r="F61" s="115"/>
      <c r="G61" s="666"/>
      <c r="H61" s="115"/>
      <c r="I61" s="115"/>
      <c r="J61" s="115"/>
      <c r="K61" s="115"/>
      <c r="L61" s="435"/>
      <c r="M61" s="435"/>
      <c r="N61" s="435"/>
      <c r="O61" s="435"/>
      <c r="P61" s="435"/>
      <c r="Q61" s="435"/>
      <c r="R61" s="435"/>
      <c r="S61" s="435"/>
      <c r="T61" s="435"/>
      <c r="U61" s="435"/>
    </row>
    <row r="62">
      <c r="A62" s="664"/>
      <c r="B62" s="435"/>
      <c r="C62" s="665"/>
      <c r="D62" s="435"/>
      <c r="E62" s="115"/>
      <c r="F62" s="115"/>
      <c r="G62" s="666"/>
      <c r="H62" s="115"/>
      <c r="I62" s="115"/>
      <c r="J62" s="115"/>
      <c r="K62" s="435"/>
      <c r="L62" s="115"/>
      <c r="M62" s="435"/>
      <c r="N62" s="435"/>
      <c r="O62" s="435"/>
      <c r="P62" s="115"/>
      <c r="Q62" s="435"/>
      <c r="R62" s="435"/>
      <c r="S62" s="435"/>
      <c r="T62" s="435"/>
      <c r="U62" s="435"/>
    </row>
    <row r="63">
      <c r="A63" s="664"/>
      <c r="B63" s="435"/>
      <c r="C63" s="665"/>
      <c r="D63" s="435"/>
      <c r="E63" s="115"/>
      <c r="F63" s="115"/>
      <c r="G63" s="666"/>
      <c r="H63" s="115"/>
      <c r="I63" s="115"/>
      <c r="J63" s="115"/>
      <c r="K63" s="435"/>
      <c r="L63" s="115"/>
      <c r="M63" s="435"/>
      <c r="N63" s="435"/>
      <c r="O63" s="435"/>
      <c r="P63" s="115"/>
      <c r="Q63" s="115"/>
      <c r="R63" s="435"/>
      <c r="S63" s="435"/>
      <c r="T63" s="435"/>
      <c r="U63" s="435"/>
    </row>
    <row r="64">
      <c r="A64" s="664"/>
      <c r="B64" s="435"/>
      <c r="C64" s="665"/>
      <c r="D64" s="435"/>
      <c r="E64" s="115"/>
      <c r="F64" s="115"/>
      <c r="G64" s="666"/>
      <c r="H64" s="115"/>
      <c r="I64" s="115"/>
      <c r="J64" s="115"/>
      <c r="K64" s="115"/>
      <c r="L64" s="435"/>
      <c r="M64" s="435"/>
      <c r="N64" s="435"/>
      <c r="O64" s="115"/>
      <c r="P64" s="435"/>
      <c r="Q64" s="435"/>
      <c r="R64" s="435"/>
      <c r="S64" s="435"/>
      <c r="T64" s="435"/>
      <c r="U64" s="435"/>
    </row>
    <row r="65">
      <c r="A65" s="664"/>
      <c r="B65" s="435"/>
      <c r="C65" s="665"/>
      <c r="D65" s="435"/>
      <c r="E65" s="115"/>
      <c r="F65" s="115"/>
      <c r="G65" s="666"/>
      <c r="H65" s="115"/>
      <c r="I65" s="115"/>
      <c r="J65" s="115"/>
      <c r="K65" s="435"/>
      <c r="L65" s="115"/>
      <c r="M65" s="435"/>
      <c r="N65" s="435"/>
      <c r="O65" s="115"/>
      <c r="P65" s="435"/>
      <c r="Q65" s="435"/>
      <c r="R65" s="435"/>
      <c r="S65" s="435"/>
      <c r="T65" s="435"/>
      <c r="U65" s="435"/>
    </row>
    <row r="66">
      <c r="A66" s="664"/>
      <c r="B66" s="435"/>
      <c r="C66" s="665"/>
      <c r="D66" s="435"/>
      <c r="E66" s="115"/>
      <c r="F66" s="115"/>
      <c r="G66" s="666"/>
      <c r="H66" s="115"/>
      <c r="I66" s="115"/>
      <c r="J66" s="115"/>
      <c r="K66" s="115"/>
      <c r="L66" s="435"/>
      <c r="M66" s="435"/>
      <c r="N66" s="115"/>
      <c r="O66" s="435"/>
      <c r="P66" s="435"/>
      <c r="Q66" s="435"/>
      <c r="R66" s="435"/>
      <c r="S66" s="435"/>
      <c r="T66" s="435"/>
      <c r="U66" s="435"/>
    </row>
    <row r="67">
      <c r="A67" s="664"/>
      <c r="B67" s="435"/>
      <c r="C67" s="665"/>
      <c r="D67" s="435"/>
      <c r="E67" s="115"/>
      <c r="F67" s="115"/>
      <c r="G67" s="666"/>
      <c r="H67" s="115"/>
      <c r="I67" s="115"/>
      <c r="J67" s="115"/>
      <c r="K67" s="435"/>
      <c r="L67" s="115"/>
      <c r="M67" s="435"/>
      <c r="N67" s="435"/>
      <c r="O67" s="435"/>
      <c r="P67" s="115"/>
      <c r="Q67" s="435"/>
      <c r="R67" s="435"/>
      <c r="S67" s="435"/>
      <c r="T67" s="435"/>
      <c r="U67" s="435"/>
    </row>
    <row r="68">
      <c r="A68" s="664"/>
      <c r="B68" s="435"/>
      <c r="C68" s="665"/>
      <c r="D68" s="435"/>
      <c r="E68" s="115"/>
      <c r="F68" s="115"/>
      <c r="G68" s="666"/>
      <c r="H68" s="115"/>
      <c r="I68" s="115"/>
      <c r="J68" s="115"/>
      <c r="K68" s="115"/>
      <c r="L68" s="435"/>
      <c r="M68" s="435"/>
      <c r="N68" s="435"/>
      <c r="O68" s="115"/>
      <c r="P68" s="435"/>
      <c r="Q68" s="435"/>
      <c r="R68" s="435"/>
      <c r="S68" s="435"/>
      <c r="T68" s="435"/>
      <c r="U68" s="435"/>
    </row>
    <row r="69">
      <c r="A69" s="664"/>
      <c r="B69" s="435"/>
      <c r="C69" s="665"/>
      <c r="D69" s="435"/>
      <c r="E69" s="115"/>
      <c r="F69" s="115"/>
      <c r="G69" s="666"/>
      <c r="H69" s="115"/>
      <c r="I69" s="115"/>
      <c r="J69" s="115"/>
      <c r="K69" s="435"/>
      <c r="L69" s="115"/>
      <c r="M69" s="435"/>
      <c r="N69" s="115"/>
      <c r="O69" s="435"/>
      <c r="P69" s="115"/>
      <c r="Q69" s="435"/>
      <c r="R69" s="435"/>
      <c r="S69" s="435"/>
      <c r="T69" s="435"/>
      <c r="U69" s="435"/>
    </row>
    <row r="70">
      <c r="A70" s="664"/>
      <c r="B70" s="435"/>
      <c r="C70" s="665"/>
      <c r="D70" s="435"/>
      <c r="E70" s="115"/>
      <c r="F70" s="115"/>
      <c r="G70" s="666"/>
      <c r="H70" s="115"/>
      <c r="I70" s="115"/>
      <c r="J70" s="115"/>
      <c r="K70" s="435"/>
      <c r="L70" s="115"/>
      <c r="M70" s="435"/>
      <c r="N70" s="115"/>
      <c r="O70" s="435"/>
      <c r="P70" s="115"/>
      <c r="Q70" s="435"/>
      <c r="R70" s="435"/>
      <c r="S70" s="435"/>
      <c r="T70" s="435"/>
      <c r="U70" s="435"/>
    </row>
    <row r="71">
      <c r="A71" s="664"/>
      <c r="B71" s="435"/>
      <c r="C71" s="665"/>
      <c r="D71" s="435"/>
      <c r="E71" s="115"/>
      <c r="F71" s="115"/>
      <c r="G71" s="666"/>
      <c r="H71" s="115"/>
      <c r="I71" s="115"/>
      <c r="J71" s="115"/>
      <c r="K71" s="115"/>
      <c r="L71" s="435"/>
      <c r="M71" s="435"/>
      <c r="N71" s="435"/>
      <c r="O71" s="435"/>
      <c r="P71" s="435"/>
      <c r="Q71" s="435"/>
      <c r="R71" s="435"/>
      <c r="S71" s="435"/>
      <c r="T71" s="435"/>
      <c r="U71" s="435"/>
    </row>
    <row r="72">
      <c r="A72" s="664"/>
      <c r="B72" s="435"/>
      <c r="C72" s="665"/>
      <c r="D72" s="435"/>
      <c r="E72" s="115"/>
      <c r="F72" s="115"/>
      <c r="G72" s="666"/>
      <c r="H72" s="115"/>
      <c r="I72" s="115"/>
      <c r="J72" s="115"/>
      <c r="K72" s="435"/>
      <c r="L72" s="115"/>
      <c r="M72" s="435"/>
      <c r="N72" s="115"/>
      <c r="O72" s="115"/>
      <c r="P72" s="115"/>
      <c r="Q72" s="435"/>
      <c r="R72" s="435"/>
      <c r="S72" s="435"/>
      <c r="T72" s="435"/>
      <c r="U72" s="435"/>
    </row>
    <row r="73">
      <c r="A73" s="664"/>
      <c r="B73" s="435"/>
      <c r="C73" s="665"/>
      <c r="D73" s="435"/>
      <c r="E73" s="115"/>
      <c r="F73" s="115"/>
      <c r="G73" s="666"/>
      <c r="H73" s="115"/>
      <c r="I73" s="115"/>
      <c r="J73" s="115"/>
      <c r="K73" s="435"/>
      <c r="L73" s="115"/>
      <c r="M73" s="435"/>
      <c r="N73" s="435"/>
      <c r="O73" s="435"/>
      <c r="P73" s="435"/>
      <c r="Q73" s="435"/>
      <c r="R73" s="435"/>
      <c r="S73" s="435"/>
      <c r="T73" s="435"/>
      <c r="U73" s="435"/>
    </row>
    <row r="74">
      <c r="A74" s="664"/>
      <c r="B74" s="435"/>
      <c r="C74" s="665"/>
      <c r="D74" s="435"/>
      <c r="E74" s="115"/>
      <c r="F74" s="115"/>
      <c r="G74" s="666"/>
      <c r="H74" s="115"/>
      <c r="I74" s="115"/>
      <c r="J74" s="115"/>
      <c r="K74" s="435"/>
      <c r="L74" s="115"/>
      <c r="M74" s="435"/>
      <c r="N74" s="115"/>
      <c r="O74" s="435"/>
      <c r="P74" s="435"/>
      <c r="Q74" s="435"/>
      <c r="R74" s="435"/>
      <c r="S74" s="435"/>
      <c r="T74" s="435"/>
      <c r="U74" s="435"/>
    </row>
    <row r="75">
      <c r="A75" s="664"/>
      <c r="B75" s="435"/>
      <c r="C75" s="665"/>
      <c r="D75" s="435"/>
      <c r="E75" s="115"/>
      <c r="F75" s="115"/>
      <c r="G75" s="666"/>
      <c r="H75" s="115"/>
      <c r="I75" s="115"/>
      <c r="J75" s="115"/>
      <c r="K75" s="115"/>
      <c r="L75" s="435"/>
      <c r="M75" s="435"/>
      <c r="N75" s="435"/>
      <c r="O75" s="435"/>
      <c r="P75" s="435"/>
      <c r="Q75" s="435"/>
      <c r="R75" s="435"/>
      <c r="S75" s="435"/>
      <c r="T75" s="435"/>
      <c r="U75" s="435"/>
    </row>
    <row r="76">
      <c r="A76" s="664"/>
      <c r="B76" s="435"/>
      <c r="C76" s="665"/>
      <c r="D76" s="435"/>
      <c r="E76" s="115"/>
      <c r="F76" s="115"/>
      <c r="G76" s="666"/>
      <c r="H76" s="115"/>
      <c r="I76" s="115"/>
      <c r="J76" s="115"/>
      <c r="K76" s="435"/>
      <c r="L76" s="115"/>
      <c r="M76" s="435"/>
      <c r="N76" s="435"/>
      <c r="O76" s="435"/>
      <c r="P76" s="435"/>
      <c r="Q76" s="435"/>
      <c r="R76" s="435"/>
      <c r="S76" s="435"/>
      <c r="T76" s="435"/>
      <c r="U76" s="435"/>
    </row>
    <row r="77">
      <c r="A77" s="664"/>
      <c r="B77" s="435"/>
      <c r="C77" s="665"/>
      <c r="D77" s="435"/>
      <c r="E77" s="115"/>
      <c r="F77" s="115"/>
      <c r="G77" s="666"/>
      <c r="H77" s="115"/>
      <c r="I77" s="115"/>
      <c r="J77" s="115"/>
      <c r="K77" s="115"/>
      <c r="L77" s="435"/>
      <c r="M77" s="435"/>
      <c r="N77" s="115"/>
      <c r="O77" s="435"/>
      <c r="P77" s="115"/>
      <c r="Q77" s="435"/>
      <c r="R77" s="435"/>
      <c r="S77" s="435"/>
      <c r="T77" s="435"/>
      <c r="U77" s="435"/>
    </row>
    <row r="78">
      <c r="A78" s="664"/>
      <c r="B78" s="435"/>
      <c r="C78" s="665"/>
      <c r="D78" s="435"/>
      <c r="E78" s="115"/>
      <c r="F78" s="115"/>
      <c r="G78" s="666"/>
      <c r="H78" s="115"/>
      <c r="I78" s="115"/>
      <c r="J78" s="115"/>
      <c r="K78" s="115"/>
      <c r="L78" s="435"/>
      <c r="M78" s="435"/>
      <c r="N78" s="435"/>
      <c r="O78" s="435"/>
      <c r="P78" s="435"/>
      <c r="Q78" s="435"/>
      <c r="R78" s="435"/>
      <c r="S78" s="435"/>
      <c r="T78" s="435"/>
      <c r="U78" s="435"/>
    </row>
    <row r="79">
      <c r="A79" s="664"/>
      <c r="B79" s="435"/>
      <c r="C79" s="665"/>
      <c r="D79" s="435"/>
      <c r="E79" s="115"/>
      <c r="F79" s="115"/>
      <c r="G79" s="666"/>
      <c r="H79" s="115"/>
      <c r="I79" s="115"/>
      <c r="J79" s="115"/>
      <c r="K79" s="435"/>
      <c r="L79" s="435"/>
      <c r="M79" s="115"/>
      <c r="N79" s="435"/>
      <c r="O79" s="435"/>
      <c r="P79" s="115"/>
      <c r="Q79" s="435"/>
      <c r="R79" s="435"/>
      <c r="S79" s="435"/>
      <c r="T79" s="435"/>
      <c r="U79" s="435"/>
    </row>
    <row r="80">
      <c r="A80" s="664"/>
      <c r="B80" s="435"/>
      <c r="C80" s="665"/>
      <c r="D80" s="435"/>
      <c r="E80" s="115"/>
      <c r="F80" s="115"/>
      <c r="G80" s="666"/>
      <c r="H80" s="115"/>
      <c r="I80" s="115"/>
      <c r="J80" s="115"/>
      <c r="K80" s="115"/>
      <c r="L80" s="435"/>
      <c r="M80" s="435"/>
      <c r="N80" s="115"/>
      <c r="O80" s="435"/>
      <c r="P80" s="435"/>
      <c r="Q80" s="435"/>
      <c r="R80" s="435"/>
      <c r="S80" s="435"/>
      <c r="T80" s="435"/>
      <c r="U80" s="435"/>
    </row>
    <row r="81">
      <c r="A81" s="664"/>
      <c r="B81" s="435"/>
      <c r="C81" s="665"/>
      <c r="D81" s="435"/>
      <c r="E81" s="115"/>
      <c r="F81" s="115"/>
      <c r="G81" s="666"/>
      <c r="H81" s="115"/>
      <c r="I81" s="115"/>
      <c r="J81" s="115"/>
      <c r="K81" s="435"/>
      <c r="L81" s="435"/>
      <c r="M81" s="435"/>
      <c r="N81" s="435"/>
      <c r="O81" s="435"/>
      <c r="P81" s="435"/>
      <c r="Q81" s="435"/>
      <c r="R81" s="435"/>
      <c r="S81" s="435"/>
      <c r="T81" s="435"/>
      <c r="U81" s="435"/>
    </row>
    <row r="82">
      <c r="A82" s="664"/>
      <c r="B82" s="435"/>
      <c r="C82" s="665"/>
      <c r="D82" s="435"/>
      <c r="E82" s="115"/>
      <c r="F82" s="115"/>
      <c r="G82" s="666"/>
      <c r="H82" s="115"/>
      <c r="I82" s="115"/>
      <c r="J82" s="115"/>
      <c r="K82" s="435"/>
      <c r="L82" s="115"/>
      <c r="M82" s="435"/>
      <c r="N82" s="115"/>
      <c r="O82" s="115"/>
      <c r="P82" s="115"/>
      <c r="Q82" s="435"/>
      <c r="R82" s="435"/>
      <c r="S82" s="435"/>
      <c r="T82" s="435"/>
      <c r="U82" s="435"/>
    </row>
    <row r="83">
      <c r="A83" s="664"/>
      <c r="B83" s="435"/>
      <c r="C83" s="665"/>
      <c r="D83" s="435"/>
      <c r="E83" s="115"/>
      <c r="F83" s="115"/>
      <c r="G83" s="666"/>
      <c r="H83" s="115"/>
      <c r="I83" s="115"/>
      <c r="J83" s="115"/>
      <c r="K83" s="435"/>
      <c r="L83" s="115"/>
      <c r="M83" s="435"/>
      <c r="N83" s="435"/>
      <c r="O83" s="435"/>
      <c r="P83" s="115"/>
      <c r="Q83" s="435"/>
      <c r="R83" s="435"/>
      <c r="S83" s="435"/>
      <c r="T83" s="435"/>
      <c r="U83" s="435"/>
    </row>
    <row r="84">
      <c r="A84" s="664"/>
      <c r="B84" s="435"/>
      <c r="C84" s="665"/>
      <c r="D84" s="435"/>
      <c r="E84" s="115"/>
      <c r="F84" s="115"/>
      <c r="G84" s="666"/>
      <c r="H84" s="115"/>
      <c r="I84" s="115"/>
      <c r="J84" s="115"/>
      <c r="K84" s="115"/>
      <c r="L84" s="435"/>
      <c r="M84" s="435"/>
      <c r="N84" s="435"/>
      <c r="O84" s="435"/>
      <c r="P84" s="115"/>
      <c r="Q84" s="435"/>
      <c r="R84" s="435"/>
      <c r="S84" s="435"/>
      <c r="T84" s="435"/>
      <c r="U84" s="435"/>
    </row>
    <row r="85">
      <c r="A85" s="664"/>
      <c r="B85" s="435"/>
      <c r="C85" s="665"/>
      <c r="D85" s="435"/>
      <c r="E85" s="115"/>
      <c r="F85" s="115"/>
      <c r="G85" s="666"/>
      <c r="H85" s="115"/>
      <c r="I85" s="115"/>
      <c r="J85" s="115"/>
      <c r="K85" s="435"/>
      <c r="L85" s="115"/>
      <c r="M85" s="435"/>
      <c r="N85" s="435"/>
      <c r="O85" s="435"/>
      <c r="P85" s="115"/>
      <c r="Q85" s="435"/>
      <c r="R85" s="435"/>
      <c r="S85" s="435"/>
      <c r="T85" s="435"/>
      <c r="U85" s="435"/>
    </row>
    <row r="86">
      <c r="A86" s="664"/>
      <c r="B86" s="435"/>
      <c r="C86" s="665"/>
      <c r="D86" s="435"/>
      <c r="E86" s="115"/>
      <c r="F86" s="115"/>
      <c r="G86" s="666"/>
      <c r="H86" s="115"/>
      <c r="I86" s="115"/>
      <c r="J86" s="115"/>
      <c r="K86" s="435"/>
      <c r="L86" s="115"/>
      <c r="M86" s="435"/>
      <c r="N86" s="115"/>
      <c r="O86" s="435"/>
      <c r="P86" s="115"/>
      <c r="Q86" s="435"/>
      <c r="R86" s="435"/>
      <c r="S86" s="435"/>
      <c r="T86" s="435"/>
      <c r="U86" s="435"/>
    </row>
    <row r="87">
      <c r="A87" s="664"/>
      <c r="B87" s="435"/>
      <c r="C87" s="665"/>
      <c r="D87" s="435"/>
      <c r="E87" s="115"/>
      <c r="F87" s="115"/>
      <c r="G87" s="666"/>
      <c r="H87" s="115"/>
      <c r="I87" s="115"/>
      <c r="J87" s="115"/>
      <c r="K87" s="115"/>
      <c r="L87" s="435"/>
      <c r="M87" s="435"/>
      <c r="N87" s="435"/>
      <c r="O87" s="435"/>
      <c r="P87" s="115"/>
      <c r="Q87" s="435"/>
      <c r="R87" s="435"/>
      <c r="S87" s="435"/>
      <c r="T87" s="435"/>
      <c r="U87" s="435"/>
    </row>
    <row r="88">
      <c r="A88" s="664"/>
      <c r="B88" s="435"/>
      <c r="C88" s="665"/>
      <c r="D88" s="435"/>
      <c r="E88" s="115"/>
      <c r="F88" s="115"/>
      <c r="G88" s="666"/>
      <c r="H88" s="115"/>
      <c r="I88" s="115"/>
      <c r="J88" s="115"/>
      <c r="K88" s="435"/>
      <c r="L88" s="115"/>
      <c r="M88" s="435"/>
      <c r="N88" s="115"/>
      <c r="O88" s="435"/>
      <c r="P88" s="115"/>
      <c r="Q88" s="435"/>
      <c r="R88" s="435"/>
      <c r="S88" s="435"/>
      <c r="T88" s="435"/>
      <c r="U88" s="435"/>
    </row>
    <row r="89">
      <c r="A89" s="664"/>
      <c r="B89" s="435"/>
      <c r="C89" s="665"/>
      <c r="D89" s="435"/>
      <c r="E89" s="115"/>
      <c r="F89" s="115"/>
      <c r="G89" s="666"/>
      <c r="H89" s="115"/>
      <c r="I89" s="115"/>
      <c r="J89" s="115"/>
      <c r="K89" s="435"/>
      <c r="L89" s="115"/>
      <c r="M89" s="435"/>
      <c r="N89" s="435"/>
      <c r="O89" s="435"/>
      <c r="P89" s="115"/>
      <c r="Q89" s="435"/>
      <c r="R89" s="435"/>
      <c r="S89" s="435"/>
      <c r="T89" s="435"/>
      <c r="U89" s="435"/>
    </row>
    <row r="90">
      <c r="A90" s="664"/>
      <c r="B90" s="435"/>
      <c r="C90" s="665"/>
      <c r="D90" s="435"/>
      <c r="E90" s="115"/>
      <c r="F90" s="115"/>
      <c r="G90" s="666"/>
      <c r="H90" s="115"/>
      <c r="I90" s="115"/>
      <c r="J90" s="115"/>
      <c r="K90" s="115"/>
      <c r="L90" s="435"/>
      <c r="M90" s="435"/>
      <c r="N90" s="435"/>
      <c r="O90" s="435"/>
      <c r="P90" s="115"/>
      <c r="Q90" s="435"/>
      <c r="R90" s="435"/>
      <c r="S90" s="435"/>
      <c r="T90" s="435"/>
      <c r="U90" s="435"/>
    </row>
    <row r="91">
      <c r="A91" s="664"/>
      <c r="B91" s="435"/>
      <c r="C91" s="665"/>
      <c r="D91" s="435"/>
      <c r="E91" s="115"/>
      <c r="F91" s="115"/>
      <c r="G91" s="666"/>
      <c r="H91" s="115"/>
      <c r="I91" s="115"/>
      <c r="J91" s="115"/>
      <c r="K91" s="115"/>
      <c r="L91" s="435"/>
      <c r="M91" s="435"/>
      <c r="N91" s="435"/>
      <c r="O91" s="435"/>
      <c r="P91" s="115"/>
      <c r="Q91" s="435"/>
      <c r="R91" s="435"/>
      <c r="S91" s="435"/>
      <c r="T91" s="435"/>
      <c r="U91" s="435"/>
    </row>
    <row r="92">
      <c r="A92" s="664"/>
      <c r="B92" s="435"/>
      <c r="C92" s="665"/>
      <c r="D92" s="435"/>
      <c r="E92" s="115"/>
      <c r="F92" s="115"/>
      <c r="G92" s="666"/>
      <c r="H92" s="115"/>
      <c r="I92" s="115"/>
      <c r="J92" s="115"/>
      <c r="K92" s="435"/>
      <c r="L92" s="115"/>
      <c r="M92" s="435"/>
      <c r="N92" s="435"/>
      <c r="O92" s="435"/>
      <c r="P92" s="115"/>
      <c r="Q92" s="435"/>
      <c r="R92" s="435"/>
      <c r="S92" s="435"/>
      <c r="T92" s="435"/>
      <c r="U92" s="435"/>
    </row>
    <row r="93">
      <c r="A93" s="664"/>
      <c r="B93" s="435"/>
      <c r="C93" s="665"/>
      <c r="D93" s="435"/>
      <c r="E93" s="115"/>
      <c r="F93" s="115"/>
      <c r="G93" s="666"/>
      <c r="H93" s="115"/>
      <c r="I93" s="115"/>
      <c r="J93" s="115"/>
      <c r="K93" s="435"/>
      <c r="L93" s="115"/>
      <c r="M93" s="435"/>
      <c r="N93" s="435"/>
      <c r="O93" s="435"/>
      <c r="P93" s="115"/>
      <c r="Q93" s="435"/>
      <c r="R93" s="435"/>
      <c r="S93" s="435"/>
      <c r="T93" s="435"/>
      <c r="U93" s="435"/>
    </row>
    <row r="94">
      <c r="A94" s="664"/>
      <c r="B94" s="435"/>
      <c r="C94" s="665"/>
      <c r="D94" s="435"/>
      <c r="E94" s="115"/>
      <c r="F94" s="115"/>
      <c r="G94" s="666"/>
      <c r="H94" s="115"/>
      <c r="I94" s="115"/>
      <c r="J94" s="115"/>
      <c r="K94" s="435"/>
      <c r="L94" s="435"/>
      <c r="M94" s="435"/>
      <c r="N94" s="115"/>
      <c r="O94" s="435"/>
      <c r="P94" s="115"/>
      <c r="Q94" s="435"/>
      <c r="R94" s="435"/>
      <c r="S94" s="435"/>
      <c r="T94" s="435"/>
      <c r="U94" s="435"/>
    </row>
    <row r="95">
      <c r="A95" s="664"/>
      <c r="B95" s="435"/>
      <c r="C95" s="665"/>
      <c r="D95" s="435"/>
      <c r="E95" s="115"/>
      <c r="F95" s="115"/>
      <c r="G95" s="666"/>
      <c r="H95" s="115"/>
      <c r="I95" s="115"/>
      <c r="J95" s="115"/>
      <c r="K95" s="115"/>
      <c r="L95" s="435"/>
      <c r="M95" s="435"/>
      <c r="N95" s="115"/>
      <c r="O95" s="435"/>
      <c r="P95" s="115"/>
      <c r="Q95" s="435"/>
      <c r="R95" s="435"/>
      <c r="S95" s="435"/>
      <c r="T95" s="435"/>
      <c r="U95" s="435"/>
    </row>
    <row r="96">
      <c r="A96" s="664"/>
      <c r="B96" s="435"/>
      <c r="C96" s="665"/>
      <c r="D96" s="435"/>
      <c r="E96" s="115"/>
      <c r="F96" s="115"/>
      <c r="G96" s="666"/>
      <c r="H96" s="115"/>
      <c r="I96" s="115"/>
      <c r="J96" s="115"/>
      <c r="K96" s="435"/>
      <c r="L96" s="115"/>
      <c r="M96" s="435"/>
      <c r="N96" s="115"/>
      <c r="O96" s="435"/>
      <c r="P96" s="435"/>
      <c r="Q96" s="435"/>
      <c r="R96" s="435"/>
      <c r="S96" s="435"/>
      <c r="T96" s="435"/>
      <c r="U96" s="435"/>
    </row>
    <row r="97">
      <c r="A97" s="664"/>
      <c r="B97" s="435"/>
      <c r="C97" s="665"/>
      <c r="D97" s="435"/>
      <c r="E97" s="115"/>
      <c r="F97" s="115"/>
      <c r="G97" s="666"/>
      <c r="H97" s="115"/>
      <c r="I97" s="115"/>
      <c r="J97" s="115"/>
      <c r="K97" s="435"/>
      <c r="L97" s="115"/>
      <c r="M97" s="435"/>
      <c r="N97" s="115"/>
      <c r="O97" s="435"/>
      <c r="P97" s="115"/>
      <c r="Q97" s="435"/>
      <c r="R97" s="435"/>
      <c r="S97" s="435"/>
      <c r="T97" s="435"/>
      <c r="U97" s="435"/>
    </row>
    <row r="98">
      <c r="A98" s="664"/>
      <c r="B98" s="435"/>
      <c r="C98" s="665"/>
      <c r="D98" s="435"/>
      <c r="E98" s="115"/>
      <c r="F98" s="115"/>
      <c r="G98" s="666"/>
      <c r="H98" s="115"/>
      <c r="I98" s="115"/>
      <c r="J98" s="115"/>
      <c r="K98" s="435"/>
      <c r="L98" s="115"/>
      <c r="M98" s="435"/>
      <c r="N98" s="115"/>
      <c r="O98" s="435"/>
      <c r="P98" s="115"/>
      <c r="Q98" s="435"/>
      <c r="R98" s="435"/>
      <c r="S98" s="435"/>
      <c r="T98" s="435"/>
      <c r="U98" s="435"/>
    </row>
    <row r="99">
      <c r="A99" s="664"/>
      <c r="B99" s="435"/>
      <c r="C99" s="665"/>
      <c r="D99" s="435"/>
      <c r="E99" s="115"/>
      <c r="F99" s="115"/>
      <c r="G99" s="666"/>
      <c r="H99" s="115"/>
      <c r="I99" s="115"/>
      <c r="J99" s="115"/>
      <c r="K99" s="435"/>
      <c r="L99" s="115"/>
      <c r="M99" s="435"/>
      <c r="N99" s="435"/>
      <c r="O99" s="435"/>
      <c r="P99" s="115"/>
      <c r="Q99" s="435"/>
      <c r="R99" s="435"/>
      <c r="S99" s="435"/>
      <c r="T99" s="435"/>
      <c r="U99" s="435"/>
    </row>
    <row r="100">
      <c r="A100" s="664"/>
      <c r="B100" s="435"/>
      <c r="C100" s="665"/>
      <c r="D100" s="435"/>
      <c r="E100" s="115"/>
      <c r="F100" s="115"/>
      <c r="G100" s="666"/>
      <c r="H100" s="115"/>
      <c r="I100" s="115"/>
      <c r="J100" s="115"/>
      <c r="K100" s="435"/>
      <c r="L100" s="115"/>
      <c r="M100" s="435"/>
      <c r="N100" s="115"/>
      <c r="O100" s="435"/>
      <c r="P100" s="115"/>
      <c r="Q100" s="435"/>
      <c r="R100" s="435"/>
      <c r="S100" s="435"/>
      <c r="T100" s="435"/>
      <c r="U100" s="435"/>
    </row>
    <row r="101">
      <c r="A101" s="664"/>
      <c r="B101" s="435"/>
      <c r="C101" s="665"/>
      <c r="D101" s="435"/>
      <c r="E101" s="115"/>
      <c r="F101" s="115"/>
      <c r="G101" s="666"/>
      <c r="H101" s="115"/>
      <c r="I101" s="115"/>
      <c r="J101" s="115"/>
      <c r="K101" s="115"/>
      <c r="L101" s="435"/>
      <c r="M101" s="435"/>
      <c r="N101" s="435"/>
      <c r="O101" s="435"/>
      <c r="P101" s="115"/>
      <c r="Q101" s="435"/>
      <c r="R101" s="435"/>
      <c r="S101" s="435"/>
      <c r="T101" s="435"/>
      <c r="U101" s="435"/>
    </row>
    <row r="102">
      <c r="A102" s="664"/>
      <c r="B102" s="435"/>
      <c r="C102" s="665"/>
      <c r="D102" s="435"/>
      <c r="E102" s="115"/>
      <c r="F102" s="115"/>
      <c r="G102" s="666"/>
      <c r="H102" s="115"/>
      <c r="I102" s="115"/>
      <c r="J102" s="115"/>
      <c r="K102" s="435"/>
      <c r="L102" s="115"/>
      <c r="M102" s="435"/>
      <c r="N102" s="435"/>
      <c r="O102" s="435"/>
      <c r="P102" s="115"/>
      <c r="Q102" s="435"/>
      <c r="R102" s="435"/>
      <c r="S102" s="435"/>
      <c r="T102" s="435"/>
      <c r="U102" s="435"/>
    </row>
    <row r="103">
      <c r="A103" s="664"/>
      <c r="B103" s="435"/>
      <c r="C103" s="665"/>
      <c r="D103" s="435"/>
      <c r="E103" s="115"/>
      <c r="F103" s="115"/>
      <c r="G103" s="666"/>
      <c r="H103" s="115"/>
      <c r="I103" s="115"/>
      <c r="J103" s="115"/>
      <c r="K103" s="115"/>
      <c r="L103" s="435"/>
      <c r="M103" s="435"/>
      <c r="N103" s="435"/>
      <c r="O103" s="435"/>
      <c r="P103" s="435"/>
      <c r="Q103" s="435"/>
      <c r="R103" s="435"/>
      <c r="S103" s="435"/>
      <c r="T103" s="435"/>
      <c r="U103" s="435"/>
    </row>
    <row r="104">
      <c r="A104" s="664"/>
      <c r="B104" s="435"/>
      <c r="C104" s="665"/>
      <c r="D104" s="435"/>
      <c r="E104" s="115"/>
      <c r="F104" s="115"/>
      <c r="G104" s="666"/>
      <c r="H104" s="115"/>
      <c r="I104" s="115"/>
      <c r="J104" s="115"/>
      <c r="K104" s="435"/>
      <c r="L104" s="115"/>
      <c r="M104" s="435"/>
      <c r="N104" s="435"/>
      <c r="O104" s="115"/>
      <c r="P104" s="435"/>
      <c r="Q104" s="435"/>
      <c r="R104" s="435"/>
      <c r="S104" s="435"/>
      <c r="T104" s="435"/>
      <c r="U104" s="435"/>
    </row>
    <row r="105">
      <c r="A105" s="664"/>
      <c r="B105" s="435"/>
      <c r="C105" s="665"/>
      <c r="D105" s="435"/>
      <c r="E105" s="435"/>
      <c r="F105" s="435"/>
      <c r="G105" s="671"/>
      <c r="H105" s="115"/>
      <c r="I105" s="115"/>
      <c r="J105" s="115"/>
      <c r="K105" s="435"/>
      <c r="L105" s="115"/>
      <c r="M105" s="435"/>
      <c r="N105" s="435"/>
      <c r="O105" s="435"/>
      <c r="P105" s="115"/>
      <c r="Q105" s="435"/>
      <c r="R105" s="435"/>
      <c r="S105" s="435"/>
      <c r="T105" s="435"/>
      <c r="U105" s="435"/>
    </row>
    <row r="106">
      <c r="A106" s="664"/>
      <c r="B106" s="435"/>
      <c r="C106" s="665"/>
      <c r="D106" s="435"/>
      <c r="E106" s="115"/>
      <c r="F106" s="115"/>
      <c r="G106" s="666"/>
      <c r="H106" s="115"/>
      <c r="I106" s="115"/>
      <c r="J106" s="115"/>
      <c r="K106" s="435"/>
      <c r="L106" s="435"/>
      <c r="M106" s="435"/>
      <c r="N106" s="435"/>
      <c r="O106" s="435"/>
      <c r="P106" s="435"/>
      <c r="Q106" s="435"/>
      <c r="R106" s="435"/>
      <c r="S106" s="435"/>
      <c r="T106" s="435"/>
      <c r="U106" s="435"/>
    </row>
    <row r="107">
      <c r="A107" s="664"/>
      <c r="B107" s="435"/>
      <c r="C107" s="665"/>
      <c r="D107" s="435"/>
      <c r="E107" s="115"/>
      <c r="F107" s="115"/>
      <c r="G107" s="666"/>
      <c r="H107" s="115"/>
      <c r="I107" s="115"/>
      <c r="J107" s="115"/>
      <c r="K107" s="435"/>
      <c r="L107" s="435"/>
      <c r="M107" s="435"/>
      <c r="N107" s="435"/>
      <c r="O107" s="115"/>
      <c r="P107" s="435"/>
      <c r="Q107" s="435"/>
      <c r="R107" s="435"/>
      <c r="S107" s="435"/>
      <c r="T107" s="435"/>
      <c r="U107" s="435"/>
    </row>
    <row r="108">
      <c r="A108" s="664"/>
      <c r="B108" s="435"/>
      <c r="C108" s="115"/>
      <c r="D108" s="435"/>
      <c r="E108" s="435"/>
      <c r="F108" s="115"/>
      <c r="G108" s="671"/>
      <c r="H108" s="115"/>
      <c r="I108" s="115"/>
      <c r="J108" s="115"/>
      <c r="K108" s="435"/>
      <c r="L108" s="435"/>
      <c r="M108" s="435"/>
      <c r="N108" s="435"/>
      <c r="O108" s="435"/>
      <c r="P108" s="435"/>
      <c r="Q108" s="435"/>
      <c r="R108" s="435"/>
      <c r="S108" s="435"/>
      <c r="T108" s="435"/>
      <c r="U108" s="435"/>
    </row>
    <row r="109">
      <c r="A109" s="664"/>
      <c r="B109" s="435"/>
      <c r="C109" s="665"/>
      <c r="D109" s="435"/>
      <c r="E109" s="115"/>
      <c r="F109" s="115"/>
      <c r="G109" s="666"/>
      <c r="H109" s="115"/>
      <c r="I109" s="115"/>
      <c r="J109" s="115"/>
      <c r="K109" s="115"/>
      <c r="L109" s="435"/>
      <c r="M109" s="435"/>
      <c r="N109" s="435"/>
      <c r="O109" s="435"/>
      <c r="P109" s="435"/>
      <c r="Q109" s="435"/>
      <c r="R109" s="435"/>
      <c r="S109" s="435"/>
      <c r="T109" s="435"/>
      <c r="U109" s="435"/>
    </row>
    <row r="110">
      <c r="A110" s="664"/>
      <c r="B110" s="435"/>
      <c r="C110" s="665"/>
      <c r="D110" s="435"/>
      <c r="E110" s="115"/>
      <c r="F110" s="115"/>
      <c r="G110" s="666"/>
      <c r="H110" s="115"/>
      <c r="I110" s="115"/>
      <c r="J110" s="115"/>
      <c r="K110" s="115"/>
      <c r="L110" s="435"/>
      <c r="M110" s="435"/>
      <c r="N110" s="115"/>
      <c r="O110" s="435"/>
      <c r="P110" s="435"/>
      <c r="Q110" s="435"/>
      <c r="R110" s="435"/>
      <c r="S110" s="435"/>
      <c r="T110" s="435"/>
      <c r="U110" s="435"/>
    </row>
    <row r="111">
      <c r="A111" s="664"/>
      <c r="B111" s="435"/>
      <c r="C111" s="665"/>
      <c r="D111" s="435"/>
      <c r="E111" s="115"/>
      <c r="F111" s="115"/>
      <c r="G111" s="666"/>
      <c r="H111" s="115"/>
      <c r="I111" s="115"/>
      <c r="J111" s="115"/>
      <c r="K111" s="115"/>
      <c r="L111" s="435"/>
      <c r="M111" s="435"/>
      <c r="N111" s="435"/>
      <c r="O111" s="435"/>
      <c r="P111" s="435"/>
      <c r="Q111" s="435"/>
      <c r="R111" s="435"/>
      <c r="S111" s="435"/>
      <c r="T111" s="435"/>
      <c r="U111" s="435"/>
    </row>
    <row r="112">
      <c r="A112" s="664"/>
      <c r="B112" s="435"/>
      <c r="C112" s="681"/>
      <c r="D112" s="435"/>
      <c r="E112" s="115"/>
      <c r="F112" s="115"/>
      <c r="G112" s="666"/>
      <c r="H112" s="115"/>
      <c r="I112" s="115"/>
      <c r="J112" s="115"/>
      <c r="K112" s="115"/>
      <c r="L112" s="435"/>
      <c r="M112" s="435"/>
      <c r="N112" s="435"/>
      <c r="O112" s="435"/>
      <c r="P112" s="435"/>
      <c r="Q112" s="435"/>
      <c r="R112" s="435"/>
      <c r="S112" s="435"/>
      <c r="T112" s="435"/>
      <c r="U112" s="435"/>
    </row>
    <row r="113">
      <c r="A113" s="664"/>
      <c r="B113" s="435"/>
      <c r="C113" s="665"/>
      <c r="D113" s="115"/>
      <c r="E113" s="435"/>
      <c r="F113" s="435"/>
      <c r="G113" s="671"/>
      <c r="H113" s="115"/>
      <c r="I113" s="115"/>
      <c r="J113" s="115"/>
      <c r="K113" s="115"/>
      <c r="L113" s="435"/>
      <c r="M113" s="435"/>
      <c r="N113" s="435"/>
      <c r="O113" s="435"/>
      <c r="P113" s="115"/>
      <c r="Q113" s="435"/>
      <c r="R113" s="435"/>
      <c r="S113" s="435"/>
      <c r="T113" s="435"/>
      <c r="U113" s="435"/>
    </row>
    <row r="114">
      <c r="A114" s="664"/>
      <c r="B114" s="435"/>
      <c r="C114" s="665"/>
      <c r="D114" s="435"/>
      <c r="E114" s="115"/>
      <c r="F114" s="115"/>
      <c r="G114" s="666"/>
      <c r="H114" s="115"/>
      <c r="I114" s="115"/>
      <c r="J114" s="115"/>
      <c r="K114" s="115"/>
      <c r="L114" s="435"/>
      <c r="M114" s="115"/>
      <c r="N114" s="435"/>
      <c r="O114" s="435"/>
      <c r="P114" s="115"/>
      <c r="Q114" s="435"/>
      <c r="R114" s="435"/>
      <c r="S114" s="435"/>
      <c r="T114" s="435"/>
      <c r="U114" s="435"/>
    </row>
    <row r="115">
      <c r="A115" s="664"/>
      <c r="B115" s="435"/>
      <c r="C115" s="665"/>
      <c r="D115" s="435"/>
      <c r="E115" s="115"/>
      <c r="F115" s="115"/>
      <c r="G115" s="666"/>
      <c r="H115" s="115"/>
      <c r="I115" s="115"/>
      <c r="J115" s="115"/>
      <c r="K115" s="435"/>
      <c r="L115" s="115"/>
      <c r="M115" s="435"/>
      <c r="N115" s="435"/>
      <c r="O115" s="115"/>
      <c r="P115" s="115"/>
      <c r="Q115" s="435"/>
      <c r="R115" s="435"/>
      <c r="S115" s="435"/>
      <c r="T115" s="435"/>
      <c r="U115" s="435"/>
    </row>
    <row r="116">
      <c r="A116" s="664"/>
      <c r="B116" s="435"/>
      <c r="C116" s="665"/>
      <c r="D116" s="435"/>
      <c r="E116" s="115"/>
      <c r="F116" s="115"/>
      <c r="G116" s="666"/>
      <c r="H116" s="115"/>
      <c r="I116" s="115"/>
      <c r="J116" s="115"/>
      <c r="K116" s="435"/>
      <c r="L116" s="115"/>
      <c r="M116" s="435"/>
      <c r="N116" s="115"/>
      <c r="O116" s="115"/>
      <c r="P116" s="435"/>
      <c r="Q116" s="435"/>
      <c r="R116" s="435"/>
      <c r="S116" s="435"/>
      <c r="T116" s="435"/>
      <c r="U116" s="435"/>
    </row>
    <row r="117">
      <c r="A117" s="664"/>
      <c r="B117" s="435"/>
      <c r="C117" s="665"/>
      <c r="D117" s="435"/>
      <c r="E117" s="115"/>
      <c r="F117" s="115"/>
      <c r="G117" s="666"/>
      <c r="H117" s="115"/>
      <c r="I117" s="115"/>
      <c r="J117" s="115"/>
      <c r="K117" s="115"/>
      <c r="L117" s="435"/>
      <c r="M117" s="435"/>
      <c r="N117" s="435"/>
      <c r="O117" s="435"/>
      <c r="P117" s="435"/>
      <c r="Q117" s="435"/>
      <c r="R117" s="435"/>
      <c r="S117" s="435"/>
      <c r="T117" s="435"/>
      <c r="U117" s="435"/>
    </row>
    <row r="118">
      <c r="A118" s="664"/>
      <c r="B118" s="435"/>
      <c r="C118" s="681"/>
      <c r="D118" s="435"/>
      <c r="E118" s="115"/>
      <c r="F118" s="115"/>
      <c r="G118" s="666"/>
      <c r="H118" s="115"/>
      <c r="I118" s="115"/>
      <c r="J118" s="115"/>
      <c r="K118" s="115"/>
      <c r="L118" s="435"/>
      <c r="M118" s="115"/>
      <c r="N118" s="435"/>
      <c r="O118" s="435"/>
      <c r="P118" s="435"/>
      <c r="Q118" s="435"/>
      <c r="R118" s="435"/>
      <c r="S118" s="435"/>
      <c r="T118" s="435"/>
      <c r="U118" s="435"/>
    </row>
    <row r="119">
      <c r="A119" s="664"/>
      <c r="B119" s="435"/>
      <c r="C119" s="665"/>
      <c r="D119" s="435"/>
      <c r="E119" s="115"/>
      <c r="F119" s="115"/>
      <c r="G119" s="666"/>
      <c r="H119" s="115"/>
      <c r="I119" s="115"/>
      <c r="J119" s="115"/>
      <c r="K119" s="115"/>
      <c r="L119" s="435"/>
      <c r="M119" s="435"/>
      <c r="N119" s="435"/>
      <c r="O119" s="435"/>
      <c r="P119" s="115"/>
      <c r="Q119" s="435"/>
      <c r="R119" s="435"/>
      <c r="S119" s="435"/>
      <c r="T119" s="435"/>
      <c r="U119" s="435"/>
    </row>
    <row r="120">
      <c r="A120" s="664"/>
      <c r="B120" s="682"/>
      <c r="C120" s="665"/>
      <c r="D120" s="435"/>
      <c r="E120" s="115"/>
      <c r="F120" s="115"/>
      <c r="G120" s="666"/>
      <c r="H120" s="115"/>
      <c r="I120" s="115"/>
      <c r="J120" s="115"/>
      <c r="K120" s="435"/>
      <c r="L120" s="115"/>
      <c r="M120" s="435"/>
      <c r="N120" s="435"/>
      <c r="O120" s="435"/>
      <c r="P120" s="435"/>
      <c r="Q120" s="435"/>
      <c r="R120" s="435"/>
      <c r="S120" s="435"/>
      <c r="T120" s="435"/>
      <c r="U120" s="435"/>
    </row>
    <row r="121">
      <c r="A121" s="664"/>
      <c r="B121" s="435"/>
      <c r="C121" s="665"/>
      <c r="D121" s="435"/>
      <c r="E121" s="115"/>
      <c r="F121" s="115"/>
      <c r="G121" s="666"/>
      <c r="H121" s="115"/>
      <c r="I121" s="115"/>
      <c r="J121" s="115"/>
      <c r="K121" s="435"/>
      <c r="L121" s="115"/>
      <c r="M121" s="435"/>
      <c r="N121" s="435"/>
      <c r="O121" s="435"/>
      <c r="P121" s="435"/>
      <c r="Q121" s="435"/>
      <c r="R121" s="435"/>
      <c r="S121" s="435"/>
      <c r="T121" s="435"/>
      <c r="U121" s="435"/>
    </row>
    <row r="122">
      <c r="A122" s="664"/>
      <c r="B122" s="435"/>
      <c r="C122" s="665"/>
      <c r="D122" s="435"/>
      <c r="E122" s="115"/>
      <c r="F122" s="115"/>
      <c r="G122" s="666"/>
      <c r="H122" s="115"/>
      <c r="I122" s="115"/>
      <c r="J122" s="115"/>
      <c r="K122" s="115"/>
      <c r="L122" s="115"/>
      <c r="M122" s="435"/>
      <c r="N122" s="115"/>
      <c r="O122" s="435"/>
      <c r="P122" s="115"/>
      <c r="Q122" s="435"/>
      <c r="R122" s="435"/>
      <c r="S122" s="435"/>
      <c r="T122" s="435"/>
      <c r="U122" s="435"/>
    </row>
    <row r="123">
      <c r="A123" s="664"/>
      <c r="B123" s="435"/>
      <c r="C123" s="665"/>
      <c r="D123" s="435"/>
      <c r="E123" s="115"/>
      <c r="F123" s="115"/>
      <c r="G123" s="666"/>
      <c r="H123" s="115"/>
      <c r="I123" s="115"/>
      <c r="J123" s="115"/>
      <c r="K123" s="115"/>
      <c r="L123" s="435"/>
      <c r="M123" s="435"/>
      <c r="N123" s="435"/>
      <c r="O123" s="435"/>
      <c r="P123" s="115"/>
      <c r="Q123" s="435"/>
      <c r="R123" s="435"/>
      <c r="S123" s="435"/>
      <c r="T123" s="435"/>
      <c r="U123" s="435"/>
    </row>
    <row r="124">
      <c r="A124" s="664"/>
      <c r="B124" s="435"/>
      <c r="C124" s="665"/>
      <c r="D124" s="435"/>
      <c r="E124" s="115"/>
      <c r="F124" s="115"/>
      <c r="G124" s="666"/>
      <c r="H124" s="115"/>
      <c r="I124" s="115"/>
      <c r="J124" s="115"/>
      <c r="K124" s="115"/>
      <c r="L124" s="435"/>
      <c r="M124" s="435"/>
      <c r="N124" s="435"/>
      <c r="O124" s="435"/>
      <c r="P124" s="115"/>
      <c r="Q124" s="435"/>
      <c r="R124" s="435"/>
      <c r="S124" s="435"/>
      <c r="T124" s="435"/>
      <c r="U124" s="435"/>
    </row>
    <row r="125">
      <c r="A125" s="664"/>
      <c r="B125" s="435"/>
      <c r="C125" s="665"/>
      <c r="D125" s="435"/>
      <c r="E125" s="115"/>
      <c r="F125" s="115"/>
      <c r="G125" s="666"/>
      <c r="H125" s="115"/>
      <c r="I125" s="115"/>
      <c r="J125" s="115"/>
      <c r="K125" s="435"/>
      <c r="L125" s="115"/>
      <c r="M125" s="435"/>
      <c r="N125" s="115"/>
      <c r="O125" s="435"/>
      <c r="P125" s="435"/>
      <c r="Q125" s="435"/>
      <c r="R125" s="435"/>
      <c r="S125" s="435"/>
      <c r="T125" s="435"/>
      <c r="U125" s="435"/>
    </row>
    <row r="126">
      <c r="A126" s="664"/>
      <c r="B126" s="682"/>
      <c r="C126" s="665"/>
      <c r="D126" s="435"/>
      <c r="E126" s="115"/>
      <c r="F126" s="115"/>
      <c r="G126" s="666"/>
      <c r="H126" s="115"/>
      <c r="I126" s="115"/>
      <c r="J126" s="115"/>
      <c r="K126" s="435"/>
      <c r="L126" s="435"/>
      <c r="M126" s="435"/>
      <c r="N126" s="115"/>
      <c r="O126" s="435"/>
      <c r="P126" s="435"/>
      <c r="Q126" s="435"/>
      <c r="R126" s="435"/>
      <c r="S126" s="435"/>
      <c r="T126" s="435"/>
      <c r="U126" s="435"/>
    </row>
    <row r="127">
      <c r="A127" s="664"/>
      <c r="B127" s="435"/>
      <c r="C127" s="665"/>
      <c r="D127" s="435"/>
      <c r="E127" s="115"/>
      <c r="F127" s="115"/>
      <c r="G127" s="666"/>
      <c r="H127" s="115"/>
      <c r="I127" s="115"/>
      <c r="J127" s="115"/>
      <c r="K127" s="435"/>
      <c r="L127" s="115"/>
      <c r="M127" s="435"/>
      <c r="N127" s="115"/>
      <c r="O127" s="435"/>
      <c r="P127" s="115"/>
      <c r="Q127" s="435"/>
      <c r="R127" s="435"/>
      <c r="S127" s="435"/>
      <c r="T127" s="435"/>
      <c r="U127" s="435"/>
    </row>
    <row r="128">
      <c r="A128" s="664"/>
      <c r="B128" s="682"/>
      <c r="C128" s="665"/>
      <c r="D128" s="435"/>
      <c r="E128" s="115"/>
      <c r="F128" s="115"/>
      <c r="G128" s="666"/>
      <c r="H128" s="115"/>
      <c r="I128" s="115"/>
      <c r="J128" s="115"/>
      <c r="K128" s="435"/>
      <c r="L128" s="115"/>
      <c r="M128" s="435"/>
      <c r="N128" s="115"/>
      <c r="O128" s="435"/>
      <c r="P128" s="435"/>
      <c r="Q128" s="435"/>
      <c r="R128" s="435"/>
      <c r="S128" s="435"/>
      <c r="T128" s="435"/>
      <c r="U128" s="435"/>
    </row>
    <row r="129">
      <c r="A129" s="664"/>
      <c r="B129" s="435"/>
      <c r="C129" s="665"/>
      <c r="D129" s="435"/>
      <c r="E129" s="115"/>
      <c r="F129" s="115"/>
      <c r="G129" s="666"/>
      <c r="H129" s="115"/>
      <c r="I129" s="115"/>
      <c r="J129" s="115"/>
      <c r="K129" s="435"/>
      <c r="L129" s="115"/>
      <c r="M129" s="435"/>
      <c r="N129" s="115"/>
      <c r="O129" s="435"/>
      <c r="P129" s="115"/>
      <c r="Q129" s="435"/>
      <c r="R129" s="435"/>
      <c r="S129" s="435"/>
      <c r="T129" s="435"/>
      <c r="U129" s="435"/>
    </row>
    <row r="130">
      <c r="A130" s="664"/>
      <c r="B130" s="682"/>
      <c r="C130" s="665"/>
      <c r="D130" s="435"/>
      <c r="E130" s="115"/>
      <c r="F130" s="115"/>
      <c r="G130" s="666"/>
      <c r="H130" s="115"/>
      <c r="I130" s="115"/>
      <c r="J130" s="115"/>
      <c r="K130" s="435"/>
      <c r="L130" s="115"/>
      <c r="M130" s="435"/>
      <c r="N130" s="435"/>
      <c r="O130" s="115"/>
      <c r="P130" s="435"/>
      <c r="Q130" s="435"/>
      <c r="R130" s="435"/>
      <c r="S130" s="435"/>
      <c r="T130" s="435"/>
      <c r="U130" s="435"/>
    </row>
    <row r="131">
      <c r="A131" s="664"/>
      <c r="B131" s="435"/>
      <c r="C131" s="665"/>
      <c r="D131" s="435"/>
      <c r="E131" s="115"/>
      <c r="F131" s="115"/>
      <c r="G131" s="666"/>
      <c r="H131" s="115"/>
      <c r="I131" s="115"/>
      <c r="J131" s="115"/>
      <c r="K131" s="435"/>
      <c r="L131" s="115"/>
      <c r="M131" s="435"/>
      <c r="N131" s="115"/>
      <c r="O131" s="435"/>
      <c r="P131" s="115"/>
      <c r="Q131" s="435"/>
      <c r="R131" s="435"/>
      <c r="S131" s="435"/>
      <c r="T131" s="435"/>
      <c r="U131" s="435"/>
    </row>
    <row r="132">
      <c r="A132" s="664"/>
      <c r="B132" s="435"/>
      <c r="C132" s="665"/>
      <c r="D132" s="435"/>
      <c r="E132" s="115"/>
      <c r="F132" s="115"/>
      <c r="G132" s="666"/>
      <c r="H132" s="115"/>
      <c r="I132" s="115"/>
      <c r="J132" s="115"/>
      <c r="K132" s="435"/>
      <c r="L132" s="115"/>
      <c r="M132" s="435"/>
      <c r="N132" s="435"/>
      <c r="O132" s="435"/>
      <c r="P132" s="115"/>
      <c r="Q132" s="435"/>
      <c r="R132" s="435"/>
      <c r="S132" s="435"/>
      <c r="T132" s="435"/>
      <c r="U132" s="435"/>
    </row>
    <row r="133">
      <c r="A133" s="664"/>
      <c r="B133" s="435"/>
      <c r="C133" s="665"/>
      <c r="D133" s="435"/>
      <c r="E133" s="115"/>
      <c r="F133" s="115"/>
      <c r="G133" s="666"/>
      <c r="H133" s="115"/>
      <c r="I133" s="115"/>
      <c r="J133" s="115"/>
      <c r="K133" s="115"/>
      <c r="L133" s="435"/>
      <c r="M133" s="435"/>
      <c r="N133" s="115"/>
      <c r="O133" s="435"/>
      <c r="P133" s="115"/>
      <c r="Q133" s="435"/>
      <c r="R133" s="435"/>
      <c r="S133" s="435"/>
      <c r="T133" s="435"/>
      <c r="U133" s="435"/>
    </row>
    <row r="134">
      <c r="A134" s="664"/>
      <c r="B134" s="682"/>
      <c r="C134" s="665"/>
      <c r="D134" s="435"/>
      <c r="E134" s="115"/>
      <c r="F134" s="115"/>
      <c r="G134" s="666"/>
      <c r="H134" s="115"/>
      <c r="I134" s="115"/>
      <c r="J134" s="115"/>
      <c r="K134" s="115"/>
      <c r="L134" s="435"/>
      <c r="M134" s="435"/>
      <c r="N134" s="115"/>
      <c r="O134" s="435"/>
      <c r="P134" s="115"/>
      <c r="Q134" s="435"/>
      <c r="R134" s="435"/>
      <c r="S134" s="435"/>
      <c r="T134" s="435"/>
      <c r="U134" s="435"/>
    </row>
    <row r="135">
      <c r="A135" s="664"/>
      <c r="B135" s="435"/>
      <c r="C135" s="665"/>
      <c r="D135" s="435"/>
      <c r="E135" s="115"/>
      <c r="F135" s="115"/>
      <c r="G135" s="666"/>
      <c r="H135" s="115"/>
      <c r="I135" s="115"/>
      <c r="J135" s="115"/>
      <c r="K135" s="435"/>
      <c r="L135" s="115"/>
      <c r="M135" s="435"/>
      <c r="N135" s="435"/>
      <c r="O135" s="435"/>
      <c r="P135" s="115"/>
      <c r="Q135" s="435"/>
      <c r="R135" s="435"/>
      <c r="S135" s="435"/>
      <c r="T135" s="435"/>
      <c r="U135" s="435"/>
    </row>
    <row r="136">
      <c r="A136" s="664"/>
      <c r="B136" s="682"/>
      <c r="C136" s="665"/>
      <c r="D136" s="435"/>
      <c r="E136" s="115"/>
      <c r="F136" s="115"/>
      <c r="G136" s="666"/>
      <c r="H136" s="115"/>
      <c r="I136" s="115"/>
      <c r="J136" s="115"/>
      <c r="K136" s="115"/>
      <c r="L136" s="435"/>
      <c r="M136" s="435"/>
      <c r="N136" s="115"/>
      <c r="O136" s="435"/>
      <c r="P136" s="435"/>
      <c r="Q136" s="435"/>
      <c r="R136" s="435"/>
      <c r="S136" s="435"/>
      <c r="T136" s="435"/>
      <c r="U136" s="435"/>
    </row>
    <row r="137">
      <c r="A137" s="664"/>
      <c r="B137" s="435"/>
      <c r="C137" s="665"/>
      <c r="D137" s="435"/>
      <c r="E137" s="115"/>
      <c r="F137" s="115"/>
      <c r="G137" s="666"/>
      <c r="H137" s="115"/>
      <c r="I137" s="115"/>
      <c r="J137" s="115"/>
      <c r="K137" s="435"/>
      <c r="L137" s="115"/>
      <c r="M137" s="435"/>
      <c r="N137" s="115"/>
      <c r="O137" s="435"/>
      <c r="P137" s="115"/>
      <c r="Q137" s="435"/>
      <c r="R137" s="435"/>
      <c r="S137" s="435"/>
      <c r="T137" s="435"/>
      <c r="U137" s="435"/>
    </row>
    <row r="138">
      <c r="A138" s="664"/>
      <c r="B138" s="435"/>
      <c r="C138" s="665"/>
      <c r="D138" s="435"/>
      <c r="E138" s="115"/>
      <c r="F138" s="115"/>
      <c r="G138" s="666"/>
      <c r="H138" s="115"/>
      <c r="I138" s="115"/>
      <c r="J138" s="115"/>
      <c r="K138" s="435"/>
      <c r="L138" s="115"/>
      <c r="M138" s="435"/>
      <c r="N138" s="115"/>
      <c r="O138" s="435"/>
      <c r="P138" s="115"/>
      <c r="Q138" s="435"/>
      <c r="R138" s="435"/>
      <c r="S138" s="435"/>
      <c r="T138" s="435"/>
      <c r="U138" s="435"/>
    </row>
    <row r="139">
      <c r="A139" s="664"/>
      <c r="B139" s="435"/>
      <c r="C139" s="665"/>
      <c r="D139" s="435"/>
      <c r="E139" s="115"/>
      <c r="F139" s="115"/>
      <c r="G139" s="666"/>
      <c r="H139" s="115"/>
      <c r="I139" s="115"/>
      <c r="J139" s="115"/>
      <c r="K139" s="115"/>
      <c r="L139" s="435"/>
      <c r="M139" s="435"/>
      <c r="N139" s="435"/>
      <c r="O139" s="435"/>
      <c r="P139" s="115"/>
      <c r="Q139" s="435"/>
      <c r="R139" s="435"/>
      <c r="S139" s="435"/>
      <c r="T139" s="435"/>
      <c r="U139" s="435"/>
    </row>
    <row r="140">
      <c r="A140" s="664"/>
      <c r="B140" s="435"/>
      <c r="C140" s="665"/>
      <c r="D140" s="435"/>
      <c r="E140" s="115"/>
      <c r="F140" s="115"/>
      <c r="G140" s="666"/>
      <c r="H140" s="115"/>
      <c r="I140" s="115"/>
      <c r="J140" s="115"/>
      <c r="K140" s="115"/>
      <c r="L140" s="435"/>
      <c r="M140" s="435"/>
      <c r="N140" s="435"/>
      <c r="O140" s="435"/>
      <c r="P140" s="115"/>
      <c r="Q140" s="435"/>
      <c r="R140" s="435"/>
      <c r="S140" s="435"/>
      <c r="T140" s="435"/>
      <c r="U140" s="435"/>
    </row>
    <row r="141">
      <c r="A141" s="664"/>
      <c r="B141" s="435"/>
      <c r="C141" s="665"/>
      <c r="D141" s="435"/>
      <c r="E141" s="115"/>
      <c r="F141" s="115"/>
      <c r="G141" s="666"/>
      <c r="H141" s="115"/>
      <c r="I141" s="115"/>
      <c r="J141" s="115"/>
      <c r="K141" s="435"/>
      <c r="L141" s="115"/>
      <c r="M141" s="435"/>
      <c r="N141" s="115"/>
      <c r="O141" s="435"/>
      <c r="P141" s="115"/>
      <c r="Q141" s="435"/>
      <c r="R141" s="435"/>
      <c r="S141" s="435"/>
      <c r="T141" s="435"/>
      <c r="U141" s="435"/>
    </row>
    <row r="142">
      <c r="A142" s="664"/>
      <c r="B142" s="435"/>
      <c r="C142" s="665"/>
      <c r="D142" s="435"/>
      <c r="E142" s="115"/>
      <c r="F142" s="115"/>
      <c r="G142" s="666"/>
      <c r="H142" s="115"/>
      <c r="I142" s="115"/>
      <c r="J142" s="115"/>
      <c r="K142" s="435"/>
      <c r="L142" s="115"/>
      <c r="M142" s="435"/>
      <c r="N142" s="435"/>
      <c r="O142" s="435"/>
      <c r="P142" s="115"/>
      <c r="Q142" s="435"/>
      <c r="R142" s="435"/>
      <c r="S142" s="435"/>
      <c r="T142" s="435"/>
      <c r="U142" s="435"/>
    </row>
    <row r="143">
      <c r="A143" s="664"/>
      <c r="B143" s="435"/>
      <c r="C143" s="665"/>
      <c r="D143" s="435"/>
      <c r="E143" s="115"/>
      <c r="F143" s="115"/>
      <c r="G143" s="666"/>
      <c r="H143" s="115"/>
      <c r="I143" s="115"/>
      <c r="J143" s="115"/>
      <c r="K143" s="115"/>
      <c r="L143" s="435"/>
      <c r="M143" s="435"/>
      <c r="N143" s="435"/>
      <c r="O143" s="435"/>
      <c r="P143" s="115"/>
      <c r="Q143" s="435"/>
      <c r="R143" s="435"/>
      <c r="S143" s="435"/>
      <c r="T143" s="435"/>
      <c r="U143" s="435"/>
    </row>
    <row r="144">
      <c r="A144" s="664"/>
      <c r="B144" s="682"/>
      <c r="C144" s="665"/>
      <c r="D144" s="435"/>
      <c r="E144" s="115"/>
      <c r="F144" s="115"/>
      <c r="G144" s="666"/>
      <c r="H144" s="115"/>
      <c r="I144" s="115"/>
      <c r="J144" s="115"/>
      <c r="K144" s="435"/>
      <c r="L144" s="115"/>
      <c r="M144" s="435"/>
      <c r="N144" s="435"/>
      <c r="O144" s="435"/>
      <c r="P144" s="115"/>
      <c r="Q144" s="435"/>
      <c r="R144" s="435"/>
      <c r="S144" s="435"/>
      <c r="T144" s="435"/>
      <c r="U144" s="435"/>
    </row>
    <row r="145">
      <c r="A145" s="664"/>
      <c r="B145" s="435"/>
      <c r="C145" s="665"/>
      <c r="D145" s="435"/>
      <c r="E145" s="115"/>
      <c r="F145" s="115"/>
      <c r="G145" s="666"/>
      <c r="H145" s="115"/>
      <c r="I145" s="115"/>
      <c r="J145" s="115"/>
      <c r="K145" s="115"/>
      <c r="L145" s="435"/>
      <c r="M145" s="435"/>
      <c r="N145" s="435"/>
      <c r="O145" s="435"/>
      <c r="P145" s="115"/>
      <c r="Q145" s="435"/>
      <c r="R145" s="435"/>
      <c r="S145" s="435"/>
      <c r="T145" s="435"/>
      <c r="U145" s="435"/>
    </row>
    <row r="146">
      <c r="A146" s="664"/>
      <c r="B146" s="435"/>
      <c r="C146" s="665"/>
      <c r="D146" s="435"/>
      <c r="E146" s="115"/>
      <c r="F146" s="115"/>
      <c r="G146" s="666"/>
      <c r="H146" s="115"/>
      <c r="I146" s="115"/>
      <c r="J146" s="115"/>
      <c r="K146" s="115"/>
      <c r="L146" s="435"/>
      <c r="M146" s="435"/>
      <c r="N146" s="435"/>
      <c r="O146" s="435"/>
      <c r="P146" s="115"/>
      <c r="Q146" s="435"/>
      <c r="R146" s="435"/>
      <c r="S146" s="435"/>
      <c r="T146" s="435"/>
      <c r="U146" s="435"/>
    </row>
    <row r="147">
      <c r="A147" s="664"/>
      <c r="B147" s="435"/>
      <c r="C147" s="665"/>
      <c r="D147" s="435"/>
      <c r="E147" s="115"/>
      <c r="F147" s="115"/>
      <c r="G147" s="666"/>
      <c r="H147" s="115"/>
      <c r="I147" s="115"/>
      <c r="J147" s="115"/>
      <c r="K147" s="435"/>
      <c r="L147" s="115"/>
      <c r="M147" s="435"/>
      <c r="N147" s="435"/>
      <c r="O147" s="435"/>
      <c r="P147" s="115"/>
      <c r="Q147" s="435"/>
      <c r="R147" s="435"/>
      <c r="S147" s="435"/>
      <c r="T147" s="435"/>
      <c r="U147" s="435"/>
    </row>
    <row r="148">
      <c r="A148" s="664"/>
      <c r="B148" s="435"/>
      <c r="C148" s="681"/>
      <c r="D148" s="435"/>
      <c r="E148" s="115"/>
      <c r="F148" s="115"/>
      <c r="G148" s="666"/>
      <c r="H148" s="115"/>
      <c r="I148" s="115"/>
      <c r="J148" s="115"/>
      <c r="K148" s="115"/>
      <c r="L148" s="435"/>
      <c r="M148" s="435"/>
      <c r="N148" s="435"/>
      <c r="O148" s="435"/>
      <c r="P148" s="435"/>
      <c r="Q148" s="435"/>
      <c r="R148" s="435"/>
      <c r="S148" s="435"/>
      <c r="T148" s="435"/>
      <c r="U148" s="435"/>
    </row>
    <row r="149">
      <c r="A149" s="664"/>
      <c r="B149" s="435"/>
      <c r="C149" s="665"/>
      <c r="D149" s="435"/>
      <c r="E149" s="115"/>
      <c r="F149" s="115"/>
      <c r="G149" s="666"/>
      <c r="H149" s="115"/>
      <c r="I149" s="115"/>
      <c r="J149" s="115"/>
      <c r="K149" s="435"/>
      <c r="L149" s="115"/>
      <c r="M149" s="435"/>
      <c r="N149" s="115"/>
      <c r="O149" s="435"/>
      <c r="P149" s="435"/>
      <c r="Q149" s="435"/>
      <c r="R149" s="435"/>
      <c r="S149" s="435"/>
      <c r="T149" s="435"/>
      <c r="U149" s="435"/>
    </row>
    <row r="150">
      <c r="A150" s="664"/>
      <c r="B150" s="435"/>
      <c r="C150" s="665"/>
      <c r="D150" s="435"/>
      <c r="E150" s="115"/>
      <c r="F150" s="115"/>
      <c r="G150" s="666"/>
      <c r="H150" s="115"/>
      <c r="I150" s="115"/>
      <c r="J150" s="115"/>
      <c r="K150" s="115"/>
      <c r="L150" s="435"/>
      <c r="M150" s="435"/>
      <c r="N150" s="435"/>
      <c r="O150" s="435"/>
      <c r="P150" s="115"/>
      <c r="Q150" s="435"/>
      <c r="R150" s="435"/>
      <c r="S150" s="435"/>
      <c r="T150" s="435"/>
      <c r="U150" s="435"/>
    </row>
    <row r="151">
      <c r="A151" s="664"/>
      <c r="B151" s="683"/>
      <c r="C151" s="684"/>
      <c r="D151" s="435"/>
      <c r="E151" s="115"/>
      <c r="F151" s="115"/>
      <c r="G151" s="666"/>
      <c r="H151" s="115"/>
      <c r="I151" s="115"/>
      <c r="J151" s="115"/>
      <c r="K151" s="435"/>
      <c r="L151" s="115"/>
      <c r="M151" s="435"/>
      <c r="N151" s="435"/>
      <c r="O151" s="435"/>
      <c r="P151" s="435"/>
      <c r="Q151" s="435"/>
      <c r="R151" s="435"/>
      <c r="S151" s="435"/>
      <c r="T151" s="435"/>
      <c r="U151" s="435"/>
    </row>
    <row r="152">
      <c r="A152" s="664"/>
      <c r="B152" s="682"/>
      <c r="C152" s="665"/>
      <c r="D152" s="435"/>
      <c r="E152" s="435"/>
      <c r="F152" s="435"/>
      <c r="G152" s="671"/>
      <c r="H152" s="115"/>
      <c r="I152" s="115"/>
      <c r="J152" s="115"/>
      <c r="K152" s="435"/>
      <c r="L152" s="435"/>
      <c r="M152" s="435"/>
      <c r="N152" s="435"/>
      <c r="O152" s="435"/>
      <c r="P152" s="115"/>
      <c r="Q152" s="115"/>
      <c r="R152" s="435"/>
      <c r="S152" s="435"/>
      <c r="T152" s="435"/>
      <c r="U152" s="435"/>
    </row>
    <row r="153">
      <c r="A153" s="664"/>
      <c r="B153" s="435"/>
      <c r="C153" s="665"/>
      <c r="D153" s="435"/>
      <c r="E153" s="115"/>
      <c r="F153" s="115"/>
      <c r="G153" s="666"/>
      <c r="H153" s="115"/>
      <c r="I153" s="115"/>
      <c r="J153" s="115"/>
      <c r="K153" s="435"/>
      <c r="L153" s="115"/>
      <c r="M153" s="435"/>
      <c r="N153" s="435"/>
      <c r="O153" s="435"/>
      <c r="P153" s="115"/>
      <c r="Q153" s="435"/>
      <c r="R153" s="435"/>
      <c r="S153" s="435"/>
      <c r="T153" s="435"/>
      <c r="U153" s="435"/>
    </row>
    <row r="154">
      <c r="A154" s="664"/>
      <c r="B154" s="682"/>
      <c r="C154" s="665"/>
      <c r="D154" s="435"/>
      <c r="E154" s="115"/>
      <c r="F154" s="115"/>
      <c r="G154" s="666"/>
      <c r="H154" s="115"/>
      <c r="I154" s="115"/>
      <c r="J154" s="115"/>
      <c r="K154" s="435"/>
      <c r="L154" s="115"/>
      <c r="M154" s="435"/>
      <c r="N154" s="115"/>
      <c r="O154" s="435"/>
      <c r="P154" s="115"/>
      <c r="Q154" s="115"/>
      <c r="R154" s="435"/>
      <c r="S154" s="435"/>
      <c r="T154" s="435"/>
      <c r="U154" s="435"/>
    </row>
    <row r="155">
      <c r="A155" s="664"/>
      <c r="B155" s="435"/>
      <c r="C155" s="665"/>
      <c r="D155" s="435"/>
      <c r="E155" s="115"/>
      <c r="F155" s="115"/>
      <c r="G155" s="666"/>
      <c r="H155" s="115"/>
      <c r="I155" s="115"/>
      <c r="J155" s="115"/>
      <c r="K155" s="115"/>
      <c r="L155" s="435"/>
      <c r="M155" s="115"/>
      <c r="N155" s="435"/>
      <c r="O155" s="435"/>
      <c r="P155" s="435"/>
      <c r="Q155" s="435"/>
      <c r="R155" s="435"/>
      <c r="S155" s="435"/>
      <c r="T155" s="435"/>
      <c r="U155" s="435"/>
    </row>
    <row r="156">
      <c r="A156" s="664"/>
      <c r="B156" s="435"/>
      <c r="C156" s="665"/>
      <c r="D156" s="435"/>
      <c r="E156" s="115"/>
      <c r="F156" s="115"/>
      <c r="G156" s="666"/>
      <c r="H156" s="115"/>
      <c r="I156" s="115"/>
      <c r="J156" s="115"/>
      <c r="K156" s="115"/>
      <c r="L156" s="435"/>
      <c r="M156" s="435"/>
      <c r="N156" s="435"/>
      <c r="O156" s="435"/>
      <c r="P156" s="115"/>
      <c r="Q156" s="435"/>
      <c r="R156" s="435"/>
      <c r="S156" s="435"/>
      <c r="T156" s="435"/>
      <c r="U156" s="435"/>
    </row>
    <row r="157">
      <c r="A157" s="664"/>
      <c r="B157" s="682"/>
      <c r="C157" s="665"/>
      <c r="D157" s="435"/>
      <c r="E157" s="115"/>
      <c r="F157" s="115"/>
      <c r="G157" s="666"/>
      <c r="H157" s="115"/>
      <c r="I157" s="115"/>
      <c r="J157" s="115"/>
      <c r="K157" s="435"/>
      <c r="L157" s="115"/>
      <c r="M157" s="435"/>
      <c r="N157" s="435"/>
      <c r="O157" s="435"/>
      <c r="P157" s="115"/>
      <c r="Q157" s="435"/>
      <c r="R157" s="435"/>
      <c r="S157" s="435"/>
      <c r="T157" s="435"/>
      <c r="U157" s="435"/>
    </row>
    <row r="158">
      <c r="A158" s="664"/>
      <c r="B158" s="435"/>
      <c r="C158" s="665"/>
      <c r="D158" s="435"/>
      <c r="E158" s="115"/>
      <c r="F158" s="115"/>
      <c r="G158" s="666"/>
      <c r="H158" s="115"/>
      <c r="I158" s="115"/>
      <c r="J158" s="115"/>
      <c r="K158" s="115"/>
      <c r="L158" s="435"/>
      <c r="M158" s="435"/>
      <c r="N158" s="435"/>
      <c r="O158" s="435"/>
      <c r="P158" s="115"/>
      <c r="Q158" s="435"/>
      <c r="R158" s="435"/>
      <c r="S158" s="435"/>
      <c r="T158" s="435"/>
      <c r="U158" s="435"/>
    </row>
    <row r="159">
      <c r="A159" s="664"/>
      <c r="B159" s="435"/>
      <c r="C159" s="665"/>
      <c r="D159" s="435"/>
      <c r="E159" s="115"/>
      <c r="F159" s="115"/>
      <c r="G159" s="666"/>
      <c r="H159" s="115"/>
      <c r="I159" s="115"/>
      <c r="J159" s="115"/>
      <c r="K159" s="435"/>
      <c r="L159" s="115"/>
      <c r="M159" s="435"/>
      <c r="N159" s="435"/>
      <c r="O159" s="435"/>
      <c r="P159" s="115"/>
      <c r="Q159" s="435"/>
      <c r="R159" s="435"/>
      <c r="S159" s="435"/>
      <c r="T159" s="435"/>
      <c r="U159" s="435"/>
    </row>
    <row r="160">
      <c r="A160" s="664"/>
      <c r="B160" s="435"/>
      <c r="C160" s="665"/>
      <c r="D160" s="435"/>
      <c r="E160" s="115"/>
      <c r="F160" s="115"/>
      <c r="G160" s="666"/>
      <c r="H160" s="115"/>
      <c r="I160" s="115"/>
      <c r="J160" s="115"/>
      <c r="K160" s="435"/>
      <c r="L160" s="115"/>
      <c r="M160" s="435"/>
      <c r="N160" s="435"/>
      <c r="O160" s="435"/>
      <c r="P160" s="115"/>
      <c r="Q160" s="435"/>
      <c r="R160" s="435"/>
      <c r="S160" s="435"/>
      <c r="T160" s="435"/>
      <c r="U160" s="435"/>
    </row>
    <row r="161">
      <c r="A161" s="664"/>
      <c r="B161" s="435"/>
      <c r="C161" s="665"/>
      <c r="D161" s="435"/>
      <c r="E161" s="115"/>
      <c r="F161" s="115"/>
      <c r="G161" s="666"/>
      <c r="H161" s="115"/>
      <c r="I161" s="115"/>
      <c r="J161" s="115"/>
      <c r="K161" s="435"/>
      <c r="L161" s="115"/>
      <c r="M161" s="435"/>
      <c r="N161" s="435"/>
      <c r="O161" s="435"/>
      <c r="P161" s="115"/>
      <c r="Q161" s="435"/>
      <c r="R161" s="435"/>
      <c r="S161" s="435"/>
      <c r="T161" s="435"/>
      <c r="U161" s="435"/>
    </row>
    <row r="162">
      <c r="A162" s="664"/>
      <c r="B162" s="435"/>
      <c r="C162" s="665"/>
      <c r="D162" s="435"/>
      <c r="E162" s="115"/>
      <c r="F162" s="115"/>
      <c r="G162" s="666"/>
      <c r="H162" s="115"/>
      <c r="I162" s="115"/>
      <c r="J162" s="115"/>
      <c r="K162" s="435"/>
      <c r="L162" s="115"/>
      <c r="M162" s="435"/>
      <c r="N162" s="435"/>
      <c r="O162" s="435"/>
      <c r="P162" s="115"/>
      <c r="Q162" s="115"/>
      <c r="R162" s="435"/>
      <c r="S162" s="435"/>
      <c r="T162" s="435"/>
      <c r="U162" s="435"/>
    </row>
    <row r="163">
      <c r="A163" s="664"/>
      <c r="B163" s="682"/>
      <c r="C163" s="665"/>
      <c r="D163" s="435"/>
      <c r="E163" s="115"/>
      <c r="F163" s="115"/>
      <c r="G163" s="666"/>
      <c r="H163" s="115"/>
      <c r="I163" s="115"/>
      <c r="J163" s="115"/>
      <c r="K163" s="115"/>
      <c r="L163" s="435"/>
      <c r="M163" s="435"/>
      <c r="N163" s="435"/>
      <c r="O163" s="435"/>
      <c r="P163" s="115"/>
      <c r="Q163" s="435"/>
      <c r="R163" s="435"/>
      <c r="S163" s="435"/>
      <c r="T163" s="435"/>
      <c r="U163" s="435"/>
    </row>
    <row r="164">
      <c r="A164" s="664"/>
      <c r="B164" s="435"/>
      <c r="C164" s="665"/>
      <c r="D164" s="435"/>
      <c r="E164" s="115"/>
      <c r="F164" s="115"/>
      <c r="G164" s="666"/>
      <c r="H164" s="115"/>
      <c r="I164" s="115"/>
      <c r="J164" s="115"/>
      <c r="K164" s="115"/>
      <c r="L164" s="435"/>
      <c r="M164" s="435"/>
      <c r="N164" s="115"/>
      <c r="O164" s="435"/>
      <c r="P164" s="115"/>
      <c r="Q164" s="435"/>
      <c r="R164" s="435"/>
      <c r="S164" s="435"/>
      <c r="T164" s="435"/>
      <c r="U164" s="435"/>
    </row>
    <row r="165">
      <c r="A165" s="664"/>
      <c r="B165" s="435"/>
      <c r="C165" s="665"/>
      <c r="D165" s="435"/>
      <c r="E165" s="115"/>
      <c r="F165" s="115"/>
      <c r="G165" s="666"/>
      <c r="H165" s="115"/>
      <c r="I165" s="115"/>
      <c r="J165" s="115"/>
      <c r="K165" s="435"/>
      <c r="L165" s="115"/>
      <c r="M165" s="435"/>
      <c r="N165" s="435"/>
      <c r="O165" s="435"/>
      <c r="P165" s="115"/>
      <c r="Q165" s="435"/>
      <c r="R165" s="435"/>
      <c r="S165" s="435"/>
      <c r="T165" s="435"/>
      <c r="U165" s="435"/>
    </row>
    <row r="166">
      <c r="A166" s="664"/>
      <c r="B166" s="435"/>
      <c r="C166" s="665"/>
      <c r="D166" s="435"/>
      <c r="E166" s="115"/>
      <c r="F166" s="115"/>
      <c r="G166" s="666"/>
      <c r="H166" s="115"/>
      <c r="I166" s="115"/>
      <c r="J166" s="115"/>
      <c r="K166" s="435"/>
      <c r="L166" s="115"/>
      <c r="M166" s="435"/>
      <c r="N166" s="115"/>
      <c r="O166" s="435"/>
      <c r="P166" s="115"/>
      <c r="Q166" s="115"/>
      <c r="R166" s="435"/>
      <c r="S166" s="435"/>
      <c r="T166" s="435"/>
      <c r="U166" s="435"/>
    </row>
    <row r="167">
      <c r="A167" s="664"/>
      <c r="B167" s="435"/>
      <c r="C167" s="665"/>
      <c r="D167" s="435"/>
      <c r="E167" s="115"/>
      <c r="F167" s="435"/>
      <c r="G167" s="671"/>
      <c r="H167" s="115"/>
      <c r="I167" s="115"/>
      <c r="J167" s="115"/>
      <c r="K167" s="435"/>
      <c r="L167" s="435"/>
      <c r="M167" s="435"/>
      <c r="N167" s="435"/>
      <c r="O167" s="435"/>
      <c r="P167" s="435"/>
      <c r="Q167" s="115"/>
      <c r="R167" s="435"/>
      <c r="S167" s="435"/>
      <c r="T167" s="435"/>
      <c r="U167" s="435"/>
    </row>
    <row r="168">
      <c r="A168" s="664"/>
      <c r="B168" s="435"/>
      <c r="C168" s="665"/>
      <c r="D168" s="435"/>
      <c r="E168" s="115"/>
      <c r="F168" s="115"/>
      <c r="G168" s="666"/>
      <c r="H168" s="115"/>
      <c r="I168" s="115"/>
      <c r="J168" s="115"/>
      <c r="K168" s="435"/>
      <c r="L168" s="115"/>
      <c r="M168" s="435"/>
      <c r="N168" s="435"/>
      <c r="O168" s="435"/>
      <c r="P168" s="115"/>
      <c r="Q168" s="435"/>
      <c r="R168" s="435"/>
      <c r="S168" s="435"/>
      <c r="T168" s="435"/>
      <c r="U168" s="435"/>
    </row>
    <row r="169">
      <c r="A169" s="664"/>
      <c r="B169" s="435"/>
      <c r="C169" s="665"/>
      <c r="D169" s="435"/>
      <c r="E169" s="115"/>
      <c r="F169" s="115"/>
      <c r="G169" s="666"/>
      <c r="H169" s="115"/>
      <c r="I169" s="115"/>
      <c r="J169" s="115"/>
      <c r="K169" s="435"/>
      <c r="L169" s="115"/>
      <c r="M169" s="435"/>
      <c r="N169" s="435"/>
      <c r="O169" s="435"/>
      <c r="P169" s="115"/>
      <c r="Q169" s="435"/>
      <c r="R169" s="435"/>
      <c r="S169" s="435"/>
      <c r="T169" s="435"/>
      <c r="U169" s="435"/>
    </row>
    <row r="170">
      <c r="A170" s="664"/>
      <c r="B170" s="435"/>
      <c r="C170" s="665"/>
      <c r="D170" s="435"/>
      <c r="E170" s="115"/>
      <c r="F170" s="115"/>
      <c r="G170" s="666"/>
      <c r="H170" s="115"/>
      <c r="I170" s="115"/>
      <c r="J170" s="115"/>
      <c r="K170" s="435"/>
      <c r="L170" s="115"/>
      <c r="M170" s="435"/>
      <c r="N170" s="435"/>
      <c r="O170" s="435"/>
      <c r="P170" s="115"/>
      <c r="Q170" s="435"/>
      <c r="R170" s="435"/>
      <c r="S170" s="435"/>
      <c r="T170" s="435"/>
      <c r="U170" s="435"/>
    </row>
    <row r="171">
      <c r="A171" s="664"/>
      <c r="B171" s="435"/>
      <c r="C171" s="665"/>
      <c r="D171" s="435"/>
      <c r="E171" s="115"/>
      <c r="F171" s="115"/>
      <c r="G171" s="666"/>
      <c r="H171" s="115"/>
      <c r="I171" s="115"/>
      <c r="J171" s="115"/>
      <c r="K171" s="435"/>
      <c r="L171" s="115"/>
      <c r="M171" s="435"/>
      <c r="N171" s="435"/>
      <c r="O171" s="435"/>
      <c r="P171" s="115"/>
      <c r="Q171" s="435"/>
      <c r="R171" s="435"/>
      <c r="S171" s="435"/>
      <c r="T171" s="435"/>
      <c r="U171" s="435"/>
    </row>
    <row r="172">
      <c r="A172" s="664"/>
      <c r="B172" s="435"/>
      <c r="C172" s="665"/>
      <c r="D172" s="435"/>
      <c r="E172" s="115"/>
      <c r="F172" s="115"/>
      <c r="G172" s="666"/>
      <c r="H172" s="115"/>
      <c r="I172" s="115"/>
      <c r="J172" s="115"/>
      <c r="K172" s="115"/>
      <c r="L172" s="435"/>
      <c r="M172" s="435"/>
      <c r="N172" s="435"/>
      <c r="O172" s="435"/>
      <c r="P172" s="115"/>
      <c r="Q172" s="435"/>
      <c r="R172" s="435"/>
      <c r="S172" s="435"/>
      <c r="T172" s="435"/>
      <c r="U172" s="435"/>
    </row>
    <row r="173">
      <c r="A173" s="664"/>
      <c r="B173" s="682"/>
      <c r="C173" s="665"/>
      <c r="D173" s="435"/>
      <c r="E173" s="115"/>
      <c r="F173" s="115"/>
      <c r="G173" s="666"/>
      <c r="H173" s="115"/>
      <c r="I173" s="115"/>
      <c r="J173" s="115"/>
      <c r="K173" s="435"/>
      <c r="L173" s="115"/>
      <c r="M173" s="435"/>
      <c r="N173" s="435"/>
      <c r="O173" s="435"/>
      <c r="P173" s="435"/>
      <c r="Q173" s="435"/>
      <c r="R173" s="435"/>
      <c r="S173" s="435"/>
      <c r="T173" s="435"/>
      <c r="U173" s="435"/>
    </row>
    <row r="174">
      <c r="A174" s="664"/>
      <c r="B174" s="435"/>
      <c r="C174" s="665"/>
      <c r="D174" s="435"/>
      <c r="E174" s="115"/>
      <c r="F174" s="115"/>
      <c r="G174" s="666"/>
      <c r="H174" s="115"/>
      <c r="I174" s="115"/>
      <c r="J174" s="115"/>
      <c r="K174" s="435"/>
      <c r="L174" s="115"/>
      <c r="M174" s="435"/>
      <c r="N174" s="435"/>
      <c r="O174" s="435"/>
      <c r="P174" s="115"/>
      <c r="Q174" s="435"/>
      <c r="R174" s="435"/>
      <c r="S174" s="435"/>
      <c r="T174" s="435"/>
      <c r="U174" s="435"/>
    </row>
    <row r="175">
      <c r="A175" s="664"/>
      <c r="B175" s="435"/>
      <c r="C175" s="665"/>
      <c r="D175" s="435"/>
      <c r="E175" s="115"/>
      <c r="F175" s="115"/>
      <c r="G175" s="666"/>
      <c r="H175" s="115"/>
      <c r="I175" s="115"/>
      <c r="J175" s="115"/>
      <c r="K175" s="435"/>
      <c r="L175" s="115"/>
      <c r="M175" s="435"/>
      <c r="N175" s="435"/>
      <c r="O175" s="435"/>
      <c r="P175" s="115"/>
      <c r="Q175" s="435"/>
      <c r="R175" s="435"/>
      <c r="S175" s="435"/>
      <c r="T175" s="435"/>
      <c r="U175" s="435"/>
    </row>
    <row r="176">
      <c r="A176" s="664"/>
      <c r="B176" s="435"/>
      <c r="C176" s="665"/>
      <c r="D176" s="435"/>
      <c r="E176" s="115"/>
      <c r="F176" s="115"/>
      <c r="G176" s="666"/>
      <c r="H176" s="115"/>
      <c r="I176" s="115"/>
      <c r="J176" s="115"/>
      <c r="K176" s="115"/>
      <c r="L176" s="435"/>
      <c r="M176" s="435"/>
      <c r="N176" s="115"/>
      <c r="O176" s="435"/>
      <c r="P176" s="115"/>
      <c r="Q176" s="435"/>
      <c r="R176" s="435"/>
      <c r="S176" s="435"/>
      <c r="T176" s="435"/>
      <c r="U176" s="435"/>
    </row>
    <row r="177">
      <c r="A177" s="664"/>
      <c r="B177" s="682"/>
      <c r="C177" s="665"/>
      <c r="D177" s="435"/>
      <c r="E177" s="115"/>
      <c r="F177" s="115"/>
      <c r="G177" s="666"/>
      <c r="H177" s="115"/>
      <c r="I177" s="115"/>
      <c r="J177" s="115"/>
      <c r="K177" s="435"/>
      <c r="L177" s="115"/>
      <c r="M177" s="435"/>
      <c r="N177" s="115"/>
      <c r="O177" s="435"/>
      <c r="P177" s="435"/>
      <c r="Q177" s="435"/>
      <c r="R177" s="435"/>
      <c r="S177" s="435"/>
      <c r="T177" s="435"/>
      <c r="U177" s="435"/>
    </row>
    <row r="178">
      <c r="A178" s="664"/>
      <c r="B178" s="435"/>
      <c r="C178" s="665"/>
      <c r="D178" s="435"/>
      <c r="E178" s="115"/>
      <c r="F178" s="115"/>
      <c r="G178" s="666"/>
      <c r="H178" s="115"/>
      <c r="I178" s="115"/>
      <c r="J178" s="115"/>
      <c r="K178" s="435"/>
      <c r="L178" s="115"/>
      <c r="M178" s="435"/>
      <c r="N178" s="435"/>
      <c r="O178" s="435"/>
      <c r="P178" s="115"/>
      <c r="Q178" s="435"/>
      <c r="R178" s="435"/>
      <c r="S178" s="435"/>
      <c r="T178" s="435"/>
      <c r="U178" s="435"/>
    </row>
    <row r="179">
      <c r="A179" s="664"/>
      <c r="B179" s="435"/>
      <c r="C179" s="665"/>
      <c r="D179" s="435"/>
      <c r="E179" s="115"/>
      <c r="F179" s="115"/>
      <c r="G179" s="666"/>
      <c r="H179" s="115"/>
      <c r="I179" s="115"/>
      <c r="J179" s="115"/>
      <c r="K179" s="115"/>
      <c r="L179" s="435"/>
      <c r="M179" s="435"/>
      <c r="N179" s="435"/>
      <c r="O179" s="435"/>
      <c r="P179" s="115"/>
      <c r="Q179" s="435"/>
      <c r="R179" s="435"/>
      <c r="S179" s="435"/>
      <c r="T179" s="435"/>
      <c r="U179" s="435"/>
    </row>
    <row r="180">
      <c r="A180" s="664"/>
      <c r="B180" s="435"/>
      <c r="C180" s="665"/>
      <c r="D180" s="435"/>
      <c r="E180" s="115"/>
      <c r="F180" s="115"/>
      <c r="G180" s="666"/>
      <c r="H180" s="115"/>
      <c r="I180" s="115"/>
      <c r="J180" s="115"/>
      <c r="K180" s="115"/>
      <c r="L180" s="435"/>
      <c r="M180" s="435"/>
      <c r="N180" s="115"/>
      <c r="O180" s="115"/>
      <c r="P180" s="435"/>
      <c r="Q180" s="435"/>
      <c r="R180" s="435"/>
      <c r="S180" s="435"/>
      <c r="T180" s="435"/>
      <c r="U180" s="435"/>
    </row>
    <row r="181">
      <c r="A181" s="664"/>
      <c r="B181" s="435"/>
      <c r="C181" s="665"/>
      <c r="D181" s="435"/>
      <c r="E181" s="115"/>
      <c r="F181" s="115"/>
      <c r="G181" s="666"/>
      <c r="H181" s="115"/>
      <c r="I181" s="115"/>
      <c r="J181" s="115"/>
      <c r="K181" s="435"/>
      <c r="L181" s="435"/>
      <c r="M181" s="435"/>
      <c r="N181" s="115"/>
      <c r="O181" s="435"/>
      <c r="P181" s="435"/>
      <c r="Q181" s="435"/>
      <c r="R181" s="435"/>
      <c r="S181" s="435"/>
      <c r="T181" s="435"/>
      <c r="U181" s="435"/>
    </row>
    <row r="182">
      <c r="A182" s="664"/>
      <c r="B182" s="682"/>
      <c r="C182" s="665"/>
      <c r="D182" s="435"/>
      <c r="E182" s="115"/>
      <c r="F182" s="115"/>
      <c r="G182" s="666"/>
      <c r="H182" s="115"/>
      <c r="I182" s="115"/>
      <c r="J182" s="115"/>
      <c r="K182" s="435"/>
      <c r="L182" s="115"/>
      <c r="M182" s="435"/>
      <c r="N182" s="115"/>
      <c r="O182" s="435"/>
      <c r="P182" s="115"/>
      <c r="Q182" s="115"/>
      <c r="R182" s="435"/>
      <c r="S182" s="435"/>
      <c r="T182" s="435"/>
      <c r="U182" s="435"/>
    </row>
    <row r="183">
      <c r="A183" s="664"/>
      <c r="B183" s="435"/>
      <c r="C183" s="665"/>
      <c r="D183" s="435"/>
      <c r="E183" s="115"/>
      <c r="F183" s="115"/>
      <c r="G183" s="666"/>
      <c r="H183" s="115"/>
      <c r="I183" s="115"/>
      <c r="J183" s="115"/>
      <c r="K183" s="115"/>
      <c r="L183" s="435"/>
      <c r="M183" s="435"/>
      <c r="N183" s="435"/>
      <c r="O183" s="435"/>
      <c r="P183" s="115"/>
      <c r="Q183" s="435"/>
      <c r="R183" s="435"/>
      <c r="S183" s="435"/>
      <c r="T183" s="435"/>
      <c r="U183" s="435"/>
    </row>
    <row r="184">
      <c r="A184" s="664"/>
      <c r="B184" s="682"/>
      <c r="C184" s="665"/>
      <c r="D184" s="435"/>
      <c r="E184" s="115"/>
      <c r="F184" s="115"/>
      <c r="G184" s="666"/>
      <c r="H184" s="115"/>
      <c r="I184" s="115"/>
      <c r="J184" s="115"/>
      <c r="K184" s="435"/>
      <c r="L184" s="115"/>
      <c r="M184" s="435"/>
      <c r="N184" s="435"/>
      <c r="O184" s="435"/>
      <c r="P184" s="115"/>
      <c r="Q184" s="435"/>
      <c r="R184" s="435"/>
      <c r="S184" s="435"/>
      <c r="T184" s="435"/>
      <c r="U184" s="435"/>
    </row>
    <row r="185">
      <c r="A185" s="664"/>
      <c r="B185" s="435"/>
      <c r="C185" s="665"/>
      <c r="D185" s="435"/>
      <c r="E185" s="115"/>
      <c r="F185" s="115"/>
      <c r="G185" s="666"/>
      <c r="H185" s="115"/>
      <c r="I185" s="115"/>
      <c r="J185" s="115"/>
      <c r="K185" s="435"/>
      <c r="L185" s="435"/>
      <c r="M185" s="435"/>
      <c r="N185" s="435"/>
      <c r="O185" s="435"/>
      <c r="P185" s="435"/>
      <c r="Q185" s="435"/>
      <c r="R185" s="435"/>
      <c r="S185" s="435"/>
      <c r="T185" s="435"/>
      <c r="U185" s="435"/>
    </row>
    <row r="186">
      <c r="A186" s="664"/>
      <c r="B186" s="435"/>
      <c r="C186" s="665"/>
      <c r="D186" s="435"/>
      <c r="E186" s="115"/>
      <c r="F186" s="115"/>
      <c r="G186" s="666"/>
      <c r="H186" s="115"/>
      <c r="I186" s="115"/>
      <c r="J186" s="115"/>
      <c r="K186" s="435"/>
      <c r="L186" s="115"/>
      <c r="M186" s="435"/>
      <c r="N186" s="115"/>
      <c r="O186" s="435"/>
      <c r="P186" s="115"/>
      <c r="Q186" s="115"/>
      <c r="R186" s="435"/>
      <c r="S186" s="435"/>
      <c r="T186" s="435"/>
      <c r="U186" s="435"/>
    </row>
    <row r="187">
      <c r="A187" s="664"/>
      <c r="B187" s="435"/>
      <c r="C187" s="665"/>
      <c r="D187" s="435"/>
      <c r="E187" s="435"/>
      <c r="F187" s="435"/>
      <c r="G187" s="671"/>
      <c r="H187" s="115"/>
      <c r="I187" s="115"/>
      <c r="J187" s="115"/>
      <c r="K187" s="435"/>
      <c r="L187" s="115"/>
      <c r="M187" s="435"/>
      <c r="N187" s="435"/>
      <c r="O187" s="435"/>
      <c r="P187" s="115"/>
      <c r="Q187" s="435"/>
      <c r="R187" s="435"/>
      <c r="S187" s="435"/>
      <c r="T187" s="435"/>
      <c r="U187" s="435"/>
    </row>
    <row r="188">
      <c r="A188" s="664"/>
      <c r="B188" s="435"/>
      <c r="C188" s="665"/>
      <c r="D188" s="435"/>
      <c r="E188" s="435"/>
      <c r="F188" s="435"/>
      <c r="G188" s="671"/>
      <c r="H188" s="115"/>
      <c r="I188" s="115"/>
      <c r="J188" s="115"/>
      <c r="K188" s="435"/>
      <c r="L188" s="115"/>
      <c r="M188" s="435"/>
      <c r="N188" s="435"/>
      <c r="O188" s="435"/>
      <c r="P188" s="115"/>
      <c r="Q188" s="435"/>
      <c r="R188" s="435"/>
      <c r="S188" s="435"/>
      <c r="T188" s="435"/>
      <c r="U188" s="435"/>
    </row>
    <row r="189">
      <c r="A189" s="664"/>
      <c r="B189" s="435"/>
      <c r="C189" s="665"/>
      <c r="D189" s="435"/>
      <c r="E189" s="435"/>
      <c r="F189" s="435"/>
      <c r="G189" s="671"/>
      <c r="H189" s="115"/>
      <c r="I189" s="115"/>
      <c r="J189" s="115"/>
      <c r="K189" s="435"/>
      <c r="L189" s="115"/>
      <c r="M189" s="435"/>
      <c r="N189" s="115"/>
      <c r="O189" s="435"/>
      <c r="P189" s="115"/>
      <c r="Q189" s="115"/>
      <c r="R189" s="435"/>
      <c r="S189" s="435"/>
      <c r="T189" s="435"/>
      <c r="U189" s="435"/>
    </row>
    <row r="190">
      <c r="A190" s="664"/>
      <c r="B190" s="435"/>
      <c r="C190" s="665"/>
      <c r="D190" s="435"/>
      <c r="E190" s="435"/>
      <c r="F190" s="435"/>
      <c r="G190" s="671"/>
      <c r="H190" s="115"/>
      <c r="I190" s="115"/>
      <c r="J190" s="115"/>
      <c r="K190" s="435"/>
      <c r="L190" s="115"/>
      <c r="M190" s="435"/>
      <c r="N190" s="435"/>
      <c r="O190" s="435"/>
      <c r="P190" s="115"/>
      <c r="Q190" s="435"/>
      <c r="R190" s="435"/>
      <c r="S190" s="435"/>
      <c r="T190" s="435"/>
      <c r="U190" s="435"/>
    </row>
    <row r="191">
      <c r="A191" s="664"/>
      <c r="B191" s="435"/>
      <c r="C191" s="665"/>
      <c r="D191" s="435"/>
      <c r="E191" s="115"/>
      <c r="F191" s="115"/>
      <c r="G191" s="666"/>
      <c r="H191" s="115"/>
      <c r="I191" s="115"/>
      <c r="J191" s="115"/>
      <c r="K191" s="115"/>
      <c r="L191" s="435"/>
      <c r="M191" s="435"/>
      <c r="N191" s="435"/>
      <c r="O191" s="435"/>
      <c r="P191" s="115"/>
      <c r="Q191" s="435"/>
      <c r="R191" s="435"/>
      <c r="S191" s="435"/>
      <c r="T191" s="435"/>
      <c r="U191" s="435"/>
    </row>
    <row r="192">
      <c r="A192" s="664"/>
      <c r="B192" s="435"/>
      <c r="C192" s="665"/>
      <c r="D192" s="435"/>
      <c r="E192" s="115"/>
      <c r="F192" s="115"/>
      <c r="G192" s="666"/>
      <c r="H192" s="115"/>
      <c r="I192" s="115"/>
      <c r="J192" s="115"/>
      <c r="K192" s="435"/>
      <c r="L192" s="115"/>
      <c r="M192" s="435"/>
      <c r="N192" s="435"/>
      <c r="O192" s="435"/>
      <c r="P192" s="435"/>
      <c r="Q192" s="435"/>
      <c r="R192" s="435"/>
      <c r="S192" s="435"/>
      <c r="T192" s="435"/>
      <c r="U192" s="435"/>
    </row>
    <row r="193">
      <c r="A193" s="664"/>
      <c r="B193" s="435"/>
      <c r="C193" s="665"/>
      <c r="D193" s="435"/>
      <c r="E193" s="115"/>
      <c r="F193" s="115"/>
      <c r="G193" s="666"/>
      <c r="H193" s="115"/>
      <c r="I193" s="115"/>
      <c r="J193" s="115"/>
      <c r="K193" s="435"/>
      <c r="L193" s="115"/>
      <c r="M193" s="435"/>
      <c r="N193" s="115"/>
      <c r="O193" s="435"/>
      <c r="P193" s="115"/>
      <c r="Q193" s="115"/>
      <c r="R193" s="435"/>
      <c r="S193" s="435"/>
      <c r="T193" s="435"/>
      <c r="U193" s="435"/>
    </row>
    <row r="194">
      <c r="A194" s="664"/>
      <c r="B194" s="435"/>
      <c r="C194" s="665"/>
      <c r="D194" s="435"/>
      <c r="E194" s="115"/>
      <c r="F194" s="115"/>
      <c r="G194" s="666"/>
      <c r="H194" s="115"/>
      <c r="I194" s="115"/>
      <c r="J194" s="115"/>
      <c r="K194" s="115"/>
      <c r="L194" s="435"/>
      <c r="M194" s="435"/>
      <c r="N194" s="435"/>
      <c r="O194" s="435"/>
      <c r="P194" s="115"/>
      <c r="Q194" s="435"/>
      <c r="R194" s="435"/>
      <c r="S194" s="435"/>
      <c r="T194" s="435"/>
      <c r="U194" s="435"/>
    </row>
    <row r="195">
      <c r="A195" s="664"/>
      <c r="B195" s="435"/>
      <c r="C195" s="665"/>
      <c r="D195" s="435"/>
      <c r="E195" s="115"/>
      <c r="F195" s="115"/>
      <c r="G195" s="666"/>
      <c r="H195" s="115"/>
      <c r="I195" s="115"/>
      <c r="J195" s="115"/>
      <c r="K195" s="115"/>
      <c r="L195" s="435"/>
      <c r="M195" s="435"/>
      <c r="N195" s="435"/>
      <c r="O195" s="115"/>
      <c r="P195" s="115"/>
      <c r="Q195" s="435"/>
      <c r="R195" s="435"/>
      <c r="S195" s="435"/>
      <c r="T195" s="435"/>
      <c r="U195" s="435"/>
    </row>
    <row r="196">
      <c r="A196" s="664"/>
      <c r="B196" s="435"/>
      <c r="C196" s="665"/>
      <c r="D196" s="435"/>
      <c r="E196" s="115"/>
      <c r="F196" s="115"/>
      <c r="G196" s="666"/>
      <c r="H196" s="115"/>
      <c r="I196" s="115"/>
      <c r="J196" s="115"/>
      <c r="K196" s="435"/>
      <c r="L196" s="115"/>
      <c r="M196" s="435"/>
      <c r="N196" s="435"/>
      <c r="O196" s="435"/>
      <c r="P196" s="435"/>
      <c r="Q196" s="435"/>
      <c r="R196" s="435"/>
      <c r="S196" s="435"/>
      <c r="T196" s="435"/>
      <c r="U196" s="435"/>
    </row>
    <row r="197">
      <c r="A197" s="664"/>
      <c r="B197" s="435"/>
      <c r="C197" s="665"/>
      <c r="D197" s="435"/>
      <c r="E197" s="115"/>
      <c r="F197" s="115"/>
      <c r="G197" s="666"/>
      <c r="H197" s="115"/>
      <c r="I197" s="115"/>
      <c r="J197" s="115"/>
      <c r="K197" s="435"/>
      <c r="L197" s="115"/>
      <c r="M197" s="435"/>
      <c r="N197" s="115"/>
      <c r="O197" s="435"/>
      <c r="P197" s="435"/>
      <c r="Q197" s="435"/>
      <c r="R197" s="435"/>
      <c r="S197" s="435"/>
      <c r="T197" s="435"/>
      <c r="U197" s="435"/>
    </row>
    <row r="198">
      <c r="A198" s="664"/>
      <c r="B198" s="435"/>
      <c r="C198" s="665"/>
      <c r="D198" s="435"/>
      <c r="E198" s="115"/>
      <c r="F198" s="115"/>
      <c r="G198" s="666"/>
      <c r="H198" s="115"/>
      <c r="I198" s="115"/>
      <c r="J198" s="115"/>
      <c r="K198" s="435"/>
      <c r="L198" s="115"/>
      <c r="M198" s="435"/>
      <c r="N198" s="435"/>
      <c r="O198" s="435"/>
      <c r="P198" s="115"/>
      <c r="Q198" s="435"/>
      <c r="R198" s="435"/>
      <c r="S198" s="435"/>
      <c r="T198" s="435"/>
      <c r="U198" s="435"/>
    </row>
    <row r="199">
      <c r="A199" s="664"/>
      <c r="B199" s="435"/>
      <c r="C199" s="665"/>
      <c r="D199" s="435"/>
      <c r="E199" s="115"/>
      <c r="F199" s="115"/>
      <c r="G199" s="666"/>
      <c r="H199" s="115"/>
      <c r="I199" s="115"/>
      <c r="J199" s="115"/>
      <c r="K199" s="435"/>
      <c r="L199" s="115"/>
      <c r="M199" s="435"/>
      <c r="N199" s="115"/>
      <c r="O199" s="115"/>
      <c r="P199" s="115"/>
      <c r="Q199" s="435"/>
      <c r="R199" s="435"/>
      <c r="S199" s="435"/>
      <c r="T199" s="435"/>
      <c r="U199" s="435"/>
    </row>
    <row r="200">
      <c r="A200" s="664"/>
      <c r="B200" s="435"/>
      <c r="C200" s="665"/>
      <c r="D200" s="435"/>
      <c r="E200" s="115"/>
      <c r="F200" s="115"/>
      <c r="G200" s="666"/>
      <c r="H200" s="115"/>
      <c r="I200" s="115"/>
      <c r="J200" s="115"/>
      <c r="K200" s="435"/>
      <c r="L200" s="115"/>
      <c r="M200" s="435"/>
      <c r="N200" s="435"/>
      <c r="O200" s="435"/>
      <c r="P200" s="435"/>
      <c r="Q200" s="435"/>
      <c r="R200" s="435"/>
      <c r="S200" s="435"/>
      <c r="T200" s="435"/>
      <c r="U200" s="435"/>
    </row>
    <row r="201">
      <c r="A201" s="664"/>
      <c r="B201" s="435"/>
      <c r="C201" s="665"/>
      <c r="D201" s="435"/>
      <c r="E201" s="115"/>
      <c r="F201" s="115"/>
      <c r="G201" s="666"/>
      <c r="H201" s="115"/>
      <c r="I201" s="115"/>
      <c r="J201" s="115"/>
      <c r="K201" s="115"/>
      <c r="L201" s="435"/>
      <c r="M201" s="435"/>
      <c r="N201" s="435"/>
      <c r="O201" s="435"/>
      <c r="P201" s="115"/>
      <c r="Q201" s="435"/>
      <c r="R201" s="435"/>
      <c r="S201" s="435"/>
      <c r="T201" s="435"/>
      <c r="U201" s="435"/>
    </row>
    <row r="202">
      <c r="A202" s="664"/>
      <c r="B202" s="435"/>
      <c r="C202" s="665"/>
      <c r="D202" s="435"/>
      <c r="E202" s="115"/>
      <c r="F202" s="115"/>
      <c r="G202" s="666"/>
      <c r="H202" s="115"/>
      <c r="I202" s="115"/>
      <c r="J202" s="115"/>
      <c r="K202" s="435"/>
      <c r="L202" s="435"/>
      <c r="M202" s="435"/>
      <c r="N202" s="435"/>
      <c r="O202" s="435"/>
      <c r="P202" s="435"/>
      <c r="Q202" s="435"/>
      <c r="R202" s="435"/>
      <c r="S202" s="435"/>
      <c r="T202" s="435"/>
      <c r="U202" s="435"/>
    </row>
    <row r="203">
      <c r="A203" s="664"/>
      <c r="B203" s="435"/>
      <c r="C203" s="665"/>
      <c r="D203" s="435"/>
      <c r="E203" s="115"/>
      <c r="F203" s="115"/>
      <c r="G203" s="666"/>
      <c r="H203" s="115"/>
      <c r="I203" s="115"/>
      <c r="J203" s="115"/>
      <c r="K203" s="115"/>
      <c r="L203" s="435"/>
      <c r="M203" s="435"/>
      <c r="N203" s="435"/>
      <c r="O203" s="435"/>
      <c r="P203" s="115"/>
      <c r="Q203" s="435"/>
      <c r="R203" s="435"/>
      <c r="S203" s="435"/>
      <c r="T203" s="435"/>
      <c r="U203" s="435"/>
    </row>
    <row r="204">
      <c r="A204" s="664"/>
      <c r="B204" s="435"/>
      <c r="C204" s="665"/>
      <c r="D204" s="435"/>
      <c r="E204" s="115"/>
      <c r="F204" s="115"/>
      <c r="G204" s="666"/>
      <c r="H204" s="115"/>
      <c r="I204" s="115"/>
      <c r="J204" s="115"/>
      <c r="K204" s="435"/>
      <c r="L204" s="115"/>
      <c r="M204" s="435"/>
      <c r="N204" s="435"/>
      <c r="O204" s="435"/>
      <c r="P204" s="115"/>
      <c r="Q204" s="435"/>
      <c r="R204" s="435"/>
      <c r="S204" s="435"/>
      <c r="T204" s="435"/>
      <c r="U204" s="435"/>
    </row>
    <row r="205">
      <c r="A205" s="664"/>
      <c r="B205" s="435"/>
      <c r="C205" s="665"/>
      <c r="D205" s="435"/>
      <c r="E205" s="115"/>
      <c r="F205" s="115"/>
      <c r="G205" s="666"/>
      <c r="H205" s="115"/>
      <c r="I205" s="115"/>
      <c r="J205" s="115"/>
      <c r="K205" s="115"/>
      <c r="L205" s="435"/>
      <c r="M205" s="435"/>
      <c r="N205" s="435"/>
      <c r="O205" s="435"/>
      <c r="P205" s="115"/>
      <c r="Q205" s="435"/>
      <c r="R205" s="435"/>
      <c r="S205" s="435"/>
      <c r="T205" s="435"/>
      <c r="U205" s="435"/>
    </row>
    <row r="206">
      <c r="A206" s="664"/>
      <c r="B206" s="435"/>
      <c r="C206" s="665"/>
      <c r="D206" s="435"/>
      <c r="E206" s="115"/>
      <c r="F206" s="115"/>
      <c r="G206" s="666"/>
      <c r="H206" s="115"/>
      <c r="I206" s="115"/>
      <c r="J206" s="115"/>
      <c r="K206" s="435"/>
      <c r="L206" s="115"/>
      <c r="M206" s="435"/>
      <c r="N206" s="115"/>
      <c r="O206" s="435"/>
      <c r="P206" s="115"/>
      <c r="Q206" s="115"/>
      <c r="R206" s="435"/>
      <c r="S206" s="435"/>
      <c r="T206" s="435"/>
      <c r="U206" s="435"/>
    </row>
    <row r="207">
      <c r="A207" s="664"/>
      <c r="B207" s="435"/>
      <c r="C207" s="665"/>
      <c r="D207" s="435"/>
      <c r="E207" s="115"/>
      <c r="F207" s="115"/>
      <c r="G207" s="666"/>
      <c r="H207" s="115"/>
      <c r="I207" s="115"/>
      <c r="J207" s="115"/>
      <c r="K207" s="115"/>
      <c r="L207" s="435"/>
      <c r="M207" s="435"/>
      <c r="N207" s="435"/>
      <c r="O207" s="435"/>
      <c r="P207" s="115"/>
      <c r="Q207" s="435"/>
      <c r="R207" s="435"/>
      <c r="S207" s="435"/>
      <c r="T207" s="435"/>
      <c r="U207" s="435"/>
    </row>
    <row r="208">
      <c r="A208" s="664"/>
      <c r="B208" s="435"/>
      <c r="C208" s="665"/>
      <c r="D208" s="435"/>
      <c r="E208" s="115"/>
      <c r="F208" s="115"/>
      <c r="G208" s="666"/>
      <c r="H208" s="115"/>
      <c r="I208" s="115"/>
      <c r="J208" s="115"/>
      <c r="K208" s="115"/>
      <c r="L208" s="435"/>
      <c r="M208" s="435"/>
      <c r="N208" s="115"/>
      <c r="O208" s="435"/>
      <c r="P208" s="115"/>
      <c r="Q208" s="435"/>
      <c r="R208" s="435"/>
      <c r="S208" s="435"/>
      <c r="T208" s="435"/>
      <c r="U208" s="435"/>
    </row>
    <row r="209">
      <c r="A209" s="664"/>
      <c r="B209" s="435"/>
      <c r="C209" s="665"/>
      <c r="D209" s="435"/>
      <c r="E209" s="115"/>
      <c r="F209" s="115"/>
      <c r="G209" s="666"/>
      <c r="H209" s="115"/>
      <c r="I209" s="115"/>
      <c r="J209" s="115"/>
      <c r="K209" s="435"/>
      <c r="L209" s="435"/>
      <c r="M209" s="115"/>
      <c r="N209" s="435"/>
      <c r="O209" s="435"/>
      <c r="P209" s="435"/>
      <c r="Q209" s="435"/>
      <c r="R209" s="435"/>
      <c r="S209" s="435"/>
      <c r="T209" s="435"/>
      <c r="U209" s="435"/>
    </row>
    <row r="210">
      <c r="A210" s="664"/>
      <c r="B210" s="435"/>
      <c r="C210" s="665"/>
      <c r="D210" s="435"/>
      <c r="E210" s="115"/>
      <c r="F210" s="115"/>
      <c r="G210" s="666"/>
      <c r="H210" s="115"/>
      <c r="I210" s="115"/>
      <c r="J210" s="115"/>
      <c r="K210" s="435"/>
      <c r="L210" s="435"/>
      <c r="M210" s="435"/>
      <c r="N210" s="115"/>
      <c r="O210" s="435"/>
      <c r="P210" s="435"/>
      <c r="Q210" s="435"/>
      <c r="R210" s="435"/>
      <c r="S210" s="435"/>
      <c r="T210" s="435"/>
      <c r="U210" s="435"/>
    </row>
    <row r="211">
      <c r="A211" s="664"/>
      <c r="B211" s="435"/>
      <c r="C211" s="665"/>
      <c r="D211" s="435"/>
      <c r="E211" s="115"/>
      <c r="F211" s="115"/>
      <c r="G211" s="666"/>
      <c r="H211" s="115"/>
      <c r="I211" s="115"/>
      <c r="J211" s="115"/>
      <c r="K211" s="115"/>
      <c r="L211" s="435"/>
      <c r="M211" s="435"/>
      <c r="N211" s="435"/>
      <c r="O211" s="435"/>
      <c r="P211" s="115"/>
      <c r="Q211" s="435"/>
      <c r="R211" s="435"/>
      <c r="S211" s="435"/>
      <c r="T211" s="435"/>
      <c r="U211" s="435"/>
    </row>
    <row r="212">
      <c r="A212" s="664"/>
      <c r="B212" s="435"/>
      <c r="C212" s="665"/>
      <c r="D212" s="435"/>
      <c r="E212" s="115"/>
      <c r="F212" s="115"/>
      <c r="G212" s="666"/>
      <c r="H212" s="115"/>
      <c r="I212" s="115"/>
      <c r="J212" s="115"/>
      <c r="K212" s="435"/>
      <c r="L212" s="115"/>
      <c r="M212" s="435"/>
      <c r="N212" s="435"/>
      <c r="O212" s="435"/>
      <c r="P212" s="115"/>
      <c r="Q212" s="435"/>
      <c r="R212" s="435"/>
      <c r="S212" s="435"/>
      <c r="T212" s="435"/>
      <c r="U212" s="435"/>
    </row>
    <row r="213">
      <c r="A213" s="664"/>
      <c r="B213" s="435"/>
      <c r="C213" s="665"/>
      <c r="D213" s="435"/>
      <c r="E213" s="115"/>
      <c r="F213" s="115"/>
      <c r="G213" s="666"/>
      <c r="H213" s="115"/>
      <c r="I213" s="115"/>
      <c r="J213" s="115"/>
      <c r="K213" s="435"/>
      <c r="L213" s="115"/>
      <c r="M213" s="435"/>
      <c r="N213" s="115"/>
      <c r="O213" s="435"/>
      <c r="P213" s="115"/>
      <c r="Q213" s="115"/>
      <c r="R213" s="435"/>
      <c r="S213" s="435"/>
      <c r="T213" s="435"/>
      <c r="U213" s="435"/>
    </row>
    <row r="214">
      <c r="A214" s="664"/>
      <c r="B214" s="435"/>
      <c r="C214" s="665"/>
      <c r="D214" s="435"/>
      <c r="E214" s="115"/>
      <c r="F214" s="115"/>
      <c r="G214" s="666"/>
      <c r="H214" s="115"/>
      <c r="I214" s="115"/>
      <c r="J214" s="115"/>
      <c r="K214" s="435"/>
      <c r="L214" s="115"/>
      <c r="M214" s="435"/>
      <c r="N214" s="435"/>
      <c r="O214" s="435"/>
      <c r="P214" s="115"/>
      <c r="Q214" s="435"/>
      <c r="R214" s="435"/>
      <c r="S214" s="435"/>
      <c r="T214" s="435"/>
      <c r="U214" s="435"/>
    </row>
    <row r="215">
      <c r="A215" s="664"/>
      <c r="B215" s="435"/>
      <c r="C215" s="681"/>
      <c r="D215" s="435"/>
      <c r="E215" s="115"/>
      <c r="F215" s="115"/>
      <c r="G215" s="666"/>
      <c r="H215" s="115"/>
      <c r="I215" s="115"/>
      <c r="J215" s="115"/>
      <c r="K215" s="115"/>
      <c r="L215" s="435"/>
      <c r="M215" s="435"/>
      <c r="N215" s="435"/>
      <c r="O215" s="435"/>
      <c r="P215" s="435"/>
      <c r="Q215" s="435"/>
      <c r="R215" s="435"/>
      <c r="S215" s="435"/>
      <c r="T215" s="435"/>
      <c r="U215" s="435"/>
    </row>
    <row r="216">
      <c r="A216" s="664"/>
      <c r="B216" s="435"/>
      <c r="C216" s="665"/>
      <c r="D216" s="435"/>
      <c r="E216" s="115"/>
      <c r="F216" s="115"/>
      <c r="G216" s="666"/>
      <c r="H216" s="115"/>
      <c r="I216" s="115"/>
      <c r="J216" s="115"/>
      <c r="K216" s="115"/>
      <c r="L216" s="435"/>
      <c r="M216" s="435"/>
      <c r="N216" s="435"/>
      <c r="O216" s="435"/>
      <c r="P216" s="115"/>
      <c r="Q216" s="435"/>
      <c r="R216" s="435"/>
      <c r="S216" s="435"/>
      <c r="T216" s="435"/>
      <c r="U216" s="435"/>
    </row>
    <row r="217">
      <c r="A217" s="664"/>
      <c r="B217" s="435"/>
      <c r="C217" s="665"/>
      <c r="D217" s="435"/>
      <c r="E217" s="115"/>
      <c r="F217" s="115"/>
      <c r="G217" s="666"/>
      <c r="H217" s="115"/>
      <c r="I217" s="115"/>
      <c r="J217" s="115"/>
      <c r="K217" s="435"/>
      <c r="L217" s="435"/>
      <c r="M217" s="435"/>
      <c r="N217" s="115"/>
      <c r="O217" s="435"/>
      <c r="P217" s="435"/>
      <c r="Q217" s="435"/>
      <c r="R217" s="435"/>
      <c r="S217" s="435"/>
      <c r="T217" s="435"/>
      <c r="U217" s="435"/>
    </row>
    <row r="218">
      <c r="A218" s="664"/>
      <c r="B218" s="435"/>
      <c r="C218" s="665"/>
      <c r="D218" s="435"/>
      <c r="E218" s="115"/>
      <c r="F218" s="115"/>
      <c r="G218" s="666"/>
      <c r="H218" s="115"/>
      <c r="I218" s="115"/>
      <c r="J218" s="115"/>
      <c r="K218" s="435"/>
      <c r="L218" s="115"/>
      <c r="M218" s="435"/>
      <c r="N218" s="115"/>
      <c r="O218" s="435"/>
      <c r="P218" s="115"/>
      <c r="Q218" s="435"/>
      <c r="R218" s="435"/>
      <c r="S218" s="435"/>
      <c r="T218" s="435"/>
      <c r="U218" s="435"/>
    </row>
    <row r="219">
      <c r="A219" s="664"/>
      <c r="B219" s="435"/>
      <c r="C219" s="665"/>
      <c r="D219" s="435"/>
      <c r="E219" s="115"/>
      <c r="F219" s="115"/>
      <c r="G219" s="666"/>
      <c r="H219" s="115"/>
      <c r="I219" s="115"/>
      <c r="J219" s="115"/>
      <c r="K219" s="115"/>
      <c r="L219" s="435"/>
      <c r="M219" s="435"/>
      <c r="N219" s="435"/>
      <c r="O219" s="435"/>
      <c r="P219" s="115"/>
      <c r="Q219" s="435"/>
      <c r="R219" s="435"/>
      <c r="S219" s="435"/>
      <c r="T219" s="435"/>
      <c r="U219" s="435"/>
    </row>
    <row r="220">
      <c r="A220" s="664"/>
      <c r="B220" s="435"/>
      <c r="C220" s="665"/>
      <c r="D220" s="435"/>
      <c r="E220" s="115"/>
      <c r="F220" s="115"/>
      <c r="G220" s="666"/>
      <c r="H220" s="115"/>
      <c r="I220" s="115"/>
      <c r="J220" s="115"/>
      <c r="K220" s="435"/>
      <c r="L220" s="115"/>
      <c r="M220" s="435"/>
      <c r="N220" s="435"/>
      <c r="O220" s="435"/>
      <c r="P220" s="115"/>
      <c r="Q220" s="435"/>
      <c r="R220" s="435"/>
      <c r="S220" s="435"/>
      <c r="T220" s="435"/>
      <c r="U220" s="435"/>
    </row>
    <row r="221">
      <c r="A221" s="664"/>
      <c r="B221" s="435"/>
      <c r="C221" s="665"/>
      <c r="D221" s="435"/>
      <c r="E221" s="115"/>
      <c r="F221" s="115"/>
      <c r="G221" s="666"/>
      <c r="H221" s="115"/>
      <c r="I221" s="115"/>
      <c r="J221" s="115"/>
      <c r="K221" s="435"/>
      <c r="L221" s="115"/>
      <c r="M221" s="435"/>
      <c r="N221" s="435"/>
      <c r="O221" s="435"/>
      <c r="P221" s="435"/>
      <c r="Q221" s="435"/>
      <c r="R221" s="435"/>
      <c r="S221" s="435"/>
      <c r="T221" s="435"/>
      <c r="U221" s="435"/>
    </row>
    <row r="222">
      <c r="A222" s="664"/>
      <c r="B222" s="435"/>
      <c r="C222" s="665"/>
      <c r="D222" s="435"/>
      <c r="E222" s="115"/>
      <c r="F222" s="115"/>
      <c r="G222" s="666"/>
      <c r="H222" s="115"/>
      <c r="I222" s="115"/>
      <c r="J222" s="115"/>
      <c r="K222" s="435"/>
      <c r="L222" s="115"/>
      <c r="M222" s="435"/>
      <c r="N222" s="435"/>
      <c r="O222" s="435"/>
      <c r="P222" s="115"/>
      <c r="Q222" s="435"/>
      <c r="R222" s="435"/>
      <c r="S222" s="435"/>
      <c r="T222" s="435"/>
      <c r="U222" s="435"/>
    </row>
    <row r="223">
      <c r="A223" s="664"/>
      <c r="B223" s="435"/>
      <c r="C223" s="665"/>
      <c r="D223" s="435"/>
      <c r="E223" s="115"/>
      <c r="F223" s="115"/>
      <c r="G223" s="666"/>
      <c r="H223" s="115"/>
      <c r="I223" s="115"/>
      <c r="J223" s="115"/>
      <c r="K223" s="435"/>
      <c r="L223" s="115"/>
      <c r="M223" s="435"/>
      <c r="N223" s="435"/>
      <c r="O223" s="435"/>
      <c r="P223" s="115"/>
      <c r="Q223" s="435"/>
      <c r="R223" s="435"/>
      <c r="S223" s="435"/>
      <c r="T223" s="435"/>
      <c r="U223" s="435"/>
    </row>
    <row r="224">
      <c r="A224" s="664"/>
      <c r="B224" s="435"/>
      <c r="C224" s="665"/>
      <c r="D224" s="435"/>
      <c r="E224" s="115"/>
      <c r="F224" s="115"/>
      <c r="G224" s="666"/>
      <c r="H224" s="115"/>
      <c r="I224" s="115"/>
      <c r="J224" s="115"/>
      <c r="K224" s="435"/>
      <c r="L224" s="115"/>
      <c r="M224" s="435"/>
      <c r="N224" s="435"/>
      <c r="O224" s="435"/>
      <c r="P224" s="115"/>
      <c r="Q224" s="435"/>
      <c r="R224" s="435"/>
      <c r="S224" s="435"/>
      <c r="T224" s="435"/>
      <c r="U224" s="435"/>
    </row>
    <row r="225">
      <c r="A225" s="664"/>
      <c r="B225" s="435"/>
      <c r="C225" s="665"/>
      <c r="D225" s="435"/>
      <c r="E225" s="115"/>
      <c r="F225" s="115"/>
      <c r="G225" s="666"/>
      <c r="H225" s="115"/>
      <c r="I225" s="115"/>
      <c r="J225" s="115"/>
      <c r="K225" s="435"/>
      <c r="L225" s="115"/>
      <c r="M225" s="435"/>
      <c r="N225" s="435"/>
      <c r="O225" s="435"/>
      <c r="P225" s="115"/>
      <c r="Q225" s="435"/>
      <c r="R225" s="435"/>
      <c r="S225" s="435"/>
      <c r="T225" s="435"/>
      <c r="U225" s="435"/>
    </row>
    <row r="226">
      <c r="A226" s="664"/>
      <c r="B226" s="435"/>
      <c r="C226" s="665"/>
      <c r="D226" s="435"/>
      <c r="E226" s="115"/>
      <c r="F226" s="115"/>
      <c r="G226" s="666"/>
      <c r="H226" s="115"/>
      <c r="I226" s="115"/>
      <c r="J226" s="115"/>
      <c r="K226" s="115"/>
      <c r="L226" s="435"/>
      <c r="M226" s="435"/>
      <c r="N226" s="435"/>
      <c r="O226" s="435"/>
      <c r="P226" s="115"/>
      <c r="Q226" s="435"/>
      <c r="R226" s="435"/>
      <c r="S226" s="435"/>
      <c r="T226" s="435"/>
      <c r="U226" s="435"/>
    </row>
    <row r="227">
      <c r="A227" s="664"/>
      <c r="B227" s="435"/>
      <c r="C227" s="665"/>
      <c r="D227" s="435"/>
      <c r="E227" s="115"/>
      <c r="F227" s="115"/>
      <c r="G227" s="666"/>
      <c r="H227" s="115"/>
      <c r="I227" s="115"/>
      <c r="J227" s="115"/>
      <c r="K227" s="435"/>
      <c r="L227" s="115"/>
      <c r="M227" s="435"/>
      <c r="N227" s="115"/>
      <c r="O227" s="435"/>
      <c r="P227" s="115"/>
      <c r="Q227" s="115"/>
      <c r="R227" s="435"/>
      <c r="S227" s="435"/>
      <c r="T227" s="435"/>
      <c r="U227" s="435"/>
    </row>
    <row r="228">
      <c r="A228" s="664"/>
      <c r="B228" s="435"/>
      <c r="C228" s="665"/>
      <c r="D228" s="435"/>
      <c r="E228" s="115"/>
      <c r="F228" s="115"/>
      <c r="G228" s="666"/>
      <c r="H228" s="115"/>
      <c r="I228" s="115"/>
      <c r="J228" s="115"/>
      <c r="K228" s="435"/>
      <c r="L228" s="115"/>
      <c r="M228" s="435"/>
      <c r="N228" s="435"/>
      <c r="O228" s="435"/>
      <c r="P228" s="115"/>
      <c r="Q228" s="435"/>
      <c r="R228" s="435"/>
      <c r="S228" s="435"/>
      <c r="T228" s="435"/>
      <c r="U228" s="435"/>
    </row>
    <row r="229">
      <c r="A229" s="664"/>
      <c r="B229" s="435"/>
      <c r="C229" s="665"/>
      <c r="D229" s="435"/>
      <c r="E229" s="115"/>
      <c r="F229" s="115"/>
      <c r="G229" s="666"/>
      <c r="H229" s="115"/>
      <c r="I229" s="115"/>
      <c r="J229" s="115"/>
      <c r="K229" s="115"/>
      <c r="L229" s="435"/>
      <c r="M229" s="435"/>
      <c r="N229" s="435"/>
      <c r="O229" s="435"/>
      <c r="P229" s="115"/>
      <c r="Q229" s="435"/>
      <c r="R229" s="435"/>
      <c r="S229" s="435"/>
      <c r="T229" s="435"/>
      <c r="U229" s="435"/>
    </row>
    <row r="230">
      <c r="A230" s="664"/>
      <c r="B230" s="435"/>
      <c r="C230" s="665"/>
      <c r="D230" s="435"/>
      <c r="E230" s="115"/>
      <c r="F230" s="115"/>
      <c r="G230" s="666"/>
      <c r="H230" s="115"/>
      <c r="I230" s="115"/>
      <c r="J230" s="115"/>
      <c r="K230" s="435"/>
      <c r="L230" s="115"/>
      <c r="M230" s="435"/>
      <c r="N230" s="435"/>
      <c r="O230" s="435"/>
      <c r="P230" s="115"/>
      <c r="Q230" s="435"/>
      <c r="R230" s="435"/>
      <c r="S230" s="435"/>
      <c r="T230" s="435"/>
      <c r="U230" s="435"/>
    </row>
    <row r="231">
      <c r="A231" s="664"/>
      <c r="B231" s="435"/>
      <c r="C231" s="665"/>
      <c r="D231" s="435"/>
      <c r="E231" s="115"/>
      <c r="F231" s="115"/>
      <c r="G231" s="666"/>
      <c r="H231" s="115"/>
      <c r="I231" s="115"/>
      <c r="J231" s="115"/>
      <c r="K231" s="435"/>
      <c r="L231" s="435"/>
      <c r="M231" s="115"/>
      <c r="N231" s="435"/>
      <c r="O231" s="435"/>
      <c r="P231" s="435"/>
      <c r="Q231" s="435"/>
      <c r="R231" s="435"/>
      <c r="S231" s="435"/>
      <c r="T231" s="435"/>
      <c r="U231" s="435"/>
    </row>
    <row r="232">
      <c r="A232" s="664"/>
      <c r="B232" s="435"/>
      <c r="C232" s="665"/>
      <c r="D232" s="435"/>
      <c r="E232" s="115"/>
      <c r="F232" s="115"/>
      <c r="G232" s="666"/>
      <c r="H232" s="115"/>
      <c r="I232" s="115"/>
      <c r="J232" s="115"/>
      <c r="K232" s="115"/>
      <c r="L232" s="435"/>
      <c r="M232" s="435"/>
      <c r="N232" s="115"/>
      <c r="O232" s="435"/>
      <c r="P232" s="115"/>
      <c r="Q232" s="435"/>
      <c r="R232" s="435"/>
      <c r="S232" s="435"/>
      <c r="T232" s="435"/>
      <c r="U232" s="435"/>
    </row>
    <row r="233">
      <c r="A233" s="664"/>
      <c r="B233" s="435"/>
      <c r="C233" s="665"/>
      <c r="D233" s="435"/>
      <c r="E233" s="115"/>
      <c r="F233" s="115"/>
      <c r="G233" s="666"/>
      <c r="H233" s="115"/>
      <c r="I233" s="115"/>
      <c r="J233" s="115"/>
      <c r="K233" s="435"/>
      <c r="L233" s="115"/>
      <c r="M233" s="435"/>
      <c r="N233" s="435"/>
      <c r="O233" s="435"/>
      <c r="P233" s="115"/>
      <c r="Q233" s="435"/>
      <c r="R233" s="435"/>
      <c r="S233" s="435"/>
      <c r="T233" s="435"/>
      <c r="U233" s="435"/>
    </row>
    <row r="234">
      <c r="A234" s="664"/>
      <c r="B234" s="435"/>
      <c r="C234" s="665"/>
      <c r="D234" s="435"/>
      <c r="E234" s="115"/>
      <c r="F234" s="115"/>
      <c r="G234" s="666"/>
      <c r="H234" s="115"/>
      <c r="I234" s="115"/>
      <c r="J234" s="115"/>
      <c r="K234" s="115"/>
      <c r="L234" s="435"/>
      <c r="M234" s="435"/>
      <c r="N234" s="435"/>
      <c r="O234" s="435"/>
      <c r="P234" s="115"/>
      <c r="Q234" s="435"/>
      <c r="R234" s="435"/>
      <c r="S234" s="435"/>
      <c r="T234" s="435"/>
      <c r="U234" s="435"/>
    </row>
    <row r="235">
      <c r="A235" s="664"/>
      <c r="B235" s="435"/>
      <c r="C235" s="665"/>
      <c r="D235" s="435"/>
      <c r="E235" s="115"/>
      <c r="F235" s="115"/>
      <c r="G235" s="666"/>
      <c r="H235" s="115"/>
      <c r="I235" s="115"/>
      <c r="J235" s="115"/>
      <c r="K235" s="435"/>
      <c r="L235" s="115"/>
      <c r="M235" s="435"/>
      <c r="N235" s="435"/>
      <c r="O235" s="435"/>
      <c r="P235" s="115"/>
      <c r="Q235" s="435"/>
      <c r="R235" s="435"/>
      <c r="S235" s="435"/>
      <c r="T235" s="435"/>
      <c r="U235" s="435"/>
    </row>
    <row r="236">
      <c r="A236" s="664"/>
      <c r="B236" s="435"/>
      <c r="C236" s="665"/>
      <c r="D236" s="435"/>
      <c r="E236" s="115"/>
      <c r="F236" s="115"/>
      <c r="G236" s="666"/>
      <c r="H236" s="115"/>
      <c r="I236" s="115"/>
      <c r="J236" s="115"/>
      <c r="K236" s="115"/>
      <c r="L236" s="435"/>
      <c r="M236" s="435"/>
      <c r="N236" s="435"/>
      <c r="O236" s="435"/>
      <c r="P236" s="115"/>
      <c r="Q236" s="435"/>
      <c r="R236" s="435"/>
      <c r="S236" s="435"/>
      <c r="T236" s="435"/>
      <c r="U236" s="435"/>
    </row>
    <row r="237">
      <c r="A237" s="664"/>
      <c r="B237" s="435"/>
      <c r="C237" s="665"/>
      <c r="D237" s="435"/>
      <c r="E237" s="115"/>
      <c r="F237" s="115"/>
      <c r="G237" s="666"/>
      <c r="H237" s="115"/>
      <c r="I237" s="115"/>
      <c r="J237" s="115"/>
      <c r="K237" s="435"/>
      <c r="L237" s="115"/>
      <c r="M237" s="435"/>
      <c r="N237" s="115"/>
      <c r="O237" s="435"/>
      <c r="P237" s="435"/>
      <c r="Q237" s="435"/>
      <c r="R237" s="435"/>
      <c r="S237" s="435"/>
      <c r="T237" s="435"/>
      <c r="U237" s="435"/>
    </row>
    <row r="238">
      <c r="A238" s="664"/>
      <c r="B238" s="682"/>
      <c r="C238" s="665"/>
      <c r="D238" s="435"/>
      <c r="E238" s="115"/>
      <c r="F238" s="115"/>
      <c r="G238" s="666"/>
      <c r="H238" s="115"/>
      <c r="I238" s="115"/>
      <c r="J238" s="115"/>
      <c r="K238" s="115"/>
      <c r="L238" s="435"/>
      <c r="M238" s="435"/>
      <c r="N238" s="435"/>
      <c r="O238" s="435"/>
      <c r="P238" s="115"/>
      <c r="Q238" s="435"/>
      <c r="R238" s="435"/>
      <c r="S238" s="435"/>
      <c r="T238" s="435"/>
      <c r="U238" s="435"/>
    </row>
    <row r="239">
      <c r="A239" s="664"/>
      <c r="B239" s="435"/>
      <c r="C239" s="665"/>
      <c r="D239" s="435"/>
      <c r="E239" s="115"/>
      <c r="F239" s="115"/>
      <c r="G239" s="666"/>
      <c r="H239" s="115"/>
      <c r="I239" s="115"/>
      <c r="J239" s="115"/>
      <c r="K239" s="435"/>
      <c r="L239" s="115"/>
      <c r="M239" s="435"/>
      <c r="N239" s="435"/>
      <c r="O239" s="435"/>
      <c r="P239" s="115"/>
      <c r="Q239" s="435"/>
      <c r="R239" s="435"/>
      <c r="S239" s="435"/>
      <c r="T239" s="435"/>
      <c r="U239" s="435"/>
    </row>
    <row r="240">
      <c r="A240" s="664"/>
      <c r="B240" s="682"/>
      <c r="C240" s="665"/>
      <c r="D240" s="435"/>
      <c r="E240" s="115"/>
      <c r="F240" s="115"/>
      <c r="G240" s="666"/>
      <c r="H240" s="115"/>
      <c r="I240" s="115"/>
      <c r="J240" s="115"/>
      <c r="K240" s="435"/>
      <c r="L240" s="435"/>
      <c r="M240" s="115"/>
      <c r="N240" s="435"/>
      <c r="O240" s="435"/>
      <c r="P240" s="435"/>
      <c r="Q240" s="435"/>
      <c r="R240" s="435"/>
      <c r="S240" s="435"/>
      <c r="T240" s="435"/>
      <c r="U240" s="435"/>
    </row>
    <row r="241">
      <c r="A241" s="664"/>
      <c r="B241" s="435"/>
      <c r="C241" s="665"/>
      <c r="D241" s="435"/>
      <c r="E241" s="115"/>
      <c r="F241" s="115"/>
      <c r="G241" s="666"/>
      <c r="H241" s="115"/>
      <c r="I241" s="115"/>
      <c r="J241" s="115"/>
      <c r="K241" s="435"/>
      <c r="L241" s="435"/>
      <c r="M241" s="435"/>
      <c r="N241" s="435"/>
      <c r="O241" s="435"/>
      <c r="P241" s="435"/>
      <c r="Q241" s="115"/>
      <c r="R241" s="435"/>
      <c r="S241" s="435"/>
      <c r="T241" s="435"/>
      <c r="U241" s="435"/>
    </row>
    <row r="242">
      <c r="A242" s="664"/>
      <c r="B242" s="435"/>
      <c r="C242" s="665"/>
      <c r="D242" s="435"/>
      <c r="E242" s="115"/>
      <c r="F242" s="115"/>
      <c r="G242" s="666"/>
      <c r="H242" s="115"/>
      <c r="I242" s="115"/>
      <c r="J242" s="115"/>
      <c r="K242" s="435"/>
      <c r="L242" s="115"/>
      <c r="M242" s="435"/>
      <c r="N242" s="435"/>
      <c r="O242" s="435"/>
      <c r="P242" s="115"/>
      <c r="Q242" s="435"/>
      <c r="R242" s="435"/>
      <c r="S242" s="435"/>
      <c r="T242" s="435"/>
      <c r="U242" s="435"/>
    </row>
    <row r="243">
      <c r="A243" s="664"/>
      <c r="B243" s="435"/>
      <c r="C243" s="665"/>
      <c r="D243" s="435"/>
      <c r="E243" s="115"/>
      <c r="F243" s="115"/>
      <c r="G243" s="666"/>
      <c r="H243" s="115"/>
      <c r="I243" s="115"/>
      <c r="J243" s="115"/>
      <c r="K243" s="435"/>
      <c r="L243" s="115"/>
      <c r="M243" s="435"/>
      <c r="N243" s="435"/>
      <c r="O243" s="435"/>
      <c r="P243" s="435"/>
      <c r="Q243" s="435"/>
      <c r="R243" s="435"/>
      <c r="S243" s="435"/>
      <c r="T243" s="435"/>
      <c r="U243" s="435"/>
    </row>
    <row r="244">
      <c r="A244" s="664"/>
      <c r="B244" s="435"/>
      <c r="C244" s="665"/>
      <c r="D244" s="435"/>
      <c r="E244" s="115"/>
      <c r="F244" s="115"/>
      <c r="G244" s="666"/>
      <c r="H244" s="115"/>
      <c r="I244" s="115"/>
      <c r="J244" s="115"/>
      <c r="K244" s="115"/>
      <c r="L244" s="435"/>
      <c r="M244" s="435"/>
      <c r="N244" s="435"/>
      <c r="O244" s="435"/>
      <c r="P244" s="115"/>
      <c r="Q244" s="435"/>
      <c r="R244" s="435"/>
      <c r="S244" s="435"/>
      <c r="T244" s="435"/>
      <c r="U244" s="435"/>
    </row>
    <row r="245">
      <c r="A245" s="664"/>
      <c r="B245" s="435"/>
      <c r="C245" s="665"/>
      <c r="D245" s="435"/>
      <c r="E245" s="115"/>
      <c r="F245" s="115"/>
      <c r="G245" s="666"/>
      <c r="H245" s="115"/>
      <c r="I245" s="115"/>
      <c r="J245" s="115"/>
      <c r="K245" s="435"/>
      <c r="L245" s="115"/>
      <c r="M245" s="435"/>
      <c r="N245" s="115"/>
      <c r="O245" s="435"/>
      <c r="P245" s="435"/>
      <c r="Q245" s="435"/>
      <c r="R245" s="435"/>
      <c r="S245" s="435"/>
      <c r="T245" s="435"/>
      <c r="U245" s="435"/>
    </row>
    <row r="246">
      <c r="A246" s="664"/>
      <c r="B246" s="435"/>
      <c r="C246" s="665"/>
      <c r="D246" s="435"/>
      <c r="E246" s="115"/>
      <c r="F246" s="115"/>
      <c r="G246" s="666"/>
      <c r="H246" s="115"/>
      <c r="I246" s="115"/>
      <c r="J246" s="115"/>
      <c r="K246" s="435"/>
      <c r="L246" s="115"/>
      <c r="M246" s="435"/>
      <c r="N246" s="115"/>
      <c r="O246" s="115"/>
      <c r="P246" s="435"/>
      <c r="Q246" s="435"/>
      <c r="R246" s="435"/>
      <c r="S246" s="435"/>
      <c r="T246" s="435"/>
      <c r="U246" s="435"/>
    </row>
    <row r="247">
      <c r="A247" s="664"/>
      <c r="B247" s="435"/>
      <c r="C247" s="665"/>
      <c r="D247" s="435"/>
      <c r="E247" s="115"/>
      <c r="F247" s="115"/>
      <c r="G247" s="666"/>
      <c r="H247" s="115"/>
      <c r="I247" s="115"/>
      <c r="J247" s="115"/>
      <c r="K247" s="435"/>
      <c r="L247" s="115"/>
      <c r="M247" s="435"/>
      <c r="N247" s="115"/>
      <c r="O247" s="435"/>
      <c r="P247" s="115"/>
      <c r="Q247" s="435"/>
      <c r="R247" s="435"/>
      <c r="S247" s="435"/>
      <c r="T247" s="435"/>
      <c r="U247" s="435"/>
    </row>
    <row r="248">
      <c r="A248" s="664"/>
      <c r="B248" s="435"/>
      <c r="C248" s="665"/>
      <c r="D248" s="435"/>
      <c r="E248" s="115"/>
      <c r="F248" s="115"/>
      <c r="G248" s="666"/>
      <c r="H248" s="115"/>
      <c r="I248" s="115"/>
      <c r="J248" s="115"/>
      <c r="K248" s="435"/>
      <c r="L248" s="115"/>
      <c r="M248" s="435"/>
      <c r="N248" s="115"/>
      <c r="O248" s="435"/>
      <c r="P248" s="115"/>
      <c r="Q248" s="435"/>
      <c r="R248" s="435"/>
      <c r="S248" s="435"/>
      <c r="T248" s="435"/>
      <c r="U248" s="435"/>
    </row>
    <row r="249">
      <c r="A249" s="664"/>
      <c r="B249" s="435"/>
      <c r="C249" s="665"/>
      <c r="D249" s="435"/>
      <c r="E249" s="115"/>
      <c r="F249" s="115"/>
      <c r="G249" s="666"/>
      <c r="H249" s="115"/>
      <c r="I249" s="115"/>
      <c r="J249" s="115"/>
      <c r="K249" s="435"/>
      <c r="L249" s="115"/>
      <c r="M249" s="435"/>
      <c r="N249" s="435"/>
      <c r="O249" s="435"/>
      <c r="P249" s="435"/>
      <c r="Q249" s="435"/>
      <c r="R249" s="435"/>
      <c r="S249" s="435"/>
      <c r="T249" s="435"/>
      <c r="U249" s="435"/>
    </row>
    <row r="250">
      <c r="A250" s="664"/>
      <c r="B250" s="435"/>
      <c r="C250" s="665"/>
      <c r="D250" s="435"/>
      <c r="E250" s="115"/>
      <c r="F250" s="115"/>
      <c r="G250" s="666"/>
      <c r="H250" s="115"/>
      <c r="I250" s="115"/>
      <c r="J250" s="115"/>
      <c r="K250" s="115"/>
      <c r="L250" s="435"/>
      <c r="M250" s="435"/>
      <c r="N250" s="115"/>
      <c r="O250" s="435"/>
      <c r="P250" s="435"/>
      <c r="Q250" s="435"/>
      <c r="R250" s="435"/>
      <c r="S250" s="435"/>
      <c r="T250" s="435"/>
      <c r="U250" s="435"/>
    </row>
    <row r="251">
      <c r="A251" s="664"/>
      <c r="B251" s="435"/>
      <c r="C251" s="665"/>
      <c r="D251" s="435"/>
      <c r="E251" s="115"/>
      <c r="F251" s="115"/>
      <c r="G251" s="666"/>
      <c r="H251" s="115"/>
      <c r="I251" s="115"/>
      <c r="J251" s="115"/>
      <c r="K251" s="115"/>
      <c r="L251" s="435"/>
      <c r="M251" s="435"/>
      <c r="N251" s="435"/>
      <c r="O251" s="435"/>
      <c r="P251" s="115"/>
      <c r="Q251" s="435"/>
      <c r="R251" s="435"/>
      <c r="S251" s="435"/>
      <c r="T251" s="435"/>
      <c r="U251" s="435"/>
    </row>
    <row r="252">
      <c r="A252" s="664"/>
      <c r="B252" s="435"/>
      <c r="C252" s="665"/>
      <c r="D252" s="435"/>
      <c r="E252" s="115"/>
      <c r="F252" s="115"/>
      <c r="G252" s="666"/>
      <c r="H252" s="115"/>
      <c r="I252" s="115"/>
      <c r="J252" s="115"/>
      <c r="K252" s="435"/>
      <c r="L252" s="115"/>
      <c r="M252" s="435"/>
      <c r="N252" s="115"/>
      <c r="O252" s="115"/>
      <c r="P252" s="115"/>
      <c r="Q252" s="435"/>
      <c r="R252" s="435"/>
      <c r="S252" s="435"/>
      <c r="T252" s="435"/>
      <c r="U252" s="435"/>
    </row>
    <row r="253">
      <c r="A253" s="664"/>
      <c r="B253" s="435"/>
      <c r="C253" s="665"/>
      <c r="D253" s="435"/>
      <c r="E253" s="115"/>
      <c r="F253" s="115"/>
      <c r="G253" s="666"/>
      <c r="H253" s="115"/>
      <c r="I253" s="115"/>
      <c r="J253" s="115"/>
      <c r="K253" s="115"/>
      <c r="L253" s="435"/>
      <c r="M253" s="435"/>
      <c r="N253" s="115"/>
      <c r="O253" s="435"/>
      <c r="P253" s="115"/>
      <c r="Q253" s="435"/>
      <c r="R253" s="435"/>
      <c r="S253" s="435"/>
      <c r="T253" s="435"/>
      <c r="U253" s="435"/>
    </row>
    <row r="254">
      <c r="A254" s="664"/>
      <c r="B254" s="435"/>
      <c r="C254" s="665"/>
      <c r="D254" s="435"/>
      <c r="E254" s="115"/>
      <c r="F254" s="115"/>
      <c r="G254" s="666"/>
      <c r="H254" s="115"/>
      <c r="I254" s="115"/>
      <c r="J254" s="115"/>
      <c r="K254" s="435"/>
      <c r="L254" s="115"/>
      <c r="M254" s="435"/>
      <c r="N254" s="115"/>
      <c r="O254" s="435"/>
      <c r="P254" s="115"/>
      <c r="Q254" s="435"/>
      <c r="R254" s="435"/>
      <c r="S254" s="435"/>
      <c r="T254" s="435"/>
      <c r="U254" s="435"/>
    </row>
    <row r="255">
      <c r="A255" s="664"/>
      <c r="B255" s="435"/>
      <c r="C255" s="665"/>
      <c r="D255" s="435"/>
      <c r="E255" s="115"/>
      <c r="F255" s="115"/>
      <c r="G255" s="666"/>
      <c r="H255" s="115"/>
      <c r="I255" s="115"/>
      <c r="J255" s="115"/>
      <c r="K255" s="115"/>
      <c r="L255" s="435"/>
      <c r="M255" s="435"/>
      <c r="N255" s="435"/>
      <c r="O255" s="435"/>
      <c r="P255" s="115"/>
      <c r="Q255" s="435"/>
      <c r="R255" s="435"/>
      <c r="S255" s="435"/>
      <c r="T255" s="435"/>
      <c r="U255" s="435"/>
    </row>
    <row r="256">
      <c r="A256" s="664"/>
      <c r="B256" s="435"/>
      <c r="C256" s="665"/>
      <c r="D256" s="435"/>
      <c r="E256" s="115"/>
      <c r="F256" s="115"/>
      <c r="G256" s="666"/>
      <c r="H256" s="115"/>
      <c r="I256" s="115"/>
      <c r="J256" s="115"/>
      <c r="K256" s="435"/>
      <c r="L256" s="115"/>
      <c r="M256" s="435"/>
      <c r="N256" s="435"/>
      <c r="O256" s="435"/>
      <c r="P256" s="115"/>
      <c r="Q256" s="435"/>
      <c r="R256" s="435"/>
      <c r="S256" s="435"/>
      <c r="T256" s="435"/>
      <c r="U256" s="435"/>
    </row>
    <row r="257">
      <c r="A257" s="664"/>
      <c r="B257" s="435"/>
      <c r="C257" s="665"/>
      <c r="D257" s="435"/>
      <c r="E257" s="115"/>
      <c r="F257" s="115"/>
      <c r="G257" s="666"/>
      <c r="H257" s="115"/>
      <c r="I257" s="115"/>
      <c r="J257" s="115"/>
      <c r="K257" s="115"/>
      <c r="L257" s="435"/>
      <c r="M257" s="435"/>
      <c r="N257" s="435"/>
      <c r="O257" s="435"/>
      <c r="P257" s="115"/>
      <c r="Q257" s="435"/>
      <c r="R257" s="435"/>
      <c r="S257" s="435"/>
      <c r="T257" s="435"/>
      <c r="U257" s="435"/>
    </row>
    <row r="258">
      <c r="A258" s="664"/>
      <c r="B258" s="435"/>
      <c r="C258" s="665"/>
      <c r="D258" s="435"/>
      <c r="E258" s="115"/>
      <c r="F258" s="115"/>
      <c r="G258" s="666"/>
      <c r="H258" s="115"/>
      <c r="I258" s="115"/>
      <c r="J258" s="115"/>
      <c r="K258" s="435"/>
      <c r="L258" s="115"/>
      <c r="M258" s="435"/>
      <c r="N258" s="115"/>
      <c r="O258" s="435"/>
      <c r="P258" s="115"/>
      <c r="Q258" s="115"/>
      <c r="R258" s="435"/>
      <c r="S258" s="435"/>
      <c r="T258" s="435"/>
      <c r="U258" s="435"/>
    </row>
    <row r="259">
      <c r="A259" s="664"/>
      <c r="B259" s="435"/>
      <c r="C259" s="665"/>
      <c r="D259" s="435"/>
      <c r="E259" s="115"/>
      <c r="F259" s="115"/>
      <c r="G259" s="666"/>
      <c r="H259" s="115"/>
      <c r="I259" s="115"/>
      <c r="J259" s="115"/>
      <c r="K259" s="435"/>
      <c r="L259" s="115"/>
      <c r="M259" s="435"/>
      <c r="N259" s="115"/>
      <c r="O259" s="435"/>
      <c r="P259" s="115"/>
      <c r="Q259" s="115"/>
      <c r="R259" s="435"/>
      <c r="S259" s="435"/>
      <c r="T259" s="435"/>
      <c r="U259" s="435"/>
    </row>
    <row r="260">
      <c r="A260" s="664"/>
      <c r="B260" s="435"/>
      <c r="C260" s="665"/>
      <c r="D260" s="435"/>
      <c r="E260" s="115"/>
      <c r="F260" s="115"/>
      <c r="G260" s="666"/>
      <c r="H260" s="115"/>
      <c r="I260" s="115"/>
      <c r="J260" s="115"/>
      <c r="K260" s="435"/>
      <c r="L260" s="115"/>
      <c r="M260" s="435"/>
      <c r="N260" s="435"/>
      <c r="O260" s="435"/>
      <c r="P260" s="115"/>
      <c r="Q260" s="435"/>
      <c r="R260" s="435"/>
      <c r="S260" s="435"/>
      <c r="T260" s="435"/>
      <c r="U260" s="435"/>
    </row>
    <row r="261">
      <c r="A261" s="664"/>
      <c r="B261" s="435"/>
      <c r="C261" s="665"/>
      <c r="D261" s="435"/>
      <c r="E261" s="115"/>
      <c r="F261" s="115"/>
      <c r="G261" s="666"/>
      <c r="H261" s="115"/>
      <c r="I261" s="115"/>
      <c r="J261" s="115"/>
      <c r="K261" s="115"/>
      <c r="L261" s="435"/>
      <c r="M261" s="435"/>
      <c r="N261" s="115"/>
      <c r="O261" s="435"/>
      <c r="P261" s="115"/>
      <c r="Q261" s="435"/>
      <c r="R261" s="435"/>
      <c r="S261" s="435"/>
      <c r="T261" s="435"/>
      <c r="U261" s="435"/>
    </row>
    <row r="262">
      <c r="A262" s="664"/>
      <c r="B262" s="435"/>
      <c r="C262" s="665"/>
      <c r="D262" s="435"/>
      <c r="E262" s="115"/>
      <c r="F262" s="115"/>
      <c r="G262" s="666"/>
      <c r="H262" s="115"/>
      <c r="I262" s="115"/>
      <c r="J262" s="115"/>
      <c r="K262" s="115"/>
      <c r="L262" s="435"/>
      <c r="M262" s="435"/>
      <c r="N262" s="115"/>
      <c r="O262" s="435"/>
      <c r="P262" s="435"/>
      <c r="Q262" s="435"/>
      <c r="R262" s="435"/>
      <c r="S262" s="435"/>
      <c r="T262" s="435"/>
      <c r="U262" s="435"/>
    </row>
    <row r="263">
      <c r="A263" s="664"/>
      <c r="B263" s="435"/>
      <c r="C263" s="665"/>
      <c r="D263" s="435"/>
      <c r="E263" s="115"/>
      <c r="F263" s="115"/>
      <c r="G263" s="666"/>
      <c r="H263" s="115"/>
      <c r="I263" s="115"/>
      <c r="J263" s="115"/>
      <c r="K263" s="115"/>
      <c r="L263" s="435"/>
      <c r="M263" s="435"/>
      <c r="N263" s="435"/>
      <c r="O263" s="435"/>
      <c r="P263" s="115"/>
      <c r="Q263" s="435"/>
      <c r="R263" s="435"/>
      <c r="S263" s="435"/>
      <c r="T263" s="435"/>
      <c r="U263" s="435"/>
    </row>
    <row r="264">
      <c r="A264" s="664"/>
      <c r="B264" s="435"/>
      <c r="C264" s="665"/>
      <c r="D264" s="435"/>
      <c r="E264" s="115"/>
      <c r="F264" s="115"/>
      <c r="G264" s="666"/>
      <c r="H264" s="115"/>
      <c r="I264" s="115"/>
      <c r="J264" s="115"/>
      <c r="K264" s="435"/>
      <c r="L264" s="115"/>
      <c r="M264" s="435"/>
      <c r="N264" s="435"/>
      <c r="O264" s="435"/>
      <c r="P264" s="115"/>
      <c r="Q264" s="435"/>
      <c r="R264" s="435"/>
      <c r="S264" s="435"/>
      <c r="T264" s="435"/>
      <c r="U264" s="435"/>
    </row>
    <row r="265">
      <c r="A265" s="664"/>
      <c r="B265" s="435"/>
      <c r="C265" s="665"/>
      <c r="D265" s="435"/>
      <c r="E265" s="115"/>
      <c r="F265" s="115"/>
      <c r="G265" s="666"/>
      <c r="H265" s="115"/>
      <c r="I265" s="115"/>
      <c r="J265" s="115"/>
      <c r="K265" s="115"/>
      <c r="L265" s="435"/>
      <c r="M265" s="435"/>
      <c r="N265" s="435"/>
      <c r="O265" s="435"/>
      <c r="P265" s="115"/>
      <c r="Q265" s="435"/>
      <c r="R265" s="435"/>
      <c r="S265" s="435"/>
      <c r="T265" s="435"/>
      <c r="U265" s="435"/>
    </row>
    <row r="266">
      <c r="A266" s="664"/>
      <c r="B266" s="435"/>
      <c r="C266" s="665"/>
      <c r="D266" s="435"/>
      <c r="E266" s="115"/>
      <c r="F266" s="115"/>
      <c r="G266" s="666"/>
      <c r="H266" s="115"/>
      <c r="I266" s="115"/>
      <c r="J266" s="115"/>
      <c r="K266" s="435"/>
      <c r="L266" s="115"/>
      <c r="M266" s="435"/>
      <c r="N266" s="435"/>
      <c r="O266" s="435"/>
      <c r="P266" s="115"/>
      <c r="Q266" s="435"/>
      <c r="R266" s="435"/>
      <c r="S266" s="435"/>
      <c r="T266" s="435"/>
      <c r="U266" s="435"/>
    </row>
    <row r="267">
      <c r="A267" s="664"/>
      <c r="B267" s="435"/>
      <c r="C267" s="665"/>
      <c r="D267" s="435"/>
      <c r="E267" s="115"/>
      <c r="F267" s="115"/>
      <c r="G267" s="666"/>
      <c r="H267" s="115"/>
      <c r="I267" s="115"/>
      <c r="J267" s="115"/>
      <c r="K267" s="115"/>
      <c r="L267" s="435"/>
      <c r="M267" s="435"/>
      <c r="N267" s="435"/>
      <c r="O267" s="435"/>
      <c r="P267" s="115"/>
      <c r="Q267" s="435"/>
      <c r="R267" s="435"/>
      <c r="S267" s="435"/>
      <c r="T267" s="435"/>
      <c r="U267" s="435"/>
    </row>
    <row r="268">
      <c r="A268" s="664"/>
      <c r="B268" s="435"/>
      <c r="C268" s="665"/>
      <c r="D268" s="435"/>
      <c r="E268" s="115"/>
      <c r="F268" s="115"/>
      <c r="G268" s="666"/>
      <c r="H268" s="115"/>
      <c r="I268" s="115"/>
      <c r="J268" s="115"/>
      <c r="K268" s="435"/>
      <c r="L268" s="435"/>
      <c r="M268" s="115"/>
      <c r="N268" s="435"/>
      <c r="O268" s="435"/>
      <c r="P268" s="435"/>
      <c r="Q268" s="435"/>
      <c r="R268" s="435"/>
      <c r="S268" s="435"/>
      <c r="T268" s="435"/>
      <c r="U268" s="435"/>
    </row>
    <row r="269">
      <c r="A269" s="664"/>
      <c r="B269" s="435"/>
      <c r="C269" s="665"/>
      <c r="D269" s="435"/>
      <c r="E269" s="115"/>
      <c r="F269" s="115"/>
      <c r="G269" s="666"/>
      <c r="H269" s="115"/>
      <c r="I269" s="115"/>
      <c r="J269" s="115"/>
      <c r="K269" s="435"/>
      <c r="L269" s="115"/>
      <c r="M269" s="435"/>
      <c r="N269" s="115"/>
      <c r="O269" s="435"/>
      <c r="P269" s="115"/>
      <c r="Q269" s="435"/>
      <c r="R269" s="435"/>
      <c r="S269" s="435"/>
      <c r="T269" s="435"/>
      <c r="U269" s="435"/>
    </row>
    <row r="270">
      <c r="A270" s="664"/>
      <c r="B270" s="435"/>
      <c r="C270" s="665"/>
      <c r="D270" s="435"/>
      <c r="E270" s="115"/>
      <c r="F270" s="115"/>
      <c r="G270" s="666"/>
      <c r="H270" s="115"/>
      <c r="I270" s="115"/>
      <c r="J270" s="115"/>
      <c r="K270" s="115"/>
      <c r="L270" s="435"/>
      <c r="M270" s="435"/>
      <c r="N270" s="435"/>
      <c r="O270" s="435"/>
      <c r="P270" s="115"/>
      <c r="Q270" s="435"/>
      <c r="R270" s="435"/>
      <c r="S270" s="435"/>
      <c r="T270" s="435"/>
      <c r="U270" s="435"/>
    </row>
    <row r="271">
      <c r="A271" s="664"/>
      <c r="B271" s="435"/>
      <c r="C271" s="665"/>
      <c r="D271" s="435"/>
      <c r="E271" s="115"/>
      <c r="F271" s="115"/>
      <c r="G271" s="666"/>
      <c r="H271" s="115"/>
      <c r="I271" s="115"/>
      <c r="J271" s="115"/>
      <c r="K271" s="435"/>
      <c r="L271" s="115"/>
      <c r="M271" s="435"/>
      <c r="N271" s="435"/>
      <c r="O271" s="435"/>
      <c r="P271" s="115"/>
      <c r="Q271" s="115"/>
      <c r="R271" s="435"/>
      <c r="S271" s="435"/>
      <c r="T271" s="435"/>
      <c r="U271" s="435"/>
    </row>
    <row r="272">
      <c r="A272" s="664"/>
      <c r="B272" s="435"/>
      <c r="C272" s="665"/>
      <c r="D272" s="435"/>
      <c r="E272" s="115"/>
      <c r="F272" s="115"/>
      <c r="G272" s="666"/>
      <c r="H272" s="115"/>
      <c r="I272" s="115"/>
      <c r="J272" s="115"/>
      <c r="K272" s="435"/>
      <c r="L272" s="115"/>
      <c r="M272" s="435"/>
      <c r="N272" s="115"/>
      <c r="O272" s="435"/>
      <c r="P272" s="115"/>
      <c r="Q272" s="435"/>
      <c r="R272" s="435"/>
      <c r="S272" s="435"/>
      <c r="T272" s="435"/>
      <c r="U272" s="435"/>
    </row>
    <row r="273">
      <c r="A273" s="664"/>
      <c r="B273" s="435"/>
      <c r="C273" s="665"/>
      <c r="D273" s="435"/>
      <c r="E273" s="115"/>
      <c r="F273" s="115"/>
      <c r="G273" s="666"/>
      <c r="H273" s="115"/>
      <c r="I273" s="115"/>
      <c r="J273" s="115"/>
      <c r="K273" s="115"/>
      <c r="L273" s="115"/>
      <c r="M273" s="115"/>
      <c r="N273" s="115"/>
      <c r="O273" s="115"/>
      <c r="P273" s="115"/>
      <c r="Q273" s="115"/>
      <c r="R273" s="115"/>
      <c r="S273" s="115"/>
      <c r="T273" s="115"/>
      <c r="U273" s="115"/>
    </row>
    <row r="274">
      <c r="A274" s="664"/>
      <c r="B274" s="435"/>
      <c r="C274" s="665"/>
      <c r="D274" s="435"/>
      <c r="E274" s="115"/>
      <c r="F274" s="115"/>
      <c r="G274" s="666"/>
      <c r="H274" s="115"/>
      <c r="I274" s="115"/>
      <c r="J274" s="115"/>
      <c r="K274" s="115"/>
      <c r="L274" s="115"/>
      <c r="M274" s="115"/>
      <c r="N274" s="115"/>
      <c r="O274" s="115"/>
      <c r="P274" s="115"/>
      <c r="Q274" s="115"/>
      <c r="R274" s="115"/>
      <c r="S274" s="115"/>
      <c r="T274" s="115"/>
      <c r="U274" s="115"/>
    </row>
    <row r="275">
      <c r="A275" s="664"/>
      <c r="B275" s="435"/>
      <c r="C275" s="665"/>
      <c r="D275" s="435"/>
      <c r="E275" s="115"/>
      <c r="F275" s="115"/>
      <c r="G275" s="666"/>
      <c r="H275" s="115"/>
      <c r="I275" s="115"/>
      <c r="J275" s="115"/>
      <c r="K275" s="115"/>
      <c r="L275" s="115"/>
      <c r="M275" s="115"/>
      <c r="N275" s="115"/>
      <c r="O275" s="115"/>
      <c r="P275" s="115"/>
      <c r="Q275" s="115"/>
      <c r="R275" s="115"/>
      <c r="S275" s="115"/>
      <c r="T275" s="115"/>
      <c r="U275" s="115"/>
    </row>
    <row r="276">
      <c r="A276" s="664"/>
      <c r="B276" s="682"/>
      <c r="C276" s="681"/>
      <c r="D276" s="115"/>
      <c r="E276" s="115"/>
      <c r="F276" s="115"/>
      <c r="G276" s="666"/>
      <c r="H276" s="115"/>
      <c r="I276" s="115"/>
      <c r="J276" s="115"/>
      <c r="K276" s="115"/>
      <c r="L276" s="115"/>
      <c r="M276" s="115"/>
      <c r="N276" s="115"/>
      <c r="O276" s="115"/>
      <c r="P276" s="115"/>
      <c r="Q276" s="115"/>
      <c r="R276" s="115"/>
      <c r="S276" s="115"/>
      <c r="T276" s="115"/>
      <c r="U276" s="115"/>
    </row>
    <row r="277">
      <c r="A277" s="664"/>
      <c r="B277" s="435"/>
      <c r="C277" s="665"/>
      <c r="D277" s="435"/>
      <c r="E277" s="115"/>
      <c r="F277" s="115"/>
      <c r="G277" s="666"/>
      <c r="H277" s="115"/>
      <c r="I277" s="115"/>
      <c r="J277" s="115"/>
      <c r="K277" s="115"/>
      <c r="L277" s="115"/>
      <c r="M277" s="115"/>
      <c r="N277" s="115"/>
      <c r="O277" s="115"/>
      <c r="P277" s="115"/>
      <c r="Q277" s="115"/>
      <c r="R277" s="115"/>
      <c r="S277" s="115"/>
      <c r="T277" s="115"/>
      <c r="U277" s="115"/>
    </row>
    <row r="278">
      <c r="A278" s="664"/>
      <c r="B278" s="435"/>
      <c r="C278" s="665"/>
      <c r="D278" s="435"/>
      <c r="E278" s="115"/>
      <c r="F278" s="115"/>
      <c r="G278" s="666"/>
      <c r="H278" s="115"/>
      <c r="I278" s="115"/>
      <c r="J278" s="115"/>
      <c r="K278" s="115"/>
      <c r="L278" s="115"/>
      <c r="M278" s="115"/>
      <c r="N278" s="115"/>
      <c r="O278" s="115"/>
      <c r="P278" s="115"/>
      <c r="Q278" s="115"/>
      <c r="R278" s="115"/>
      <c r="S278" s="115"/>
      <c r="T278" s="115"/>
      <c r="U278" s="115"/>
    </row>
    <row r="279">
      <c r="A279" s="664"/>
      <c r="B279" s="435"/>
      <c r="C279" s="665"/>
      <c r="D279" s="435"/>
      <c r="E279" s="115"/>
      <c r="F279" s="115"/>
      <c r="G279" s="666"/>
      <c r="H279" s="115"/>
      <c r="I279" s="115"/>
      <c r="J279" s="115"/>
      <c r="K279" s="115"/>
      <c r="L279" s="115"/>
      <c r="M279" s="115"/>
      <c r="N279" s="115"/>
      <c r="O279" s="115"/>
      <c r="P279" s="115"/>
      <c r="Q279" s="115"/>
      <c r="R279" s="115"/>
      <c r="S279" s="115"/>
      <c r="T279" s="115"/>
      <c r="U279" s="115"/>
    </row>
    <row r="280">
      <c r="A280" s="664"/>
      <c r="B280" s="435"/>
      <c r="C280" s="665"/>
      <c r="D280" s="435"/>
      <c r="E280" s="115"/>
      <c r="F280" s="115"/>
      <c r="G280" s="666"/>
      <c r="H280" s="115"/>
      <c r="I280" s="115"/>
      <c r="J280" s="115"/>
      <c r="K280" s="115"/>
      <c r="L280" s="115"/>
      <c r="M280" s="115"/>
      <c r="N280" s="115"/>
      <c r="O280" s="115"/>
      <c r="P280" s="115"/>
      <c r="Q280" s="115"/>
      <c r="R280" s="115"/>
      <c r="S280" s="115"/>
      <c r="T280" s="115"/>
      <c r="U280" s="115"/>
    </row>
    <row r="281">
      <c r="A281" s="664"/>
      <c r="B281" s="435"/>
      <c r="C281" s="665"/>
      <c r="D281" s="435"/>
      <c r="E281" s="115"/>
      <c r="F281" s="115"/>
      <c r="G281" s="666"/>
      <c r="H281" s="115"/>
      <c r="I281" s="115"/>
      <c r="J281" s="115"/>
      <c r="K281" s="115"/>
      <c r="L281" s="115"/>
      <c r="M281" s="115"/>
      <c r="N281" s="115"/>
      <c r="O281" s="115"/>
      <c r="P281" s="115"/>
      <c r="Q281" s="115"/>
      <c r="R281" s="115"/>
      <c r="S281" s="115"/>
      <c r="T281" s="115"/>
      <c r="U281" s="115"/>
    </row>
    <row r="282">
      <c r="A282" s="664"/>
      <c r="B282" s="435"/>
      <c r="C282" s="665"/>
      <c r="D282" s="435"/>
      <c r="E282" s="115"/>
      <c r="F282" s="115"/>
      <c r="G282" s="666"/>
      <c r="H282" s="115"/>
      <c r="I282" s="115"/>
      <c r="J282" s="115"/>
      <c r="K282" s="115"/>
      <c r="L282" s="115"/>
      <c r="M282" s="115"/>
      <c r="N282" s="115"/>
      <c r="O282" s="115"/>
      <c r="P282" s="115"/>
      <c r="Q282" s="115"/>
      <c r="R282" s="115"/>
      <c r="S282" s="115"/>
      <c r="T282" s="115"/>
      <c r="U282" s="115"/>
    </row>
    <row r="283">
      <c r="A283" s="664"/>
      <c r="B283" s="435"/>
      <c r="C283" s="665"/>
      <c r="D283" s="435"/>
      <c r="E283" s="115"/>
      <c r="F283" s="115"/>
      <c r="G283" s="666"/>
      <c r="H283" s="115"/>
      <c r="I283" s="115"/>
      <c r="J283" s="115"/>
      <c r="K283" s="115"/>
      <c r="L283" s="115"/>
      <c r="M283" s="115"/>
      <c r="N283" s="115"/>
      <c r="O283" s="115"/>
      <c r="P283" s="115"/>
      <c r="Q283" s="115"/>
      <c r="R283" s="115"/>
      <c r="S283" s="115"/>
      <c r="T283" s="115"/>
      <c r="U283" s="115"/>
    </row>
    <row r="284">
      <c r="A284" s="664"/>
      <c r="B284" s="435"/>
      <c r="C284" s="665"/>
      <c r="D284" s="435"/>
      <c r="E284" s="115"/>
      <c r="F284" s="115"/>
      <c r="G284" s="666"/>
      <c r="H284" s="115"/>
      <c r="I284" s="115"/>
      <c r="J284" s="115"/>
      <c r="K284" s="115"/>
      <c r="L284" s="115"/>
      <c r="M284" s="115"/>
      <c r="N284" s="115"/>
      <c r="O284" s="115"/>
      <c r="P284" s="115"/>
      <c r="Q284" s="115"/>
      <c r="R284" s="115"/>
      <c r="S284" s="115"/>
      <c r="T284" s="115"/>
      <c r="U284" s="115"/>
    </row>
    <row r="285">
      <c r="A285" s="664"/>
      <c r="B285" s="435"/>
      <c r="C285" s="665"/>
      <c r="D285" s="435"/>
      <c r="E285" s="115"/>
      <c r="F285" s="115"/>
      <c r="G285" s="666"/>
      <c r="H285" s="115"/>
      <c r="I285" s="115"/>
      <c r="J285" s="115"/>
      <c r="K285" s="115"/>
      <c r="L285" s="115"/>
      <c r="M285" s="115"/>
      <c r="N285" s="115"/>
      <c r="O285" s="115"/>
      <c r="P285" s="115"/>
      <c r="Q285" s="115"/>
      <c r="R285" s="115"/>
      <c r="S285" s="115"/>
      <c r="T285" s="115"/>
      <c r="U285" s="115"/>
    </row>
    <row r="286">
      <c r="A286" s="664"/>
      <c r="B286" s="435"/>
      <c r="C286" s="665"/>
      <c r="D286" s="435"/>
      <c r="E286" s="115"/>
      <c r="F286" s="115"/>
      <c r="G286" s="666"/>
      <c r="H286" s="115"/>
      <c r="I286" s="115"/>
      <c r="J286" s="115"/>
      <c r="K286" s="115"/>
      <c r="L286" s="115"/>
      <c r="M286" s="115"/>
      <c r="N286" s="115"/>
      <c r="O286" s="115"/>
      <c r="P286" s="115"/>
      <c r="Q286" s="115"/>
      <c r="R286" s="115"/>
      <c r="S286" s="115"/>
      <c r="T286" s="115"/>
      <c r="U286" s="115"/>
    </row>
    <row r="287">
      <c r="A287" s="664"/>
      <c r="B287" s="435"/>
      <c r="C287" s="665"/>
      <c r="D287" s="435"/>
      <c r="E287" s="115"/>
      <c r="F287" s="115"/>
      <c r="G287" s="666"/>
      <c r="H287" s="115"/>
      <c r="I287" s="115"/>
      <c r="J287" s="115"/>
      <c r="K287" s="115"/>
      <c r="L287" s="115"/>
      <c r="M287" s="115"/>
      <c r="N287" s="115"/>
      <c r="O287" s="115"/>
      <c r="P287" s="115"/>
      <c r="Q287" s="115"/>
      <c r="R287" s="115"/>
      <c r="S287" s="115"/>
      <c r="T287" s="115"/>
      <c r="U287" s="115"/>
    </row>
    <row r="288">
      <c r="A288" s="664"/>
      <c r="B288" s="435"/>
      <c r="C288" s="665"/>
      <c r="D288" s="435"/>
      <c r="E288" s="115"/>
      <c r="F288" s="115"/>
      <c r="G288" s="666"/>
      <c r="H288" s="115"/>
      <c r="I288" s="115"/>
      <c r="J288" s="115"/>
      <c r="K288" s="115"/>
      <c r="L288" s="115"/>
      <c r="M288" s="115"/>
      <c r="N288" s="115"/>
      <c r="O288" s="115"/>
      <c r="P288" s="115"/>
      <c r="Q288" s="115"/>
      <c r="R288" s="115"/>
      <c r="S288" s="115"/>
      <c r="T288" s="115"/>
      <c r="U288" s="115"/>
    </row>
    <row r="289">
      <c r="A289" s="664"/>
      <c r="B289" s="435"/>
      <c r="C289" s="665"/>
      <c r="D289" s="435"/>
      <c r="E289" s="115"/>
      <c r="F289" s="115"/>
      <c r="G289" s="666"/>
      <c r="H289" s="115"/>
      <c r="I289" s="115"/>
      <c r="J289" s="115"/>
      <c r="K289" s="115"/>
      <c r="L289" s="115"/>
      <c r="M289" s="115"/>
      <c r="N289" s="115"/>
      <c r="O289" s="115"/>
      <c r="P289" s="115"/>
      <c r="Q289" s="115"/>
      <c r="R289" s="115"/>
      <c r="S289" s="115"/>
      <c r="T289" s="115"/>
      <c r="U289" s="115"/>
    </row>
    <row r="290">
      <c r="A290" s="664"/>
      <c r="B290" s="435"/>
      <c r="C290" s="665"/>
      <c r="D290" s="435"/>
      <c r="E290" s="115"/>
      <c r="F290" s="115"/>
      <c r="G290" s="666"/>
      <c r="H290" s="115"/>
      <c r="I290" s="115"/>
      <c r="J290" s="115"/>
      <c r="K290" s="115"/>
      <c r="L290" s="115"/>
      <c r="M290" s="115"/>
      <c r="N290" s="115"/>
      <c r="O290" s="115"/>
      <c r="P290" s="115"/>
      <c r="Q290" s="115"/>
      <c r="R290" s="115"/>
      <c r="S290" s="115"/>
      <c r="T290" s="115"/>
      <c r="U290" s="115"/>
    </row>
    <row r="291">
      <c r="A291" s="664"/>
      <c r="B291" s="435"/>
      <c r="C291" s="665"/>
      <c r="D291" s="435"/>
      <c r="E291" s="115"/>
      <c r="F291" s="115"/>
      <c r="G291" s="666"/>
      <c r="H291" s="115"/>
      <c r="I291" s="115"/>
      <c r="J291" s="115"/>
      <c r="K291" s="115"/>
      <c r="L291" s="115"/>
      <c r="M291" s="115"/>
      <c r="N291" s="115"/>
      <c r="O291" s="115"/>
      <c r="P291" s="115"/>
      <c r="Q291" s="115"/>
      <c r="R291" s="115"/>
      <c r="S291" s="115"/>
      <c r="T291" s="115"/>
      <c r="U291" s="115"/>
    </row>
    <row r="292">
      <c r="A292" s="664"/>
      <c r="B292" s="435"/>
      <c r="C292" s="665"/>
      <c r="D292" s="435"/>
      <c r="E292" s="115"/>
      <c r="F292" s="115"/>
      <c r="G292" s="666"/>
      <c r="H292" s="115"/>
      <c r="I292" s="115"/>
      <c r="J292" s="115"/>
      <c r="K292" s="115"/>
      <c r="L292" s="115"/>
      <c r="M292" s="115"/>
      <c r="N292" s="115"/>
      <c r="O292" s="115"/>
      <c r="P292" s="115"/>
      <c r="Q292" s="115"/>
      <c r="R292" s="115"/>
      <c r="S292" s="115"/>
      <c r="T292" s="115"/>
      <c r="U292" s="115"/>
    </row>
    <row r="293">
      <c r="A293" s="664"/>
      <c r="B293" s="435"/>
      <c r="C293" s="665"/>
      <c r="D293" s="435"/>
      <c r="E293" s="115"/>
      <c r="F293" s="115"/>
      <c r="G293" s="666"/>
      <c r="H293" s="115"/>
      <c r="I293" s="115"/>
      <c r="J293" s="115"/>
      <c r="K293" s="115"/>
      <c r="L293" s="115"/>
      <c r="M293" s="115"/>
      <c r="N293" s="115"/>
      <c r="O293" s="115"/>
      <c r="P293" s="115"/>
      <c r="Q293" s="115"/>
      <c r="R293" s="115"/>
      <c r="S293" s="115"/>
      <c r="T293" s="115"/>
      <c r="U293" s="115"/>
    </row>
    <row r="294">
      <c r="A294" s="664"/>
      <c r="B294" s="435"/>
      <c r="C294" s="665"/>
      <c r="D294" s="435"/>
      <c r="E294" s="115"/>
      <c r="F294" s="115"/>
      <c r="G294" s="666"/>
      <c r="H294" s="115"/>
      <c r="I294" s="115"/>
      <c r="J294" s="115"/>
      <c r="K294" s="115"/>
      <c r="L294" s="115"/>
      <c r="M294" s="115"/>
      <c r="N294" s="115"/>
      <c r="O294" s="115"/>
      <c r="P294" s="115"/>
      <c r="Q294" s="115"/>
      <c r="R294" s="115"/>
      <c r="S294" s="115"/>
      <c r="T294" s="115"/>
      <c r="U294" s="115"/>
    </row>
    <row r="295">
      <c r="A295" s="664"/>
      <c r="B295" s="435"/>
      <c r="C295" s="665"/>
      <c r="D295" s="435"/>
      <c r="E295" s="115"/>
      <c r="F295" s="115"/>
      <c r="G295" s="666"/>
      <c r="H295" s="115"/>
      <c r="I295" s="115"/>
      <c r="J295" s="115"/>
      <c r="K295" s="115"/>
      <c r="L295" s="115"/>
      <c r="M295" s="115"/>
      <c r="N295" s="115"/>
      <c r="O295" s="115"/>
      <c r="P295" s="115"/>
      <c r="Q295" s="115"/>
      <c r="R295" s="115"/>
      <c r="S295" s="115"/>
      <c r="T295" s="115"/>
      <c r="U295" s="115"/>
    </row>
    <row r="296">
      <c r="A296" s="664"/>
      <c r="B296" s="435"/>
      <c r="C296" s="665"/>
      <c r="D296" s="435"/>
      <c r="E296" s="115"/>
      <c r="F296" s="115"/>
      <c r="G296" s="666"/>
      <c r="H296" s="115"/>
      <c r="I296" s="115"/>
      <c r="J296" s="115"/>
      <c r="K296" s="115"/>
      <c r="L296" s="115"/>
      <c r="M296" s="115"/>
      <c r="N296" s="115"/>
      <c r="O296" s="115"/>
      <c r="P296" s="115"/>
      <c r="Q296" s="115"/>
      <c r="R296" s="115"/>
      <c r="S296" s="115"/>
      <c r="T296" s="115"/>
      <c r="U296" s="115"/>
    </row>
    <row r="297">
      <c r="A297" s="664"/>
      <c r="B297" s="435"/>
      <c r="C297" s="665"/>
      <c r="D297" s="435"/>
      <c r="E297" s="115"/>
      <c r="F297" s="115"/>
      <c r="G297" s="666"/>
      <c r="H297" s="115"/>
      <c r="I297" s="115"/>
      <c r="J297" s="115"/>
      <c r="K297" s="115"/>
      <c r="L297" s="115"/>
      <c r="M297" s="115"/>
      <c r="N297" s="115"/>
      <c r="O297" s="115"/>
      <c r="P297" s="115"/>
      <c r="Q297" s="115"/>
      <c r="R297" s="115"/>
      <c r="S297" s="115"/>
      <c r="T297" s="115"/>
      <c r="U297" s="115"/>
    </row>
    <row r="298">
      <c r="A298" s="664"/>
      <c r="B298" s="435"/>
      <c r="C298" s="665"/>
      <c r="D298" s="435"/>
      <c r="E298" s="115"/>
      <c r="F298" s="115"/>
      <c r="G298" s="666"/>
      <c r="H298" s="115"/>
      <c r="I298" s="115"/>
      <c r="J298" s="115"/>
      <c r="K298" s="115"/>
      <c r="L298" s="115"/>
      <c r="M298" s="115"/>
      <c r="N298" s="115"/>
      <c r="O298" s="115"/>
      <c r="P298" s="115"/>
      <c r="Q298" s="115"/>
      <c r="R298" s="115"/>
      <c r="S298" s="115"/>
      <c r="T298" s="115"/>
      <c r="U298" s="115"/>
    </row>
    <row r="299">
      <c r="A299" s="664"/>
      <c r="B299" s="435"/>
      <c r="C299" s="665"/>
      <c r="D299" s="435"/>
      <c r="E299" s="115"/>
      <c r="F299" s="115"/>
      <c r="G299" s="666"/>
      <c r="H299" s="115"/>
      <c r="I299" s="115"/>
      <c r="J299" s="115"/>
      <c r="K299" s="115"/>
      <c r="L299" s="115"/>
      <c r="M299" s="115"/>
      <c r="N299" s="115"/>
      <c r="O299" s="115"/>
      <c r="P299" s="115"/>
      <c r="Q299" s="115"/>
      <c r="R299" s="115"/>
      <c r="S299" s="115"/>
      <c r="T299" s="115"/>
      <c r="U299" s="115"/>
    </row>
    <row r="300">
      <c r="A300" s="664"/>
      <c r="B300" s="435"/>
      <c r="C300" s="665"/>
      <c r="D300" s="435"/>
      <c r="E300" s="115"/>
      <c r="F300" s="115"/>
      <c r="G300" s="666"/>
      <c r="H300" s="115"/>
      <c r="I300" s="115"/>
      <c r="J300" s="115"/>
      <c r="K300" s="115"/>
      <c r="L300" s="115"/>
      <c r="M300" s="115"/>
      <c r="N300" s="115"/>
      <c r="O300" s="115"/>
      <c r="P300" s="115"/>
      <c r="Q300" s="115"/>
      <c r="R300" s="115"/>
      <c r="S300" s="115"/>
      <c r="T300" s="115"/>
      <c r="U300" s="115"/>
    </row>
    <row r="301">
      <c r="A301" s="664"/>
      <c r="B301" s="435"/>
      <c r="C301" s="665"/>
      <c r="D301" s="435"/>
      <c r="E301" s="115"/>
      <c r="F301" s="115"/>
      <c r="G301" s="666"/>
      <c r="H301" s="115"/>
      <c r="I301" s="115"/>
      <c r="J301" s="115"/>
      <c r="K301" s="115"/>
      <c r="L301" s="115"/>
      <c r="M301" s="115"/>
      <c r="N301" s="115"/>
      <c r="O301" s="115"/>
      <c r="P301" s="115"/>
      <c r="Q301" s="115"/>
      <c r="R301" s="115"/>
      <c r="S301" s="115"/>
      <c r="T301" s="115"/>
      <c r="U301" s="115"/>
    </row>
    <row r="302">
      <c r="A302" s="664"/>
      <c r="B302" s="435"/>
      <c r="C302" s="665"/>
      <c r="D302" s="435"/>
      <c r="E302" s="115"/>
      <c r="F302" s="115"/>
      <c r="G302" s="666"/>
      <c r="H302" s="115"/>
      <c r="I302" s="115"/>
      <c r="J302" s="115"/>
      <c r="K302" s="115"/>
      <c r="L302" s="115"/>
      <c r="M302" s="115"/>
      <c r="N302" s="115"/>
      <c r="O302" s="115"/>
      <c r="P302" s="115"/>
      <c r="Q302" s="115"/>
      <c r="R302" s="115"/>
      <c r="S302" s="115"/>
      <c r="T302" s="115"/>
      <c r="U302" s="115"/>
    </row>
    <row r="303">
      <c r="A303" s="664"/>
      <c r="B303" s="435"/>
      <c r="C303" s="665"/>
      <c r="D303" s="435"/>
      <c r="E303" s="115"/>
      <c r="F303" s="115"/>
      <c r="G303" s="666"/>
      <c r="H303" s="115"/>
      <c r="I303" s="115"/>
      <c r="J303" s="115"/>
      <c r="K303" s="115"/>
      <c r="L303" s="115"/>
      <c r="M303" s="115"/>
      <c r="N303" s="115"/>
      <c r="O303" s="115"/>
      <c r="P303" s="115"/>
      <c r="Q303" s="115"/>
      <c r="R303" s="115"/>
      <c r="S303" s="115"/>
      <c r="T303" s="115"/>
      <c r="U303" s="115"/>
    </row>
    <row r="304">
      <c r="A304" s="664"/>
      <c r="B304" s="435"/>
      <c r="C304" s="665"/>
      <c r="D304" s="435"/>
      <c r="E304" s="115"/>
      <c r="F304" s="115"/>
      <c r="G304" s="666"/>
      <c r="H304" s="115"/>
      <c r="I304" s="115"/>
      <c r="J304" s="115"/>
      <c r="K304" s="115"/>
      <c r="L304" s="115"/>
      <c r="M304" s="115"/>
      <c r="N304" s="115"/>
      <c r="O304" s="115"/>
      <c r="P304" s="115"/>
      <c r="Q304" s="115"/>
      <c r="R304" s="115"/>
      <c r="S304" s="115"/>
      <c r="T304" s="115"/>
      <c r="U304" s="115"/>
    </row>
    <row r="305">
      <c r="A305" s="664"/>
      <c r="B305" s="435"/>
      <c r="C305" s="665"/>
      <c r="D305" s="435"/>
      <c r="E305" s="115"/>
      <c r="F305" s="115"/>
      <c r="G305" s="666"/>
      <c r="H305" s="115"/>
      <c r="I305" s="115"/>
      <c r="J305" s="115"/>
      <c r="K305" s="115"/>
      <c r="L305" s="115"/>
      <c r="M305" s="115"/>
      <c r="N305" s="115"/>
      <c r="O305" s="115"/>
      <c r="P305" s="115"/>
      <c r="Q305" s="115"/>
      <c r="R305" s="115"/>
      <c r="S305" s="115"/>
      <c r="T305" s="115"/>
      <c r="U305" s="115"/>
    </row>
    <row r="306">
      <c r="A306" s="664"/>
      <c r="B306" s="435"/>
      <c r="C306" s="665"/>
      <c r="D306" s="435"/>
      <c r="E306" s="115"/>
      <c r="F306" s="115"/>
      <c r="G306" s="666"/>
      <c r="H306" s="115"/>
      <c r="I306" s="115"/>
      <c r="J306" s="115"/>
      <c r="K306" s="115"/>
      <c r="L306" s="115"/>
      <c r="M306" s="115"/>
      <c r="N306" s="115"/>
      <c r="O306" s="115"/>
      <c r="P306" s="115"/>
      <c r="Q306" s="115"/>
      <c r="R306" s="115"/>
      <c r="S306" s="115"/>
      <c r="T306" s="115"/>
      <c r="U306" s="115"/>
    </row>
    <row r="307">
      <c r="A307" s="664"/>
      <c r="B307" s="435"/>
      <c r="C307" s="665"/>
      <c r="D307" s="435"/>
      <c r="E307" s="115"/>
      <c r="F307" s="115"/>
      <c r="G307" s="666"/>
      <c r="H307" s="115"/>
      <c r="I307" s="115"/>
      <c r="J307" s="115"/>
      <c r="K307" s="115"/>
      <c r="L307" s="115"/>
      <c r="M307" s="115"/>
      <c r="N307" s="115"/>
      <c r="O307" s="115"/>
      <c r="P307" s="115"/>
      <c r="Q307" s="115"/>
      <c r="R307" s="115"/>
      <c r="S307" s="115"/>
      <c r="T307" s="115"/>
      <c r="U307" s="115"/>
    </row>
    <row r="308">
      <c r="A308" s="664"/>
      <c r="B308" s="682"/>
      <c r="C308" s="665"/>
      <c r="D308" s="435"/>
      <c r="E308" s="115"/>
      <c r="F308" s="115"/>
      <c r="G308" s="666"/>
      <c r="H308" s="115"/>
      <c r="I308" s="115"/>
      <c r="J308" s="115"/>
      <c r="K308" s="115"/>
      <c r="L308" s="115"/>
      <c r="M308" s="115"/>
      <c r="N308" s="115"/>
      <c r="O308" s="115"/>
      <c r="P308" s="115"/>
      <c r="Q308" s="115"/>
      <c r="R308" s="115"/>
      <c r="S308" s="115"/>
      <c r="T308" s="115"/>
      <c r="U308" s="115"/>
    </row>
    <row r="309">
      <c r="A309" s="664"/>
      <c r="B309" s="435"/>
      <c r="C309" s="665"/>
      <c r="D309" s="115"/>
      <c r="E309" s="115"/>
      <c r="F309" s="115"/>
      <c r="G309" s="666"/>
      <c r="H309" s="115"/>
      <c r="I309" s="115"/>
      <c r="J309" s="115"/>
      <c r="K309" s="115"/>
      <c r="L309" s="115"/>
      <c r="M309" s="115"/>
      <c r="N309" s="115"/>
      <c r="O309" s="115"/>
      <c r="P309" s="115"/>
      <c r="Q309" s="115"/>
      <c r="R309" s="115"/>
      <c r="S309" s="115"/>
      <c r="T309" s="115"/>
      <c r="U309" s="115"/>
    </row>
    <row r="310">
      <c r="A310" s="664"/>
      <c r="B310" s="435"/>
      <c r="C310" s="665"/>
      <c r="D310" s="435"/>
      <c r="E310" s="115"/>
      <c r="F310" s="665"/>
      <c r="G310" s="666"/>
      <c r="H310" s="115"/>
      <c r="I310" s="115"/>
      <c r="J310" s="115"/>
      <c r="K310" s="115"/>
      <c r="L310" s="115"/>
      <c r="M310" s="115"/>
      <c r="N310" s="115"/>
      <c r="O310" s="115"/>
      <c r="P310" s="115"/>
      <c r="Q310" s="115"/>
      <c r="R310" s="115"/>
      <c r="S310" s="115"/>
      <c r="T310" s="115"/>
      <c r="U310" s="115"/>
    </row>
    <row r="311">
      <c r="A311" s="664"/>
      <c r="B311" s="435"/>
      <c r="C311" s="665"/>
      <c r="D311" s="435"/>
      <c r="E311" s="115"/>
      <c r="F311" s="115"/>
      <c r="G311" s="666"/>
      <c r="H311" s="115"/>
      <c r="I311" s="115"/>
      <c r="J311" s="115"/>
      <c r="K311" s="115"/>
      <c r="L311" s="115"/>
      <c r="M311" s="115"/>
      <c r="N311" s="115"/>
      <c r="O311" s="115"/>
      <c r="P311" s="115"/>
      <c r="Q311" s="115"/>
      <c r="R311" s="115"/>
      <c r="S311" s="115"/>
      <c r="T311" s="115"/>
      <c r="U311" s="115"/>
    </row>
    <row r="312">
      <c r="A312" s="664"/>
      <c r="B312" s="435"/>
      <c r="C312" s="665"/>
      <c r="D312" s="435"/>
      <c r="E312" s="115"/>
      <c r="F312" s="115"/>
      <c r="G312" s="666"/>
      <c r="H312" s="115"/>
      <c r="I312" s="115"/>
      <c r="J312" s="115"/>
      <c r="K312" s="115"/>
      <c r="L312" s="115"/>
      <c r="M312" s="115"/>
      <c r="N312" s="115"/>
      <c r="O312" s="115"/>
      <c r="P312" s="115"/>
      <c r="Q312" s="115"/>
      <c r="R312" s="115"/>
      <c r="S312" s="115"/>
      <c r="T312" s="115"/>
      <c r="U312" s="115"/>
    </row>
    <row r="313">
      <c r="A313" s="664"/>
      <c r="B313" s="435"/>
      <c r="C313" s="665"/>
      <c r="D313" s="435"/>
      <c r="E313" s="115"/>
      <c r="F313" s="115"/>
      <c r="G313" s="666"/>
      <c r="H313" s="115"/>
      <c r="I313" s="115"/>
      <c r="J313" s="115"/>
      <c r="K313" s="115"/>
      <c r="L313" s="115"/>
      <c r="M313" s="115"/>
      <c r="N313" s="115"/>
      <c r="O313" s="115"/>
      <c r="P313" s="115"/>
      <c r="Q313" s="115"/>
      <c r="R313" s="115"/>
      <c r="S313" s="115"/>
      <c r="T313" s="115"/>
      <c r="U313" s="115"/>
    </row>
    <row r="314">
      <c r="A314" s="664"/>
      <c r="B314" s="435"/>
      <c r="C314" s="665"/>
      <c r="D314" s="435"/>
      <c r="E314" s="115"/>
      <c r="F314" s="115"/>
      <c r="G314" s="666"/>
      <c r="H314" s="115"/>
      <c r="I314" s="115"/>
      <c r="J314" s="115"/>
      <c r="K314" s="115"/>
      <c r="L314" s="115"/>
      <c r="M314" s="115"/>
      <c r="N314" s="115"/>
      <c r="O314" s="115"/>
      <c r="P314" s="115"/>
      <c r="Q314" s="115"/>
      <c r="R314" s="115"/>
      <c r="S314" s="115"/>
      <c r="T314" s="115"/>
      <c r="U314" s="115"/>
    </row>
    <row r="315">
      <c r="A315" s="664"/>
      <c r="B315" s="435"/>
      <c r="C315" s="665"/>
      <c r="D315" s="435"/>
      <c r="E315" s="115"/>
      <c r="F315" s="115"/>
      <c r="G315" s="666"/>
      <c r="H315" s="115"/>
      <c r="I315" s="115"/>
      <c r="J315" s="115"/>
      <c r="K315" s="115"/>
      <c r="L315" s="115"/>
      <c r="M315" s="115"/>
      <c r="N315" s="115"/>
      <c r="O315" s="115"/>
      <c r="P315" s="115"/>
      <c r="Q315" s="115"/>
      <c r="R315" s="115"/>
      <c r="S315" s="115"/>
      <c r="T315" s="115"/>
      <c r="U315" s="115"/>
    </row>
    <row r="316">
      <c r="A316" s="664"/>
      <c r="B316" s="435"/>
      <c r="C316" s="665"/>
      <c r="D316" s="435"/>
      <c r="E316" s="115"/>
      <c r="F316" s="115"/>
      <c r="G316" s="666"/>
      <c r="H316" s="115"/>
      <c r="I316" s="115"/>
      <c r="J316" s="115"/>
      <c r="K316" s="115"/>
      <c r="L316" s="115"/>
      <c r="M316" s="115"/>
      <c r="N316" s="115"/>
      <c r="O316" s="115"/>
      <c r="P316" s="115"/>
      <c r="Q316" s="115"/>
      <c r="R316" s="115"/>
      <c r="S316" s="115"/>
      <c r="T316" s="115"/>
      <c r="U316" s="115"/>
    </row>
    <row r="317">
      <c r="A317" s="664"/>
      <c r="B317" s="435"/>
      <c r="C317" s="665"/>
      <c r="D317" s="435"/>
      <c r="E317" s="115"/>
      <c r="F317" s="115"/>
      <c r="G317" s="666"/>
      <c r="H317" s="115"/>
      <c r="I317" s="115"/>
      <c r="J317" s="115"/>
      <c r="K317" s="115"/>
      <c r="L317" s="115"/>
      <c r="M317" s="115"/>
      <c r="N317" s="115"/>
      <c r="O317" s="115"/>
      <c r="P317" s="115"/>
      <c r="Q317" s="115"/>
      <c r="R317" s="115"/>
      <c r="S317" s="115"/>
      <c r="T317" s="115"/>
      <c r="U317" s="115"/>
    </row>
    <row r="318">
      <c r="A318" s="664"/>
      <c r="B318" s="435"/>
      <c r="C318" s="665"/>
      <c r="D318" s="435"/>
      <c r="E318" s="115"/>
      <c r="F318" s="115"/>
      <c r="G318" s="666"/>
      <c r="H318" s="115"/>
      <c r="I318" s="115"/>
      <c r="J318" s="115"/>
      <c r="K318" s="115"/>
      <c r="L318" s="115"/>
      <c r="M318" s="115"/>
      <c r="N318" s="115"/>
      <c r="O318" s="115"/>
      <c r="P318" s="115"/>
      <c r="Q318" s="115"/>
      <c r="R318" s="115"/>
      <c r="S318" s="115"/>
      <c r="T318" s="115"/>
      <c r="U318" s="115"/>
    </row>
    <row r="319">
      <c r="A319" s="664"/>
      <c r="B319" s="435"/>
      <c r="C319" s="665"/>
      <c r="D319" s="435"/>
      <c r="E319" s="115"/>
      <c r="F319" s="115"/>
      <c r="G319" s="666"/>
      <c r="H319" s="115"/>
      <c r="I319" s="115"/>
      <c r="J319" s="115"/>
      <c r="K319" s="115"/>
      <c r="L319" s="115"/>
      <c r="M319" s="115"/>
      <c r="N319" s="115"/>
      <c r="O319" s="115"/>
      <c r="P319" s="115"/>
      <c r="Q319" s="115"/>
      <c r="R319" s="115"/>
      <c r="S319" s="115"/>
      <c r="T319" s="115"/>
      <c r="U319" s="115"/>
    </row>
    <row r="320">
      <c r="A320" s="664"/>
      <c r="B320" s="435"/>
      <c r="C320" s="665"/>
      <c r="D320" s="435"/>
      <c r="E320" s="115"/>
      <c r="F320" s="115"/>
      <c r="G320" s="666"/>
      <c r="H320" s="115"/>
      <c r="I320" s="115"/>
      <c r="J320" s="115"/>
      <c r="K320" s="115"/>
      <c r="L320" s="115"/>
      <c r="M320" s="115"/>
      <c r="N320" s="115"/>
      <c r="O320" s="115"/>
      <c r="P320" s="115"/>
      <c r="Q320" s="115"/>
      <c r="R320" s="115"/>
      <c r="S320" s="115"/>
      <c r="T320" s="115"/>
      <c r="U320" s="115"/>
    </row>
    <row r="321">
      <c r="A321" s="664"/>
      <c r="B321" s="435"/>
      <c r="C321" s="665"/>
      <c r="D321" s="435"/>
      <c r="E321" s="115"/>
      <c r="F321" s="115"/>
      <c r="G321" s="666"/>
      <c r="H321" s="115"/>
      <c r="I321" s="115"/>
      <c r="J321" s="115"/>
      <c r="K321" s="115"/>
      <c r="L321" s="115"/>
      <c r="M321" s="115"/>
      <c r="N321" s="115"/>
      <c r="O321" s="115"/>
      <c r="P321" s="115"/>
      <c r="Q321" s="115"/>
      <c r="R321" s="115"/>
      <c r="S321" s="115"/>
      <c r="T321" s="115"/>
      <c r="U321" s="115"/>
    </row>
    <row r="322">
      <c r="A322" s="664"/>
      <c r="B322" s="435"/>
      <c r="C322" s="665"/>
      <c r="D322" s="435"/>
      <c r="E322" s="115"/>
      <c r="F322" s="115"/>
      <c r="G322" s="666"/>
      <c r="H322" s="115"/>
      <c r="I322" s="115"/>
      <c r="J322" s="115"/>
      <c r="K322" s="115"/>
      <c r="L322" s="115"/>
      <c r="M322" s="115"/>
      <c r="N322" s="115"/>
      <c r="O322" s="115"/>
      <c r="P322" s="115"/>
      <c r="Q322" s="115"/>
      <c r="R322" s="115"/>
      <c r="S322" s="115"/>
      <c r="T322" s="115"/>
      <c r="U322" s="115"/>
    </row>
    <row r="323">
      <c r="A323" s="664"/>
      <c r="B323" s="435"/>
      <c r="C323" s="665"/>
      <c r="D323" s="435"/>
      <c r="E323" s="115"/>
      <c r="F323" s="115"/>
      <c r="G323" s="666"/>
      <c r="H323" s="115"/>
      <c r="I323" s="115"/>
      <c r="J323" s="115"/>
      <c r="K323" s="115"/>
      <c r="L323" s="115"/>
      <c r="M323" s="115"/>
      <c r="N323" s="115"/>
      <c r="O323" s="115"/>
      <c r="P323" s="115"/>
      <c r="Q323" s="115"/>
      <c r="R323" s="115"/>
      <c r="S323" s="115"/>
      <c r="T323" s="115"/>
      <c r="U323" s="115"/>
    </row>
    <row r="324">
      <c r="A324" s="664"/>
      <c r="B324" s="435"/>
      <c r="C324" s="665"/>
      <c r="D324" s="435"/>
      <c r="E324" s="115"/>
      <c r="F324" s="115"/>
      <c r="G324" s="666"/>
      <c r="H324" s="115"/>
      <c r="I324" s="115"/>
      <c r="J324" s="115"/>
      <c r="K324" s="115"/>
      <c r="L324" s="115"/>
      <c r="M324" s="115"/>
      <c r="N324" s="115"/>
      <c r="O324" s="115"/>
      <c r="P324" s="115"/>
      <c r="Q324" s="115"/>
      <c r="R324" s="115"/>
      <c r="S324" s="115"/>
      <c r="T324" s="115"/>
      <c r="U324" s="115"/>
    </row>
    <row r="325">
      <c r="A325" s="664"/>
      <c r="B325" s="435"/>
      <c r="C325" s="665"/>
      <c r="D325" s="435"/>
      <c r="E325" s="115"/>
      <c r="F325" s="115"/>
      <c r="G325" s="666"/>
      <c r="H325" s="115"/>
      <c r="I325" s="115"/>
      <c r="J325" s="115"/>
      <c r="K325" s="115"/>
      <c r="L325" s="115"/>
      <c r="M325" s="115"/>
      <c r="N325" s="115"/>
      <c r="O325" s="115"/>
      <c r="P325" s="115"/>
      <c r="Q325" s="115"/>
      <c r="R325" s="115"/>
      <c r="S325" s="115"/>
      <c r="T325" s="115"/>
      <c r="U325" s="115"/>
    </row>
    <row r="326">
      <c r="A326" s="664"/>
      <c r="B326" s="435"/>
      <c r="C326" s="665"/>
      <c r="D326" s="435"/>
      <c r="E326" s="115"/>
      <c r="F326" s="115"/>
      <c r="G326" s="666"/>
      <c r="H326" s="115"/>
      <c r="I326" s="115"/>
      <c r="J326" s="115"/>
      <c r="K326" s="115"/>
      <c r="L326" s="115"/>
      <c r="M326" s="115"/>
      <c r="N326" s="115"/>
      <c r="O326" s="115"/>
      <c r="P326" s="115"/>
      <c r="Q326" s="115"/>
      <c r="R326" s="115"/>
      <c r="S326" s="115"/>
      <c r="T326" s="115"/>
      <c r="U326" s="115"/>
    </row>
    <row r="327">
      <c r="A327" s="664"/>
      <c r="B327" s="435"/>
      <c r="C327" s="665"/>
      <c r="D327" s="435"/>
      <c r="E327" s="115"/>
      <c r="F327" s="115"/>
      <c r="G327" s="666"/>
      <c r="H327" s="115"/>
      <c r="I327" s="115"/>
      <c r="J327" s="115"/>
      <c r="K327" s="115"/>
      <c r="L327" s="115"/>
      <c r="M327" s="115"/>
      <c r="N327" s="115"/>
      <c r="O327" s="115"/>
      <c r="P327" s="115"/>
      <c r="Q327" s="115"/>
      <c r="R327" s="115"/>
      <c r="S327" s="115"/>
      <c r="T327" s="115"/>
      <c r="U327" s="115"/>
    </row>
    <row r="328">
      <c r="A328" s="664"/>
      <c r="B328" s="435"/>
      <c r="C328" s="665"/>
      <c r="D328" s="435"/>
      <c r="E328" s="115"/>
      <c r="F328" s="115"/>
      <c r="G328" s="666"/>
      <c r="H328" s="115"/>
      <c r="I328" s="115"/>
      <c r="J328" s="115"/>
      <c r="K328" s="115"/>
      <c r="L328" s="115"/>
      <c r="M328" s="115"/>
      <c r="N328" s="115"/>
      <c r="O328" s="115"/>
      <c r="P328" s="115"/>
      <c r="Q328" s="115"/>
      <c r="R328" s="115"/>
      <c r="S328" s="115"/>
      <c r="T328" s="115"/>
      <c r="U328" s="115"/>
    </row>
    <row r="329">
      <c r="A329" s="664"/>
      <c r="B329" s="435"/>
      <c r="C329" s="665"/>
      <c r="D329" s="435"/>
      <c r="E329" s="115"/>
      <c r="F329" s="115"/>
      <c r="G329" s="666"/>
      <c r="H329" s="115"/>
      <c r="I329" s="115"/>
      <c r="J329" s="115"/>
      <c r="K329" s="115"/>
      <c r="L329" s="115"/>
      <c r="M329" s="115"/>
      <c r="N329" s="115"/>
      <c r="O329" s="115"/>
      <c r="P329" s="115"/>
      <c r="Q329" s="115"/>
      <c r="R329" s="115"/>
      <c r="S329" s="115"/>
      <c r="T329" s="115"/>
      <c r="U329" s="115"/>
    </row>
    <row r="330">
      <c r="A330" s="664"/>
      <c r="B330" s="435"/>
      <c r="C330" s="665"/>
      <c r="D330" s="435"/>
      <c r="E330" s="115"/>
      <c r="F330" s="115"/>
      <c r="G330" s="666"/>
      <c r="H330" s="115"/>
      <c r="I330" s="115"/>
      <c r="J330" s="115"/>
      <c r="K330" s="115"/>
      <c r="L330" s="115"/>
      <c r="M330" s="115"/>
      <c r="N330" s="115"/>
      <c r="O330" s="115"/>
      <c r="P330" s="115"/>
      <c r="Q330" s="115"/>
      <c r="R330" s="115"/>
      <c r="S330" s="115"/>
      <c r="T330" s="115"/>
      <c r="U330" s="115"/>
    </row>
    <row r="331">
      <c r="A331" s="664"/>
      <c r="B331" s="435"/>
      <c r="C331" s="665"/>
      <c r="D331" s="435"/>
      <c r="E331" s="115"/>
      <c r="F331" s="115"/>
      <c r="G331" s="666"/>
      <c r="H331" s="115"/>
      <c r="I331" s="115"/>
      <c r="J331" s="115"/>
      <c r="K331" s="115"/>
      <c r="L331" s="115"/>
      <c r="M331" s="115"/>
      <c r="N331" s="115"/>
      <c r="O331" s="115"/>
      <c r="P331" s="115"/>
      <c r="Q331" s="115"/>
      <c r="R331" s="115"/>
      <c r="S331" s="115"/>
      <c r="T331" s="115"/>
      <c r="U331" s="115"/>
    </row>
    <row r="332">
      <c r="A332" s="664"/>
      <c r="B332" s="435"/>
      <c r="C332" s="665"/>
      <c r="D332" s="435"/>
      <c r="E332" s="115"/>
      <c r="F332" s="115"/>
      <c r="G332" s="666"/>
      <c r="H332" s="115"/>
      <c r="I332" s="115"/>
      <c r="J332" s="115"/>
      <c r="K332" s="115"/>
      <c r="L332" s="115"/>
      <c r="M332" s="115"/>
      <c r="N332" s="115"/>
      <c r="O332" s="115"/>
      <c r="P332" s="115"/>
      <c r="Q332" s="115"/>
      <c r="R332" s="115"/>
      <c r="S332" s="115"/>
      <c r="T332" s="115"/>
      <c r="U332" s="115"/>
    </row>
    <row r="333">
      <c r="A333" s="664"/>
      <c r="B333" s="435"/>
      <c r="C333" s="665"/>
      <c r="D333" s="435"/>
      <c r="E333" s="115"/>
      <c r="F333" s="115"/>
      <c r="G333" s="666"/>
      <c r="H333" s="115"/>
      <c r="I333" s="115"/>
      <c r="J333" s="115"/>
      <c r="K333" s="115"/>
      <c r="L333" s="115"/>
      <c r="M333" s="115"/>
      <c r="N333" s="115"/>
      <c r="O333" s="115"/>
      <c r="P333" s="115"/>
      <c r="Q333" s="115"/>
      <c r="R333" s="115"/>
      <c r="S333" s="115"/>
      <c r="T333" s="115"/>
      <c r="U333" s="115"/>
    </row>
    <row r="334">
      <c r="A334" s="664"/>
      <c r="B334" s="435"/>
      <c r="C334" s="665"/>
      <c r="D334" s="435"/>
      <c r="E334" s="115"/>
      <c r="F334" s="115"/>
      <c r="G334" s="666"/>
      <c r="H334" s="115"/>
      <c r="I334" s="115"/>
      <c r="J334" s="115"/>
      <c r="K334" s="115"/>
      <c r="L334" s="115"/>
      <c r="M334" s="115"/>
      <c r="N334" s="115"/>
      <c r="O334" s="115"/>
      <c r="P334" s="115"/>
      <c r="Q334" s="115"/>
      <c r="R334" s="115"/>
      <c r="S334" s="115"/>
      <c r="T334" s="115"/>
      <c r="U334" s="115"/>
    </row>
    <row r="335">
      <c r="A335" s="664"/>
      <c r="B335" s="435"/>
      <c r="C335" s="665"/>
      <c r="D335" s="435"/>
      <c r="E335" s="115"/>
      <c r="F335" s="115"/>
      <c r="G335" s="666"/>
      <c r="H335" s="115"/>
      <c r="I335" s="115"/>
      <c r="J335" s="115"/>
      <c r="K335" s="115"/>
      <c r="L335" s="115"/>
      <c r="M335" s="115"/>
      <c r="N335" s="115"/>
      <c r="O335" s="115"/>
      <c r="P335" s="115"/>
      <c r="Q335" s="115"/>
      <c r="R335" s="115"/>
      <c r="S335" s="115"/>
      <c r="T335" s="115"/>
      <c r="U335" s="115"/>
    </row>
    <row r="336">
      <c r="A336" s="664"/>
      <c r="B336" s="435"/>
      <c r="C336" s="665"/>
      <c r="D336" s="435"/>
      <c r="E336" s="115"/>
      <c r="F336" s="115"/>
      <c r="G336" s="666"/>
      <c r="H336" s="115"/>
      <c r="I336" s="115"/>
      <c r="J336" s="115"/>
      <c r="K336" s="115"/>
      <c r="L336" s="115"/>
      <c r="M336" s="115"/>
      <c r="N336" s="115"/>
      <c r="O336" s="115"/>
      <c r="P336" s="115"/>
      <c r="Q336" s="115"/>
      <c r="R336" s="115"/>
      <c r="S336" s="115"/>
      <c r="T336" s="115"/>
      <c r="U336" s="115"/>
    </row>
    <row r="337">
      <c r="A337" s="664"/>
      <c r="B337" s="435"/>
      <c r="C337" s="665"/>
      <c r="D337" s="435"/>
      <c r="E337" s="115"/>
      <c r="F337" s="115"/>
      <c r="G337" s="666"/>
      <c r="H337" s="115"/>
      <c r="I337" s="115"/>
      <c r="J337" s="115"/>
      <c r="K337" s="115"/>
      <c r="L337" s="115"/>
      <c r="M337" s="115"/>
      <c r="N337" s="115"/>
      <c r="O337" s="115"/>
      <c r="P337" s="115"/>
      <c r="Q337" s="115"/>
      <c r="R337" s="115"/>
      <c r="S337" s="115"/>
      <c r="T337" s="115"/>
      <c r="U337" s="115"/>
    </row>
    <row r="338">
      <c r="A338" s="664"/>
      <c r="B338" s="435"/>
      <c r="C338" s="665"/>
      <c r="D338" s="435"/>
      <c r="E338" s="115"/>
      <c r="F338" s="115"/>
      <c r="G338" s="666"/>
      <c r="H338" s="115"/>
      <c r="I338" s="115"/>
      <c r="J338" s="115"/>
      <c r="K338" s="115"/>
      <c r="L338" s="115"/>
      <c r="M338" s="115"/>
      <c r="N338" s="115"/>
      <c r="O338" s="115"/>
      <c r="P338" s="115"/>
      <c r="Q338" s="115"/>
      <c r="R338" s="115"/>
      <c r="S338" s="115"/>
      <c r="T338" s="115"/>
      <c r="U338" s="115"/>
    </row>
    <row r="339">
      <c r="A339" s="664"/>
      <c r="B339" s="435"/>
      <c r="C339" s="665"/>
      <c r="D339" s="435"/>
      <c r="E339" s="115"/>
      <c r="F339" s="115"/>
      <c r="G339" s="666"/>
      <c r="H339" s="115"/>
      <c r="I339" s="115"/>
      <c r="J339" s="115"/>
      <c r="K339" s="115"/>
      <c r="L339" s="115"/>
      <c r="M339" s="115"/>
      <c r="N339" s="115"/>
      <c r="O339" s="115"/>
      <c r="P339" s="115"/>
      <c r="Q339" s="115"/>
      <c r="R339" s="115"/>
      <c r="S339" s="115"/>
      <c r="T339" s="115"/>
      <c r="U339" s="115"/>
    </row>
    <row r="340">
      <c r="A340" s="664"/>
      <c r="B340" s="435"/>
      <c r="C340" s="665"/>
      <c r="D340" s="435"/>
      <c r="E340" s="115"/>
      <c r="F340" s="115"/>
      <c r="G340" s="666"/>
      <c r="H340" s="115"/>
      <c r="I340" s="115"/>
      <c r="J340" s="115"/>
      <c r="K340" s="115"/>
      <c r="L340" s="115"/>
      <c r="M340" s="115"/>
      <c r="N340" s="115"/>
      <c r="O340" s="115"/>
      <c r="P340" s="115"/>
      <c r="Q340" s="115"/>
      <c r="R340" s="115"/>
      <c r="S340" s="115"/>
      <c r="T340" s="115"/>
      <c r="U340" s="115"/>
    </row>
    <row r="341">
      <c r="A341" s="664"/>
      <c r="B341" s="435"/>
      <c r="C341" s="665"/>
      <c r="D341" s="435"/>
      <c r="E341" s="115"/>
      <c r="F341" s="115"/>
      <c r="G341" s="666"/>
      <c r="H341" s="115"/>
      <c r="I341" s="115"/>
      <c r="J341" s="115"/>
      <c r="K341" s="115"/>
      <c r="L341" s="115"/>
      <c r="M341" s="115"/>
      <c r="N341" s="115"/>
      <c r="O341" s="115"/>
      <c r="P341" s="115"/>
      <c r="Q341" s="115"/>
      <c r="R341" s="115"/>
      <c r="S341" s="115"/>
      <c r="T341" s="115"/>
      <c r="U341" s="115"/>
    </row>
    <row r="342">
      <c r="A342" s="664"/>
      <c r="B342" s="435"/>
      <c r="C342" s="665"/>
      <c r="D342" s="435"/>
      <c r="E342" s="115"/>
      <c r="F342" s="115"/>
      <c r="G342" s="666"/>
      <c r="H342" s="115"/>
      <c r="I342" s="115"/>
      <c r="J342" s="115"/>
      <c r="K342" s="115"/>
      <c r="L342" s="115"/>
      <c r="M342" s="115"/>
      <c r="N342" s="115"/>
      <c r="O342" s="115"/>
      <c r="P342" s="115"/>
      <c r="Q342" s="115"/>
      <c r="R342" s="115"/>
      <c r="S342" s="115"/>
      <c r="T342" s="115"/>
      <c r="U342" s="115"/>
    </row>
    <row r="343">
      <c r="A343" s="664"/>
      <c r="B343" s="435"/>
      <c r="C343" s="665"/>
      <c r="D343" s="435"/>
      <c r="E343" s="115"/>
      <c r="F343" s="115"/>
      <c r="G343" s="666"/>
      <c r="H343" s="115"/>
      <c r="I343" s="115"/>
      <c r="J343" s="115"/>
      <c r="K343" s="115"/>
      <c r="L343" s="115"/>
      <c r="M343" s="115"/>
      <c r="N343" s="115"/>
      <c r="O343" s="115"/>
      <c r="P343" s="115"/>
      <c r="Q343" s="115"/>
      <c r="R343" s="115"/>
      <c r="S343" s="115"/>
      <c r="T343" s="115"/>
      <c r="U343" s="115"/>
    </row>
    <row r="344">
      <c r="A344" s="664"/>
      <c r="B344" s="435"/>
      <c r="C344" s="665"/>
      <c r="D344" s="435"/>
      <c r="E344" s="115"/>
      <c r="F344" s="115"/>
      <c r="G344" s="666"/>
      <c r="H344" s="115"/>
      <c r="I344" s="115"/>
      <c r="J344" s="115"/>
      <c r="K344" s="115"/>
      <c r="L344" s="115"/>
      <c r="M344" s="115"/>
      <c r="N344" s="115"/>
      <c r="O344" s="115"/>
      <c r="P344" s="115"/>
      <c r="Q344" s="115"/>
      <c r="R344" s="115"/>
      <c r="S344" s="115"/>
      <c r="T344" s="115"/>
      <c r="U344" s="115"/>
    </row>
    <row r="345">
      <c r="A345" s="664"/>
      <c r="B345" s="435"/>
      <c r="C345" s="665"/>
      <c r="D345" s="435"/>
      <c r="E345" s="115"/>
      <c r="F345" s="115"/>
      <c r="G345" s="666"/>
      <c r="H345" s="115"/>
      <c r="I345" s="115"/>
      <c r="J345" s="115"/>
      <c r="K345" s="115"/>
      <c r="L345" s="115"/>
      <c r="M345" s="115"/>
      <c r="N345" s="115"/>
      <c r="O345" s="115"/>
      <c r="P345" s="115"/>
      <c r="Q345" s="115"/>
      <c r="R345" s="115"/>
      <c r="S345" s="115"/>
      <c r="T345" s="115"/>
      <c r="U345" s="115"/>
    </row>
    <row r="346">
      <c r="A346" s="664"/>
      <c r="B346" s="435"/>
      <c r="C346" s="665"/>
      <c r="D346" s="435"/>
      <c r="E346" s="115"/>
      <c r="F346" s="115"/>
      <c r="G346" s="666"/>
      <c r="H346" s="115"/>
      <c r="I346" s="115"/>
      <c r="J346" s="115"/>
      <c r="K346" s="115"/>
      <c r="L346" s="115"/>
      <c r="M346" s="115"/>
      <c r="N346" s="115"/>
      <c r="O346" s="115"/>
      <c r="P346" s="115"/>
      <c r="Q346" s="115"/>
      <c r="R346" s="115"/>
      <c r="S346" s="115"/>
      <c r="T346" s="115"/>
      <c r="U346" s="115"/>
    </row>
    <row r="347">
      <c r="A347" s="664"/>
      <c r="B347" s="435"/>
      <c r="C347" s="665"/>
      <c r="D347" s="435"/>
      <c r="E347" s="115"/>
      <c r="F347" s="115"/>
      <c r="G347" s="666"/>
      <c r="H347" s="115"/>
      <c r="I347" s="115"/>
      <c r="J347" s="115"/>
      <c r="K347" s="115"/>
      <c r="L347" s="115"/>
      <c r="M347" s="115"/>
      <c r="N347" s="115"/>
      <c r="O347" s="115"/>
      <c r="P347" s="115"/>
      <c r="Q347" s="115"/>
      <c r="R347" s="115"/>
      <c r="S347" s="115"/>
      <c r="T347" s="115"/>
      <c r="U347" s="115"/>
    </row>
    <row r="348">
      <c r="A348" s="664"/>
      <c r="B348" s="435"/>
      <c r="C348" s="665"/>
      <c r="D348" s="435"/>
      <c r="E348" s="115"/>
      <c r="F348" s="115"/>
      <c r="G348" s="666"/>
      <c r="H348" s="115"/>
      <c r="I348" s="115"/>
      <c r="J348" s="115"/>
      <c r="K348" s="115"/>
      <c r="L348" s="115"/>
      <c r="M348" s="115"/>
      <c r="N348" s="115"/>
      <c r="O348" s="115"/>
      <c r="P348" s="115"/>
      <c r="Q348" s="115"/>
      <c r="R348" s="115"/>
      <c r="S348" s="115"/>
      <c r="T348" s="115"/>
      <c r="U348" s="115"/>
    </row>
    <row r="349">
      <c r="A349" s="664"/>
      <c r="B349" s="435"/>
      <c r="C349" s="665"/>
      <c r="D349" s="435"/>
      <c r="E349" s="115"/>
      <c r="F349" s="115"/>
      <c r="G349" s="666"/>
      <c r="H349" s="115"/>
      <c r="I349" s="115"/>
      <c r="J349" s="115"/>
      <c r="K349" s="115"/>
      <c r="L349" s="115"/>
      <c r="M349" s="115"/>
      <c r="N349" s="115"/>
      <c r="O349" s="115"/>
      <c r="P349" s="115"/>
      <c r="Q349" s="115"/>
      <c r="R349" s="115"/>
      <c r="S349" s="115"/>
      <c r="T349" s="115"/>
      <c r="U349" s="115"/>
    </row>
    <row r="350">
      <c r="A350" s="664"/>
      <c r="B350" s="435"/>
      <c r="C350" s="665"/>
      <c r="D350" s="435"/>
      <c r="E350" s="115"/>
      <c r="F350" s="115"/>
      <c r="G350" s="666"/>
      <c r="H350" s="115"/>
      <c r="I350" s="115"/>
      <c r="J350" s="115"/>
      <c r="K350" s="115"/>
      <c r="L350" s="115"/>
      <c r="M350" s="115"/>
      <c r="N350" s="115"/>
      <c r="O350" s="115"/>
      <c r="P350" s="115"/>
      <c r="Q350" s="115"/>
      <c r="R350" s="115"/>
      <c r="S350" s="115"/>
      <c r="T350" s="115"/>
      <c r="U350" s="115"/>
    </row>
    <row r="351">
      <c r="A351" s="664"/>
      <c r="B351" s="435"/>
      <c r="C351" s="665"/>
      <c r="D351" s="435"/>
      <c r="E351" s="115"/>
      <c r="F351" s="115"/>
      <c r="G351" s="666"/>
      <c r="H351" s="115"/>
      <c r="I351" s="115"/>
      <c r="J351" s="115"/>
      <c r="K351" s="115"/>
      <c r="L351" s="115"/>
      <c r="M351" s="115"/>
      <c r="N351" s="115"/>
      <c r="O351" s="115"/>
      <c r="P351" s="115"/>
      <c r="Q351" s="115"/>
      <c r="R351" s="115"/>
      <c r="S351" s="115"/>
      <c r="T351" s="115"/>
      <c r="U351" s="115"/>
    </row>
    <row r="352">
      <c r="A352" s="664"/>
      <c r="B352" s="435"/>
      <c r="C352" s="665"/>
      <c r="D352" s="435"/>
      <c r="E352" s="115"/>
      <c r="F352" s="115"/>
      <c r="G352" s="666"/>
      <c r="H352" s="115"/>
      <c r="I352" s="115"/>
      <c r="J352" s="115"/>
      <c r="K352" s="115"/>
      <c r="L352" s="115"/>
      <c r="M352" s="115"/>
      <c r="N352" s="115"/>
      <c r="O352" s="115"/>
      <c r="P352" s="115"/>
      <c r="Q352" s="115"/>
      <c r="R352" s="115"/>
      <c r="S352" s="115"/>
      <c r="T352" s="115"/>
      <c r="U352" s="115"/>
    </row>
    <row r="353">
      <c r="A353" s="664"/>
      <c r="B353" s="435"/>
      <c r="C353" s="665"/>
      <c r="D353" s="435"/>
      <c r="E353" s="115"/>
      <c r="F353" s="115"/>
      <c r="G353" s="666"/>
      <c r="H353" s="115"/>
      <c r="I353" s="115"/>
      <c r="J353" s="115"/>
      <c r="K353" s="115"/>
      <c r="L353" s="115"/>
      <c r="M353" s="115"/>
      <c r="N353" s="115"/>
      <c r="O353" s="115"/>
      <c r="P353" s="115"/>
      <c r="Q353" s="115"/>
      <c r="R353" s="115"/>
      <c r="S353" s="115"/>
      <c r="T353" s="115"/>
      <c r="U353" s="115"/>
    </row>
    <row r="354">
      <c r="A354" s="664"/>
      <c r="B354" s="435"/>
      <c r="C354" s="665"/>
      <c r="D354" s="435"/>
      <c r="E354" s="115"/>
      <c r="F354" s="115"/>
      <c r="G354" s="666"/>
      <c r="H354" s="115"/>
      <c r="I354" s="115"/>
      <c r="J354" s="115"/>
      <c r="K354" s="115"/>
      <c r="L354" s="115"/>
      <c r="M354" s="115"/>
      <c r="N354" s="115"/>
      <c r="O354" s="115"/>
      <c r="P354" s="115"/>
      <c r="Q354" s="115"/>
      <c r="R354" s="115"/>
      <c r="S354" s="115"/>
      <c r="T354" s="115"/>
      <c r="U354" s="115"/>
    </row>
    <row r="355">
      <c r="A355" s="664"/>
      <c r="B355" s="435"/>
      <c r="C355" s="665"/>
      <c r="D355" s="435"/>
      <c r="E355" s="115"/>
      <c r="F355" s="115"/>
      <c r="G355" s="666"/>
      <c r="H355" s="115"/>
      <c r="I355" s="115"/>
      <c r="J355" s="115"/>
      <c r="K355" s="115"/>
      <c r="L355" s="115"/>
      <c r="M355" s="115"/>
      <c r="N355" s="115"/>
      <c r="O355" s="115"/>
      <c r="P355" s="115"/>
      <c r="Q355" s="115"/>
      <c r="R355" s="115"/>
      <c r="S355" s="115"/>
      <c r="T355" s="115"/>
      <c r="U355" s="115"/>
    </row>
    <row r="356">
      <c r="A356" s="664"/>
      <c r="B356" s="435"/>
      <c r="C356" s="665"/>
      <c r="D356" s="435"/>
      <c r="E356" s="115"/>
      <c r="F356" s="115"/>
      <c r="G356" s="666"/>
      <c r="H356" s="115"/>
      <c r="I356" s="115"/>
      <c r="J356" s="115"/>
      <c r="K356" s="115"/>
      <c r="L356" s="115"/>
      <c r="M356" s="115"/>
      <c r="N356" s="115"/>
      <c r="O356" s="115"/>
      <c r="P356" s="115"/>
      <c r="Q356" s="115"/>
      <c r="R356" s="115"/>
      <c r="S356" s="115"/>
      <c r="T356" s="115"/>
      <c r="U356" s="115"/>
    </row>
    <row r="357">
      <c r="A357" s="664"/>
      <c r="B357" s="435"/>
      <c r="C357" s="665"/>
      <c r="D357" s="435"/>
      <c r="E357" s="115"/>
      <c r="F357" s="115"/>
      <c r="G357" s="666"/>
      <c r="H357" s="115"/>
      <c r="I357" s="115"/>
      <c r="J357" s="115"/>
      <c r="K357" s="115"/>
      <c r="L357" s="435"/>
      <c r="M357" s="115"/>
      <c r="N357" s="435"/>
      <c r="O357" s="435"/>
      <c r="P357" s="115"/>
      <c r="Q357" s="435"/>
      <c r="R357" s="435"/>
      <c r="S357" s="435"/>
      <c r="T357" s="435"/>
      <c r="U357" s="435"/>
    </row>
    <row r="358">
      <c r="A358" s="664"/>
      <c r="B358" s="435"/>
      <c r="C358" s="665"/>
      <c r="D358" s="435"/>
      <c r="E358" s="115"/>
      <c r="F358" s="115"/>
      <c r="G358" s="666"/>
      <c r="H358" s="115"/>
      <c r="I358" s="115"/>
      <c r="J358" s="115"/>
      <c r="K358" s="115"/>
      <c r="L358" s="435"/>
      <c r="M358" s="435"/>
      <c r="N358" s="435"/>
      <c r="O358" s="435"/>
      <c r="P358" s="115"/>
      <c r="Q358" s="435"/>
      <c r="R358" s="435"/>
      <c r="S358" s="435"/>
      <c r="T358" s="435"/>
      <c r="U358" s="435"/>
    </row>
    <row r="359">
      <c r="A359" s="664"/>
      <c r="B359" s="435"/>
      <c r="C359" s="665"/>
      <c r="D359" s="435"/>
      <c r="E359" s="115"/>
      <c r="F359" s="115"/>
      <c r="G359" s="666"/>
      <c r="H359" s="115"/>
      <c r="I359" s="115"/>
      <c r="J359" s="115"/>
      <c r="K359" s="115"/>
      <c r="L359" s="435"/>
      <c r="M359" s="435"/>
      <c r="N359" s="435"/>
      <c r="O359" s="435"/>
      <c r="P359" s="435"/>
      <c r="Q359" s="435"/>
      <c r="R359" s="435"/>
      <c r="S359" s="435"/>
      <c r="T359" s="435"/>
      <c r="U359" s="435"/>
    </row>
    <row r="360">
      <c r="A360" s="664"/>
      <c r="B360" s="435"/>
      <c r="C360" s="665"/>
      <c r="D360" s="435"/>
      <c r="E360" s="115"/>
      <c r="F360" s="115"/>
      <c r="G360" s="666"/>
      <c r="H360" s="115"/>
      <c r="I360" s="115"/>
      <c r="J360" s="115"/>
      <c r="K360" s="435"/>
      <c r="L360" s="115"/>
      <c r="M360" s="435"/>
      <c r="N360" s="115"/>
      <c r="O360" s="435"/>
      <c r="P360" s="115"/>
      <c r="Q360" s="435"/>
      <c r="R360" s="435"/>
      <c r="S360" s="435"/>
      <c r="T360" s="435"/>
      <c r="U360" s="435"/>
    </row>
    <row r="361">
      <c r="A361" s="664"/>
      <c r="B361" s="435"/>
      <c r="C361" s="665"/>
      <c r="D361" s="435"/>
      <c r="E361" s="115"/>
      <c r="F361" s="115"/>
      <c r="G361" s="666"/>
      <c r="H361" s="115"/>
      <c r="I361" s="115"/>
      <c r="J361" s="115"/>
      <c r="K361" s="115"/>
      <c r="L361" s="435"/>
      <c r="M361" s="435"/>
      <c r="N361" s="435"/>
      <c r="O361" s="435"/>
      <c r="P361" s="115"/>
      <c r="Q361" s="435"/>
      <c r="R361" s="435"/>
      <c r="S361" s="435"/>
      <c r="T361" s="435"/>
      <c r="U361" s="435"/>
    </row>
    <row r="362">
      <c r="A362" s="664"/>
      <c r="B362" s="435"/>
      <c r="C362" s="665"/>
      <c r="D362" s="435"/>
      <c r="E362" s="115"/>
      <c r="F362" s="115"/>
      <c r="G362" s="666"/>
      <c r="H362" s="115"/>
      <c r="I362" s="115"/>
      <c r="J362" s="115"/>
      <c r="K362" s="435"/>
      <c r="L362" s="115"/>
      <c r="M362" s="435"/>
      <c r="N362" s="435"/>
      <c r="O362" s="435"/>
      <c r="P362" s="115"/>
      <c r="Q362" s="435"/>
      <c r="R362" s="115"/>
      <c r="S362" s="435"/>
      <c r="T362" s="435"/>
      <c r="U362" s="435"/>
    </row>
    <row r="363">
      <c r="A363" s="664"/>
      <c r="B363" s="435"/>
      <c r="C363" s="665"/>
      <c r="D363" s="435"/>
      <c r="E363" s="115"/>
      <c r="F363" s="115"/>
      <c r="G363" s="666"/>
      <c r="H363" s="115"/>
      <c r="I363" s="115"/>
      <c r="J363" s="115"/>
      <c r="K363" s="435"/>
      <c r="L363" s="115"/>
      <c r="M363" s="435"/>
      <c r="N363" s="115"/>
      <c r="O363" s="435"/>
      <c r="P363" s="115"/>
      <c r="Q363" s="115"/>
      <c r="R363" s="435"/>
      <c r="S363" s="435"/>
      <c r="T363" s="435"/>
      <c r="U363" s="435"/>
    </row>
    <row r="364">
      <c r="A364" s="664"/>
      <c r="B364" s="435"/>
      <c r="C364" s="665"/>
      <c r="D364" s="435"/>
      <c r="E364" s="115"/>
      <c r="F364" s="115"/>
      <c r="G364" s="666"/>
      <c r="H364" s="115"/>
      <c r="I364" s="115"/>
      <c r="J364" s="115"/>
      <c r="K364" s="435"/>
      <c r="L364" s="115"/>
      <c r="M364" s="435"/>
      <c r="N364" s="115"/>
      <c r="O364" s="435"/>
      <c r="P364" s="115"/>
      <c r="Q364" s="435"/>
      <c r="R364" s="435"/>
      <c r="S364" s="435"/>
      <c r="T364" s="435"/>
      <c r="U364" s="435"/>
    </row>
    <row r="365">
      <c r="A365" s="664"/>
      <c r="B365" s="435"/>
      <c r="C365" s="665"/>
      <c r="D365" s="435"/>
      <c r="E365" s="115"/>
      <c r="F365" s="115"/>
      <c r="G365" s="666"/>
      <c r="H365" s="115"/>
      <c r="I365" s="115"/>
      <c r="J365" s="115"/>
      <c r="K365" s="115"/>
      <c r="L365" s="435"/>
      <c r="M365" s="435"/>
      <c r="N365" s="435"/>
      <c r="O365" s="435"/>
      <c r="P365" s="115"/>
      <c r="Q365" s="435"/>
      <c r="R365" s="435"/>
      <c r="S365" s="435"/>
      <c r="T365" s="435"/>
      <c r="U365" s="435"/>
    </row>
    <row r="366">
      <c r="A366" s="664"/>
      <c r="B366" s="435"/>
      <c r="C366" s="665"/>
      <c r="D366" s="435"/>
      <c r="E366" s="115"/>
      <c r="F366" s="115"/>
      <c r="G366" s="666"/>
      <c r="H366" s="115"/>
      <c r="I366" s="115"/>
      <c r="J366" s="115"/>
      <c r="K366" s="115"/>
      <c r="L366" s="435"/>
      <c r="M366" s="435"/>
      <c r="N366" s="435"/>
      <c r="O366" s="435"/>
      <c r="P366" s="115"/>
      <c r="Q366" s="435"/>
      <c r="R366" s="435"/>
      <c r="S366" s="435"/>
      <c r="T366" s="435"/>
      <c r="U366" s="435"/>
    </row>
    <row r="367">
      <c r="A367" s="664"/>
      <c r="B367" s="435"/>
      <c r="C367" s="665"/>
      <c r="D367" s="435"/>
      <c r="E367" s="115"/>
      <c r="F367" s="115"/>
      <c r="G367" s="666"/>
      <c r="H367" s="115"/>
      <c r="I367" s="115"/>
      <c r="J367" s="115"/>
      <c r="K367" s="115"/>
      <c r="L367" s="115"/>
      <c r="M367" s="435"/>
      <c r="N367" s="435"/>
      <c r="O367" s="435"/>
      <c r="P367" s="115"/>
      <c r="Q367" s="435"/>
      <c r="R367" s="435"/>
      <c r="S367" s="435"/>
      <c r="T367" s="435"/>
      <c r="U367" s="435"/>
    </row>
    <row r="368">
      <c r="A368" s="664"/>
      <c r="B368" s="435"/>
      <c r="C368" s="665"/>
      <c r="D368" s="435"/>
      <c r="E368" s="115"/>
      <c r="F368" s="115"/>
      <c r="G368" s="666"/>
      <c r="H368" s="115"/>
      <c r="I368" s="115"/>
      <c r="J368" s="115"/>
      <c r="K368" s="435"/>
      <c r="L368" s="115"/>
      <c r="M368" s="435"/>
      <c r="N368" s="435"/>
      <c r="O368" s="435"/>
      <c r="P368" s="115"/>
      <c r="Q368" s="435"/>
      <c r="R368" s="435"/>
      <c r="S368" s="435"/>
      <c r="T368" s="435"/>
      <c r="U368" s="435"/>
    </row>
    <row r="369">
      <c r="A369" s="664"/>
      <c r="B369" s="435"/>
      <c r="C369" s="665"/>
      <c r="D369" s="435"/>
      <c r="E369" s="115"/>
      <c r="F369" s="115"/>
      <c r="G369" s="666"/>
      <c r="H369" s="115"/>
      <c r="I369" s="115"/>
      <c r="J369" s="115"/>
      <c r="K369" s="115"/>
      <c r="L369" s="435"/>
      <c r="M369" s="435"/>
      <c r="N369" s="435"/>
      <c r="O369" s="435"/>
      <c r="P369" s="115"/>
      <c r="Q369" s="435"/>
      <c r="R369" s="435"/>
      <c r="S369" s="435"/>
      <c r="T369" s="435"/>
      <c r="U369" s="435"/>
    </row>
    <row r="370">
      <c r="A370" s="664"/>
      <c r="B370" s="435"/>
      <c r="C370" s="665"/>
      <c r="D370" s="435"/>
      <c r="E370" s="115"/>
      <c r="F370" s="115"/>
      <c r="G370" s="666"/>
      <c r="H370" s="115"/>
      <c r="I370" s="115"/>
      <c r="J370" s="115"/>
      <c r="K370" s="435"/>
      <c r="L370" s="435"/>
      <c r="M370" s="435"/>
      <c r="N370" s="115"/>
      <c r="O370" s="435"/>
      <c r="P370" s="435"/>
      <c r="Q370" s="115"/>
      <c r="R370" s="435"/>
      <c r="S370" s="435"/>
      <c r="T370" s="435"/>
      <c r="U370" s="435"/>
    </row>
    <row r="371">
      <c r="A371" s="664"/>
      <c r="B371" s="435"/>
      <c r="C371" s="665"/>
      <c r="D371" s="435"/>
      <c r="E371" s="115"/>
      <c r="F371" s="115"/>
      <c r="G371" s="666"/>
      <c r="H371" s="115"/>
      <c r="I371" s="115"/>
      <c r="J371" s="115"/>
      <c r="K371" s="115"/>
      <c r="L371" s="435"/>
      <c r="M371" s="435"/>
      <c r="N371" s="435"/>
      <c r="O371" s="435"/>
      <c r="P371" s="115"/>
      <c r="Q371" s="435"/>
      <c r="R371" s="435"/>
      <c r="S371" s="435"/>
      <c r="T371" s="435"/>
      <c r="U371" s="435"/>
    </row>
    <row r="372">
      <c r="A372" s="664"/>
      <c r="B372" s="435"/>
      <c r="C372" s="665"/>
      <c r="D372" s="435"/>
      <c r="E372" s="115"/>
      <c r="F372" s="115"/>
      <c r="G372" s="666"/>
      <c r="H372" s="115"/>
      <c r="I372" s="115"/>
      <c r="J372" s="115"/>
      <c r="K372" s="435"/>
      <c r="L372" s="115"/>
      <c r="M372" s="435"/>
      <c r="N372" s="435"/>
      <c r="O372" s="435"/>
      <c r="P372" s="115"/>
      <c r="Q372" s="435"/>
      <c r="R372" s="435"/>
      <c r="S372" s="435"/>
      <c r="T372" s="435"/>
      <c r="U372" s="435"/>
    </row>
    <row r="373">
      <c r="A373" s="664"/>
      <c r="B373" s="435"/>
      <c r="C373" s="665"/>
      <c r="D373" s="435"/>
      <c r="E373" s="115"/>
      <c r="F373" s="115"/>
      <c r="G373" s="666"/>
      <c r="H373" s="115"/>
      <c r="I373" s="115"/>
      <c r="J373" s="115"/>
      <c r="K373" s="115"/>
      <c r="L373" s="435"/>
      <c r="M373" s="435"/>
      <c r="N373" s="435"/>
      <c r="O373" s="435"/>
      <c r="P373" s="115"/>
      <c r="Q373" s="435"/>
      <c r="R373" s="435"/>
      <c r="S373" s="435"/>
      <c r="T373" s="435"/>
      <c r="U373" s="435"/>
    </row>
    <row r="374">
      <c r="A374" s="664"/>
      <c r="B374" s="435"/>
      <c r="C374" s="665"/>
      <c r="D374" s="435"/>
      <c r="E374" s="115"/>
      <c r="F374" s="115"/>
      <c r="G374" s="666"/>
      <c r="H374" s="115"/>
      <c r="I374" s="115"/>
      <c r="J374" s="115"/>
      <c r="K374" s="115"/>
      <c r="L374" s="435"/>
      <c r="M374" s="115"/>
      <c r="N374" s="115"/>
      <c r="O374" s="435"/>
      <c r="P374" s="115"/>
      <c r="Q374" s="435"/>
      <c r="R374" s="435"/>
      <c r="S374" s="435"/>
      <c r="T374" s="435"/>
      <c r="U374" s="435"/>
    </row>
    <row r="375">
      <c r="A375" s="664"/>
      <c r="B375" s="435"/>
      <c r="C375" s="665"/>
      <c r="D375" s="435"/>
      <c r="E375" s="115"/>
      <c r="F375" s="115"/>
      <c r="G375" s="666"/>
      <c r="H375" s="115"/>
      <c r="I375" s="115"/>
      <c r="J375" s="115"/>
      <c r="K375" s="115"/>
      <c r="L375" s="435"/>
      <c r="M375" s="435"/>
      <c r="N375" s="435"/>
      <c r="O375" s="435"/>
      <c r="P375" s="115"/>
      <c r="Q375" s="435"/>
      <c r="R375" s="435"/>
      <c r="S375" s="435"/>
      <c r="T375" s="435"/>
      <c r="U375" s="435"/>
    </row>
    <row r="376">
      <c r="A376" s="664"/>
      <c r="B376" s="435"/>
      <c r="C376" s="665"/>
      <c r="D376" s="435"/>
      <c r="E376" s="115"/>
      <c r="F376" s="115"/>
      <c r="G376" s="666"/>
      <c r="H376" s="115"/>
      <c r="I376" s="115"/>
      <c r="J376" s="115"/>
      <c r="K376" s="115"/>
      <c r="L376" s="435"/>
      <c r="M376" s="115"/>
      <c r="N376" s="435"/>
      <c r="O376" s="435"/>
      <c r="P376" s="115"/>
      <c r="Q376" s="435"/>
      <c r="R376" s="435"/>
      <c r="S376" s="435"/>
      <c r="T376" s="435"/>
      <c r="U376" s="435"/>
    </row>
    <row r="377">
      <c r="A377" s="664"/>
      <c r="B377" s="435"/>
      <c r="C377" s="665"/>
      <c r="D377" s="435"/>
      <c r="E377" s="115"/>
      <c r="F377" s="115"/>
      <c r="G377" s="666"/>
      <c r="H377" s="115"/>
      <c r="I377" s="115"/>
      <c r="J377" s="115"/>
      <c r="K377" s="115"/>
      <c r="L377" s="435"/>
      <c r="M377" s="435"/>
      <c r="N377" s="435"/>
      <c r="O377" s="435"/>
      <c r="P377" s="115"/>
      <c r="Q377" s="435"/>
      <c r="R377" s="435"/>
      <c r="S377" s="435"/>
      <c r="T377" s="435"/>
      <c r="U377" s="435"/>
    </row>
    <row r="378">
      <c r="A378" s="664"/>
      <c r="B378" s="435"/>
      <c r="C378" s="665"/>
      <c r="D378" s="435"/>
      <c r="E378" s="115"/>
      <c r="F378" s="115"/>
      <c r="G378" s="666"/>
      <c r="H378" s="115"/>
      <c r="I378" s="115"/>
      <c r="J378" s="115"/>
      <c r="K378" s="115"/>
      <c r="L378" s="435"/>
      <c r="M378" s="435"/>
      <c r="N378" s="435"/>
      <c r="O378" s="435"/>
      <c r="P378" s="115"/>
      <c r="Q378" s="435"/>
      <c r="R378" s="435"/>
      <c r="S378" s="435"/>
      <c r="T378" s="435"/>
      <c r="U378" s="435"/>
    </row>
    <row r="379">
      <c r="A379" s="664"/>
      <c r="B379" s="435"/>
      <c r="C379" s="665"/>
      <c r="D379" s="435"/>
      <c r="E379" s="115"/>
      <c r="F379" s="115"/>
      <c r="G379" s="666"/>
      <c r="H379" s="115"/>
      <c r="I379" s="115"/>
      <c r="J379" s="115"/>
      <c r="K379" s="115"/>
      <c r="L379" s="435"/>
      <c r="M379" s="435"/>
      <c r="N379" s="115"/>
      <c r="O379" s="435"/>
      <c r="P379" s="115"/>
      <c r="Q379" s="435"/>
      <c r="R379" s="435"/>
      <c r="S379" s="435"/>
      <c r="T379" s="435"/>
      <c r="U379" s="435"/>
    </row>
    <row r="380">
      <c r="A380" s="664"/>
      <c r="B380" s="435"/>
      <c r="C380" s="665"/>
      <c r="D380" s="435"/>
      <c r="E380" s="115"/>
      <c r="F380" s="115"/>
      <c r="G380" s="666"/>
      <c r="H380" s="115"/>
      <c r="I380" s="115"/>
      <c r="J380" s="115"/>
      <c r="K380" s="115"/>
      <c r="L380" s="435"/>
      <c r="M380" s="435"/>
      <c r="N380" s="435"/>
      <c r="O380" s="435"/>
      <c r="P380" s="115"/>
      <c r="Q380" s="435"/>
      <c r="R380" s="435"/>
      <c r="S380" s="435"/>
      <c r="T380" s="435"/>
      <c r="U380" s="435"/>
    </row>
    <row r="381">
      <c r="A381" s="664"/>
      <c r="B381" s="435"/>
      <c r="C381" s="665"/>
      <c r="D381" s="435"/>
      <c r="E381" s="115"/>
      <c r="F381" s="115"/>
      <c r="G381" s="666"/>
      <c r="H381" s="115"/>
      <c r="I381" s="115"/>
      <c r="J381" s="115"/>
      <c r="K381" s="115"/>
      <c r="L381" s="435"/>
      <c r="M381" s="435"/>
      <c r="N381" s="435"/>
      <c r="O381" s="435"/>
      <c r="P381" s="115"/>
      <c r="Q381" s="435"/>
      <c r="R381" s="435"/>
      <c r="S381" s="435"/>
      <c r="T381" s="435"/>
      <c r="U381" s="435"/>
    </row>
    <row r="382">
      <c r="A382" s="664"/>
      <c r="B382" s="435"/>
      <c r="C382" s="665"/>
      <c r="D382" s="435"/>
      <c r="E382" s="115"/>
      <c r="F382" s="115"/>
      <c r="G382" s="666"/>
      <c r="H382" s="115"/>
      <c r="I382" s="115"/>
      <c r="J382" s="115"/>
      <c r="K382" s="115"/>
      <c r="L382" s="435"/>
      <c r="M382" s="115"/>
      <c r="N382" s="435"/>
      <c r="O382" s="435"/>
      <c r="P382" s="115"/>
      <c r="Q382" s="435"/>
      <c r="R382" s="435"/>
      <c r="S382" s="435"/>
      <c r="T382" s="435"/>
      <c r="U382" s="435"/>
    </row>
    <row r="383">
      <c r="A383" s="664"/>
      <c r="B383" s="435"/>
      <c r="C383" s="665"/>
      <c r="D383" s="435"/>
      <c r="E383" s="115"/>
      <c r="F383" s="115"/>
      <c r="G383" s="666"/>
      <c r="H383" s="115"/>
      <c r="I383" s="115"/>
      <c r="J383" s="115"/>
      <c r="K383" s="115"/>
      <c r="L383" s="435"/>
      <c r="M383" s="435"/>
      <c r="N383" s="435"/>
      <c r="O383" s="435"/>
      <c r="P383" s="115"/>
      <c r="Q383" s="435"/>
      <c r="R383" s="435"/>
      <c r="S383" s="435"/>
      <c r="T383" s="435"/>
      <c r="U383" s="435"/>
    </row>
    <row r="384">
      <c r="A384" s="664"/>
      <c r="B384" s="435"/>
      <c r="C384" s="665"/>
      <c r="D384" s="435"/>
      <c r="E384" s="115"/>
      <c r="F384" s="115"/>
      <c r="G384" s="666"/>
      <c r="H384" s="115"/>
      <c r="I384" s="115"/>
      <c r="J384" s="115"/>
      <c r="K384" s="115"/>
      <c r="L384" s="435"/>
      <c r="M384" s="435"/>
      <c r="N384" s="435"/>
      <c r="O384" s="435"/>
      <c r="P384" s="115"/>
      <c r="Q384" s="435"/>
      <c r="R384" s="435"/>
      <c r="S384" s="435"/>
      <c r="T384" s="435"/>
      <c r="U384" s="435"/>
    </row>
    <row r="385">
      <c r="A385" s="664"/>
      <c r="B385" s="435"/>
      <c r="C385" s="665"/>
      <c r="D385" s="435"/>
      <c r="E385" s="115"/>
      <c r="F385" s="115"/>
      <c r="G385" s="666"/>
      <c r="H385" s="115"/>
      <c r="I385" s="115"/>
      <c r="J385" s="115"/>
      <c r="K385" s="115"/>
      <c r="L385" s="435"/>
      <c r="M385" s="435"/>
      <c r="N385" s="435"/>
      <c r="O385" s="435"/>
      <c r="P385" s="115"/>
      <c r="Q385" s="435"/>
      <c r="R385" s="435"/>
      <c r="S385" s="435"/>
      <c r="T385" s="435"/>
      <c r="U385" s="435"/>
    </row>
    <row r="386">
      <c r="A386" s="664"/>
      <c r="B386" s="435"/>
      <c r="C386" s="665"/>
      <c r="D386" s="435"/>
      <c r="E386" s="115"/>
      <c r="F386" s="115"/>
      <c r="G386" s="666"/>
      <c r="H386" s="115"/>
      <c r="I386" s="115"/>
      <c r="J386" s="115"/>
      <c r="K386" s="115"/>
      <c r="L386" s="435"/>
      <c r="M386" s="435"/>
      <c r="N386" s="115"/>
      <c r="O386" s="435"/>
      <c r="P386" s="115"/>
      <c r="Q386" s="435"/>
      <c r="R386" s="435"/>
      <c r="S386" s="435"/>
      <c r="T386" s="435"/>
      <c r="U386" s="435"/>
    </row>
    <row r="387">
      <c r="A387" s="664"/>
      <c r="B387" s="435"/>
      <c r="C387" s="665"/>
      <c r="D387" s="435"/>
      <c r="E387" s="115"/>
      <c r="F387" s="115"/>
      <c r="G387" s="666"/>
      <c r="H387" s="115"/>
      <c r="I387" s="115"/>
      <c r="J387" s="115"/>
      <c r="K387" s="435"/>
      <c r="L387" s="435"/>
      <c r="M387" s="115"/>
      <c r="N387" s="435"/>
      <c r="O387" s="435"/>
      <c r="P387" s="435"/>
      <c r="Q387" s="435"/>
      <c r="R387" s="435"/>
      <c r="S387" s="435"/>
      <c r="T387" s="435"/>
      <c r="U387" s="435"/>
    </row>
    <row r="388">
      <c r="A388" s="664"/>
      <c r="B388" s="435"/>
      <c r="C388" s="665"/>
      <c r="D388" s="435"/>
      <c r="E388" s="115"/>
      <c r="F388" s="115"/>
      <c r="G388" s="666"/>
      <c r="H388" s="115"/>
      <c r="I388" s="115"/>
      <c r="J388" s="115"/>
      <c r="K388" s="115"/>
      <c r="L388" s="435"/>
      <c r="M388" s="115"/>
      <c r="N388" s="115"/>
      <c r="O388" s="435"/>
      <c r="P388" s="115"/>
      <c r="Q388" s="115"/>
      <c r="R388" s="435"/>
      <c r="S388" s="435"/>
      <c r="T388" s="115"/>
      <c r="U388" s="435"/>
    </row>
    <row r="389">
      <c r="A389" s="664"/>
      <c r="B389" s="435"/>
      <c r="C389" s="665"/>
      <c r="D389" s="435"/>
      <c r="E389" s="115"/>
      <c r="F389" s="115"/>
      <c r="G389" s="666"/>
      <c r="H389" s="115"/>
      <c r="I389" s="115"/>
      <c r="J389" s="115"/>
      <c r="K389" s="435"/>
      <c r="L389" s="115"/>
      <c r="M389" s="435"/>
      <c r="N389" s="115"/>
      <c r="O389" s="435"/>
      <c r="P389" s="115"/>
      <c r="Q389" s="115"/>
      <c r="R389" s="435"/>
      <c r="S389" s="435"/>
      <c r="T389" s="435"/>
      <c r="U389" s="435"/>
    </row>
    <row r="390">
      <c r="A390" s="664"/>
      <c r="B390" s="435"/>
      <c r="C390" s="665"/>
      <c r="D390" s="435"/>
      <c r="E390" s="115"/>
      <c r="F390" s="115"/>
      <c r="G390" s="666"/>
      <c r="H390" s="115"/>
      <c r="I390" s="115"/>
      <c r="J390" s="115"/>
      <c r="K390" s="115"/>
      <c r="L390" s="435"/>
      <c r="M390" s="115"/>
      <c r="N390" s="115"/>
      <c r="O390" s="435"/>
      <c r="P390" s="115"/>
      <c r="Q390" s="435"/>
      <c r="R390" s="435"/>
      <c r="S390" s="435"/>
      <c r="T390" s="435"/>
      <c r="U390" s="435"/>
    </row>
    <row r="391">
      <c r="A391" s="664"/>
      <c r="B391" s="435"/>
      <c r="C391" s="665"/>
      <c r="D391" s="435"/>
      <c r="E391" s="115"/>
      <c r="F391" s="115"/>
      <c r="G391" s="666"/>
      <c r="H391" s="115"/>
      <c r="I391" s="115"/>
      <c r="J391" s="115"/>
      <c r="K391" s="435"/>
      <c r="L391" s="115"/>
      <c r="M391" s="435"/>
      <c r="N391" s="115"/>
      <c r="O391" s="435"/>
      <c r="P391" s="115"/>
      <c r="Q391" s="435"/>
      <c r="R391" s="435"/>
      <c r="S391" s="435"/>
      <c r="T391" s="435"/>
      <c r="U391" s="435"/>
    </row>
    <row r="392">
      <c r="A392" s="664"/>
      <c r="B392" s="435"/>
      <c r="C392" s="665"/>
      <c r="D392" s="435"/>
      <c r="E392" s="115"/>
      <c r="F392" s="115"/>
      <c r="G392" s="666"/>
      <c r="H392" s="115"/>
      <c r="I392" s="115"/>
      <c r="J392" s="115"/>
      <c r="K392" s="435"/>
      <c r="L392" s="115"/>
      <c r="M392" s="435"/>
      <c r="N392" s="115"/>
      <c r="O392" s="435"/>
      <c r="P392" s="115"/>
      <c r="Q392" s="435"/>
      <c r="R392" s="435"/>
      <c r="S392" s="435"/>
      <c r="T392" s="435"/>
      <c r="U392" s="435"/>
    </row>
    <row r="393">
      <c r="A393" s="664"/>
      <c r="B393" s="435"/>
      <c r="C393" s="665"/>
      <c r="D393" s="435"/>
      <c r="E393" s="115"/>
      <c r="F393" s="115"/>
      <c r="G393" s="666"/>
      <c r="H393" s="115"/>
      <c r="I393" s="115"/>
      <c r="J393" s="115"/>
      <c r="K393" s="115"/>
      <c r="L393" s="435"/>
      <c r="M393" s="115"/>
      <c r="N393" s="435"/>
      <c r="O393" s="435"/>
      <c r="P393" s="115"/>
      <c r="Q393" s="435"/>
      <c r="R393" s="435"/>
      <c r="S393" s="435"/>
      <c r="T393" s="435"/>
      <c r="U393" s="435"/>
    </row>
    <row r="394">
      <c r="A394" s="664"/>
      <c r="B394" s="682"/>
      <c r="C394" s="665"/>
      <c r="D394" s="435"/>
      <c r="E394" s="115"/>
      <c r="F394" s="115"/>
      <c r="G394" s="666"/>
      <c r="H394" s="115"/>
      <c r="I394" s="115"/>
      <c r="J394" s="115"/>
      <c r="K394" s="115"/>
      <c r="L394" s="435"/>
      <c r="M394" s="115"/>
      <c r="N394" s="435"/>
      <c r="O394" s="435"/>
      <c r="P394" s="115"/>
      <c r="Q394" s="435"/>
      <c r="R394" s="435"/>
      <c r="S394" s="435"/>
      <c r="T394" s="435"/>
      <c r="U394" s="435"/>
    </row>
    <row r="395">
      <c r="A395" s="664"/>
      <c r="B395" s="435"/>
      <c r="C395" s="665"/>
      <c r="D395" s="435"/>
      <c r="E395" s="115"/>
      <c r="F395" s="115"/>
      <c r="G395" s="666"/>
      <c r="H395" s="115"/>
      <c r="I395" s="115"/>
      <c r="J395" s="115"/>
      <c r="K395" s="435"/>
      <c r="L395" s="435"/>
      <c r="M395" s="435"/>
      <c r="N395" s="435"/>
      <c r="O395" s="435"/>
      <c r="P395" s="435"/>
      <c r="Q395" s="435"/>
      <c r="R395" s="435"/>
      <c r="S395" s="435"/>
      <c r="T395" s="435"/>
      <c r="U395" s="435"/>
    </row>
    <row r="396">
      <c r="A396" s="664"/>
      <c r="B396" s="435"/>
      <c r="C396" s="665"/>
      <c r="D396" s="435"/>
      <c r="E396" s="115"/>
      <c r="F396" s="115"/>
      <c r="G396" s="666"/>
      <c r="H396" s="115"/>
      <c r="I396" s="115"/>
      <c r="J396" s="115"/>
      <c r="K396" s="115"/>
      <c r="L396" s="435"/>
      <c r="M396" s="435"/>
      <c r="N396" s="115"/>
      <c r="O396" s="435"/>
      <c r="P396" s="115"/>
      <c r="Q396" s="435"/>
      <c r="R396" s="435"/>
      <c r="S396" s="435"/>
      <c r="T396" s="435"/>
      <c r="U396" s="435"/>
    </row>
    <row r="397">
      <c r="A397" s="664"/>
      <c r="B397" s="435"/>
      <c r="C397" s="665"/>
      <c r="D397" s="435"/>
      <c r="E397" s="115"/>
      <c r="F397" s="115"/>
      <c r="G397" s="666"/>
      <c r="H397" s="115"/>
      <c r="I397" s="115"/>
      <c r="J397" s="115"/>
      <c r="K397" s="435"/>
      <c r="L397" s="115"/>
      <c r="M397" s="435"/>
      <c r="N397" s="115"/>
      <c r="O397" s="435"/>
      <c r="P397" s="115"/>
      <c r="Q397" s="435"/>
      <c r="R397" s="435"/>
      <c r="S397" s="435"/>
      <c r="T397" s="435"/>
      <c r="U397" s="435"/>
    </row>
    <row r="398">
      <c r="A398" s="664"/>
      <c r="B398" s="435"/>
      <c r="C398" s="665"/>
      <c r="D398" s="435"/>
      <c r="E398" s="115"/>
      <c r="F398" s="115"/>
      <c r="G398" s="666"/>
      <c r="H398" s="115"/>
      <c r="I398" s="115"/>
      <c r="J398" s="115"/>
      <c r="K398" s="435"/>
      <c r="L398" s="115"/>
      <c r="M398" s="435"/>
      <c r="N398" s="435"/>
      <c r="O398" s="435"/>
      <c r="P398" s="115"/>
      <c r="Q398" s="435"/>
      <c r="R398" s="435"/>
      <c r="S398" s="435"/>
      <c r="T398" s="435"/>
      <c r="U398" s="435"/>
    </row>
    <row r="399">
      <c r="A399" s="664"/>
      <c r="B399" s="435"/>
      <c r="C399" s="665"/>
      <c r="D399" s="435"/>
      <c r="E399" s="115"/>
      <c r="F399" s="115"/>
      <c r="G399" s="666"/>
      <c r="H399" s="115"/>
      <c r="I399" s="115"/>
      <c r="J399" s="115"/>
      <c r="K399" s="115"/>
      <c r="L399" s="435"/>
      <c r="M399" s="435"/>
      <c r="N399" s="435"/>
      <c r="O399" s="435"/>
      <c r="P399" s="115"/>
      <c r="Q399" s="435"/>
      <c r="R399" s="435"/>
      <c r="S399" s="435"/>
      <c r="T399" s="435"/>
      <c r="U399" s="435"/>
    </row>
    <row r="400">
      <c r="A400" s="664"/>
      <c r="B400" s="435"/>
      <c r="C400" s="665"/>
      <c r="D400" s="435"/>
      <c r="E400" s="115"/>
      <c r="F400" s="115"/>
      <c r="G400" s="666"/>
      <c r="H400" s="115"/>
      <c r="I400" s="115"/>
      <c r="J400" s="115"/>
      <c r="K400" s="435"/>
      <c r="L400" s="115"/>
      <c r="M400" s="435"/>
      <c r="N400" s="115"/>
      <c r="O400" s="435"/>
      <c r="P400" s="115"/>
      <c r="Q400" s="115"/>
      <c r="R400" s="435"/>
      <c r="S400" s="435"/>
      <c r="T400" s="435"/>
      <c r="U400" s="435"/>
    </row>
    <row r="401">
      <c r="A401" s="664"/>
      <c r="B401" s="435"/>
      <c r="C401" s="681"/>
      <c r="D401" s="435"/>
      <c r="E401" s="115"/>
      <c r="F401" s="115"/>
      <c r="G401" s="666"/>
      <c r="H401" s="115"/>
      <c r="I401" s="115"/>
      <c r="J401" s="115"/>
      <c r="K401" s="115"/>
      <c r="L401" s="435"/>
      <c r="M401" s="435"/>
      <c r="N401" s="435"/>
      <c r="O401" s="435"/>
      <c r="P401" s="435"/>
      <c r="Q401" s="435"/>
      <c r="R401" s="435"/>
      <c r="S401" s="435"/>
      <c r="T401" s="435"/>
      <c r="U401" s="435"/>
    </row>
    <row r="402">
      <c r="A402" s="664"/>
      <c r="B402" s="435"/>
      <c r="C402" s="681"/>
      <c r="D402" s="435"/>
      <c r="E402" s="115"/>
      <c r="F402" s="115"/>
      <c r="G402" s="666"/>
      <c r="H402" s="115"/>
      <c r="I402" s="115"/>
      <c r="J402" s="115"/>
      <c r="K402" s="115"/>
      <c r="L402" s="435"/>
      <c r="M402" s="435"/>
      <c r="N402" s="435"/>
      <c r="O402" s="435"/>
      <c r="P402" s="435"/>
      <c r="Q402" s="435"/>
      <c r="R402" s="435"/>
      <c r="S402" s="435"/>
      <c r="T402" s="435"/>
      <c r="U402" s="435"/>
    </row>
    <row r="403">
      <c r="A403" s="664"/>
      <c r="B403" s="435"/>
      <c r="C403" s="665"/>
      <c r="D403" s="435"/>
      <c r="E403" s="115"/>
      <c r="F403" s="115"/>
      <c r="G403" s="666"/>
      <c r="H403" s="115"/>
      <c r="I403" s="115"/>
      <c r="J403" s="115"/>
      <c r="K403" s="435"/>
      <c r="L403" s="115"/>
      <c r="M403" s="435"/>
      <c r="N403" s="435"/>
      <c r="O403" s="435"/>
      <c r="P403" s="115"/>
      <c r="Q403" s="435"/>
      <c r="R403" s="435"/>
      <c r="S403" s="435"/>
      <c r="T403" s="435"/>
      <c r="U403" s="435"/>
    </row>
    <row r="404">
      <c r="A404" s="664"/>
      <c r="B404" s="435"/>
      <c r="C404" s="665"/>
      <c r="D404" s="435"/>
      <c r="E404" s="115"/>
      <c r="F404" s="115"/>
      <c r="G404" s="666"/>
      <c r="H404" s="115"/>
      <c r="I404" s="115"/>
      <c r="J404" s="115"/>
      <c r="K404" s="435"/>
      <c r="L404" s="115"/>
      <c r="M404" s="435"/>
      <c r="N404" s="435"/>
      <c r="O404" s="435"/>
      <c r="P404" s="115"/>
      <c r="Q404" s="435"/>
      <c r="R404" s="435"/>
      <c r="S404" s="435"/>
      <c r="T404" s="435"/>
      <c r="U404" s="435"/>
    </row>
    <row r="405">
      <c r="A405" s="664"/>
      <c r="B405" s="435"/>
      <c r="C405" s="665"/>
      <c r="D405" s="435"/>
      <c r="E405" s="115"/>
      <c r="F405" s="115"/>
      <c r="G405" s="666"/>
      <c r="H405" s="115"/>
      <c r="I405" s="115"/>
      <c r="J405" s="115"/>
      <c r="K405" s="115"/>
      <c r="L405" s="435"/>
      <c r="M405" s="435"/>
      <c r="N405" s="115"/>
      <c r="O405" s="435"/>
      <c r="P405" s="115"/>
      <c r="Q405" s="435"/>
      <c r="R405" s="435"/>
      <c r="S405" s="435"/>
      <c r="T405" s="435"/>
      <c r="U405" s="435"/>
    </row>
    <row r="406">
      <c r="A406" s="664"/>
      <c r="B406" s="435"/>
      <c r="C406" s="665"/>
      <c r="D406" s="435"/>
      <c r="E406" s="115"/>
      <c r="F406" s="115"/>
      <c r="G406" s="666"/>
      <c r="H406" s="115"/>
      <c r="I406" s="115"/>
      <c r="J406" s="115"/>
      <c r="K406" s="435"/>
      <c r="L406" s="115"/>
      <c r="M406" s="435"/>
      <c r="N406" s="435"/>
      <c r="O406" s="435"/>
      <c r="P406" s="115"/>
      <c r="Q406" s="435"/>
      <c r="R406" s="435"/>
      <c r="S406" s="435"/>
      <c r="T406" s="435"/>
      <c r="U406" s="435"/>
    </row>
    <row r="407">
      <c r="A407" s="664"/>
      <c r="B407" s="435"/>
      <c r="C407" s="665"/>
      <c r="D407" s="435"/>
      <c r="E407" s="115"/>
      <c r="F407" s="115"/>
      <c r="G407" s="666"/>
      <c r="H407" s="115"/>
      <c r="I407" s="115"/>
      <c r="J407" s="115"/>
      <c r="K407" s="435"/>
      <c r="L407" s="115"/>
      <c r="M407" s="435"/>
      <c r="N407" s="115"/>
      <c r="O407" s="435"/>
      <c r="P407" s="115"/>
      <c r="Q407" s="435"/>
      <c r="R407" s="435"/>
      <c r="S407" s="435"/>
      <c r="T407" s="435"/>
      <c r="U407" s="435"/>
    </row>
    <row r="408">
      <c r="A408" s="664"/>
      <c r="B408" s="435"/>
      <c r="C408" s="665"/>
      <c r="D408" s="435"/>
      <c r="E408" s="115"/>
      <c r="F408" s="115"/>
      <c r="G408" s="666"/>
      <c r="H408" s="115"/>
      <c r="I408" s="115"/>
      <c r="J408" s="115"/>
      <c r="K408" s="435"/>
      <c r="L408" s="115"/>
      <c r="M408" s="435"/>
      <c r="N408" s="115"/>
      <c r="O408" s="435"/>
      <c r="P408" s="115"/>
      <c r="Q408" s="435"/>
      <c r="R408" s="435"/>
      <c r="S408" s="435"/>
      <c r="T408" s="435"/>
      <c r="U408" s="435"/>
    </row>
    <row r="409">
      <c r="A409" s="664"/>
      <c r="B409" s="435"/>
      <c r="C409" s="665"/>
      <c r="D409" s="435"/>
      <c r="E409" s="115"/>
      <c r="F409" s="115"/>
      <c r="G409" s="666"/>
      <c r="H409" s="115"/>
      <c r="I409" s="115"/>
      <c r="J409" s="115"/>
      <c r="K409" s="435"/>
      <c r="L409" s="115"/>
      <c r="M409" s="435"/>
      <c r="N409" s="115"/>
      <c r="O409" s="435"/>
      <c r="P409" s="115"/>
      <c r="Q409" s="115"/>
      <c r="R409" s="435"/>
      <c r="S409" s="435"/>
      <c r="T409" s="435"/>
      <c r="U409" s="435"/>
    </row>
    <row r="410">
      <c r="A410" s="664"/>
      <c r="B410" s="435"/>
      <c r="C410" s="665"/>
      <c r="D410" s="435"/>
      <c r="E410" s="115"/>
      <c r="F410" s="115"/>
      <c r="G410" s="666"/>
      <c r="H410" s="115"/>
      <c r="I410" s="115"/>
      <c r="J410" s="115"/>
      <c r="K410" s="115"/>
      <c r="L410" s="435"/>
      <c r="M410" s="435"/>
      <c r="N410" s="435"/>
      <c r="O410" s="435"/>
      <c r="P410" s="115"/>
      <c r="Q410" s="435"/>
      <c r="R410" s="435"/>
      <c r="S410" s="435"/>
      <c r="T410" s="435"/>
      <c r="U410" s="435"/>
    </row>
    <row r="411">
      <c r="A411" s="664"/>
      <c r="B411" s="435"/>
      <c r="C411" s="665"/>
      <c r="D411" s="435"/>
      <c r="E411" s="115"/>
      <c r="F411" s="115"/>
      <c r="G411" s="666"/>
      <c r="H411" s="115"/>
      <c r="I411" s="115"/>
      <c r="J411" s="115"/>
      <c r="K411" s="435"/>
      <c r="L411" s="115"/>
      <c r="M411" s="435"/>
      <c r="N411" s="435"/>
      <c r="O411" s="435"/>
      <c r="P411" s="115"/>
      <c r="Q411" s="435"/>
      <c r="R411" s="435"/>
      <c r="S411" s="435"/>
      <c r="T411" s="435"/>
      <c r="U411" s="435"/>
    </row>
    <row r="412">
      <c r="A412" s="664"/>
      <c r="B412" s="435"/>
      <c r="C412" s="665"/>
      <c r="D412" s="435"/>
      <c r="E412" s="115"/>
      <c r="F412" s="115"/>
      <c r="G412" s="666"/>
      <c r="H412" s="115"/>
      <c r="I412" s="115"/>
      <c r="J412" s="115"/>
      <c r="K412" s="115"/>
      <c r="L412" s="435"/>
      <c r="M412" s="435"/>
      <c r="N412" s="435"/>
      <c r="O412" s="435"/>
      <c r="P412" s="115"/>
      <c r="Q412" s="435"/>
      <c r="R412" s="435"/>
      <c r="S412" s="435"/>
      <c r="T412" s="435"/>
      <c r="U412" s="435"/>
    </row>
    <row r="413">
      <c r="A413" s="664"/>
      <c r="B413" s="435"/>
      <c r="C413" s="665"/>
      <c r="D413" s="435"/>
      <c r="E413" s="115"/>
      <c r="F413" s="115"/>
      <c r="G413" s="666"/>
      <c r="H413" s="115"/>
      <c r="I413" s="115"/>
      <c r="J413" s="115"/>
      <c r="K413" s="435"/>
      <c r="L413" s="115"/>
      <c r="M413" s="435"/>
      <c r="N413" s="435"/>
      <c r="O413" s="435"/>
      <c r="P413" s="115"/>
      <c r="Q413" s="435"/>
      <c r="R413" s="435"/>
      <c r="S413" s="435"/>
      <c r="T413" s="435"/>
      <c r="U413" s="435"/>
    </row>
    <row r="414">
      <c r="A414" s="664"/>
      <c r="B414" s="435"/>
      <c r="C414" s="665"/>
      <c r="D414" s="435"/>
      <c r="E414" s="115"/>
      <c r="F414" s="115"/>
      <c r="G414" s="666"/>
      <c r="H414" s="115"/>
      <c r="I414" s="115"/>
      <c r="J414" s="115"/>
      <c r="K414" s="435"/>
      <c r="L414" s="115"/>
      <c r="M414" s="435"/>
      <c r="N414" s="435"/>
      <c r="O414" s="435"/>
      <c r="P414" s="115"/>
      <c r="Q414" s="435"/>
      <c r="R414" s="435"/>
      <c r="S414" s="435"/>
      <c r="T414" s="435"/>
      <c r="U414" s="435"/>
    </row>
    <row r="415">
      <c r="A415" s="664"/>
      <c r="B415" s="435"/>
      <c r="C415" s="665"/>
      <c r="D415" s="435"/>
      <c r="E415" s="115"/>
      <c r="F415" s="115"/>
      <c r="G415" s="666"/>
      <c r="H415" s="115"/>
      <c r="I415" s="115"/>
      <c r="J415" s="115"/>
      <c r="K415" s="435"/>
      <c r="L415" s="115"/>
      <c r="M415" s="435"/>
      <c r="N415" s="115"/>
      <c r="O415" s="435"/>
      <c r="P415" s="115"/>
      <c r="Q415" s="435"/>
      <c r="R415" s="435"/>
      <c r="S415" s="435"/>
      <c r="T415" s="435"/>
      <c r="U415" s="435"/>
    </row>
    <row r="416">
      <c r="A416" s="664"/>
      <c r="B416" s="435"/>
      <c r="C416" s="665"/>
      <c r="D416" s="435"/>
      <c r="E416" s="115"/>
      <c r="F416" s="115"/>
      <c r="G416" s="666"/>
      <c r="H416" s="115"/>
      <c r="I416" s="115"/>
      <c r="J416" s="115"/>
      <c r="K416" s="435"/>
      <c r="L416" s="115"/>
      <c r="M416" s="435"/>
      <c r="N416" s="435"/>
      <c r="O416" s="435"/>
      <c r="P416" s="115"/>
      <c r="Q416" s="435"/>
      <c r="R416" s="435"/>
      <c r="S416" s="435"/>
      <c r="T416" s="435"/>
      <c r="U416" s="435"/>
    </row>
    <row r="417">
      <c r="A417" s="664"/>
      <c r="B417" s="435"/>
      <c r="C417" s="665"/>
      <c r="D417" s="435"/>
      <c r="E417" s="115"/>
      <c r="F417" s="115"/>
      <c r="G417" s="666"/>
      <c r="H417" s="115"/>
      <c r="I417" s="115"/>
      <c r="J417" s="115"/>
      <c r="K417" s="115"/>
      <c r="L417" s="435"/>
      <c r="M417" s="435"/>
      <c r="N417" s="435"/>
      <c r="O417" s="435"/>
      <c r="P417" s="115"/>
      <c r="Q417" s="435"/>
      <c r="R417" s="435"/>
      <c r="S417" s="435"/>
      <c r="T417" s="435"/>
      <c r="U417" s="435"/>
    </row>
    <row r="418">
      <c r="A418" s="664"/>
      <c r="B418" s="435"/>
      <c r="C418" s="665"/>
      <c r="D418" s="435"/>
      <c r="E418" s="115"/>
      <c r="F418" s="115"/>
      <c r="G418" s="666"/>
      <c r="H418" s="115"/>
      <c r="I418" s="115"/>
      <c r="J418" s="115"/>
      <c r="K418" s="115"/>
      <c r="L418" s="435"/>
      <c r="M418" s="435"/>
      <c r="N418" s="435"/>
      <c r="O418" s="435"/>
      <c r="P418" s="435"/>
      <c r="Q418" s="435"/>
      <c r="R418" s="435"/>
      <c r="S418" s="435"/>
      <c r="T418" s="435"/>
      <c r="U418" s="435"/>
    </row>
    <row r="419">
      <c r="A419" s="664"/>
      <c r="B419" s="435"/>
      <c r="C419" s="665"/>
      <c r="D419" s="435"/>
      <c r="E419" s="115"/>
      <c r="F419" s="115"/>
      <c r="G419" s="666"/>
      <c r="H419" s="115"/>
      <c r="I419" s="115"/>
      <c r="J419" s="115"/>
      <c r="K419" s="435"/>
      <c r="L419" s="115"/>
      <c r="M419" s="435"/>
      <c r="N419" s="435"/>
      <c r="O419" s="435"/>
      <c r="P419" s="435"/>
      <c r="Q419" s="435"/>
      <c r="R419" s="435"/>
      <c r="S419" s="435"/>
      <c r="T419" s="435"/>
      <c r="U419" s="435"/>
    </row>
    <row r="420">
      <c r="A420" s="664"/>
      <c r="B420" s="435"/>
      <c r="C420" s="665"/>
      <c r="D420" s="435"/>
      <c r="E420" s="115"/>
      <c r="F420" s="115"/>
      <c r="G420" s="666"/>
      <c r="H420" s="115"/>
      <c r="I420" s="115"/>
      <c r="J420" s="115"/>
      <c r="K420" s="435"/>
      <c r="L420" s="115"/>
      <c r="M420" s="435"/>
      <c r="N420" s="435"/>
      <c r="O420" s="435"/>
      <c r="P420" s="115"/>
      <c r="Q420" s="435"/>
      <c r="R420" s="435"/>
      <c r="S420" s="435"/>
      <c r="T420" s="435"/>
      <c r="U420" s="435"/>
    </row>
    <row r="421">
      <c r="A421" s="664"/>
      <c r="B421" s="435"/>
      <c r="C421" s="665"/>
      <c r="D421" s="435"/>
      <c r="E421" s="115"/>
      <c r="F421" s="115"/>
      <c r="G421" s="666"/>
      <c r="H421" s="115"/>
      <c r="I421" s="115"/>
      <c r="J421" s="115"/>
      <c r="K421" s="115"/>
      <c r="L421" s="435"/>
      <c r="M421" s="435"/>
      <c r="N421" s="435"/>
      <c r="O421" s="435"/>
      <c r="P421" s="115"/>
      <c r="Q421" s="435"/>
      <c r="R421" s="435"/>
      <c r="S421" s="435"/>
      <c r="T421" s="435"/>
      <c r="U421" s="435"/>
    </row>
    <row r="422">
      <c r="A422" s="664"/>
      <c r="B422" s="435"/>
      <c r="C422" s="665"/>
      <c r="D422" s="435"/>
      <c r="E422" s="115"/>
      <c r="F422" s="115"/>
      <c r="G422" s="666"/>
      <c r="H422" s="115"/>
      <c r="I422" s="115"/>
      <c r="J422" s="115"/>
      <c r="K422" s="115"/>
      <c r="L422" s="435"/>
      <c r="M422" s="435"/>
      <c r="N422" s="115"/>
      <c r="O422" s="435"/>
      <c r="P422" s="115"/>
      <c r="Q422" s="435"/>
      <c r="R422" s="435"/>
      <c r="S422" s="435"/>
      <c r="T422" s="435"/>
      <c r="U422" s="435"/>
    </row>
    <row r="423">
      <c r="A423" s="664"/>
      <c r="B423" s="435"/>
      <c r="C423" s="665"/>
      <c r="D423" s="435"/>
      <c r="E423" s="115"/>
      <c r="F423" s="115"/>
      <c r="G423" s="666"/>
      <c r="H423" s="115"/>
      <c r="I423" s="115"/>
      <c r="J423" s="115"/>
      <c r="K423" s="115"/>
      <c r="L423" s="435"/>
      <c r="M423" s="435"/>
      <c r="N423" s="435"/>
      <c r="O423" s="435"/>
      <c r="P423" s="115"/>
      <c r="Q423" s="435"/>
      <c r="R423" s="435"/>
      <c r="S423" s="435"/>
      <c r="T423" s="435"/>
      <c r="U423" s="435"/>
    </row>
    <row r="424">
      <c r="A424" s="664"/>
      <c r="B424" s="435"/>
      <c r="C424" s="665"/>
      <c r="D424" s="435"/>
      <c r="E424" s="115"/>
      <c r="F424" s="115"/>
      <c r="G424" s="666"/>
      <c r="H424" s="115"/>
      <c r="I424" s="115"/>
      <c r="J424" s="115"/>
      <c r="K424" s="435"/>
      <c r="L424" s="115"/>
      <c r="M424" s="435"/>
      <c r="N424" s="435"/>
      <c r="O424" s="435"/>
      <c r="P424" s="115"/>
      <c r="Q424" s="435"/>
      <c r="R424" s="435"/>
      <c r="S424" s="435"/>
      <c r="T424" s="435"/>
      <c r="U424" s="435"/>
    </row>
    <row r="425">
      <c r="A425" s="664"/>
      <c r="B425" s="435"/>
      <c r="C425" s="665"/>
      <c r="D425" s="435"/>
      <c r="E425" s="115"/>
      <c r="F425" s="115"/>
      <c r="G425" s="666"/>
      <c r="H425" s="115"/>
      <c r="I425" s="115"/>
      <c r="J425" s="115"/>
      <c r="K425" s="435"/>
      <c r="L425" s="115"/>
      <c r="M425" s="435"/>
      <c r="N425" s="435"/>
      <c r="O425" s="435"/>
      <c r="P425" s="115"/>
      <c r="Q425" s="435"/>
      <c r="R425" s="435"/>
      <c r="S425" s="435"/>
      <c r="T425" s="435"/>
      <c r="U425" s="435"/>
    </row>
    <row r="426">
      <c r="A426" s="664"/>
      <c r="B426" s="435"/>
      <c r="C426" s="665"/>
      <c r="D426" s="435"/>
      <c r="E426" s="115"/>
      <c r="F426" s="115"/>
      <c r="G426" s="666"/>
      <c r="H426" s="115"/>
      <c r="I426" s="115"/>
      <c r="J426" s="115"/>
      <c r="K426" s="115"/>
      <c r="L426" s="435"/>
      <c r="M426" s="115"/>
      <c r="N426" s="435"/>
      <c r="O426" s="435"/>
      <c r="P426" s="115"/>
      <c r="Q426" s="435"/>
      <c r="R426" s="435"/>
      <c r="S426" s="435"/>
      <c r="T426" s="435"/>
      <c r="U426" s="435"/>
    </row>
    <row r="427">
      <c r="A427" s="664"/>
      <c r="B427" s="435"/>
      <c r="C427" s="665"/>
      <c r="D427" s="435"/>
      <c r="E427" s="115"/>
      <c r="F427" s="115"/>
      <c r="G427" s="666"/>
      <c r="H427" s="115"/>
      <c r="I427" s="115"/>
      <c r="J427" s="115"/>
      <c r="K427" s="435"/>
      <c r="L427" s="115"/>
      <c r="M427" s="435"/>
      <c r="N427" s="115"/>
      <c r="O427" s="435"/>
      <c r="P427" s="115"/>
      <c r="Q427" s="115"/>
      <c r="R427" s="435"/>
      <c r="S427" s="435"/>
      <c r="T427" s="435"/>
      <c r="U427" s="435"/>
    </row>
    <row r="428">
      <c r="A428" s="664"/>
      <c r="B428" s="435"/>
      <c r="C428" s="665"/>
      <c r="D428" s="435"/>
      <c r="E428" s="115"/>
      <c r="F428" s="115"/>
      <c r="G428" s="666"/>
      <c r="H428" s="115"/>
      <c r="I428" s="115"/>
      <c r="J428" s="115"/>
      <c r="K428" s="115"/>
      <c r="L428" s="435"/>
      <c r="M428" s="435"/>
      <c r="N428" s="435"/>
      <c r="O428" s="435"/>
      <c r="P428" s="115"/>
      <c r="Q428" s="115"/>
      <c r="R428" s="435"/>
      <c r="S428" s="435"/>
      <c r="T428" s="435"/>
      <c r="U428" s="435"/>
    </row>
    <row r="429">
      <c r="A429" s="664"/>
      <c r="B429" s="435"/>
      <c r="C429" s="665"/>
      <c r="D429" s="435"/>
      <c r="E429" s="115"/>
      <c r="F429" s="115"/>
      <c r="G429" s="666"/>
      <c r="H429" s="115"/>
      <c r="I429" s="115"/>
      <c r="J429" s="115"/>
      <c r="K429" s="435"/>
      <c r="L429" s="115"/>
      <c r="M429" s="435"/>
      <c r="N429" s="115"/>
      <c r="O429" s="435"/>
      <c r="P429" s="115"/>
      <c r="Q429" s="115"/>
      <c r="R429" s="435"/>
      <c r="S429" s="435"/>
      <c r="T429" s="435"/>
      <c r="U429" s="435"/>
    </row>
    <row r="430">
      <c r="A430" s="664"/>
      <c r="B430" s="435"/>
      <c r="C430" s="665"/>
      <c r="D430" s="435"/>
      <c r="E430" s="115"/>
      <c r="F430" s="115"/>
      <c r="G430" s="666"/>
      <c r="H430" s="115"/>
      <c r="I430" s="115"/>
      <c r="J430" s="115"/>
      <c r="K430" s="115"/>
      <c r="L430" s="435"/>
      <c r="M430" s="435"/>
      <c r="N430" s="435"/>
      <c r="O430" s="435"/>
      <c r="P430" s="115"/>
      <c r="Q430" s="435"/>
      <c r="R430" s="435"/>
      <c r="S430" s="435"/>
      <c r="T430" s="435"/>
      <c r="U430" s="435"/>
    </row>
    <row r="431">
      <c r="A431" s="664"/>
      <c r="B431" s="435"/>
      <c r="C431" s="665"/>
      <c r="D431" s="435"/>
      <c r="E431" s="115"/>
      <c r="F431" s="115"/>
      <c r="G431" s="666"/>
      <c r="H431" s="115"/>
      <c r="I431" s="115"/>
      <c r="J431" s="115"/>
      <c r="K431" s="435"/>
      <c r="L431" s="115"/>
      <c r="M431" s="435"/>
      <c r="N431" s="435"/>
      <c r="O431" s="435"/>
      <c r="P431" s="115"/>
      <c r="Q431" s="435"/>
      <c r="R431" s="435"/>
      <c r="S431" s="435"/>
      <c r="T431" s="435"/>
      <c r="U431" s="435"/>
    </row>
    <row r="432">
      <c r="A432" s="664"/>
      <c r="B432" s="435"/>
      <c r="C432" s="665"/>
      <c r="D432" s="435"/>
      <c r="E432" s="115"/>
      <c r="F432" s="115"/>
      <c r="G432" s="666"/>
      <c r="H432" s="115"/>
      <c r="I432" s="115"/>
      <c r="J432" s="115"/>
      <c r="K432" s="435"/>
      <c r="L432" s="115"/>
      <c r="M432" s="435"/>
      <c r="N432" s="115"/>
      <c r="O432" s="435"/>
      <c r="P432" s="115"/>
      <c r="Q432" s="115"/>
      <c r="R432" s="435"/>
      <c r="S432" s="435"/>
      <c r="T432" s="435"/>
      <c r="U432" s="435"/>
    </row>
    <row r="433">
      <c r="A433" s="664"/>
      <c r="B433" s="435"/>
      <c r="C433" s="665"/>
      <c r="D433" s="435"/>
      <c r="E433" s="115"/>
      <c r="F433" s="115"/>
      <c r="G433" s="666"/>
      <c r="H433" s="115"/>
      <c r="I433" s="115"/>
      <c r="J433" s="115"/>
      <c r="K433" s="115"/>
      <c r="L433" s="435"/>
      <c r="M433" s="435"/>
      <c r="N433" s="115"/>
      <c r="O433" s="435"/>
      <c r="P433" s="115"/>
      <c r="Q433" s="435"/>
      <c r="R433" s="435"/>
      <c r="S433" s="435"/>
      <c r="T433" s="435"/>
      <c r="U433" s="435"/>
    </row>
    <row r="434">
      <c r="A434" s="664"/>
      <c r="B434" s="435"/>
      <c r="C434" s="665"/>
      <c r="D434" s="435"/>
      <c r="E434" s="115"/>
      <c r="F434" s="115"/>
      <c r="G434" s="666"/>
      <c r="H434" s="115"/>
      <c r="I434" s="115"/>
      <c r="J434" s="115"/>
      <c r="K434" s="435"/>
      <c r="L434" s="115"/>
      <c r="M434" s="435"/>
      <c r="N434" s="115"/>
      <c r="O434" s="435"/>
      <c r="P434" s="115"/>
      <c r="Q434" s="435"/>
      <c r="R434" s="435"/>
      <c r="S434" s="435"/>
      <c r="T434" s="435"/>
      <c r="U434" s="435"/>
    </row>
    <row r="435">
      <c r="A435" s="664"/>
      <c r="B435" s="435"/>
      <c r="C435" s="665"/>
      <c r="D435" s="435"/>
      <c r="E435" s="115"/>
      <c r="F435" s="115"/>
      <c r="G435" s="666"/>
      <c r="H435" s="115"/>
      <c r="I435" s="115"/>
      <c r="J435" s="115"/>
      <c r="K435" s="435"/>
      <c r="L435" s="115"/>
      <c r="M435" s="435"/>
      <c r="N435" s="435"/>
      <c r="O435" s="435"/>
      <c r="P435" s="115"/>
      <c r="Q435" s="435"/>
      <c r="R435" s="435"/>
      <c r="S435" s="435"/>
      <c r="T435" s="435"/>
      <c r="U435" s="435"/>
    </row>
    <row r="436">
      <c r="A436" s="664"/>
      <c r="B436" s="435"/>
      <c r="C436" s="665"/>
      <c r="D436" s="435"/>
      <c r="E436" s="115"/>
      <c r="F436" s="115"/>
      <c r="G436" s="666"/>
      <c r="H436" s="115"/>
      <c r="I436" s="115"/>
      <c r="J436" s="115"/>
      <c r="K436" s="115"/>
      <c r="L436" s="435"/>
      <c r="M436" s="435"/>
      <c r="N436" s="435"/>
      <c r="O436" s="435"/>
      <c r="P436" s="115"/>
      <c r="Q436" s="435"/>
      <c r="R436" s="435"/>
      <c r="S436" s="435"/>
      <c r="T436" s="435"/>
      <c r="U436" s="435"/>
    </row>
    <row r="437">
      <c r="A437" s="664"/>
      <c r="B437" s="435"/>
      <c r="C437" s="665"/>
      <c r="D437" s="435"/>
      <c r="E437" s="115"/>
      <c r="F437" s="115"/>
      <c r="G437" s="666"/>
      <c r="H437" s="115"/>
      <c r="I437" s="115"/>
      <c r="J437" s="115"/>
      <c r="K437" s="115"/>
      <c r="L437" s="435"/>
      <c r="M437" s="115"/>
      <c r="N437" s="115"/>
      <c r="O437" s="435"/>
      <c r="P437" s="115"/>
      <c r="Q437" s="435"/>
      <c r="R437" s="435"/>
      <c r="S437" s="435"/>
      <c r="T437" s="435"/>
      <c r="U437" s="435"/>
    </row>
    <row r="438">
      <c r="A438" s="664"/>
      <c r="B438" s="435"/>
      <c r="C438" s="665"/>
      <c r="D438" s="435"/>
      <c r="E438" s="115"/>
      <c r="F438" s="115"/>
      <c r="G438" s="666"/>
      <c r="H438" s="115"/>
      <c r="I438" s="115"/>
      <c r="J438" s="115"/>
      <c r="K438" s="435"/>
      <c r="L438" s="115"/>
      <c r="M438" s="435"/>
      <c r="N438" s="115"/>
      <c r="O438" s="435"/>
      <c r="P438" s="115"/>
      <c r="Q438" s="115"/>
      <c r="R438" s="435"/>
      <c r="S438" s="435"/>
      <c r="T438" s="435"/>
      <c r="U438" s="435"/>
    </row>
    <row r="439">
      <c r="A439" s="664"/>
      <c r="B439" s="435"/>
      <c r="C439" s="665"/>
      <c r="D439" s="435"/>
      <c r="E439" s="115"/>
      <c r="F439" s="115"/>
      <c r="G439" s="666"/>
      <c r="H439" s="115"/>
      <c r="I439" s="115"/>
      <c r="J439" s="115"/>
      <c r="K439" s="115"/>
      <c r="L439" s="435"/>
      <c r="M439" s="435"/>
      <c r="N439" s="435"/>
      <c r="O439" s="435"/>
      <c r="P439" s="115"/>
      <c r="Q439" s="435"/>
      <c r="R439" s="435"/>
      <c r="S439" s="435"/>
      <c r="T439" s="435"/>
      <c r="U439" s="435"/>
    </row>
    <row r="440">
      <c r="A440" s="664"/>
      <c r="B440" s="435"/>
      <c r="C440" s="665"/>
      <c r="D440" s="435"/>
      <c r="E440" s="115"/>
      <c r="F440" s="115"/>
      <c r="G440" s="666"/>
      <c r="H440" s="115"/>
      <c r="I440" s="115"/>
      <c r="J440" s="115"/>
      <c r="K440" s="435"/>
      <c r="L440" s="115"/>
      <c r="M440" s="435"/>
      <c r="N440" s="435"/>
      <c r="O440" s="435"/>
      <c r="P440" s="115"/>
      <c r="Q440" s="115"/>
      <c r="R440" s="435"/>
      <c r="S440" s="435"/>
      <c r="T440" s="435"/>
      <c r="U440" s="435"/>
    </row>
    <row r="441">
      <c r="A441" s="664"/>
      <c r="B441" s="435"/>
      <c r="C441" s="665"/>
      <c r="D441" s="435"/>
      <c r="E441" s="115"/>
      <c r="F441" s="115"/>
      <c r="G441" s="666"/>
      <c r="H441" s="115"/>
      <c r="I441" s="115"/>
      <c r="J441" s="115"/>
      <c r="K441" s="115"/>
      <c r="L441" s="435"/>
      <c r="M441" s="115"/>
      <c r="N441" s="435"/>
      <c r="O441" s="435"/>
      <c r="P441" s="435"/>
      <c r="Q441" s="435"/>
      <c r="R441" s="435"/>
      <c r="S441" s="435"/>
      <c r="T441" s="435"/>
      <c r="U441" s="435"/>
    </row>
    <row r="442">
      <c r="A442" s="664"/>
      <c r="B442" s="435"/>
      <c r="C442" s="665"/>
      <c r="D442" s="435"/>
      <c r="E442" s="115"/>
      <c r="F442" s="115"/>
      <c r="G442" s="666"/>
      <c r="H442" s="115"/>
      <c r="I442" s="115"/>
      <c r="J442" s="115"/>
      <c r="K442" s="115"/>
      <c r="L442" s="435"/>
      <c r="M442" s="435"/>
      <c r="N442" s="435"/>
      <c r="O442" s="435"/>
      <c r="P442" s="115"/>
      <c r="Q442" s="435"/>
      <c r="R442" s="435"/>
      <c r="S442" s="435"/>
      <c r="T442" s="435"/>
      <c r="U442" s="435"/>
    </row>
    <row r="443">
      <c r="A443" s="664"/>
      <c r="B443" s="435"/>
      <c r="C443" s="665"/>
      <c r="D443" s="435"/>
      <c r="E443" s="115"/>
      <c r="F443" s="115"/>
      <c r="G443" s="666"/>
      <c r="H443" s="115"/>
      <c r="I443" s="115"/>
      <c r="J443" s="115"/>
      <c r="K443" s="115"/>
      <c r="L443" s="435"/>
      <c r="M443" s="435"/>
      <c r="N443" s="435"/>
      <c r="O443" s="435"/>
      <c r="P443" s="115"/>
      <c r="Q443" s="115"/>
      <c r="R443" s="435"/>
      <c r="S443" s="435"/>
      <c r="T443" s="435"/>
      <c r="U443" s="435"/>
    </row>
    <row r="444">
      <c r="A444" s="664"/>
      <c r="B444" s="435"/>
      <c r="C444" s="665"/>
      <c r="D444" s="435"/>
      <c r="E444" s="115"/>
      <c r="F444" s="115"/>
      <c r="G444" s="666"/>
      <c r="H444" s="115"/>
      <c r="I444" s="115"/>
      <c r="J444" s="115"/>
      <c r="K444" s="435"/>
      <c r="L444" s="115"/>
      <c r="M444" s="435"/>
      <c r="N444" s="435"/>
      <c r="O444" s="435"/>
      <c r="P444" s="115"/>
      <c r="Q444" s="435"/>
      <c r="R444" s="435"/>
      <c r="S444" s="435"/>
      <c r="T444" s="435"/>
      <c r="U444" s="435"/>
    </row>
    <row r="445">
      <c r="A445" s="664"/>
      <c r="B445" s="435"/>
      <c r="C445" s="665"/>
      <c r="D445" s="435"/>
      <c r="E445" s="115"/>
      <c r="F445" s="115"/>
      <c r="G445" s="666"/>
      <c r="H445" s="115"/>
      <c r="I445" s="115"/>
      <c r="J445" s="115"/>
      <c r="K445" s="435"/>
      <c r="L445" s="115"/>
      <c r="M445" s="435"/>
      <c r="N445" s="115"/>
      <c r="O445" s="435"/>
      <c r="P445" s="115"/>
      <c r="Q445" s="435"/>
      <c r="R445" s="435"/>
      <c r="S445" s="435"/>
      <c r="T445" s="435"/>
      <c r="U445" s="435"/>
    </row>
    <row r="446">
      <c r="A446" s="664"/>
      <c r="B446" s="435"/>
      <c r="C446" s="665"/>
      <c r="D446" s="435"/>
      <c r="E446" s="115"/>
      <c r="F446" s="115"/>
      <c r="G446" s="666"/>
      <c r="H446" s="115"/>
      <c r="I446" s="115"/>
      <c r="J446" s="115"/>
      <c r="K446" s="435"/>
      <c r="L446" s="435"/>
      <c r="M446" s="435"/>
      <c r="N446" s="115"/>
      <c r="O446" s="435"/>
      <c r="P446" s="115"/>
      <c r="Q446" s="435"/>
      <c r="R446" s="435"/>
      <c r="S446" s="435"/>
      <c r="T446" s="435"/>
      <c r="U446" s="435"/>
    </row>
    <row r="447">
      <c r="A447" s="664"/>
      <c r="B447" s="435"/>
      <c r="C447" s="665"/>
      <c r="D447" s="435"/>
      <c r="E447" s="115"/>
      <c r="F447" s="115"/>
      <c r="G447" s="666"/>
      <c r="H447" s="115"/>
      <c r="I447" s="115"/>
      <c r="J447" s="115"/>
      <c r="K447" s="435"/>
      <c r="L447" s="435"/>
      <c r="M447" s="115"/>
      <c r="N447" s="435"/>
      <c r="O447" s="435"/>
      <c r="P447" s="435"/>
      <c r="Q447" s="435"/>
      <c r="R447" s="435"/>
      <c r="S447" s="435"/>
      <c r="T447" s="435"/>
      <c r="U447" s="435"/>
    </row>
    <row r="448">
      <c r="A448" s="664"/>
      <c r="B448" s="435"/>
      <c r="C448" s="665"/>
      <c r="D448" s="435"/>
      <c r="E448" s="115"/>
      <c r="F448" s="115"/>
      <c r="G448" s="666"/>
      <c r="H448" s="115"/>
      <c r="I448" s="115"/>
      <c r="J448" s="115"/>
      <c r="K448" s="435"/>
      <c r="L448" s="115"/>
      <c r="M448" s="435"/>
      <c r="N448" s="435"/>
      <c r="O448" s="435"/>
      <c r="P448" s="115"/>
      <c r="Q448" s="435"/>
      <c r="R448" s="435"/>
      <c r="S448" s="435"/>
      <c r="T448" s="435"/>
      <c r="U448" s="435"/>
    </row>
    <row r="449">
      <c r="A449" s="664"/>
      <c r="B449" s="435"/>
      <c r="C449" s="665"/>
      <c r="D449" s="435"/>
      <c r="E449" s="115"/>
      <c r="F449" s="115"/>
      <c r="G449" s="666"/>
      <c r="H449" s="115"/>
      <c r="I449" s="115"/>
      <c r="J449" s="115"/>
      <c r="K449" s="115"/>
      <c r="L449" s="435"/>
      <c r="M449" s="115"/>
      <c r="N449" s="435"/>
      <c r="O449" s="435"/>
      <c r="P449" s="115"/>
      <c r="Q449" s="435"/>
      <c r="R449" s="435"/>
      <c r="S449" s="435"/>
      <c r="T449" s="435"/>
      <c r="U449" s="435"/>
    </row>
    <row r="450">
      <c r="A450" s="664"/>
      <c r="B450" s="435"/>
      <c r="C450" s="665"/>
      <c r="D450" s="435"/>
      <c r="E450" s="115"/>
      <c r="F450" s="115"/>
      <c r="G450" s="666"/>
      <c r="H450" s="115"/>
      <c r="I450" s="115"/>
      <c r="J450" s="115"/>
      <c r="K450" s="115"/>
      <c r="L450" s="435"/>
      <c r="M450" s="435"/>
      <c r="N450" s="115"/>
      <c r="O450" s="435"/>
      <c r="P450" s="115"/>
      <c r="Q450" s="115"/>
      <c r="R450" s="435"/>
      <c r="S450" s="435"/>
      <c r="T450" s="435"/>
      <c r="U450" s="435"/>
    </row>
    <row r="451">
      <c r="A451" s="664"/>
      <c r="B451" s="435"/>
      <c r="C451" s="665"/>
      <c r="D451" s="435"/>
      <c r="E451" s="115"/>
      <c r="F451" s="115"/>
      <c r="G451" s="666"/>
      <c r="H451" s="115"/>
      <c r="I451" s="115"/>
      <c r="J451" s="115"/>
      <c r="K451" s="115"/>
      <c r="L451" s="435"/>
      <c r="M451" s="435"/>
      <c r="N451" s="435"/>
      <c r="O451" s="435"/>
      <c r="P451" s="115"/>
      <c r="Q451" s="435"/>
      <c r="R451" s="435"/>
      <c r="S451" s="435"/>
      <c r="T451" s="435"/>
      <c r="U451" s="435"/>
    </row>
    <row r="452">
      <c r="A452" s="664"/>
      <c r="B452" s="435"/>
      <c r="C452" s="665"/>
      <c r="D452" s="435"/>
      <c r="E452" s="115"/>
      <c r="F452" s="115"/>
      <c r="G452" s="666"/>
      <c r="H452" s="115"/>
      <c r="I452" s="115"/>
      <c r="J452" s="115"/>
      <c r="K452" s="435"/>
      <c r="L452" s="115"/>
      <c r="M452" s="435"/>
      <c r="N452" s="435"/>
      <c r="O452" s="435"/>
      <c r="P452" s="115"/>
      <c r="Q452" s="115"/>
      <c r="R452" s="435"/>
      <c r="S452" s="435"/>
      <c r="T452" s="435"/>
      <c r="U452" s="435"/>
    </row>
    <row r="453">
      <c r="A453" s="664"/>
      <c r="B453" s="435"/>
      <c r="C453" s="665"/>
      <c r="D453" s="435"/>
      <c r="E453" s="115"/>
      <c r="F453" s="115"/>
      <c r="G453" s="666"/>
      <c r="H453" s="115"/>
      <c r="I453" s="115"/>
      <c r="J453" s="115"/>
      <c r="K453" s="115"/>
      <c r="L453" s="435"/>
      <c r="M453" s="115"/>
      <c r="N453" s="115"/>
      <c r="O453" s="435"/>
      <c r="P453" s="115"/>
      <c r="Q453" s="115"/>
      <c r="R453" s="435"/>
      <c r="S453" s="435"/>
      <c r="T453" s="435"/>
      <c r="U453" s="435"/>
    </row>
    <row r="454">
      <c r="A454" s="664"/>
      <c r="B454" s="435"/>
      <c r="C454" s="665"/>
      <c r="D454" s="435"/>
      <c r="E454" s="115"/>
      <c r="F454" s="115"/>
      <c r="G454" s="666"/>
      <c r="H454" s="115"/>
      <c r="I454" s="115"/>
      <c r="J454" s="115"/>
      <c r="K454" s="115"/>
      <c r="L454" s="435"/>
      <c r="M454" s="435"/>
      <c r="N454" s="435"/>
      <c r="O454" s="435"/>
      <c r="P454" s="115"/>
      <c r="Q454" s="435"/>
      <c r="R454" s="435"/>
      <c r="S454" s="435"/>
      <c r="T454" s="435"/>
      <c r="U454" s="435"/>
    </row>
    <row r="455">
      <c r="A455" s="664"/>
      <c r="B455" s="435"/>
      <c r="C455" s="665"/>
      <c r="D455" s="435"/>
      <c r="E455" s="115"/>
      <c r="F455" s="115"/>
      <c r="G455" s="666"/>
      <c r="H455" s="115"/>
      <c r="I455" s="115"/>
      <c r="J455" s="115"/>
      <c r="K455" s="435"/>
      <c r="L455" s="115"/>
      <c r="M455" s="435"/>
      <c r="N455" s="115"/>
      <c r="O455" s="435"/>
      <c r="P455" s="115"/>
      <c r="Q455" s="115"/>
      <c r="R455" s="435"/>
      <c r="S455" s="435"/>
      <c r="T455" s="435"/>
      <c r="U455" s="435"/>
    </row>
    <row r="456">
      <c r="A456" s="664"/>
      <c r="B456" s="435"/>
      <c r="C456" s="665"/>
      <c r="D456" s="435"/>
      <c r="E456" s="115"/>
      <c r="F456" s="115"/>
      <c r="G456" s="666"/>
      <c r="H456" s="115"/>
      <c r="I456" s="115"/>
      <c r="J456" s="115"/>
      <c r="K456" s="115"/>
      <c r="L456" s="435"/>
      <c r="M456" s="435"/>
      <c r="N456" s="115"/>
      <c r="O456" s="435"/>
      <c r="P456" s="115"/>
      <c r="Q456" s="435"/>
      <c r="R456" s="435"/>
      <c r="S456" s="435"/>
      <c r="T456" s="435"/>
      <c r="U456" s="435"/>
    </row>
    <row r="457">
      <c r="A457" s="664"/>
      <c r="B457" s="435"/>
      <c r="C457" s="665"/>
      <c r="D457" s="435"/>
      <c r="E457" s="115"/>
      <c r="F457" s="115"/>
      <c r="G457" s="666"/>
      <c r="H457" s="115"/>
      <c r="I457" s="115"/>
      <c r="J457" s="115"/>
      <c r="K457" s="435"/>
      <c r="L457" s="115"/>
      <c r="M457" s="435"/>
      <c r="N457" s="435"/>
      <c r="O457" s="435"/>
      <c r="P457" s="115"/>
      <c r="Q457" s="115"/>
      <c r="R457" s="435"/>
      <c r="S457" s="435"/>
      <c r="T457" s="435"/>
      <c r="U457" s="435"/>
    </row>
    <row r="458">
      <c r="A458" s="664"/>
      <c r="B458" s="435"/>
      <c r="C458" s="665"/>
      <c r="D458" s="435"/>
      <c r="E458" s="115"/>
      <c r="F458" s="115"/>
      <c r="G458" s="666"/>
      <c r="H458" s="115"/>
      <c r="I458" s="115"/>
      <c r="J458" s="115"/>
      <c r="K458" s="435"/>
      <c r="L458" s="115"/>
      <c r="M458" s="435"/>
      <c r="N458" s="435"/>
      <c r="O458" s="435"/>
      <c r="P458" s="115"/>
      <c r="Q458" s="435"/>
      <c r="R458" s="435"/>
      <c r="S458" s="435"/>
      <c r="T458" s="435"/>
      <c r="U458" s="435"/>
    </row>
    <row r="459">
      <c r="A459" s="664"/>
      <c r="B459" s="435"/>
      <c r="C459" s="665"/>
      <c r="D459" s="435"/>
      <c r="E459" s="115"/>
      <c r="F459" s="115"/>
      <c r="G459" s="666"/>
      <c r="H459" s="115"/>
      <c r="I459" s="115"/>
      <c r="J459" s="115"/>
      <c r="K459" s="115"/>
      <c r="L459" s="115"/>
      <c r="M459" s="435"/>
      <c r="N459" s="115"/>
      <c r="O459" s="435"/>
      <c r="P459" s="115"/>
      <c r="Q459" s="115"/>
      <c r="R459" s="435"/>
      <c r="S459" s="435"/>
      <c r="T459" s="435"/>
      <c r="U459" s="435"/>
    </row>
    <row r="460">
      <c r="A460" s="664"/>
      <c r="B460" s="435"/>
      <c r="C460" s="665"/>
      <c r="D460" s="435"/>
      <c r="E460" s="115"/>
      <c r="F460" s="115"/>
      <c r="G460" s="666"/>
      <c r="H460" s="115"/>
      <c r="I460" s="115"/>
      <c r="J460" s="115"/>
      <c r="K460" s="435"/>
      <c r="L460" s="435"/>
      <c r="M460" s="435"/>
      <c r="N460" s="435"/>
      <c r="O460" s="435"/>
      <c r="P460" s="435"/>
      <c r="Q460" s="435"/>
      <c r="R460" s="435"/>
      <c r="S460" s="435"/>
      <c r="T460" s="435"/>
      <c r="U460" s="435"/>
    </row>
    <row r="461">
      <c r="A461" s="664"/>
      <c r="B461" s="435"/>
      <c r="C461" s="665"/>
      <c r="D461" s="435"/>
      <c r="E461" s="115"/>
      <c r="F461" s="115"/>
      <c r="G461" s="666"/>
      <c r="H461" s="115"/>
      <c r="I461" s="115"/>
      <c r="J461" s="115"/>
      <c r="K461" s="435"/>
      <c r="L461" s="115"/>
      <c r="M461" s="435"/>
      <c r="N461" s="435"/>
      <c r="O461" s="435"/>
      <c r="P461" s="435"/>
      <c r="Q461" s="115"/>
      <c r="R461" s="435"/>
      <c r="S461" s="435"/>
      <c r="T461" s="435"/>
      <c r="U461" s="435"/>
    </row>
    <row r="462">
      <c r="A462" s="664"/>
      <c r="B462" s="435"/>
      <c r="C462" s="665"/>
      <c r="D462" s="435"/>
      <c r="E462" s="115"/>
      <c r="F462" s="115"/>
      <c r="G462" s="666"/>
      <c r="H462" s="115"/>
      <c r="I462" s="115"/>
      <c r="J462" s="115"/>
      <c r="K462" s="435"/>
      <c r="L462" s="115"/>
      <c r="M462" s="435"/>
      <c r="N462" s="435"/>
      <c r="O462" s="435"/>
      <c r="P462" s="115"/>
      <c r="Q462" s="435"/>
      <c r="R462" s="435"/>
      <c r="S462" s="435"/>
      <c r="T462" s="435"/>
      <c r="U462" s="435"/>
    </row>
    <row r="463">
      <c r="A463" s="664"/>
      <c r="B463" s="435"/>
      <c r="C463" s="665"/>
      <c r="D463" s="435"/>
      <c r="E463" s="115"/>
      <c r="F463" s="115"/>
      <c r="G463" s="666"/>
      <c r="H463" s="115"/>
      <c r="I463" s="115"/>
      <c r="J463" s="115"/>
      <c r="K463" s="115"/>
      <c r="L463" s="435"/>
      <c r="M463" s="435"/>
      <c r="N463" s="435"/>
      <c r="O463" s="435"/>
      <c r="P463" s="115"/>
      <c r="Q463" s="435"/>
      <c r="R463" s="435"/>
      <c r="S463" s="435"/>
      <c r="T463" s="435"/>
      <c r="U463" s="435"/>
    </row>
    <row r="464">
      <c r="A464" s="664"/>
      <c r="B464" s="435"/>
      <c r="C464" s="665"/>
      <c r="D464" s="435"/>
      <c r="E464" s="115"/>
      <c r="F464" s="115"/>
      <c r="G464" s="666"/>
      <c r="H464" s="115"/>
      <c r="I464" s="115"/>
      <c r="J464" s="115"/>
      <c r="K464" s="115"/>
      <c r="L464" s="435"/>
      <c r="M464" s="435"/>
      <c r="N464" s="435"/>
      <c r="O464" s="435"/>
      <c r="P464" s="115"/>
      <c r="Q464" s="435"/>
      <c r="R464" s="435"/>
      <c r="S464" s="435"/>
      <c r="T464" s="435"/>
      <c r="U464" s="435"/>
    </row>
    <row r="465">
      <c r="A465" s="664"/>
      <c r="B465" s="435"/>
      <c r="C465" s="665"/>
      <c r="D465" s="435"/>
      <c r="E465" s="115"/>
      <c r="F465" s="115"/>
      <c r="G465" s="666"/>
      <c r="H465" s="115"/>
      <c r="I465" s="115"/>
      <c r="J465" s="115"/>
      <c r="K465" s="115"/>
      <c r="L465" s="435"/>
      <c r="M465" s="115"/>
      <c r="N465" s="115"/>
      <c r="O465" s="435"/>
      <c r="P465" s="115"/>
      <c r="Q465" s="435"/>
      <c r="R465" s="435"/>
      <c r="S465" s="435"/>
      <c r="T465" s="435"/>
      <c r="U465" s="435"/>
    </row>
    <row r="466">
      <c r="A466" s="664"/>
      <c r="B466" s="435"/>
      <c r="C466" s="665"/>
      <c r="D466" s="435"/>
      <c r="E466" s="115"/>
      <c r="F466" s="115"/>
      <c r="G466" s="666"/>
      <c r="H466" s="115"/>
      <c r="I466" s="115"/>
      <c r="J466" s="115"/>
      <c r="K466" s="435"/>
      <c r="L466" s="115"/>
      <c r="M466" s="435"/>
      <c r="N466" s="115"/>
      <c r="O466" s="435"/>
      <c r="P466" s="115"/>
      <c r="Q466" s="115"/>
      <c r="R466" s="435"/>
      <c r="S466" s="435"/>
      <c r="T466" s="435"/>
      <c r="U466" s="435"/>
    </row>
    <row r="467">
      <c r="A467" s="664"/>
      <c r="B467" s="435"/>
      <c r="C467" s="665"/>
      <c r="D467" s="435"/>
      <c r="E467" s="115"/>
      <c r="F467" s="115"/>
      <c r="G467" s="666"/>
      <c r="H467" s="115"/>
      <c r="I467" s="115"/>
      <c r="J467" s="115"/>
      <c r="K467" s="115"/>
      <c r="L467" s="435"/>
      <c r="M467" s="115"/>
      <c r="N467" s="115"/>
      <c r="O467" s="435"/>
      <c r="P467" s="115"/>
      <c r="Q467" s="115"/>
      <c r="R467" s="435"/>
      <c r="S467" s="435"/>
      <c r="T467" s="435"/>
      <c r="U467" s="435"/>
    </row>
    <row r="468">
      <c r="A468" s="664"/>
      <c r="B468" s="435"/>
      <c r="C468" s="665"/>
      <c r="D468" s="435"/>
      <c r="E468" s="115"/>
      <c r="F468" s="115"/>
      <c r="G468" s="666"/>
      <c r="H468" s="115"/>
      <c r="I468" s="115"/>
      <c r="J468" s="115"/>
      <c r="K468" s="115"/>
      <c r="L468" s="435"/>
      <c r="M468" s="115"/>
      <c r="N468" s="115"/>
      <c r="O468" s="435"/>
      <c r="P468" s="115"/>
      <c r="Q468" s="115"/>
      <c r="R468" s="435"/>
      <c r="S468" s="435"/>
      <c r="T468" s="435"/>
      <c r="U468" s="435"/>
    </row>
    <row r="469">
      <c r="A469" s="664"/>
      <c r="B469" s="682"/>
      <c r="C469" s="665"/>
      <c r="D469" s="435"/>
      <c r="E469" s="115"/>
      <c r="F469" s="115"/>
      <c r="G469" s="666"/>
      <c r="H469" s="115"/>
      <c r="I469" s="115"/>
      <c r="J469" s="115"/>
      <c r="K469" s="115"/>
      <c r="L469" s="435"/>
      <c r="M469" s="435"/>
      <c r="N469" s="435"/>
      <c r="O469" s="435"/>
      <c r="P469" s="115"/>
      <c r="Q469" s="435"/>
      <c r="R469" s="435"/>
      <c r="S469" s="435"/>
      <c r="T469" s="435"/>
      <c r="U469" s="435"/>
    </row>
    <row r="470">
      <c r="A470" s="664"/>
      <c r="B470" s="435"/>
      <c r="C470" s="665"/>
      <c r="D470" s="435"/>
      <c r="E470" s="115"/>
      <c r="F470" s="115"/>
      <c r="G470" s="666"/>
      <c r="H470" s="115"/>
      <c r="I470" s="115"/>
      <c r="J470" s="115"/>
      <c r="K470" s="115"/>
      <c r="L470" s="435"/>
      <c r="M470" s="435"/>
      <c r="N470" s="435"/>
      <c r="O470" s="435"/>
      <c r="P470" s="115"/>
      <c r="Q470" s="435"/>
      <c r="R470" s="435"/>
      <c r="S470" s="435"/>
      <c r="T470" s="435"/>
      <c r="U470" s="435"/>
    </row>
    <row r="471">
      <c r="A471" s="664"/>
      <c r="B471" s="435"/>
      <c r="C471" s="665"/>
      <c r="D471" s="435"/>
      <c r="E471" s="115"/>
      <c r="F471" s="115"/>
      <c r="G471" s="666"/>
      <c r="H471" s="115"/>
      <c r="I471" s="115"/>
      <c r="J471" s="115"/>
      <c r="K471" s="115"/>
      <c r="L471" s="435"/>
      <c r="M471" s="115"/>
      <c r="N471" s="115"/>
      <c r="O471" s="435"/>
      <c r="P471" s="115"/>
      <c r="Q471" s="435"/>
      <c r="R471" s="435"/>
      <c r="S471" s="435"/>
      <c r="T471" s="435"/>
      <c r="U471" s="435"/>
    </row>
    <row r="472">
      <c r="A472" s="664"/>
      <c r="B472" s="435"/>
      <c r="C472" s="665"/>
      <c r="D472" s="435"/>
      <c r="E472" s="115"/>
      <c r="F472" s="115"/>
      <c r="G472" s="666"/>
      <c r="H472" s="115"/>
      <c r="I472" s="115"/>
      <c r="J472" s="115"/>
      <c r="K472" s="115"/>
      <c r="L472" s="435"/>
      <c r="M472" s="115"/>
      <c r="N472" s="435"/>
      <c r="O472" s="435"/>
      <c r="P472" s="115"/>
      <c r="Q472" s="435"/>
      <c r="R472" s="435"/>
      <c r="S472" s="435"/>
      <c r="T472" s="435"/>
      <c r="U472" s="435"/>
    </row>
    <row r="473">
      <c r="A473" s="664"/>
      <c r="B473" s="435"/>
      <c r="C473" s="665"/>
      <c r="D473" s="435"/>
      <c r="E473" s="115"/>
      <c r="F473" s="115"/>
      <c r="G473" s="666"/>
      <c r="H473" s="115"/>
      <c r="I473" s="115"/>
      <c r="J473" s="115"/>
      <c r="K473" s="115"/>
      <c r="L473" s="435"/>
      <c r="M473" s="115"/>
      <c r="N473" s="115"/>
      <c r="O473" s="435"/>
      <c r="P473" s="115"/>
      <c r="Q473" s="435"/>
      <c r="R473" s="435"/>
      <c r="S473" s="435"/>
      <c r="T473" s="435"/>
      <c r="U473" s="435"/>
    </row>
    <row r="474">
      <c r="A474" s="664"/>
      <c r="B474" s="435"/>
      <c r="C474" s="665"/>
      <c r="D474" s="435"/>
      <c r="E474" s="115"/>
      <c r="F474" s="115"/>
      <c r="G474" s="666"/>
      <c r="H474" s="115"/>
      <c r="I474" s="115"/>
      <c r="J474" s="115"/>
      <c r="K474" s="115"/>
      <c r="L474" s="435"/>
      <c r="M474" s="435"/>
      <c r="N474" s="435"/>
      <c r="O474" s="435"/>
      <c r="P474" s="115"/>
      <c r="Q474" s="435"/>
      <c r="R474" s="435"/>
      <c r="S474" s="435"/>
      <c r="T474" s="435"/>
      <c r="U474" s="435"/>
    </row>
    <row r="475">
      <c r="A475" s="664"/>
      <c r="B475" s="435"/>
      <c r="C475" s="665"/>
      <c r="D475" s="435"/>
      <c r="E475" s="115"/>
      <c r="F475" s="115"/>
      <c r="G475" s="666"/>
      <c r="H475" s="115"/>
      <c r="I475" s="115"/>
      <c r="J475" s="115"/>
      <c r="K475" s="435"/>
      <c r="L475" s="115"/>
      <c r="M475" s="435"/>
      <c r="N475" s="115"/>
      <c r="O475" s="435"/>
      <c r="P475" s="115"/>
      <c r="Q475" s="435"/>
      <c r="R475" s="435"/>
      <c r="S475" s="435"/>
      <c r="T475" s="435"/>
      <c r="U475" s="435"/>
    </row>
    <row r="476">
      <c r="A476" s="664"/>
      <c r="B476" s="435"/>
      <c r="C476" s="665"/>
      <c r="D476" s="435"/>
      <c r="E476" s="115"/>
      <c r="F476" s="115"/>
      <c r="G476" s="666"/>
      <c r="H476" s="115"/>
      <c r="I476" s="115"/>
      <c r="J476" s="115"/>
      <c r="K476" s="115"/>
      <c r="L476" s="435"/>
      <c r="M476" s="435"/>
      <c r="N476" s="435"/>
      <c r="O476" s="435"/>
      <c r="P476" s="115"/>
      <c r="Q476" s="435"/>
      <c r="R476" s="435"/>
      <c r="S476" s="435"/>
      <c r="T476" s="435"/>
      <c r="U476" s="435"/>
    </row>
    <row r="477">
      <c r="A477" s="664"/>
      <c r="B477" s="435"/>
      <c r="C477" s="665"/>
      <c r="D477" s="435"/>
      <c r="E477" s="115"/>
      <c r="F477" s="115"/>
      <c r="G477" s="666"/>
      <c r="H477" s="115"/>
      <c r="I477" s="115"/>
      <c r="J477" s="115"/>
      <c r="K477" s="115"/>
      <c r="L477" s="435"/>
      <c r="M477" s="435"/>
      <c r="N477" s="435"/>
      <c r="O477" s="435"/>
      <c r="P477" s="115"/>
      <c r="Q477" s="435"/>
      <c r="R477" s="435"/>
      <c r="S477" s="435"/>
      <c r="T477" s="435"/>
      <c r="U477" s="435"/>
    </row>
    <row r="478">
      <c r="A478" s="664"/>
      <c r="B478" s="682"/>
      <c r="C478" s="665"/>
      <c r="D478" s="435"/>
      <c r="E478" s="115"/>
      <c r="F478" s="115"/>
      <c r="G478" s="666"/>
      <c r="H478" s="115"/>
      <c r="I478" s="115"/>
      <c r="J478" s="115"/>
      <c r="K478" s="115"/>
      <c r="L478" s="435"/>
      <c r="M478" s="435"/>
      <c r="N478" s="435"/>
      <c r="O478" s="435"/>
      <c r="P478" s="115"/>
      <c r="Q478" s="435"/>
      <c r="R478" s="435"/>
      <c r="S478" s="435"/>
      <c r="T478" s="435"/>
      <c r="U478" s="435"/>
    </row>
    <row r="479">
      <c r="A479" s="664"/>
      <c r="B479" s="435"/>
      <c r="C479" s="665"/>
      <c r="D479" s="435"/>
      <c r="E479" s="115"/>
      <c r="F479" s="115"/>
      <c r="G479" s="666"/>
      <c r="H479" s="115"/>
      <c r="I479" s="115"/>
      <c r="J479" s="115"/>
      <c r="K479" s="115"/>
      <c r="L479" s="435"/>
      <c r="M479" s="435"/>
      <c r="N479" s="435"/>
      <c r="O479" s="435"/>
      <c r="P479" s="115"/>
      <c r="Q479" s="435"/>
      <c r="R479" s="435"/>
      <c r="S479" s="435"/>
      <c r="T479" s="435"/>
      <c r="U479" s="435"/>
    </row>
    <row r="480">
      <c r="A480" s="664"/>
      <c r="B480" s="435"/>
      <c r="C480" s="665"/>
      <c r="D480" s="435"/>
      <c r="E480" s="115"/>
      <c r="F480" s="115"/>
      <c r="G480" s="666"/>
      <c r="H480" s="115"/>
      <c r="I480" s="115"/>
      <c r="J480" s="115"/>
      <c r="K480" s="115"/>
      <c r="L480" s="435"/>
      <c r="M480" s="115"/>
      <c r="N480" s="435"/>
      <c r="O480" s="435"/>
      <c r="P480" s="435"/>
      <c r="Q480" s="435"/>
      <c r="R480" s="435"/>
      <c r="S480" s="435"/>
      <c r="T480" s="435"/>
      <c r="U480" s="435"/>
    </row>
    <row r="481">
      <c r="A481" s="664"/>
      <c r="B481" s="682"/>
      <c r="C481" s="665"/>
      <c r="D481" s="435"/>
      <c r="E481" s="115"/>
      <c r="F481" s="115"/>
      <c r="G481" s="666"/>
      <c r="H481" s="115"/>
      <c r="I481" s="115"/>
      <c r="J481" s="115"/>
      <c r="K481" s="115"/>
      <c r="L481" s="435"/>
      <c r="M481" s="435"/>
      <c r="N481" s="435"/>
      <c r="O481" s="435"/>
      <c r="P481" s="115"/>
      <c r="Q481" s="435"/>
      <c r="R481" s="435"/>
      <c r="S481" s="435"/>
      <c r="T481" s="435"/>
      <c r="U481" s="435"/>
    </row>
    <row r="482">
      <c r="A482" s="664"/>
      <c r="B482" s="435"/>
      <c r="C482" s="665"/>
      <c r="D482" s="435"/>
      <c r="E482" s="115"/>
      <c r="F482" s="115"/>
      <c r="G482" s="666"/>
      <c r="H482" s="115"/>
      <c r="I482" s="115"/>
      <c r="J482" s="115"/>
      <c r="K482" s="115"/>
      <c r="L482" s="435"/>
      <c r="M482" s="435"/>
      <c r="N482" s="435"/>
      <c r="O482" s="435"/>
      <c r="P482" s="115"/>
      <c r="Q482" s="435"/>
      <c r="R482" s="435"/>
      <c r="S482" s="435"/>
      <c r="T482" s="435"/>
      <c r="U482" s="435"/>
    </row>
    <row r="483">
      <c r="A483" s="664"/>
      <c r="B483" s="435"/>
      <c r="C483" s="665"/>
      <c r="D483" s="435"/>
      <c r="E483" s="115"/>
      <c r="F483" s="115"/>
      <c r="G483" s="666"/>
      <c r="H483" s="115"/>
      <c r="I483" s="115"/>
      <c r="J483" s="115"/>
      <c r="K483" s="435"/>
      <c r="L483" s="115"/>
      <c r="M483" s="435"/>
      <c r="N483" s="115"/>
      <c r="O483" s="435"/>
      <c r="P483" s="435"/>
      <c r="Q483" s="435"/>
      <c r="R483" s="435"/>
      <c r="S483" s="435"/>
      <c r="T483" s="435"/>
      <c r="U483" s="435"/>
    </row>
    <row r="484">
      <c r="A484" s="664"/>
      <c r="B484" s="435"/>
      <c r="C484" s="665"/>
      <c r="D484" s="435"/>
      <c r="E484" s="115"/>
      <c r="F484" s="115"/>
      <c r="G484" s="666"/>
      <c r="H484" s="115"/>
      <c r="I484" s="115"/>
      <c r="J484" s="115"/>
      <c r="K484" s="435"/>
      <c r="L484" s="115"/>
      <c r="M484" s="435"/>
      <c r="N484" s="435"/>
      <c r="O484" s="435"/>
      <c r="P484" s="115"/>
      <c r="Q484" s="435"/>
      <c r="R484" s="435"/>
      <c r="S484" s="435"/>
      <c r="T484" s="435"/>
      <c r="U484" s="435"/>
    </row>
    <row r="485">
      <c r="A485" s="664"/>
      <c r="B485" s="435"/>
      <c r="C485" s="665"/>
      <c r="D485" s="435"/>
      <c r="E485" s="115"/>
      <c r="F485" s="115"/>
      <c r="G485" s="666"/>
      <c r="H485" s="115"/>
      <c r="I485" s="115"/>
      <c r="J485" s="115"/>
      <c r="K485" s="115"/>
      <c r="L485" s="435"/>
      <c r="M485" s="115"/>
      <c r="N485" s="435"/>
      <c r="O485" s="435"/>
      <c r="P485" s="115"/>
      <c r="Q485" s="435"/>
      <c r="R485" s="435"/>
      <c r="S485" s="435"/>
      <c r="T485" s="435"/>
      <c r="U485" s="435"/>
    </row>
    <row r="486">
      <c r="A486" s="664"/>
      <c r="B486" s="435"/>
      <c r="C486" s="665"/>
      <c r="D486" s="435"/>
      <c r="E486" s="115"/>
      <c r="F486" s="115"/>
      <c r="G486" s="666"/>
      <c r="H486" s="115"/>
      <c r="I486" s="115"/>
      <c r="J486" s="115"/>
      <c r="K486" s="115"/>
      <c r="L486" s="435"/>
      <c r="M486" s="435"/>
      <c r="N486" s="435"/>
      <c r="O486" s="435"/>
      <c r="P486" s="435"/>
      <c r="Q486" s="435"/>
      <c r="R486" s="435"/>
      <c r="S486" s="435"/>
      <c r="T486" s="435"/>
      <c r="U486" s="435"/>
    </row>
    <row r="487">
      <c r="A487" s="664"/>
      <c r="B487" s="435"/>
      <c r="C487" s="665"/>
      <c r="D487" s="435"/>
      <c r="E487" s="115"/>
      <c r="F487" s="115"/>
      <c r="G487" s="666"/>
      <c r="H487" s="115"/>
      <c r="I487" s="115"/>
      <c r="J487" s="115"/>
      <c r="K487" s="435"/>
      <c r="L487" s="115"/>
      <c r="M487" s="435"/>
      <c r="N487" s="435"/>
      <c r="O487" s="435"/>
      <c r="P487" s="115"/>
      <c r="Q487" s="435"/>
      <c r="R487" s="435"/>
      <c r="S487" s="435"/>
      <c r="T487" s="435"/>
      <c r="U487" s="435"/>
    </row>
    <row r="488">
      <c r="A488" s="664"/>
      <c r="B488" s="435"/>
      <c r="C488" s="665"/>
      <c r="D488" s="435"/>
      <c r="E488" s="115"/>
      <c r="F488" s="115"/>
      <c r="G488" s="666"/>
      <c r="H488" s="115"/>
      <c r="I488" s="115"/>
      <c r="J488" s="115"/>
      <c r="K488" s="115"/>
      <c r="L488" s="115"/>
      <c r="M488" s="435"/>
      <c r="N488" s="435"/>
      <c r="O488" s="435"/>
      <c r="P488" s="115"/>
      <c r="Q488" s="435"/>
      <c r="R488" s="435"/>
      <c r="S488" s="435"/>
      <c r="T488" s="435"/>
      <c r="U488" s="435"/>
    </row>
    <row r="489">
      <c r="A489" s="664"/>
      <c r="B489" s="435"/>
      <c r="C489" s="665"/>
      <c r="D489" s="435"/>
      <c r="E489" s="115"/>
      <c r="F489" s="115"/>
      <c r="G489" s="666"/>
      <c r="H489" s="115"/>
      <c r="I489" s="115"/>
      <c r="J489" s="115"/>
      <c r="K489" s="115"/>
      <c r="L489" s="435"/>
      <c r="M489" s="435"/>
      <c r="N489" s="435"/>
      <c r="O489" s="435"/>
      <c r="P489" s="115"/>
      <c r="Q489" s="435"/>
      <c r="R489" s="435"/>
      <c r="S489" s="435"/>
      <c r="T489" s="435"/>
      <c r="U489" s="435"/>
    </row>
    <row r="490">
      <c r="A490" s="664"/>
      <c r="B490" s="435"/>
      <c r="C490" s="665"/>
      <c r="D490" s="435"/>
      <c r="E490" s="115"/>
      <c r="F490" s="115"/>
      <c r="G490" s="666"/>
      <c r="H490" s="115"/>
      <c r="I490" s="115"/>
      <c r="J490" s="115"/>
      <c r="K490" s="115"/>
      <c r="L490" s="435"/>
      <c r="M490" s="115"/>
      <c r="N490" s="115"/>
      <c r="O490" s="435"/>
      <c r="P490" s="115"/>
      <c r="Q490" s="435"/>
      <c r="R490" s="435"/>
      <c r="S490" s="435"/>
      <c r="T490" s="435"/>
      <c r="U490" s="435"/>
    </row>
    <row r="491">
      <c r="A491" s="664"/>
      <c r="B491" s="435"/>
      <c r="C491" s="665"/>
      <c r="D491" s="435"/>
      <c r="E491" s="115"/>
      <c r="F491" s="115"/>
      <c r="G491" s="666"/>
      <c r="H491" s="115"/>
      <c r="I491" s="115"/>
      <c r="J491" s="115"/>
      <c r="K491" s="115"/>
      <c r="L491" s="435"/>
      <c r="M491" s="435"/>
      <c r="N491" s="435"/>
      <c r="O491" s="435"/>
      <c r="P491" s="115"/>
      <c r="Q491" s="435"/>
      <c r="R491" s="435"/>
      <c r="S491" s="435"/>
      <c r="T491" s="435"/>
      <c r="U491" s="435"/>
    </row>
    <row r="492">
      <c r="A492" s="664"/>
      <c r="B492" s="435"/>
      <c r="C492" s="665"/>
      <c r="D492" s="435"/>
      <c r="E492" s="115"/>
      <c r="F492" s="115"/>
      <c r="G492" s="666"/>
      <c r="H492" s="115"/>
      <c r="I492" s="115"/>
      <c r="J492" s="115"/>
      <c r="K492" s="115"/>
      <c r="L492" s="435"/>
      <c r="M492" s="115"/>
      <c r="N492" s="115"/>
      <c r="O492" s="435"/>
      <c r="P492" s="115"/>
      <c r="Q492" s="115"/>
      <c r="R492" s="435"/>
      <c r="S492" s="435"/>
      <c r="T492" s="435"/>
      <c r="U492" s="435"/>
    </row>
    <row r="493">
      <c r="A493" s="664"/>
      <c r="B493" s="435"/>
      <c r="C493" s="665"/>
      <c r="D493" s="435"/>
      <c r="E493" s="115"/>
      <c r="F493" s="115"/>
      <c r="G493" s="666"/>
      <c r="H493" s="115"/>
      <c r="I493" s="115"/>
      <c r="J493" s="115"/>
      <c r="K493" s="115"/>
      <c r="L493" s="435"/>
      <c r="M493" s="115"/>
      <c r="N493" s="115"/>
      <c r="O493" s="435"/>
      <c r="P493" s="115"/>
      <c r="Q493" s="115"/>
      <c r="R493" s="435"/>
      <c r="S493" s="435"/>
      <c r="T493" s="435"/>
      <c r="U493" s="115"/>
    </row>
    <row r="494">
      <c r="A494" s="664"/>
      <c r="B494" s="435"/>
      <c r="C494" s="665"/>
      <c r="D494" s="435"/>
      <c r="E494" s="115"/>
      <c r="F494" s="115"/>
      <c r="G494" s="666"/>
      <c r="H494" s="115"/>
      <c r="I494" s="115"/>
      <c r="J494" s="115"/>
      <c r="K494" s="115"/>
      <c r="L494" s="435"/>
      <c r="M494" s="435"/>
      <c r="N494" s="115"/>
      <c r="O494" s="435"/>
      <c r="P494" s="435"/>
      <c r="Q494" s="435"/>
      <c r="R494" s="435"/>
      <c r="S494" s="435"/>
      <c r="T494" s="435"/>
      <c r="U494" s="435"/>
    </row>
    <row r="495">
      <c r="A495" s="664"/>
      <c r="B495" s="435"/>
      <c r="C495" s="665"/>
      <c r="D495" s="435"/>
      <c r="E495" s="115"/>
      <c r="F495" s="115"/>
      <c r="G495" s="666"/>
      <c r="H495" s="115"/>
      <c r="I495" s="115"/>
      <c r="J495" s="115"/>
      <c r="K495" s="115"/>
      <c r="L495" s="435"/>
      <c r="M495" s="115"/>
      <c r="N495" s="435"/>
      <c r="O495" s="435"/>
      <c r="P495" s="115"/>
      <c r="Q495" s="435"/>
      <c r="R495" s="435"/>
      <c r="S495" s="435"/>
      <c r="T495" s="435"/>
      <c r="U495" s="435"/>
    </row>
    <row r="496">
      <c r="A496" s="664"/>
      <c r="B496" s="435"/>
      <c r="C496" s="665"/>
      <c r="D496" s="435"/>
      <c r="E496" s="115"/>
      <c r="F496" s="115"/>
      <c r="G496" s="666"/>
      <c r="H496" s="115"/>
      <c r="I496" s="115"/>
      <c r="J496" s="115"/>
      <c r="K496" s="115"/>
      <c r="L496" s="435"/>
      <c r="M496" s="435"/>
      <c r="N496" s="435"/>
      <c r="O496" s="435"/>
      <c r="P496" s="115"/>
      <c r="Q496" s="435"/>
      <c r="R496" s="435"/>
      <c r="S496" s="435"/>
      <c r="T496" s="435"/>
      <c r="U496" s="435"/>
    </row>
    <row r="497">
      <c r="A497" s="664"/>
      <c r="B497" s="435"/>
      <c r="C497" s="665"/>
      <c r="D497" s="435"/>
      <c r="E497" s="115"/>
      <c r="F497" s="115"/>
      <c r="G497" s="666"/>
      <c r="H497" s="115"/>
      <c r="I497" s="115"/>
      <c r="J497" s="115"/>
      <c r="K497" s="435"/>
      <c r="L497" s="115"/>
      <c r="M497" s="435"/>
      <c r="N497" s="435"/>
      <c r="O497" s="435"/>
      <c r="P497" s="115"/>
      <c r="Q497" s="435"/>
      <c r="R497" s="435"/>
      <c r="S497" s="435"/>
      <c r="T497" s="435"/>
      <c r="U497" s="435"/>
    </row>
    <row r="498">
      <c r="A498" s="664"/>
      <c r="B498" s="435"/>
      <c r="C498" s="665"/>
      <c r="D498" s="435"/>
      <c r="E498" s="115"/>
      <c r="F498" s="115"/>
      <c r="G498" s="666"/>
      <c r="H498" s="115"/>
      <c r="I498" s="115"/>
      <c r="J498" s="115"/>
      <c r="K498" s="115"/>
      <c r="L498" s="435"/>
      <c r="M498" s="115"/>
      <c r="N498" s="115"/>
      <c r="O498" s="435"/>
      <c r="P498" s="115"/>
      <c r="Q498" s="115"/>
      <c r="R498" s="435"/>
      <c r="S498" s="435"/>
      <c r="T498" s="435"/>
      <c r="U498" s="435"/>
    </row>
    <row r="499">
      <c r="A499" s="664"/>
      <c r="B499" s="435"/>
      <c r="C499" s="665"/>
      <c r="D499" s="435"/>
      <c r="E499" s="115"/>
      <c r="F499" s="115"/>
      <c r="G499" s="666"/>
      <c r="H499" s="115"/>
      <c r="I499" s="115"/>
      <c r="J499" s="115"/>
      <c r="K499" s="115"/>
      <c r="L499" s="435"/>
      <c r="M499" s="435"/>
      <c r="N499" s="115"/>
      <c r="O499" s="435"/>
      <c r="P499" s="115"/>
      <c r="Q499" s="115"/>
      <c r="R499" s="435"/>
      <c r="S499" s="435"/>
      <c r="T499" s="435"/>
      <c r="U499" s="435"/>
    </row>
    <row r="500">
      <c r="A500" s="664"/>
      <c r="B500" s="435"/>
      <c r="C500" s="665"/>
      <c r="D500" s="435"/>
      <c r="E500" s="115"/>
      <c r="F500" s="115"/>
      <c r="G500" s="666"/>
      <c r="H500" s="115"/>
      <c r="I500" s="115"/>
      <c r="J500" s="115"/>
      <c r="K500" s="115"/>
      <c r="L500" s="435"/>
      <c r="M500" s="115"/>
      <c r="N500" s="115"/>
      <c r="O500" s="115"/>
      <c r="P500" s="115"/>
      <c r="Q500" s="115"/>
      <c r="R500" s="435"/>
      <c r="S500" s="435"/>
      <c r="T500" s="435"/>
      <c r="U500" s="435"/>
    </row>
    <row r="501">
      <c r="A501" s="664"/>
      <c r="B501" s="435"/>
      <c r="C501" s="665"/>
      <c r="D501" s="435"/>
      <c r="E501" s="115"/>
      <c r="F501" s="115"/>
      <c r="G501" s="666"/>
      <c r="H501" s="115"/>
      <c r="I501" s="115"/>
      <c r="J501" s="115"/>
      <c r="K501" s="115"/>
      <c r="L501" s="435"/>
      <c r="M501" s="435"/>
      <c r="N501" s="435"/>
      <c r="O501" s="435"/>
      <c r="P501" s="115"/>
      <c r="Q501" s="435"/>
      <c r="R501" s="435"/>
      <c r="S501" s="435"/>
      <c r="T501" s="435"/>
      <c r="U501" s="435"/>
    </row>
    <row r="502">
      <c r="A502" s="664"/>
      <c r="B502" s="435"/>
      <c r="C502" s="665"/>
      <c r="D502" s="435"/>
      <c r="E502" s="115"/>
      <c r="F502" s="115"/>
      <c r="G502" s="666"/>
      <c r="H502" s="115"/>
      <c r="I502" s="115"/>
      <c r="J502" s="115"/>
      <c r="K502" s="435"/>
      <c r="L502" s="115"/>
      <c r="M502" s="435"/>
      <c r="N502" s="435"/>
      <c r="O502" s="435"/>
      <c r="P502" s="115"/>
      <c r="Q502" s="435"/>
      <c r="R502" s="435"/>
      <c r="S502" s="435"/>
      <c r="T502" s="435"/>
      <c r="U502" s="435"/>
    </row>
    <row r="503">
      <c r="A503" s="664"/>
      <c r="B503" s="435"/>
      <c r="C503" s="665"/>
      <c r="D503" s="435"/>
      <c r="E503" s="115"/>
      <c r="F503" s="115"/>
      <c r="G503" s="666"/>
      <c r="H503" s="115"/>
      <c r="I503" s="115"/>
      <c r="J503" s="115"/>
      <c r="K503" s="115"/>
      <c r="L503" s="435"/>
      <c r="M503" s="115"/>
      <c r="N503" s="435"/>
      <c r="O503" s="435"/>
      <c r="P503" s="435"/>
      <c r="Q503" s="435"/>
      <c r="R503" s="435"/>
      <c r="S503" s="435"/>
      <c r="T503" s="435"/>
      <c r="U503" s="435"/>
    </row>
    <row r="504">
      <c r="A504" s="664"/>
      <c r="B504" s="435"/>
      <c r="C504" s="665"/>
      <c r="D504" s="435"/>
      <c r="E504" s="115"/>
      <c r="F504" s="115"/>
      <c r="G504" s="666"/>
      <c r="H504" s="115"/>
      <c r="I504" s="115"/>
      <c r="J504" s="115"/>
      <c r="K504" s="115"/>
      <c r="L504" s="435"/>
      <c r="M504" s="435"/>
      <c r="N504" s="115"/>
      <c r="O504" s="435"/>
      <c r="P504" s="115"/>
      <c r="Q504" s="435"/>
      <c r="R504" s="435"/>
      <c r="S504" s="435"/>
      <c r="T504" s="435"/>
      <c r="U504" s="435"/>
    </row>
    <row r="505">
      <c r="A505" s="664"/>
      <c r="B505" s="435"/>
      <c r="C505" s="665"/>
      <c r="D505" s="435"/>
      <c r="E505" s="115"/>
      <c r="F505" s="115"/>
      <c r="G505" s="666"/>
      <c r="H505" s="115"/>
      <c r="I505" s="115"/>
      <c r="J505" s="115"/>
      <c r="K505" s="435"/>
      <c r="L505" s="115"/>
      <c r="M505" s="435"/>
      <c r="N505" s="435"/>
      <c r="O505" s="435"/>
      <c r="P505" s="115"/>
      <c r="Q505" s="435"/>
      <c r="R505" s="435"/>
      <c r="S505" s="435"/>
      <c r="T505" s="435"/>
      <c r="U505" s="435"/>
    </row>
    <row r="506">
      <c r="A506" s="664"/>
      <c r="B506" s="435"/>
      <c r="C506" s="665"/>
      <c r="D506" s="435"/>
      <c r="E506" s="115"/>
      <c r="F506" s="115"/>
      <c r="G506" s="666"/>
      <c r="H506" s="115"/>
      <c r="I506" s="115"/>
      <c r="J506" s="115"/>
      <c r="K506" s="115"/>
      <c r="L506" s="435"/>
      <c r="M506" s="115"/>
      <c r="N506" s="435"/>
      <c r="O506" s="435"/>
      <c r="P506" s="115"/>
      <c r="Q506" s="435"/>
      <c r="R506" s="435"/>
      <c r="S506" s="435"/>
      <c r="T506" s="435"/>
      <c r="U506" s="435"/>
    </row>
    <row r="507">
      <c r="A507" s="664"/>
      <c r="B507" s="682"/>
      <c r="C507" s="665"/>
      <c r="D507" s="435"/>
      <c r="E507" s="115"/>
      <c r="F507" s="115"/>
      <c r="G507" s="666"/>
      <c r="H507" s="115"/>
      <c r="I507" s="115"/>
      <c r="J507" s="115"/>
      <c r="K507" s="115"/>
      <c r="L507" s="435"/>
      <c r="M507" s="435"/>
      <c r="N507" s="435"/>
      <c r="O507" s="435"/>
      <c r="P507" s="115"/>
      <c r="Q507" s="435"/>
      <c r="R507" s="435"/>
      <c r="S507" s="435"/>
      <c r="T507" s="435"/>
      <c r="U507" s="435"/>
    </row>
    <row r="508">
      <c r="A508" s="664"/>
      <c r="B508" s="435"/>
      <c r="C508" s="665"/>
      <c r="D508" s="435"/>
      <c r="E508" s="115"/>
      <c r="F508" s="115"/>
      <c r="G508" s="666"/>
      <c r="H508" s="115"/>
      <c r="I508" s="115"/>
      <c r="J508" s="115"/>
      <c r="K508" s="115"/>
      <c r="L508" s="435"/>
      <c r="M508" s="435"/>
      <c r="N508" s="435"/>
      <c r="O508" s="435"/>
      <c r="P508" s="115"/>
      <c r="Q508" s="435"/>
      <c r="R508" s="435"/>
      <c r="S508" s="435"/>
      <c r="T508" s="435"/>
      <c r="U508" s="435"/>
    </row>
    <row r="509">
      <c r="A509" s="664"/>
      <c r="B509" s="435"/>
      <c r="C509" s="665"/>
      <c r="D509" s="435"/>
      <c r="E509" s="115"/>
      <c r="F509" s="115"/>
      <c r="G509" s="666"/>
      <c r="H509" s="115"/>
      <c r="I509" s="115"/>
      <c r="J509" s="115"/>
      <c r="K509" s="115"/>
      <c r="L509" s="435"/>
      <c r="M509" s="435"/>
      <c r="N509" s="115"/>
      <c r="O509" s="435"/>
      <c r="P509" s="115"/>
      <c r="Q509" s="115"/>
      <c r="R509" s="435"/>
      <c r="S509" s="435"/>
      <c r="T509" s="435"/>
      <c r="U509" s="435"/>
    </row>
    <row r="510">
      <c r="A510" s="664"/>
      <c r="B510" s="435"/>
      <c r="C510" s="665"/>
      <c r="D510" s="435"/>
      <c r="E510" s="115"/>
      <c r="F510" s="115"/>
      <c r="G510" s="666"/>
      <c r="H510" s="115"/>
      <c r="I510" s="115"/>
      <c r="J510" s="115"/>
      <c r="K510" s="115"/>
      <c r="L510" s="435"/>
      <c r="M510" s="435"/>
      <c r="N510" s="435"/>
      <c r="O510" s="435"/>
      <c r="P510" s="115"/>
      <c r="Q510" s="435"/>
      <c r="R510" s="435"/>
      <c r="S510" s="435"/>
      <c r="T510" s="435"/>
      <c r="U510" s="435"/>
    </row>
    <row r="511">
      <c r="A511" s="664"/>
      <c r="B511" s="435"/>
      <c r="C511" s="665"/>
      <c r="D511" s="435"/>
      <c r="E511" s="115"/>
      <c r="F511" s="115"/>
      <c r="G511" s="666"/>
      <c r="H511" s="115"/>
      <c r="I511" s="115"/>
      <c r="J511" s="115"/>
      <c r="K511" s="115"/>
      <c r="L511" s="435"/>
      <c r="M511" s="435"/>
      <c r="N511" s="435"/>
      <c r="O511" s="435"/>
      <c r="P511" s="115"/>
      <c r="Q511" s="435"/>
      <c r="R511" s="435"/>
      <c r="S511" s="435"/>
      <c r="T511" s="435"/>
      <c r="U511" s="435"/>
    </row>
    <row r="512">
      <c r="A512" s="664"/>
      <c r="B512" s="435"/>
      <c r="C512" s="665"/>
      <c r="D512" s="435"/>
      <c r="E512" s="115"/>
      <c r="F512" s="115"/>
      <c r="G512" s="666"/>
      <c r="H512" s="115"/>
      <c r="I512" s="115"/>
      <c r="J512" s="115"/>
      <c r="K512" s="435"/>
      <c r="L512" s="115"/>
      <c r="M512" s="435"/>
      <c r="N512" s="115"/>
      <c r="O512" s="435"/>
      <c r="P512" s="115"/>
      <c r="Q512" s="435"/>
      <c r="R512" s="435"/>
      <c r="S512" s="435"/>
      <c r="T512" s="435"/>
      <c r="U512" s="435"/>
    </row>
    <row r="513">
      <c r="A513" s="664"/>
      <c r="B513" s="435"/>
      <c r="C513" s="665"/>
      <c r="D513" s="435"/>
      <c r="E513" s="115"/>
      <c r="F513" s="115"/>
      <c r="G513" s="666"/>
      <c r="H513" s="115"/>
      <c r="I513" s="115"/>
      <c r="J513" s="115"/>
      <c r="K513" s="115"/>
      <c r="L513" s="435"/>
      <c r="M513" s="435"/>
      <c r="N513" s="435"/>
      <c r="O513" s="435"/>
      <c r="P513" s="115"/>
      <c r="Q513" s="435"/>
      <c r="R513" s="435"/>
      <c r="S513" s="435"/>
      <c r="T513" s="435"/>
      <c r="U513" s="435"/>
    </row>
    <row r="514">
      <c r="A514" s="664"/>
      <c r="B514" s="435"/>
      <c r="C514" s="665"/>
      <c r="D514" s="435"/>
      <c r="E514" s="115"/>
      <c r="F514" s="115"/>
      <c r="G514" s="666"/>
      <c r="H514" s="115"/>
      <c r="I514" s="115"/>
      <c r="J514" s="115"/>
      <c r="K514" s="115"/>
      <c r="L514" s="435"/>
      <c r="M514" s="435"/>
      <c r="N514" s="115"/>
      <c r="O514" s="435"/>
      <c r="P514" s="115"/>
      <c r="Q514" s="115"/>
      <c r="R514" s="115"/>
      <c r="S514" s="435"/>
      <c r="T514" s="435"/>
      <c r="U514" s="435"/>
    </row>
    <row r="515">
      <c r="A515" s="664"/>
      <c r="B515" s="435"/>
      <c r="C515" s="665"/>
      <c r="D515" s="435"/>
      <c r="E515" s="115"/>
      <c r="F515" s="115"/>
      <c r="G515" s="666"/>
      <c r="H515" s="115"/>
      <c r="I515" s="115"/>
      <c r="J515" s="115"/>
      <c r="K515" s="115"/>
      <c r="L515" s="435"/>
      <c r="M515" s="435"/>
      <c r="N515" s="435"/>
      <c r="O515" s="435"/>
      <c r="P515" s="115"/>
      <c r="Q515" s="435"/>
      <c r="R515" s="435"/>
      <c r="S515" s="435"/>
      <c r="T515" s="435"/>
      <c r="U515" s="435"/>
    </row>
    <row r="516">
      <c r="A516" s="664"/>
      <c r="B516" s="435"/>
      <c r="C516" s="665"/>
      <c r="D516" s="435"/>
      <c r="E516" s="115"/>
      <c r="F516" s="115"/>
      <c r="G516" s="666"/>
      <c r="H516" s="115"/>
      <c r="I516" s="115"/>
      <c r="J516" s="115"/>
      <c r="K516" s="115"/>
      <c r="L516" s="435"/>
      <c r="M516" s="435"/>
      <c r="N516" s="435"/>
      <c r="O516" s="435"/>
      <c r="P516" s="115"/>
      <c r="Q516" s="435"/>
      <c r="R516" s="435"/>
      <c r="S516" s="435"/>
      <c r="T516" s="435"/>
      <c r="U516" s="435"/>
    </row>
    <row r="517">
      <c r="A517" s="664"/>
      <c r="B517" s="682"/>
      <c r="C517" s="665"/>
      <c r="D517" s="435"/>
      <c r="E517" s="115"/>
      <c r="F517" s="115"/>
      <c r="G517" s="666"/>
      <c r="H517" s="115"/>
      <c r="I517" s="115"/>
      <c r="J517" s="115"/>
      <c r="K517" s="115"/>
      <c r="L517" s="435"/>
      <c r="M517" s="435"/>
      <c r="N517" s="435"/>
      <c r="O517" s="435"/>
      <c r="P517" s="115"/>
      <c r="Q517" s="435"/>
      <c r="R517" s="435"/>
      <c r="S517" s="435"/>
      <c r="T517" s="435"/>
      <c r="U517" s="435"/>
    </row>
    <row r="518">
      <c r="A518" s="664"/>
      <c r="B518" s="435"/>
      <c r="C518" s="665"/>
      <c r="D518" s="435"/>
      <c r="E518" s="115"/>
      <c r="F518" s="115"/>
      <c r="G518" s="666"/>
      <c r="H518" s="115"/>
      <c r="I518" s="115"/>
      <c r="J518" s="115"/>
      <c r="K518" s="115"/>
      <c r="L518" s="435"/>
      <c r="M518" s="435"/>
      <c r="N518" s="435"/>
      <c r="O518" s="435"/>
      <c r="P518" s="115"/>
      <c r="Q518" s="435"/>
      <c r="R518" s="435"/>
      <c r="S518" s="435"/>
      <c r="T518" s="435"/>
      <c r="U518" s="435"/>
    </row>
    <row r="519">
      <c r="A519" s="664"/>
      <c r="B519" s="435"/>
      <c r="C519" s="665"/>
      <c r="D519" s="435"/>
      <c r="E519" s="115"/>
      <c r="F519" s="115"/>
      <c r="G519" s="666"/>
      <c r="H519" s="115"/>
      <c r="I519" s="115"/>
      <c r="J519" s="115"/>
      <c r="K519" s="115"/>
      <c r="L519" s="435"/>
      <c r="M519" s="435"/>
      <c r="N519" s="435"/>
      <c r="O519" s="435"/>
      <c r="P519" s="115"/>
      <c r="Q519" s="435"/>
      <c r="R519" s="435"/>
      <c r="S519" s="435"/>
      <c r="T519" s="435"/>
      <c r="U519" s="435"/>
    </row>
    <row r="520">
      <c r="A520" s="664"/>
      <c r="B520" s="435"/>
      <c r="C520" s="665"/>
      <c r="D520" s="435"/>
      <c r="E520" s="115"/>
      <c r="F520" s="115"/>
      <c r="G520" s="666"/>
      <c r="H520" s="115"/>
      <c r="I520" s="115"/>
      <c r="J520" s="115"/>
      <c r="K520" s="435"/>
      <c r="L520" s="115"/>
      <c r="M520" s="435"/>
      <c r="N520" s="435"/>
      <c r="O520" s="435"/>
      <c r="P520" s="115"/>
      <c r="Q520" s="435"/>
      <c r="R520" s="435"/>
      <c r="S520" s="435"/>
      <c r="T520" s="435"/>
      <c r="U520" s="435"/>
    </row>
    <row r="521">
      <c r="A521" s="664"/>
      <c r="B521" s="435"/>
      <c r="C521" s="665"/>
      <c r="D521" s="435"/>
      <c r="E521" s="115"/>
      <c r="F521" s="115"/>
      <c r="G521" s="666"/>
      <c r="H521" s="115"/>
      <c r="I521" s="115"/>
      <c r="J521" s="115"/>
      <c r="K521" s="115"/>
      <c r="L521" s="435"/>
      <c r="M521" s="435"/>
      <c r="N521" s="435"/>
      <c r="O521" s="435"/>
      <c r="P521" s="115"/>
      <c r="Q521" s="435"/>
      <c r="R521" s="435"/>
      <c r="S521" s="435"/>
      <c r="T521" s="435"/>
      <c r="U521" s="435"/>
    </row>
    <row r="522">
      <c r="A522" s="664"/>
      <c r="B522" s="435"/>
      <c r="C522" s="665"/>
      <c r="D522" s="435"/>
      <c r="E522" s="115"/>
      <c r="F522" s="115"/>
      <c r="G522" s="666"/>
      <c r="H522" s="115"/>
      <c r="I522" s="115"/>
      <c r="J522" s="115"/>
      <c r="K522" s="435"/>
      <c r="L522" s="115"/>
      <c r="M522" s="435"/>
      <c r="N522" s="435"/>
      <c r="O522" s="435"/>
      <c r="P522" s="115"/>
      <c r="Q522" s="435"/>
      <c r="R522" s="435"/>
      <c r="S522" s="435"/>
      <c r="T522" s="435"/>
      <c r="U522" s="435"/>
    </row>
    <row r="523">
      <c r="A523" s="664"/>
      <c r="B523" s="435"/>
      <c r="C523" s="665"/>
      <c r="D523" s="435"/>
      <c r="E523" s="115"/>
      <c r="F523" s="115"/>
      <c r="G523" s="666"/>
      <c r="H523" s="115"/>
      <c r="I523" s="115"/>
      <c r="J523" s="115"/>
      <c r="K523" s="115"/>
      <c r="L523" s="435"/>
      <c r="M523" s="115"/>
      <c r="N523" s="115"/>
      <c r="O523" s="435"/>
      <c r="P523" s="115"/>
      <c r="Q523" s="115"/>
      <c r="R523" s="435"/>
      <c r="S523" s="435"/>
      <c r="T523" s="435"/>
      <c r="U523" s="435"/>
    </row>
    <row r="524">
      <c r="A524" s="664"/>
      <c r="B524" s="435"/>
      <c r="C524" s="665"/>
      <c r="D524" s="435"/>
      <c r="E524" s="115"/>
      <c r="F524" s="115"/>
      <c r="G524" s="666"/>
      <c r="H524" s="115"/>
      <c r="I524" s="115"/>
      <c r="J524" s="115"/>
      <c r="K524" s="435"/>
      <c r="L524" s="115"/>
      <c r="M524" s="435"/>
      <c r="N524" s="435"/>
      <c r="O524" s="435"/>
      <c r="P524" s="115"/>
      <c r="Q524" s="435"/>
      <c r="R524" s="435"/>
      <c r="S524" s="435"/>
      <c r="T524" s="683"/>
      <c r="U524" s="683"/>
    </row>
    <row r="525">
      <c r="A525" s="664"/>
      <c r="B525" s="435"/>
      <c r="C525" s="665"/>
      <c r="D525" s="435"/>
      <c r="E525" s="115"/>
      <c r="F525" s="115"/>
      <c r="G525" s="666"/>
      <c r="H525" s="115"/>
      <c r="I525" s="115"/>
      <c r="J525" s="115"/>
      <c r="K525" s="115"/>
      <c r="L525" s="435"/>
      <c r="M525" s="435"/>
      <c r="N525" s="435"/>
      <c r="O525" s="435"/>
      <c r="P525" s="115"/>
      <c r="Q525" s="435"/>
      <c r="R525" s="435"/>
      <c r="S525" s="435"/>
      <c r="T525" s="683"/>
      <c r="U525" s="683"/>
    </row>
    <row r="526">
      <c r="A526" s="664"/>
      <c r="B526" s="435"/>
      <c r="C526" s="665"/>
      <c r="D526" s="435"/>
      <c r="E526" s="115"/>
      <c r="F526" s="115"/>
      <c r="G526" s="666"/>
      <c r="H526" s="115"/>
      <c r="I526" s="115"/>
      <c r="J526" s="115"/>
      <c r="K526" s="115"/>
      <c r="L526" s="435"/>
      <c r="M526" s="435"/>
      <c r="N526" s="435"/>
      <c r="O526" s="435"/>
      <c r="P526" s="115"/>
      <c r="Q526" s="435"/>
      <c r="R526" s="435"/>
      <c r="S526" s="435"/>
      <c r="T526" s="683"/>
      <c r="U526" s="683"/>
    </row>
    <row r="527">
      <c r="A527" s="664"/>
      <c r="B527" s="435"/>
      <c r="C527" s="665"/>
      <c r="D527" s="435"/>
      <c r="E527" s="115"/>
      <c r="F527" s="115"/>
      <c r="G527" s="666"/>
      <c r="H527" s="115"/>
      <c r="I527" s="115"/>
      <c r="J527" s="115"/>
      <c r="K527" s="435"/>
      <c r="L527" s="115"/>
      <c r="M527" s="435"/>
      <c r="N527" s="115"/>
      <c r="O527" s="435"/>
      <c r="P527" s="115"/>
      <c r="Q527" s="435"/>
      <c r="R527" s="435"/>
      <c r="S527" s="435"/>
      <c r="T527" s="683"/>
      <c r="U527" s="683"/>
    </row>
    <row r="528">
      <c r="A528" s="664"/>
      <c r="B528" s="682"/>
      <c r="C528" s="665"/>
      <c r="D528" s="435"/>
      <c r="E528" s="115"/>
      <c r="F528" s="115"/>
      <c r="G528" s="666"/>
      <c r="H528" s="115"/>
      <c r="I528" s="115"/>
      <c r="J528" s="115"/>
      <c r="K528" s="115"/>
      <c r="L528" s="435"/>
      <c r="M528" s="435"/>
      <c r="N528" s="435"/>
      <c r="O528" s="435"/>
      <c r="P528" s="115"/>
      <c r="Q528" s="435"/>
      <c r="R528" s="435"/>
      <c r="S528" s="435"/>
      <c r="T528" s="683"/>
      <c r="U528" s="683"/>
    </row>
    <row r="529">
      <c r="A529" s="664"/>
      <c r="B529" s="435"/>
      <c r="C529" s="665"/>
      <c r="D529" s="435"/>
      <c r="E529" s="115"/>
      <c r="F529" s="115"/>
      <c r="G529" s="666"/>
      <c r="H529" s="115"/>
      <c r="I529" s="115"/>
      <c r="J529" s="115"/>
      <c r="K529" s="435"/>
      <c r="L529" s="115"/>
      <c r="M529" s="435"/>
      <c r="N529" s="115"/>
      <c r="O529" s="435"/>
      <c r="P529" s="115"/>
      <c r="Q529" s="435"/>
      <c r="R529" s="435"/>
      <c r="S529" s="435"/>
      <c r="T529" s="683"/>
      <c r="U529" s="683"/>
    </row>
    <row r="530">
      <c r="A530" s="664"/>
      <c r="B530" s="435"/>
      <c r="C530" s="665"/>
      <c r="D530" s="435"/>
      <c r="E530" s="115"/>
      <c r="F530" s="115"/>
      <c r="G530" s="666"/>
      <c r="H530" s="115"/>
      <c r="I530" s="115"/>
      <c r="J530" s="115"/>
      <c r="K530" s="435"/>
      <c r="L530" s="115"/>
      <c r="M530" s="435"/>
      <c r="N530" s="435"/>
      <c r="O530" s="435"/>
      <c r="P530" s="115"/>
      <c r="Q530" s="435"/>
      <c r="R530" s="435"/>
      <c r="S530" s="435"/>
      <c r="T530" s="683"/>
      <c r="U530" s="683"/>
    </row>
    <row r="531">
      <c r="A531" s="664"/>
      <c r="B531" s="682"/>
      <c r="C531" s="665"/>
      <c r="D531" s="435"/>
      <c r="E531" s="115"/>
      <c r="F531" s="115"/>
      <c r="G531" s="666"/>
      <c r="H531" s="115"/>
      <c r="I531" s="115"/>
      <c r="J531" s="115"/>
      <c r="K531" s="115"/>
      <c r="L531" s="435"/>
      <c r="M531" s="435"/>
      <c r="N531" s="115"/>
      <c r="O531" s="435"/>
      <c r="P531" s="115"/>
      <c r="Q531" s="435"/>
      <c r="R531" s="435"/>
      <c r="S531" s="435"/>
      <c r="T531" s="683"/>
      <c r="U531" s="683"/>
    </row>
    <row r="532">
      <c r="A532" s="664"/>
      <c r="B532" s="435"/>
      <c r="C532" s="665"/>
      <c r="D532" s="435"/>
      <c r="E532" s="115"/>
      <c r="F532" s="115"/>
      <c r="G532" s="666"/>
      <c r="H532" s="115"/>
      <c r="I532" s="115"/>
      <c r="J532" s="115"/>
      <c r="K532" s="435"/>
      <c r="L532" s="115"/>
      <c r="M532" s="435"/>
      <c r="N532" s="435"/>
      <c r="O532" s="435"/>
      <c r="P532" s="115"/>
      <c r="Q532" s="435"/>
      <c r="R532" s="435"/>
      <c r="S532" s="435"/>
      <c r="T532" s="683"/>
      <c r="U532" s="683"/>
    </row>
    <row r="533">
      <c r="A533" s="664"/>
      <c r="B533" s="435"/>
      <c r="C533" s="665"/>
      <c r="D533" s="435"/>
      <c r="E533" s="115"/>
      <c r="F533" s="115"/>
      <c r="G533" s="666"/>
      <c r="H533" s="115"/>
      <c r="I533" s="115"/>
      <c r="J533" s="115"/>
      <c r="K533" s="115"/>
      <c r="L533" s="435"/>
      <c r="M533" s="435"/>
      <c r="N533" s="435"/>
      <c r="O533" s="435"/>
      <c r="P533" s="115"/>
      <c r="Q533" s="435"/>
      <c r="R533" s="435"/>
      <c r="S533" s="435"/>
      <c r="T533" s="683"/>
      <c r="U533" s="683"/>
    </row>
    <row r="534">
      <c r="A534" s="664"/>
      <c r="B534" s="435"/>
      <c r="C534" s="665"/>
      <c r="D534" s="435"/>
      <c r="E534" s="115"/>
      <c r="F534" s="115"/>
      <c r="G534" s="666"/>
      <c r="H534" s="115"/>
      <c r="I534" s="115"/>
      <c r="J534" s="115"/>
      <c r="K534" s="115"/>
      <c r="L534" s="435"/>
      <c r="M534" s="435"/>
      <c r="N534" s="435"/>
      <c r="O534" s="435"/>
      <c r="P534" s="115"/>
      <c r="Q534" s="435"/>
      <c r="R534" s="435"/>
      <c r="S534" s="435"/>
      <c r="T534" s="683"/>
      <c r="U534" s="683"/>
    </row>
    <row r="535">
      <c r="A535" s="664"/>
      <c r="B535" s="435"/>
      <c r="C535" s="665"/>
      <c r="D535" s="435"/>
      <c r="E535" s="115"/>
      <c r="F535" s="115"/>
      <c r="G535" s="666"/>
      <c r="H535" s="115"/>
      <c r="I535" s="115"/>
      <c r="J535" s="115"/>
      <c r="K535" s="115"/>
      <c r="L535" s="435"/>
      <c r="M535" s="435"/>
      <c r="N535" s="435"/>
      <c r="O535" s="435"/>
      <c r="P535" s="115"/>
      <c r="Q535" s="435"/>
      <c r="R535" s="435"/>
      <c r="S535" s="435"/>
      <c r="T535" s="683"/>
      <c r="U535" s="683"/>
    </row>
    <row r="536">
      <c r="A536" s="664"/>
      <c r="B536" s="435"/>
      <c r="C536" s="665"/>
      <c r="D536" s="435"/>
      <c r="E536" s="115"/>
      <c r="F536" s="115"/>
      <c r="G536" s="666"/>
      <c r="H536" s="115"/>
      <c r="I536" s="115"/>
      <c r="J536" s="115"/>
      <c r="K536" s="115"/>
      <c r="L536" s="435"/>
      <c r="M536" s="115"/>
      <c r="N536" s="435"/>
      <c r="O536" s="435"/>
      <c r="P536" s="115"/>
      <c r="Q536" s="435"/>
      <c r="R536" s="435"/>
      <c r="S536" s="435"/>
      <c r="T536" s="683"/>
      <c r="U536" s="683"/>
    </row>
    <row r="537">
      <c r="A537" s="664"/>
      <c r="B537" s="435"/>
      <c r="C537" s="665"/>
      <c r="D537" s="435"/>
      <c r="E537" s="115"/>
      <c r="F537" s="115"/>
      <c r="G537" s="666"/>
      <c r="H537" s="115"/>
      <c r="I537" s="115"/>
      <c r="J537" s="115"/>
      <c r="K537" s="115"/>
      <c r="L537" s="435"/>
      <c r="M537" s="435"/>
      <c r="N537" s="435"/>
      <c r="O537" s="435"/>
      <c r="P537" s="115"/>
      <c r="Q537" s="435"/>
      <c r="R537" s="435"/>
      <c r="S537" s="435"/>
      <c r="T537" s="683"/>
      <c r="U537" s="683"/>
    </row>
    <row r="538">
      <c r="A538" s="664"/>
      <c r="B538" s="435"/>
      <c r="C538" s="665"/>
      <c r="D538" s="435"/>
      <c r="E538" s="115"/>
      <c r="F538" s="115"/>
      <c r="G538" s="666"/>
      <c r="H538" s="115"/>
      <c r="I538" s="115"/>
      <c r="J538" s="115"/>
      <c r="K538" s="115"/>
      <c r="L538" s="435"/>
      <c r="M538" s="115"/>
      <c r="N538" s="115"/>
      <c r="O538" s="435"/>
      <c r="P538" s="115"/>
      <c r="Q538" s="435"/>
      <c r="R538" s="435"/>
      <c r="S538" s="435"/>
      <c r="T538" s="683"/>
      <c r="U538" s="683"/>
    </row>
    <row r="539">
      <c r="A539" s="664"/>
      <c r="B539" s="435"/>
      <c r="C539" s="665"/>
      <c r="D539" s="435"/>
      <c r="E539" s="115"/>
      <c r="F539" s="115"/>
      <c r="G539" s="666"/>
      <c r="H539" s="115"/>
      <c r="I539" s="115"/>
      <c r="J539" s="115"/>
      <c r="K539" s="115"/>
      <c r="L539" s="435"/>
      <c r="M539" s="115"/>
      <c r="N539" s="115"/>
      <c r="O539" s="435"/>
      <c r="P539" s="115"/>
      <c r="Q539" s="115"/>
      <c r="R539" s="435"/>
      <c r="S539" s="435"/>
      <c r="T539" s="683"/>
      <c r="U539" s="683"/>
    </row>
    <row r="540">
      <c r="A540" s="664"/>
      <c r="B540" s="682"/>
      <c r="C540" s="665"/>
      <c r="D540" s="435"/>
      <c r="E540" s="115"/>
      <c r="F540" s="115"/>
      <c r="G540" s="666"/>
      <c r="H540" s="115"/>
      <c r="I540" s="115"/>
      <c r="J540" s="115"/>
      <c r="K540" s="435"/>
      <c r="L540" s="115"/>
      <c r="M540" s="435"/>
      <c r="N540" s="115"/>
      <c r="O540" s="435"/>
      <c r="P540" s="115"/>
      <c r="Q540" s="115"/>
      <c r="R540" s="435"/>
      <c r="S540" s="435"/>
      <c r="T540" s="683"/>
      <c r="U540" s="683"/>
    </row>
    <row r="541">
      <c r="A541" s="664"/>
      <c r="B541" s="435"/>
      <c r="C541" s="665"/>
      <c r="D541" s="435"/>
      <c r="E541" s="115"/>
      <c r="F541" s="115"/>
      <c r="G541" s="666"/>
      <c r="H541" s="115"/>
      <c r="I541" s="115"/>
      <c r="J541" s="115"/>
      <c r="K541" s="115"/>
      <c r="L541" s="435"/>
      <c r="M541" s="115"/>
      <c r="N541" s="435"/>
      <c r="O541" s="435"/>
      <c r="P541" s="115"/>
      <c r="Q541" s="435"/>
      <c r="R541" s="435"/>
      <c r="S541" s="435"/>
      <c r="T541" s="683"/>
      <c r="U541" s="683"/>
    </row>
    <row r="542">
      <c r="A542" s="664"/>
      <c r="B542" s="435"/>
      <c r="C542" s="665"/>
      <c r="D542" s="435"/>
      <c r="E542" s="115"/>
      <c r="F542" s="115"/>
      <c r="G542" s="666"/>
      <c r="H542" s="115"/>
      <c r="I542" s="115"/>
      <c r="J542" s="115"/>
      <c r="K542" s="115"/>
      <c r="L542" s="435"/>
      <c r="M542" s="115"/>
      <c r="N542" s="115"/>
      <c r="O542" s="435"/>
      <c r="P542" s="115"/>
      <c r="Q542" s="115"/>
      <c r="R542" s="435"/>
      <c r="S542" s="435"/>
      <c r="T542" s="683"/>
      <c r="U542" s="683"/>
    </row>
    <row r="543">
      <c r="A543" s="664"/>
      <c r="B543" s="435"/>
      <c r="C543" s="665"/>
      <c r="D543" s="435"/>
      <c r="E543" s="115"/>
      <c r="F543" s="115"/>
      <c r="G543" s="666"/>
      <c r="H543" s="115"/>
      <c r="I543" s="115"/>
      <c r="J543" s="115"/>
      <c r="K543" s="115"/>
      <c r="L543" s="115"/>
      <c r="M543" s="435"/>
      <c r="N543" s="435"/>
      <c r="O543" s="435"/>
      <c r="P543" s="115"/>
      <c r="Q543" s="435"/>
      <c r="R543" s="435"/>
      <c r="S543" s="435"/>
      <c r="T543" s="683"/>
      <c r="U543" s="683"/>
    </row>
    <row r="544">
      <c r="A544" s="664"/>
      <c r="B544" s="435"/>
      <c r="C544" s="665"/>
      <c r="D544" s="435"/>
      <c r="E544" s="115"/>
      <c r="F544" s="115"/>
      <c r="G544" s="666"/>
      <c r="H544" s="115"/>
      <c r="I544" s="115"/>
      <c r="J544" s="115"/>
      <c r="K544" s="435"/>
      <c r="L544" s="115"/>
      <c r="M544" s="435"/>
      <c r="N544" s="115"/>
      <c r="O544" s="435"/>
      <c r="P544" s="115"/>
      <c r="Q544" s="115"/>
      <c r="R544" s="115"/>
      <c r="S544" s="435"/>
      <c r="T544" s="683"/>
      <c r="U544" s="683"/>
    </row>
    <row r="545">
      <c r="A545" s="664"/>
      <c r="B545" s="435"/>
      <c r="C545" s="665"/>
      <c r="D545" s="435"/>
      <c r="E545" s="115"/>
      <c r="F545" s="115"/>
      <c r="G545" s="666"/>
      <c r="H545" s="115"/>
      <c r="I545" s="115"/>
      <c r="J545" s="115"/>
      <c r="K545" s="435"/>
      <c r="L545" s="115"/>
      <c r="M545" s="435"/>
      <c r="N545" s="435"/>
      <c r="O545" s="435"/>
      <c r="P545" s="115"/>
      <c r="Q545" s="435"/>
      <c r="R545" s="435"/>
      <c r="S545" s="435"/>
      <c r="T545" s="683"/>
      <c r="U545" s="683"/>
    </row>
    <row r="546">
      <c r="A546" s="664"/>
      <c r="B546" s="435"/>
      <c r="C546" s="665"/>
      <c r="D546" s="435"/>
      <c r="E546" s="115"/>
      <c r="F546" s="115"/>
      <c r="G546" s="666"/>
      <c r="H546" s="115"/>
      <c r="I546" s="115"/>
      <c r="J546" s="115"/>
      <c r="K546" s="115"/>
      <c r="L546" s="435"/>
      <c r="M546" s="435"/>
      <c r="N546" s="115"/>
      <c r="O546" s="435"/>
      <c r="P546" s="115"/>
      <c r="Q546" s="435"/>
      <c r="R546" s="435"/>
      <c r="S546" s="435"/>
      <c r="T546" s="683"/>
      <c r="U546" s="683"/>
    </row>
    <row r="547">
      <c r="A547" s="664"/>
      <c r="B547" s="435"/>
      <c r="C547" s="665"/>
      <c r="D547" s="435"/>
      <c r="E547" s="115"/>
      <c r="F547" s="115"/>
      <c r="G547" s="666"/>
      <c r="H547" s="115"/>
      <c r="I547" s="115"/>
      <c r="J547" s="115"/>
      <c r="K547" s="115"/>
      <c r="L547" s="435"/>
      <c r="M547" s="435"/>
      <c r="N547" s="435"/>
      <c r="O547" s="435"/>
      <c r="P547" s="115"/>
      <c r="Q547" s="115"/>
      <c r="R547" s="435"/>
      <c r="S547" s="435"/>
      <c r="T547" s="683"/>
      <c r="U547" s="683"/>
    </row>
    <row r="548">
      <c r="A548" s="664"/>
      <c r="B548" s="682"/>
      <c r="C548" s="665"/>
      <c r="D548" s="435"/>
      <c r="E548" s="115"/>
      <c r="F548" s="115"/>
      <c r="G548" s="666"/>
      <c r="H548" s="115"/>
      <c r="I548" s="115"/>
      <c r="J548" s="115"/>
      <c r="K548" s="115"/>
      <c r="L548" s="435"/>
      <c r="M548" s="115"/>
      <c r="N548" s="115"/>
      <c r="O548" s="435"/>
      <c r="P548" s="115"/>
      <c r="Q548" s="435"/>
      <c r="R548" s="435"/>
      <c r="S548" s="435"/>
      <c r="T548" s="683"/>
      <c r="U548" s="683"/>
    </row>
    <row r="549">
      <c r="A549" s="664"/>
      <c r="B549" s="435"/>
      <c r="C549" s="665"/>
      <c r="D549" s="435"/>
      <c r="E549" s="115"/>
      <c r="F549" s="115"/>
      <c r="G549" s="666"/>
      <c r="H549" s="115"/>
      <c r="I549" s="115"/>
      <c r="J549" s="115"/>
      <c r="K549" s="115"/>
      <c r="L549" s="435"/>
      <c r="M549" s="115"/>
      <c r="N549" s="115"/>
      <c r="O549" s="435"/>
      <c r="P549" s="115"/>
      <c r="Q549" s="435"/>
      <c r="R549" s="435"/>
      <c r="S549" s="435"/>
      <c r="T549" s="683"/>
      <c r="U549" s="683"/>
    </row>
    <row r="550">
      <c r="A550" s="664"/>
      <c r="B550" s="682"/>
      <c r="C550" s="681"/>
      <c r="D550" s="435"/>
      <c r="E550" s="115"/>
      <c r="F550" s="115"/>
      <c r="G550" s="666"/>
      <c r="H550" s="115"/>
      <c r="I550" s="115"/>
      <c r="J550" s="115"/>
      <c r="K550" s="115"/>
      <c r="L550" s="435"/>
      <c r="M550" s="435"/>
      <c r="N550" s="115"/>
      <c r="O550" s="435"/>
      <c r="P550" s="435"/>
      <c r="Q550" s="435"/>
      <c r="R550" s="435"/>
      <c r="S550" s="435"/>
      <c r="T550" s="683"/>
      <c r="U550" s="683"/>
    </row>
    <row r="551">
      <c r="A551" s="664"/>
      <c r="B551" s="435"/>
      <c r="C551" s="665"/>
      <c r="D551" s="435"/>
      <c r="E551" s="115"/>
      <c r="F551" s="115"/>
      <c r="G551" s="666"/>
      <c r="H551" s="115"/>
      <c r="I551" s="115"/>
      <c r="J551" s="115"/>
      <c r="K551" s="435"/>
      <c r="L551" s="115"/>
      <c r="M551" s="435"/>
      <c r="N551" s="115"/>
      <c r="O551" s="435"/>
      <c r="P551" s="115"/>
      <c r="Q551" s="115"/>
      <c r="R551" s="435"/>
      <c r="S551" s="435"/>
      <c r="T551" s="683"/>
      <c r="U551" s="683"/>
    </row>
    <row r="552">
      <c r="A552" s="664"/>
      <c r="B552" s="435"/>
      <c r="C552" s="665"/>
      <c r="D552" s="435"/>
      <c r="E552" s="115"/>
      <c r="F552" s="115"/>
      <c r="G552" s="666"/>
      <c r="H552" s="115"/>
      <c r="I552" s="115"/>
      <c r="J552" s="115"/>
      <c r="K552" s="115"/>
      <c r="L552" s="435"/>
      <c r="M552" s="115"/>
      <c r="N552" s="435"/>
      <c r="O552" s="435"/>
      <c r="P552" s="115"/>
      <c r="Q552" s="435"/>
      <c r="R552" s="435"/>
      <c r="S552" s="435"/>
      <c r="T552" s="683"/>
      <c r="U552" s="683"/>
    </row>
    <row r="553">
      <c r="A553" s="664"/>
      <c r="B553" s="682"/>
      <c r="C553" s="665"/>
      <c r="D553" s="435"/>
      <c r="E553" s="115"/>
      <c r="F553" s="115"/>
      <c r="G553" s="666"/>
      <c r="H553" s="115"/>
      <c r="I553" s="115"/>
      <c r="J553" s="115"/>
      <c r="K553" s="435"/>
      <c r="L553" s="115"/>
      <c r="M553" s="435"/>
      <c r="N553" s="435"/>
      <c r="O553" s="435"/>
      <c r="P553" s="115"/>
      <c r="Q553" s="435"/>
      <c r="R553" s="435"/>
      <c r="S553" s="435"/>
      <c r="T553" s="683"/>
      <c r="U553" s="683"/>
    </row>
    <row r="554">
      <c r="A554" s="664"/>
      <c r="B554" s="435"/>
      <c r="C554" s="681"/>
      <c r="D554" s="435"/>
      <c r="E554" s="115"/>
      <c r="F554" s="115"/>
      <c r="G554" s="666"/>
      <c r="H554" s="115"/>
      <c r="I554" s="115"/>
      <c r="J554" s="115"/>
      <c r="K554" s="435"/>
      <c r="L554" s="115"/>
      <c r="M554" s="435"/>
      <c r="N554" s="435"/>
      <c r="O554" s="435"/>
      <c r="P554" s="435"/>
      <c r="Q554" s="435"/>
      <c r="R554" s="435"/>
      <c r="S554" s="435"/>
      <c r="T554" s="683"/>
      <c r="U554" s="683"/>
    </row>
    <row r="555">
      <c r="A555" s="664"/>
      <c r="B555" s="435"/>
      <c r="C555" s="665"/>
      <c r="D555" s="435"/>
      <c r="E555" s="115"/>
      <c r="F555" s="115"/>
      <c r="G555" s="666"/>
      <c r="H555" s="115"/>
      <c r="I555" s="115"/>
      <c r="J555" s="115"/>
      <c r="K555" s="115"/>
      <c r="L555" s="435"/>
      <c r="M555" s="435"/>
      <c r="N555" s="435"/>
      <c r="O555" s="435"/>
      <c r="P555" s="115"/>
      <c r="Q555" s="435"/>
      <c r="R555" s="435"/>
      <c r="S555" s="435"/>
      <c r="T555" s="683"/>
      <c r="U555" s="683"/>
    </row>
    <row r="556">
      <c r="A556" s="664"/>
      <c r="B556" s="682"/>
      <c r="C556" s="665"/>
      <c r="D556" s="435"/>
      <c r="E556" s="115"/>
      <c r="F556" s="115"/>
      <c r="G556" s="666"/>
      <c r="H556" s="115"/>
      <c r="I556" s="115"/>
      <c r="J556" s="115"/>
      <c r="K556" s="435"/>
      <c r="L556" s="115"/>
      <c r="M556" s="435"/>
      <c r="N556" s="115"/>
      <c r="O556" s="435"/>
      <c r="P556" s="115"/>
      <c r="Q556" s="435"/>
      <c r="R556" s="435"/>
      <c r="S556" s="435"/>
      <c r="T556" s="683"/>
      <c r="U556" s="683"/>
    </row>
    <row r="557">
      <c r="A557" s="664"/>
      <c r="B557" s="435"/>
      <c r="C557" s="665"/>
      <c r="D557" s="435"/>
      <c r="E557" s="115"/>
      <c r="F557" s="115"/>
      <c r="G557" s="666"/>
      <c r="H557" s="115"/>
      <c r="I557" s="115"/>
      <c r="J557" s="115"/>
      <c r="K557" s="115"/>
      <c r="L557" s="435"/>
      <c r="M557" s="435"/>
      <c r="N557" s="435"/>
      <c r="O557" s="435"/>
      <c r="P557" s="115"/>
      <c r="Q557" s="435"/>
      <c r="R557" s="435"/>
      <c r="S557" s="435"/>
      <c r="T557" s="683"/>
      <c r="U557" s="683"/>
    </row>
    <row r="558">
      <c r="A558" s="664"/>
      <c r="B558" s="435"/>
      <c r="C558" s="665"/>
      <c r="D558" s="435"/>
      <c r="E558" s="115"/>
      <c r="F558" s="115"/>
      <c r="G558" s="666"/>
      <c r="H558" s="115"/>
      <c r="I558" s="115"/>
      <c r="J558" s="115"/>
      <c r="K558" s="115"/>
      <c r="L558" s="435"/>
      <c r="M558" s="435"/>
      <c r="N558" s="115"/>
      <c r="O558" s="435"/>
      <c r="P558" s="115"/>
      <c r="Q558" s="115"/>
      <c r="R558" s="435"/>
      <c r="S558" s="435"/>
      <c r="T558" s="683"/>
      <c r="U558" s="683"/>
    </row>
    <row r="559">
      <c r="A559" s="664"/>
      <c r="B559" s="435"/>
      <c r="C559" s="665"/>
      <c r="D559" s="435"/>
      <c r="E559" s="115"/>
      <c r="F559" s="115"/>
      <c r="G559" s="666"/>
      <c r="H559" s="115"/>
      <c r="I559" s="115"/>
      <c r="J559" s="115"/>
      <c r="K559" s="435"/>
      <c r="L559" s="115"/>
      <c r="M559" s="435"/>
      <c r="N559" s="115"/>
      <c r="O559" s="435"/>
      <c r="P559" s="115"/>
      <c r="Q559" s="435"/>
      <c r="R559" s="435"/>
      <c r="S559" s="435"/>
      <c r="T559" s="683"/>
      <c r="U559" s="683"/>
    </row>
    <row r="560">
      <c r="A560" s="664"/>
      <c r="B560" s="435"/>
      <c r="C560" s="665"/>
      <c r="D560" s="435"/>
      <c r="E560" s="115"/>
      <c r="F560" s="115"/>
      <c r="G560" s="666"/>
      <c r="H560" s="115"/>
      <c r="I560" s="115"/>
      <c r="J560" s="115"/>
      <c r="K560" s="115"/>
      <c r="L560" s="435"/>
      <c r="M560" s="435"/>
      <c r="N560" s="435"/>
      <c r="O560" s="435"/>
      <c r="P560" s="435"/>
      <c r="Q560" s="435"/>
      <c r="R560" s="435"/>
      <c r="S560" s="435"/>
      <c r="T560" s="683"/>
      <c r="U560" s="683"/>
    </row>
    <row r="561">
      <c r="A561" s="664"/>
      <c r="B561" s="682"/>
      <c r="C561" s="665"/>
      <c r="D561" s="435"/>
      <c r="E561" s="115"/>
      <c r="F561" s="115"/>
      <c r="G561" s="666"/>
      <c r="H561" s="115"/>
      <c r="I561" s="115"/>
      <c r="J561" s="115"/>
      <c r="K561" s="115"/>
      <c r="L561" s="435"/>
      <c r="M561" s="435"/>
      <c r="N561" s="435"/>
      <c r="O561" s="435"/>
      <c r="P561" s="115"/>
      <c r="Q561" s="115"/>
      <c r="R561" s="435"/>
      <c r="S561" s="435"/>
      <c r="T561" s="683"/>
      <c r="U561" s="683"/>
    </row>
    <row r="562">
      <c r="A562" s="664"/>
      <c r="B562" s="435"/>
      <c r="C562" s="665"/>
      <c r="D562" s="435"/>
      <c r="E562" s="115"/>
      <c r="F562" s="115"/>
      <c r="G562" s="666"/>
      <c r="H562" s="115"/>
      <c r="I562" s="115"/>
      <c r="J562" s="115"/>
      <c r="K562" s="115"/>
      <c r="L562" s="435"/>
      <c r="M562" s="435"/>
      <c r="N562" s="435"/>
      <c r="O562" s="435"/>
      <c r="P562" s="115"/>
      <c r="Q562" s="435"/>
      <c r="R562" s="435"/>
      <c r="S562" s="435"/>
      <c r="T562" s="683"/>
      <c r="U562" s="683"/>
    </row>
    <row r="563">
      <c r="A563" s="664"/>
      <c r="B563" s="435"/>
      <c r="C563" s="665"/>
      <c r="D563" s="435"/>
      <c r="E563" s="115"/>
      <c r="F563" s="115"/>
      <c r="G563" s="666"/>
      <c r="H563" s="115"/>
      <c r="I563" s="115"/>
      <c r="J563" s="115"/>
      <c r="K563" s="115"/>
      <c r="L563" s="435"/>
      <c r="M563" s="435"/>
      <c r="N563" s="435"/>
      <c r="O563" s="435"/>
      <c r="P563" s="115"/>
      <c r="Q563" s="435"/>
      <c r="R563" s="435"/>
      <c r="S563" s="435"/>
      <c r="T563" s="683"/>
      <c r="U563" s="683"/>
    </row>
    <row r="564">
      <c r="A564" s="664"/>
      <c r="B564" s="682"/>
      <c r="C564" s="665"/>
      <c r="D564" s="435"/>
      <c r="E564" s="115"/>
      <c r="F564" s="115"/>
      <c r="G564" s="666"/>
      <c r="H564" s="115"/>
      <c r="I564" s="115"/>
      <c r="J564" s="115"/>
      <c r="K564" s="435"/>
      <c r="L564" s="115"/>
      <c r="M564" s="435"/>
      <c r="N564" s="115"/>
      <c r="O564" s="435"/>
      <c r="P564" s="115"/>
      <c r="Q564" s="115"/>
      <c r="R564" s="435"/>
      <c r="S564" s="435"/>
      <c r="T564" s="683"/>
      <c r="U564" s="683"/>
    </row>
    <row r="565">
      <c r="A565" s="664"/>
      <c r="B565" s="435"/>
      <c r="C565" s="665"/>
      <c r="D565" s="435"/>
      <c r="E565" s="115"/>
      <c r="F565" s="115"/>
      <c r="G565" s="666"/>
      <c r="H565" s="115"/>
      <c r="I565" s="115"/>
      <c r="J565" s="115"/>
      <c r="K565" s="435"/>
      <c r="L565" s="115"/>
      <c r="M565" s="435"/>
      <c r="N565" s="115"/>
      <c r="O565" s="435"/>
      <c r="P565" s="115"/>
      <c r="Q565" s="435"/>
      <c r="R565" s="435"/>
      <c r="S565" s="435"/>
      <c r="T565" s="683"/>
      <c r="U565" s="683"/>
    </row>
    <row r="566">
      <c r="A566" s="664"/>
      <c r="B566" s="435"/>
      <c r="C566" s="665"/>
      <c r="D566" s="435"/>
      <c r="E566" s="115"/>
      <c r="F566" s="115"/>
      <c r="G566" s="666"/>
      <c r="H566" s="115"/>
      <c r="I566" s="115"/>
      <c r="J566" s="115"/>
      <c r="K566" s="115"/>
      <c r="L566" s="435"/>
      <c r="M566" s="115"/>
      <c r="N566" s="115"/>
      <c r="O566" s="435"/>
      <c r="P566" s="115"/>
      <c r="Q566" s="115"/>
      <c r="R566" s="435"/>
      <c r="S566" s="435"/>
      <c r="T566" s="683"/>
      <c r="U566" s="683"/>
    </row>
    <row r="567">
      <c r="A567" s="664"/>
      <c r="B567" s="682"/>
      <c r="C567" s="665"/>
      <c r="D567" s="435"/>
      <c r="E567" s="115"/>
      <c r="F567" s="115"/>
      <c r="G567" s="666"/>
      <c r="H567" s="115"/>
      <c r="I567" s="115"/>
      <c r="J567" s="115"/>
      <c r="K567" s="115"/>
      <c r="L567" s="435"/>
      <c r="M567" s="435"/>
      <c r="N567" s="435"/>
      <c r="O567" s="435"/>
      <c r="P567" s="115"/>
      <c r="Q567" s="435"/>
      <c r="R567" s="435"/>
      <c r="S567" s="435"/>
      <c r="T567" s="683"/>
      <c r="U567" s="683"/>
    </row>
    <row r="568">
      <c r="A568" s="664"/>
      <c r="B568" s="435"/>
      <c r="C568" s="665"/>
      <c r="D568" s="435"/>
      <c r="E568" s="115"/>
      <c r="F568" s="115"/>
      <c r="G568" s="666"/>
      <c r="H568" s="115"/>
      <c r="I568" s="115"/>
      <c r="J568" s="115"/>
      <c r="K568" s="115"/>
      <c r="L568" s="435"/>
      <c r="M568" s="115"/>
      <c r="N568" s="115"/>
      <c r="O568" s="435"/>
      <c r="P568" s="115"/>
      <c r="Q568" s="115"/>
      <c r="R568" s="435"/>
      <c r="S568" s="435"/>
      <c r="T568" s="683"/>
      <c r="U568" s="683"/>
    </row>
    <row r="569">
      <c r="A569" s="664"/>
      <c r="B569" s="435"/>
      <c r="C569" s="665"/>
      <c r="D569" s="435"/>
      <c r="E569" s="115"/>
      <c r="F569" s="115"/>
      <c r="G569" s="666"/>
      <c r="H569" s="115"/>
      <c r="I569" s="115"/>
      <c r="J569" s="115"/>
      <c r="K569" s="115"/>
      <c r="L569" s="435"/>
      <c r="M569" s="115"/>
      <c r="N569" s="435"/>
      <c r="O569" s="435"/>
      <c r="P569" s="115"/>
      <c r="Q569" s="435"/>
      <c r="R569" s="435"/>
      <c r="S569" s="435"/>
      <c r="T569" s="683"/>
      <c r="U569" s="683"/>
    </row>
    <row r="570">
      <c r="A570" s="664"/>
      <c r="B570" s="435"/>
      <c r="C570" s="665"/>
      <c r="D570" s="435"/>
      <c r="E570" s="115"/>
      <c r="F570" s="115"/>
      <c r="G570" s="666"/>
      <c r="H570" s="115"/>
      <c r="I570" s="115"/>
      <c r="J570" s="115"/>
      <c r="K570" s="435"/>
      <c r="L570" s="115"/>
      <c r="M570" s="435"/>
      <c r="N570" s="115"/>
      <c r="O570" s="435"/>
      <c r="P570" s="115"/>
      <c r="Q570" s="435"/>
      <c r="R570" s="435"/>
      <c r="S570" s="435"/>
      <c r="T570" s="683"/>
      <c r="U570" s="683"/>
    </row>
    <row r="571">
      <c r="A571" s="664"/>
      <c r="B571" s="435"/>
      <c r="C571" s="665"/>
      <c r="D571" s="435"/>
      <c r="E571" s="115"/>
      <c r="F571" s="115"/>
      <c r="G571" s="666"/>
      <c r="H571" s="115"/>
      <c r="I571" s="115"/>
      <c r="J571" s="115"/>
      <c r="K571" s="115"/>
      <c r="L571" s="435"/>
      <c r="M571" s="115"/>
      <c r="N571" s="435"/>
      <c r="O571" s="435"/>
      <c r="P571" s="115"/>
      <c r="Q571" s="435"/>
      <c r="R571" s="435"/>
      <c r="S571" s="435"/>
      <c r="T571" s="683"/>
      <c r="U571" s="683"/>
    </row>
    <row r="572">
      <c r="A572" s="664"/>
      <c r="B572" s="682"/>
      <c r="C572" s="665"/>
      <c r="D572" s="435"/>
      <c r="E572" s="115"/>
      <c r="F572" s="115"/>
      <c r="G572" s="666"/>
      <c r="H572" s="115"/>
      <c r="I572" s="115"/>
      <c r="J572" s="115"/>
      <c r="K572" s="115"/>
      <c r="L572" s="435"/>
      <c r="M572" s="435"/>
      <c r="N572" s="435"/>
      <c r="O572" s="435"/>
      <c r="P572" s="115"/>
      <c r="Q572" s="435"/>
      <c r="R572" s="435"/>
      <c r="S572" s="435"/>
      <c r="T572" s="683"/>
      <c r="U572" s="683"/>
    </row>
    <row r="573">
      <c r="A573" s="664"/>
      <c r="B573" s="435"/>
      <c r="C573" s="665"/>
      <c r="D573" s="435"/>
      <c r="E573" s="115"/>
      <c r="F573" s="115"/>
      <c r="G573" s="666"/>
      <c r="H573" s="115"/>
      <c r="I573" s="115"/>
      <c r="J573" s="115"/>
      <c r="K573" s="115"/>
      <c r="L573" s="435"/>
      <c r="M573" s="435"/>
      <c r="N573" s="435"/>
      <c r="O573" s="435"/>
      <c r="P573" s="115"/>
      <c r="Q573" s="435"/>
      <c r="R573" s="435"/>
      <c r="S573" s="435"/>
      <c r="T573" s="683"/>
      <c r="U573" s="683"/>
    </row>
    <row r="574">
      <c r="A574" s="664"/>
      <c r="B574" s="435"/>
      <c r="C574" s="665"/>
      <c r="D574" s="435"/>
      <c r="E574" s="115"/>
      <c r="F574" s="115"/>
      <c r="G574" s="666"/>
      <c r="H574" s="115"/>
      <c r="I574" s="115"/>
      <c r="J574" s="115"/>
      <c r="K574" s="115"/>
      <c r="L574" s="435"/>
      <c r="M574" s="435"/>
      <c r="N574" s="435"/>
      <c r="O574" s="435"/>
      <c r="P574" s="115"/>
      <c r="Q574" s="435"/>
      <c r="R574" s="435"/>
      <c r="S574" s="435"/>
      <c r="T574" s="683"/>
      <c r="U574" s="683"/>
    </row>
    <row r="575">
      <c r="A575" s="664"/>
      <c r="B575" s="435"/>
      <c r="C575" s="665"/>
      <c r="D575" s="435"/>
      <c r="E575" s="115"/>
      <c r="F575" s="115"/>
      <c r="G575" s="666"/>
      <c r="H575" s="115"/>
      <c r="I575" s="115"/>
      <c r="J575" s="115"/>
      <c r="K575" s="115"/>
      <c r="L575" s="435"/>
      <c r="M575" s="115"/>
      <c r="N575" s="115"/>
      <c r="O575" s="435"/>
      <c r="P575" s="115"/>
      <c r="Q575" s="115"/>
      <c r="R575" s="435"/>
      <c r="S575" s="435"/>
      <c r="T575" s="683"/>
      <c r="U575" s="683"/>
    </row>
    <row r="576">
      <c r="A576" s="664"/>
      <c r="B576" s="435"/>
      <c r="C576" s="665"/>
      <c r="D576" s="435"/>
      <c r="E576" s="115"/>
      <c r="F576" s="115"/>
      <c r="G576" s="666"/>
      <c r="H576" s="115"/>
      <c r="I576" s="115"/>
      <c r="J576" s="115"/>
      <c r="K576" s="115"/>
      <c r="L576" s="435"/>
      <c r="M576" s="435"/>
      <c r="N576" s="115"/>
      <c r="O576" s="435"/>
      <c r="P576" s="115"/>
      <c r="Q576" s="435"/>
      <c r="R576" s="435"/>
      <c r="S576" s="435"/>
      <c r="T576" s="683"/>
      <c r="U576" s="683"/>
    </row>
    <row r="577">
      <c r="A577" s="664"/>
      <c r="B577" s="435"/>
      <c r="C577" s="665"/>
      <c r="D577" s="435"/>
      <c r="E577" s="115"/>
      <c r="F577" s="115"/>
      <c r="G577" s="666"/>
      <c r="H577" s="115"/>
      <c r="I577" s="115"/>
      <c r="J577" s="115"/>
      <c r="K577" s="115"/>
      <c r="L577" s="435"/>
      <c r="M577" s="435"/>
      <c r="N577" s="435"/>
      <c r="O577" s="435"/>
      <c r="P577" s="115"/>
      <c r="Q577" s="435"/>
      <c r="R577" s="435"/>
      <c r="S577" s="435"/>
      <c r="T577" s="683"/>
      <c r="U577" s="683"/>
    </row>
    <row r="578">
      <c r="A578" s="664"/>
      <c r="B578" s="435"/>
      <c r="C578" s="665"/>
      <c r="D578" s="435"/>
      <c r="E578" s="115"/>
      <c r="F578" s="115"/>
      <c r="G578" s="666"/>
      <c r="H578" s="115"/>
      <c r="I578" s="115"/>
      <c r="J578" s="115"/>
      <c r="K578" s="115"/>
      <c r="L578" s="435"/>
      <c r="M578" s="435"/>
      <c r="N578" s="435"/>
      <c r="O578" s="435"/>
      <c r="P578" s="115"/>
      <c r="Q578" s="435"/>
      <c r="R578" s="435"/>
      <c r="S578" s="435"/>
      <c r="T578" s="683"/>
      <c r="U578" s="683"/>
    </row>
    <row r="579">
      <c r="A579" s="664"/>
      <c r="B579" s="435"/>
      <c r="C579" s="665"/>
      <c r="D579" s="435"/>
      <c r="E579" s="115"/>
      <c r="F579" s="115"/>
      <c r="G579" s="666"/>
      <c r="H579" s="115"/>
      <c r="I579" s="115"/>
      <c r="J579" s="115"/>
      <c r="K579" s="435"/>
      <c r="L579" s="115"/>
      <c r="M579" s="435"/>
      <c r="N579" s="435"/>
      <c r="O579" s="435"/>
      <c r="P579" s="115"/>
      <c r="Q579" s="435"/>
      <c r="R579" s="435"/>
      <c r="S579" s="435"/>
      <c r="T579" s="683"/>
      <c r="U579" s="683"/>
    </row>
    <row r="580">
      <c r="A580" s="664"/>
      <c r="B580" s="435"/>
      <c r="C580" s="665"/>
      <c r="D580" s="435"/>
      <c r="E580" s="115"/>
      <c r="F580" s="115"/>
      <c r="G580" s="666"/>
      <c r="H580" s="115"/>
      <c r="I580" s="115"/>
      <c r="J580" s="115"/>
      <c r="K580" s="435"/>
      <c r="L580" s="115"/>
      <c r="M580" s="435"/>
      <c r="N580" s="435"/>
      <c r="O580" s="435"/>
      <c r="P580" s="115"/>
      <c r="Q580" s="435"/>
      <c r="R580" s="435"/>
      <c r="S580" s="435"/>
      <c r="T580" s="683"/>
      <c r="U580" s="683"/>
    </row>
    <row r="581">
      <c r="A581" s="664"/>
      <c r="B581" s="435"/>
      <c r="C581" s="665"/>
      <c r="D581" s="435"/>
      <c r="E581" s="115"/>
      <c r="F581" s="115"/>
      <c r="G581" s="666"/>
      <c r="H581" s="115"/>
      <c r="I581" s="115"/>
      <c r="J581" s="115"/>
      <c r="K581" s="115"/>
      <c r="L581" s="435"/>
      <c r="M581" s="435"/>
      <c r="N581" s="435"/>
      <c r="O581" s="435"/>
      <c r="P581" s="115"/>
      <c r="Q581" s="435"/>
      <c r="R581" s="435"/>
      <c r="S581" s="435"/>
      <c r="T581" s="683"/>
      <c r="U581" s="683"/>
    </row>
    <row r="582">
      <c r="A582" s="664"/>
      <c r="B582" s="435"/>
      <c r="C582" s="665"/>
      <c r="D582" s="435"/>
      <c r="E582" s="115"/>
      <c r="F582" s="115"/>
      <c r="G582" s="666"/>
      <c r="H582" s="115"/>
      <c r="I582" s="115"/>
      <c r="J582" s="115"/>
      <c r="K582" s="115"/>
      <c r="L582" s="435"/>
      <c r="M582" s="435"/>
      <c r="N582" s="435"/>
      <c r="O582" s="435"/>
      <c r="P582" s="115"/>
      <c r="Q582" s="115"/>
      <c r="R582" s="435"/>
      <c r="S582" s="435"/>
      <c r="T582" s="683"/>
      <c r="U582" s="683"/>
    </row>
    <row r="583">
      <c r="A583" s="664"/>
      <c r="B583" s="435"/>
      <c r="C583" s="665"/>
      <c r="D583" s="435"/>
      <c r="E583" s="115"/>
      <c r="F583" s="115"/>
      <c r="G583" s="666"/>
      <c r="H583" s="115"/>
      <c r="I583" s="115"/>
      <c r="J583" s="115"/>
      <c r="K583" s="115"/>
      <c r="L583" s="115"/>
      <c r="M583" s="115"/>
      <c r="N583" s="115"/>
      <c r="O583" s="435"/>
      <c r="P583" s="115"/>
      <c r="Q583" s="115"/>
      <c r="R583" s="435"/>
      <c r="S583" s="435"/>
      <c r="T583" s="683"/>
      <c r="U583" s="683"/>
    </row>
    <row r="584">
      <c r="A584" s="664"/>
      <c r="B584" s="682"/>
      <c r="C584" s="665"/>
      <c r="D584" s="435"/>
      <c r="E584" s="115"/>
      <c r="F584" s="115"/>
      <c r="G584" s="666"/>
      <c r="H584" s="115"/>
      <c r="I584" s="115"/>
      <c r="J584" s="115"/>
      <c r="K584" s="115"/>
      <c r="L584" s="435"/>
      <c r="M584" s="115"/>
      <c r="N584" s="435"/>
      <c r="O584" s="435"/>
      <c r="P584" s="115"/>
      <c r="Q584" s="435"/>
      <c r="R584" s="435"/>
      <c r="S584" s="435"/>
      <c r="T584" s="683"/>
      <c r="U584" s="683"/>
    </row>
    <row r="585">
      <c r="A585" s="664"/>
      <c r="B585" s="435"/>
      <c r="C585" s="665"/>
      <c r="D585" s="435"/>
      <c r="E585" s="115"/>
      <c r="F585" s="115"/>
      <c r="G585" s="666"/>
      <c r="H585" s="115"/>
      <c r="I585" s="115"/>
      <c r="J585" s="115"/>
      <c r="K585" s="115"/>
      <c r="L585" s="435"/>
      <c r="M585" s="435"/>
      <c r="N585" s="435"/>
      <c r="O585" s="435"/>
      <c r="P585" s="115"/>
      <c r="Q585" s="435"/>
      <c r="R585" s="435"/>
      <c r="S585" s="435"/>
      <c r="T585" s="683"/>
      <c r="U585" s="683"/>
    </row>
    <row r="586">
      <c r="A586" s="664"/>
      <c r="B586" s="435"/>
      <c r="C586" s="665"/>
      <c r="D586" s="435"/>
      <c r="E586" s="115"/>
      <c r="F586" s="115"/>
      <c r="G586" s="666"/>
      <c r="H586" s="115"/>
      <c r="I586" s="115"/>
      <c r="J586" s="115"/>
      <c r="K586" s="435"/>
      <c r="L586" s="115"/>
      <c r="M586" s="435"/>
      <c r="N586" s="115"/>
      <c r="O586" s="435"/>
      <c r="P586" s="115"/>
      <c r="Q586" s="115"/>
      <c r="R586" s="435"/>
      <c r="S586" s="435"/>
      <c r="T586" s="683"/>
      <c r="U586" s="683"/>
    </row>
    <row r="587">
      <c r="A587" s="664"/>
      <c r="B587" s="435"/>
      <c r="C587" s="665"/>
      <c r="D587" s="435"/>
      <c r="E587" s="115"/>
      <c r="F587" s="115"/>
      <c r="G587" s="666"/>
      <c r="H587" s="115"/>
      <c r="I587" s="115"/>
      <c r="J587" s="115"/>
      <c r="K587" s="435"/>
      <c r="L587" s="115"/>
      <c r="M587" s="435"/>
      <c r="N587" s="435"/>
      <c r="O587" s="435"/>
      <c r="P587" s="115"/>
      <c r="Q587" s="435"/>
      <c r="R587" s="435"/>
      <c r="S587" s="435"/>
      <c r="T587" s="683"/>
      <c r="U587" s="683"/>
    </row>
    <row r="588">
      <c r="A588" s="664"/>
      <c r="B588" s="435"/>
      <c r="C588" s="665"/>
      <c r="D588" s="435"/>
      <c r="E588" s="115"/>
      <c r="F588" s="115"/>
      <c r="G588" s="666"/>
      <c r="H588" s="115"/>
      <c r="I588" s="115"/>
      <c r="J588" s="115"/>
      <c r="K588" s="115"/>
      <c r="L588" s="435"/>
      <c r="M588" s="115"/>
      <c r="N588" s="115"/>
      <c r="O588" s="435"/>
      <c r="P588" s="115"/>
      <c r="Q588" s="435"/>
      <c r="R588" s="435"/>
      <c r="S588" s="435"/>
      <c r="T588" s="683"/>
      <c r="U588" s="683"/>
    </row>
    <row r="589">
      <c r="A589" s="664"/>
      <c r="B589" s="435"/>
      <c r="C589" s="665"/>
      <c r="D589" s="435"/>
      <c r="E589" s="115"/>
      <c r="F589" s="115"/>
      <c r="G589" s="666"/>
      <c r="H589" s="115"/>
      <c r="I589" s="115"/>
      <c r="J589" s="115"/>
      <c r="K589" s="115"/>
      <c r="L589" s="435"/>
      <c r="M589" s="435"/>
      <c r="N589" s="435"/>
      <c r="O589" s="435"/>
      <c r="P589" s="115"/>
      <c r="Q589" s="435"/>
      <c r="R589" s="435"/>
      <c r="S589" s="435"/>
      <c r="T589" s="683"/>
      <c r="U589" s="683"/>
    </row>
    <row r="590">
      <c r="A590" s="664"/>
      <c r="B590" s="435"/>
      <c r="C590" s="665"/>
      <c r="D590" s="435"/>
      <c r="E590" s="115"/>
      <c r="F590" s="115"/>
      <c r="G590" s="666"/>
      <c r="H590" s="115"/>
      <c r="I590" s="115"/>
      <c r="J590" s="115"/>
      <c r="K590" s="435"/>
      <c r="L590" s="435"/>
      <c r="M590" s="435"/>
      <c r="N590" s="435"/>
      <c r="O590" s="435"/>
      <c r="P590" s="435"/>
      <c r="Q590" s="435"/>
      <c r="R590" s="435"/>
      <c r="S590" s="435"/>
      <c r="T590" s="683"/>
      <c r="U590" s="683"/>
    </row>
    <row r="591">
      <c r="A591" s="664"/>
      <c r="B591" s="435"/>
      <c r="C591" s="665"/>
      <c r="D591" s="435"/>
      <c r="E591" s="115"/>
      <c r="F591" s="115"/>
      <c r="G591" s="666"/>
      <c r="H591" s="115"/>
      <c r="I591" s="115"/>
      <c r="J591" s="115"/>
      <c r="K591" s="115"/>
      <c r="L591" s="435"/>
      <c r="M591" s="115"/>
      <c r="N591" s="115"/>
      <c r="O591" s="435"/>
      <c r="P591" s="115"/>
      <c r="Q591" s="115"/>
      <c r="R591" s="435"/>
      <c r="S591" s="435"/>
      <c r="T591" s="683"/>
      <c r="U591" s="683"/>
    </row>
    <row r="592">
      <c r="A592" s="664"/>
      <c r="B592" s="435"/>
      <c r="C592" s="665"/>
      <c r="D592" s="435"/>
      <c r="E592" s="115"/>
      <c r="F592" s="115"/>
      <c r="G592" s="666"/>
      <c r="H592" s="115"/>
      <c r="I592" s="115"/>
      <c r="J592" s="115"/>
      <c r="K592" s="115"/>
      <c r="L592" s="435"/>
      <c r="M592" s="435"/>
      <c r="N592" s="435"/>
      <c r="O592" s="435"/>
      <c r="P592" s="115"/>
      <c r="Q592" s="435"/>
      <c r="R592" s="435"/>
      <c r="S592" s="435"/>
      <c r="T592" s="683"/>
      <c r="U592" s="683"/>
    </row>
    <row r="593">
      <c r="A593" s="664"/>
      <c r="B593" s="435"/>
      <c r="C593" s="665"/>
      <c r="D593" s="435"/>
      <c r="E593" s="115"/>
      <c r="F593" s="115"/>
      <c r="G593" s="666"/>
      <c r="H593" s="115"/>
      <c r="I593" s="115"/>
      <c r="J593" s="115"/>
      <c r="K593" s="435"/>
      <c r="L593" s="115"/>
      <c r="M593" s="435"/>
      <c r="N593" s="435"/>
      <c r="O593" s="435"/>
      <c r="P593" s="115"/>
      <c r="Q593" s="435"/>
      <c r="R593" s="115"/>
      <c r="S593" s="435"/>
      <c r="T593" s="683"/>
      <c r="U593" s="683"/>
    </row>
    <row r="594">
      <c r="A594" s="664"/>
      <c r="B594" s="435"/>
      <c r="C594" s="665"/>
      <c r="D594" s="435"/>
      <c r="E594" s="115"/>
      <c r="F594" s="115"/>
      <c r="G594" s="666"/>
      <c r="H594" s="115"/>
      <c r="I594" s="115"/>
      <c r="J594" s="115"/>
      <c r="K594" s="115"/>
      <c r="L594" s="435"/>
      <c r="M594" s="435"/>
      <c r="N594" s="115"/>
      <c r="O594" s="435"/>
      <c r="P594" s="435"/>
      <c r="Q594" s="435"/>
      <c r="R594" s="435"/>
      <c r="S594" s="435"/>
      <c r="T594" s="683"/>
      <c r="U594" s="683"/>
    </row>
    <row r="595">
      <c r="A595" s="664"/>
      <c r="B595" s="435"/>
      <c r="C595" s="665"/>
      <c r="D595" s="435"/>
      <c r="E595" s="115"/>
      <c r="F595" s="115"/>
      <c r="G595" s="666"/>
      <c r="H595" s="115"/>
      <c r="I595" s="115"/>
      <c r="J595" s="115"/>
      <c r="K595" s="115"/>
      <c r="L595" s="435"/>
      <c r="M595" s="435"/>
      <c r="N595" s="435"/>
      <c r="O595" s="115"/>
      <c r="P595" s="435"/>
      <c r="Q595" s="435"/>
      <c r="R595" s="435"/>
      <c r="S595" s="435"/>
      <c r="T595" s="683"/>
      <c r="U595" s="683"/>
    </row>
    <row r="596">
      <c r="A596" s="664"/>
      <c r="B596" s="435"/>
      <c r="C596" s="665"/>
      <c r="D596" s="435"/>
      <c r="E596" s="115"/>
      <c r="F596" s="115"/>
      <c r="G596" s="666"/>
      <c r="H596" s="115"/>
      <c r="I596" s="115"/>
      <c r="J596" s="115"/>
      <c r="K596" s="115"/>
      <c r="L596" s="435"/>
      <c r="M596" s="435"/>
      <c r="N596" s="115"/>
      <c r="O596" s="435"/>
      <c r="P596" s="115"/>
      <c r="Q596" s="115"/>
      <c r="R596" s="435"/>
      <c r="S596" s="435"/>
      <c r="T596" s="683"/>
      <c r="U596" s="683"/>
    </row>
    <row r="597">
      <c r="A597" s="664"/>
      <c r="B597" s="435"/>
      <c r="C597" s="665"/>
      <c r="D597" s="435"/>
      <c r="E597" s="115"/>
      <c r="F597" s="115"/>
      <c r="G597" s="666"/>
      <c r="H597" s="115"/>
      <c r="I597" s="115"/>
      <c r="J597" s="115"/>
      <c r="K597" s="115"/>
      <c r="L597" s="435"/>
      <c r="M597" s="435"/>
      <c r="N597" s="435"/>
      <c r="O597" s="435"/>
      <c r="P597" s="115"/>
      <c r="Q597" s="435"/>
      <c r="R597" s="435"/>
      <c r="S597" s="435"/>
      <c r="T597" s="683"/>
      <c r="U597" s="683"/>
    </row>
    <row r="598">
      <c r="A598" s="664"/>
      <c r="B598" s="435"/>
      <c r="C598" s="665"/>
      <c r="D598" s="435"/>
      <c r="E598" s="115"/>
      <c r="F598" s="115"/>
      <c r="G598" s="666"/>
      <c r="H598" s="115"/>
      <c r="I598" s="115"/>
      <c r="J598" s="115"/>
      <c r="K598" s="115"/>
      <c r="L598" s="435"/>
      <c r="M598" s="435"/>
      <c r="N598" s="435"/>
      <c r="O598" s="435"/>
      <c r="P598" s="115"/>
      <c r="Q598" s="435"/>
      <c r="R598" s="435"/>
      <c r="S598" s="435"/>
      <c r="T598" s="683"/>
      <c r="U598" s="683"/>
    </row>
    <row r="599">
      <c r="A599" s="664"/>
      <c r="B599" s="435"/>
      <c r="C599" s="665"/>
      <c r="D599" s="435"/>
      <c r="E599" s="115"/>
      <c r="F599" s="115"/>
      <c r="G599" s="666"/>
      <c r="H599" s="115"/>
      <c r="I599" s="115"/>
      <c r="J599" s="115"/>
      <c r="K599" s="435"/>
      <c r="L599" s="435"/>
      <c r="M599" s="115"/>
      <c r="N599" s="435"/>
      <c r="O599" s="435"/>
      <c r="P599" s="435"/>
      <c r="Q599" s="435"/>
      <c r="R599" s="435"/>
      <c r="S599" s="435"/>
      <c r="T599" s="683"/>
      <c r="U599" s="683"/>
    </row>
    <row r="600">
      <c r="A600" s="664"/>
      <c r="B600" s="435"/>
      <c r="C600" s="665"/>
      <c r="D600" s="435"/>
      <c r="E600" s="115"/>
      <c r="F600" s="115"/>
      <c r="G600" s="666"/>
      <c r="H600" s="115"/>
      <c r="I600" s="115"/>
      <c r="J600" s="115"/>
      <c r="K600" s="435"/>
      <c r="L600" s="115"/>
      <c r="M600" s="435"/>
      <c r="N600" s="435"/>
      <c r="O600" s="435"/>
      <c r="P600" s="115"/>
      <c r="Q600" s="435"/>
      <c r="R600" s="435"/>
      <c r="S600" s="435"/>
      <c r="T600" s="683"/>
      <c r="U600" s="683"/>
    </row>
    <row r="601">
      <c r="A601" s="664"/>
      <c r="B601" s="435"/>
      <c r="C601" s="665"/>
      <c r="D601" s="435"/>
      <c r="E601" s="115"/>
      <c r="F601" s="115"/>
      <c r="G601" s="666"/>
      <c r="H601" s="115"/>
      <c r="I601" s="115"/>
      <c r="J601" s="115"/>
      <c r="K601" s="115"/>
      <c r="L601" s="435"/>
      <c r="M601" s="435"/>
      <c r="N601" s="435"/>
      <c r="O601" s="435"/>
      <c r="P601" s="115"/>
      <c r="Q601" s="435"/>
      <c r="R601" s="435"/>
      <c r="S601" s="435"/>
      <c r="T601" s="683"/>
      <c r="U601" s="683"/>
    </row>
    <row r="602">
      <c r="A602" s="664"/>
      <c r="B602" s="435"/>
      <c r="C602" s="665"/>
      <c r="D602" s="435"/>
      <c r="E602" s="115"/>
      <c r="F602" s="115"/>
      <c r="G602" s="666"/>
      <c r="H602" s="115"/>
      <c r="I602" s="115"/>
      <c r="J602" s="115"/>
      <c r="K602" s="115"/>
      <c r="L602" s="435"/>
      <c r="M602" s="435"/>
      <c r="N602" s="435"/>
      <c r="O602" s="435"/>
      <c r="P602" s="115"/>
      <c r="Q602" s="435"/>
      <c r="R602" s="435"/>
      <c r="S602" s="435"/>
      <c r="T602" s="683"/>
      <c r="U602" s="683"/>
    </row>
    <row r="603">
      <c r="A603" s="664"/>
      <c r="B603" s="435"/>
      <c r="C603" s="665"/>
      <c r="D603" s="435"/>
      <c r="E603" s="115"/>
      <c r="F603" s="115"/>
      <c r="G603" s="666"/>
      <c r="H603" s="115"/>
      <c r="I603" s="115"/>
      <c r="J603" s="115"/>
      <c r="K603" s="115"/>
      <c r="L603" s="435"/>
      <c r="M603" s="435"/>
      <c r="N603" s="435"/>
      <c r="O603" s="435"/>
      <c r="P603" s="115"/>
      <c r="Q603" s="435"/>
      <c r="R603" s="435"/>
      <c r="S603" s="435"/>
      <c r="T603" s="683"/>
      <c r="U603" s="683"/>
    </row>
    <row r="604">
      <c r="A604" s="664"/>
      <c r="B604" s="435"/>
      <c r="C604" s="665"/>
      <c r="D604" s="435"/>
      <c r="E604" s="115"/>
      <c r="F604" s="115"/>
      <c r="G604" s="666"/>
      <c r="H604" s="115"/>
      <c r="I604" s="115"/>
      <c r="J604" s="115"/>
      <c r="K604" s="115"/>
      <c r="L604" s="435"/>
      <c r="M604" s="115"/>
      <c r="N604" s="435"/>
      <c r="O604" s="435"/>
      <c r="P604" s="115"/>
      <c r="Q604" s="435"/>
      <c r="R604" s="435"/>
      <c r="S604" s="435"/>
      <c r="T604" s="683"/>
      <c r="U604" s="683"/>
    </row>
    <row r="605">
      <c r="A605" s="664"/>
      <c r="B605" s="435"/>
      <c r="C605" s="665"/>
      <c r="D605" s="435"/>
      <c r="E605" s="115"/>
      <c r="F605" s="115"/>
      <c r="G605" s="666"/>
      <c r="H605" s="115"/>
      <c r="I605" s="115"/>
      <c r="J605" s="115"/>
      <c r="K605" s="435"/>
      <c r="L605" s="115"/>
      <c r="M605" s="435"/>
      <c r="N605" s="435"/>
      <c r="O605" s="435"/>
      <c r="P605" s="115"/>
      <c r="Q605" s="115"/>
      <c r="R605" s="435"/>
      <c r="S605" s="435"/>
      <c r="T605" s="683"/>
      <c r="U605" s="683"/>
    </row>
    <row r="606">
      <c r="A606" s="664"/>
      <c r="B606" s="435"/>
      <c r="C606" s="665"/>
      <c r="D606" s="435"/>
      <c r="E606" s="115"/>
      <c r="F606" s="115"/>
      <c r="G606" s="666"/>
      <c r="H606" s="115"/>
      <c r="I606" s="115"/>
      <c r="J606" s="115"/>
      <c r="K606" s="115"/>
      <c r="L606" s="435"/>
      <c r="M606" s="435"/>
      <c r="N606" s="115"/>
      <c r="O606" s="115"/>
      <c r="P606" s="115"/>
      <c r="Q606" s="115"/>
      <c r="R606" s="435"/>
      <c r="S606" s="435"/>
      <c r="T606" s="683"/>
      <c r="U606" s="683"/>
    </row>
    <row r="607">
      <c r="A607" s="664"/>
      <c r="B607" s="435"/>
      <c r="C607" s="665"/>
      <c r="D607" s="435"/>
      <c r="E607" s="115"/>
      <c r="F607" s="115"/>
      <c r="G607" s="666"/>
      <c r="H607" s="115"/>
      <c r="I607" s="115"/>
      <c r="J607" s="115"/>
      <c r="K607" s="115"/>
      <c r="L607" s="435"/>
      <c r="M607" s="435"/>
      <c r="N607" s="435"/>
      <c r="O607" s="435"/>
      <c r="P607" s="435"/>
      <c r="Q607" s="435"/>
      <c r="R607" s="435"/>
      <c r="S607" s="435"/>
      <c r="T607" s="683"/>
      <c r="U607" s="683"/>
    </row>
    <row r="608">
      <c r="A608" s="664"/>
      <c r="B608" s="435"/>
      <c r="C608" s="665"/>
      <c r="D608" s="435"/>
      <c r="E608" s="115"/>
      <c r="F608" s="115"/>
      <c r="G608" s="666"/>
      <c r="H608" s="115"/>
      <c r="I608" s="115"/>
      <c r="J608" s="115"/>
      <c r="K608" s="435"/>
      <c r="L608" s="115"/>
      <c r="M608" s="435"/>
      <c r="N608" s="435"/>
      <c r="O608" s="435"/>
      <c r="P608" s="115"/>
      <c r="Q608" s="115"/>
      <c r="R608" s="435"/>
      <c r="S608" s="435"/>
      <c r="T608" s="683"/>
      <c r="U608" s="683"/>
    </row>
    <row r="609">
      <c r="A609" s="664"/>
      <c r="B609" s="682"/>
      <c r="C609" s="665"/>
      <c r="D609" s="435"/>
      <c r="E609" s="115"/>
      <c r="F609" s="115"/>
      <c r="G609" s="666"/>
      <c r="H609" s="115"/>
      <c r="I609" s="115"/>
      <c r="J609" s="115"/>
      <c r="K609" s="435"/>
      <c r="L609" s="115"/>
      <c r="M609" s="435"/>
      <c r="N609" s="435"/>
      <c r="O609" s="435"/>
      <c r="P609" s="115"/>
      <c r="Q609" s="435"/>
      <c r="R609" s="435"/>
      <c r="S609" s="435"/>
      <c r="T609" s="683"/>
      <c r="U609" s="683"/>
    </row>
    <row r="610">
      <c r="A610" s="664"/>
      <c r="B610" s="435"/>
      <c r="C610" s="665"/>
      <c r="D610" s="435"/>
      <c r="E610" s="115"/>
      <c r="F610" s="115"/>
      <c r="G610" s="666"/>
      <c r="H610" s="115"/>
      <c r="I610" s="115"/>
      <c r="J610" s="115"/>
      <c r="K610" s="435"/>
      <c r="L610" s="115"/>
      <c r="M610" s="435"/>
      <c r="N610" s="435"/>
      <c r="O610" s="435"/>
      <c r="P610" s="115"/>
      <c r="Q610" s="435"/>
      <c r="R610" s="435"/>
      <c r="S610" s="435"/>
      <c r="T610" s="683"/>
      <c r="U610" s="683"/>
    </row>
    <row r="611">
      <c r="A611" s="664"/>
      <c r="B611" s="682"/>
      <c r="C611" s="665"/>
      <c r="D611" s="435"/>
      <c r="E611" s="115"/>
      <c r="F611" s="115"/>
      <c r="G611" s="666"/>
      <c r="H611" s="115"/>
      <c r="I611" s="115"/>
      <c r="J611" s="115"/>
      <c r="K611" s="115"/>
      <c r="L611" s="435"/>
      <c r="M611" s="435"/>
      <c r="N611" s="435"/>
      <c r="O611" s="435"/>
      <c r="P611" s="115"/>
      <c r="Q611" s="435"/>
      <c r="R611" s="435"/>
      <c r="S611" s="435"/>
      <c r="T611" s="683"/>
      <c r="U611" s="683"/>
    </row>
    <row r="612">
      <c r="A612" s="664"/>
      <c r="B612" s="435"/>
      <c r="C612" s="665"/>
      <c r="D612" s="435"/>
      <c r="E612" s="115"/>
      <c r="F612" s="115"/>
      <c r="G612" s="666"/>
      <c r="H612" s="115"/>
      <c r="I612" s="115"/>
      <c r="J612" s="115"/>
      <c r="K612" s="435"/>
      <c r="L612" s="115"/>
      <c r="M612" s="435"/>
      <c r="N612" s="435"/>
      <c r="O612" s="435"/>
      <c r="P612" s="435"/>
      <c r="Q612" s="435"/>
      <c r="R612" s="435"/>
      <c r="S612" s="435"/>
      <c r="T612" s="683"/>
      <c r="U612" s="683"/>
    </row>
    <row r="613">
      <c r="A613" s="664"/>
      <c r="B613" s="682"/>
      <c r="C613" s="665"/>
      <c r="D613" s="435"/>
      <c r="E613" s="115"/>
      <c r="F613" s="115"/>
      <c r="G613" s="666"/>
      <c r="H613" s="115"/>
      <c r="I613" s="115"/>
      <c r="J613" s="115"/>
      <c r="K613" s="115"/>
      <c r="L613" s="435"/>
      <c r="M613" s="435"/>
      <c r="N613" s="115"/>
      <c r="O613" s="435"/>
      <c r="P613" s="115"/>
      <c r="Q613" s="435"/>
      <c r="R613" s="435"/>
      <c r="S613" s="435"/>
      <c r="T613" s="683"/>
      <c r="U613" s="683"/>
    </row>
    <row r="614">
      <c r="A614" s="664"/>
      <c r="B614" s="435"/>
      <c r="C614" s="665"/>
      <c r="D614" s="435"/>
      <c r="E614" s="115"/>
      <c r="F614" s="115"/>
      <c r="G614" s="666"/>
      <c r="H614" s="115"/>
      <c r="I614" s="115"/>
      <c r="J614" s="115"/>
      <c r="K614" s="115"/>
      <c r="L614" s="435"/>
      <c r="M614" s="435"/>
      <c r="N614" s="435"/>
      <c r="O614" s="435"/>
      <c r="P614" s="115"/>
      <c r="Q614" s="435"/>
      <c r="R614" s="435"/>
      <c r="S614" s="435"/>
      <c r="T614" s="683"/>
      <c r="U614" s="683"/>
    </row>
    <row r="615">
      <c r="A615" s="664"/>
      <c r="B615" s="435"/>
      <c r="C615" s="665"/>
      <c r="D615" s="435"/>
      <c r="E615" s="115"/>
      <c r="F615" s="115"/>
      <c r="G615" s="666"/>
      <c r="H615" s="115"/>
      <c r="I615" s="115"/>
      <c r="J615" s="115"/>
      <c r="K615" s="435"/>
      <c r="L615" s="115"/>
      <c r="M615" s="435"/>
      <c r="N615" s="115"/>
      <c r="O615" s="435"/>
      <c r="P615" s="115"/>
      <c r="Q615" s="435"/>
      <c r="R615" s="435"/>
      <c r="S615" s="435"/>
      <c r="T615" s="683"/>
      <c r="U615" s="683"/>
    </row>
    <row r="616">
      <c r="A616" s="664"/>
      <c r="B616" s="435"/>
      <c r="C616" s="665"/>
      <c r="D616" s="435"/>
      <c r="E616" s="115"/>
      <c r="F616" s="115"/>
      <c r="G616" s="666"/>
      <c r="H616" s="115"/>
      <c r="I616" s="115"/>
      <c r="J616" s="115"/>
      <c r="K616" s="435"/>
      <c r="L616" s="115"/>
      <c r="M616" s="435"/>
      <c r="N616" s="435"/>
      <c r="O616" s="435"/>
      <c r="P616" s="115"/>
      <c r="Q616" s="435"/>
      <c r="R616" s="435"/>
      <c r="S616" s="435"/>
      <c r="T616" s="683"/>
      <c r="U616" s="683"/>
    </row>
    <row r="617">
      <c r="A617" s="664"/>
      <c r="B617" s="435"/>
      <c r="C617" s="665"/>
      <c r="D617" s="435"/>
      <c r="E617" s="115"/>
      <c r="F617" s="115"/>
      <c r="G617" s="666"/>
      <c r="H617" s="115"/>
      <c r="I617" s="115"/>
      <c r="J617" s="115"/>
      <c r="K617" s="435"/>
      <c r="L617" s="115"/>
      <c r="M617" s="435"/>
      <c r="N617" s="115"/>
      <c r="O617" s="435"/>
      <c r="P617" s="435"/>
      <c r="Q617" s="435"/>
      <c r="R617" s="435"/>
      <c r="S617" s="435"/>
      <c r="T617" s="683"/>
      <c r="U617" s="683"/>
    </row>
    <row r="618">
      <c r="A618" s="664"/>
      <c r="B618" s="435"/>
      <c r="C618" s="665"/>
      <c r="D618" s="435"/>
      <c r="E618" s="115"/>
      <c r="F618" s="115"/>
      <c r="G618" s="666"/>
      <c r="H618" s="115"/>
      <c r="I618" s="115"/>
      <c r="J618" s="115"/>
      <c r="K618" s="115"/>
      <c r="L618" s="435"/>
      <c r="M618" s="435"/>
      <c r="N618" s="435"/>
      <c r="O618" s="435"/>
      <c r="P618" s="115"/>
      <c r="Q618" s="435"/>
      <c r="R618" s="435"/>
      <c r="S618" s="435"/>
      <c r="T618" s="683"/>
      <c r="U618" s="683"/>
    </row>
    <row r="619">
      <c r="A619" s="664"/>
      <c r="B619" s="435"/>
      <c r="C619" s="681"/>
      <c r="D619" s="435"/>
      <c r="E619" s="115"/>
      <c r="F619" s="681"/>
      <c r="G619" s="666"/>
      <c r="H619" s="115"/>
      <c r="I619" s="115"/>
      <c r="J619" s="115"/>
      <c r="K619" s="115"/>
      <c r="L619" s="435"/>
      <c r="M619" s="435"/>
      <c r="N619" s="435"/>
      <c r="O619" s="435"/>
      <c r="P619" s="435"/>
      <c r="Q619" s="435"/>
      <c r="R619" s="435"/>
      <c r="S619" s="435"/>
      <c r="T619" s="683"/>
      <c r="U619" s="683"/>
    </row>
    <row r="620">
      <c r="A620" s="664"/>
      <c r="B620" s="435"/>
      <c r="C620" s="665"/>
      <c r="D620" s="435"/>
      <c r="E620" s="115"/>
      <c r="F620" s="115"/>
      <c r="G620" s="666"/>
      <c r="H620" s="115"/>
      <c r="I620" s="115"/>
      <c r="J620" s="115"/>
      <c r="K620" s="115"/>
      <c r="L620" s="435"/>
      <c r="M620" s="435"/>
      <c r="N620" s="435"/>
      <c r="O620" s="435"/>
      <c r="P620" s="115"/>
      <c r="Q620" s="435"/>
      <c r="R620" s="435"/>
      <c r="S620" s="435"/>
      <c r="T620" s="683"/>
      <c r="U620" s="683"/>
    </row>
    <row r="621">
      <c r="A621" s="664"/>
      <c r="B621" s="435"/>
      <c r="C621" s="665"/>
      <c r="D621" s="435"/>
      <c r="E621" s="115"/>
      <c r="F621" s="115"/>
      <c r="G621" s="666"/>
      <c r="H621" s="115"/>
      <c r="I621" s="115"/>
      <c r="J621" s="115"/>
      <c r="K621" s="435"/>
      <c r="L621" s="115"/>
      <c r="M621" s="435"/>
      <c r="N621" s="435"/>
      <c r="O621" s="435"/>
      <c r="P621" s="115"/>
      <c r="Q621" s="435"/>
      <c r="R621" s="435"/>
      <c r="S621" s="435"/>
      <c r="T621" s="683"/>
      <c r="U621" s="683"/>
    </row>
    <row r="622">
      <c r="A622" s="664"/>
      <c r="B622" s="435"/>
      <c r="C622" s="665"/>
      <c r="D622" s="435"/>
      <c r="E622" s="115"/>
      <c r="F622" s="115"/>
      <c r="G622" s="666"/>
      <c r="H622" s="115"/>
      <c r="I622" s="115"/>
      <c r="J622" s="115"/>
      <c r="K622" s="435"/>
      <c r="L622" s="115"/>
      <c r="M622" s="435"/>
      <c r="N622" s="435"/>
      <c r="O622" s="435"/>
      <c r="P622" s="435"/>
      <c r="Q622" s="435"/>
      <c r="R622" s="435"/>
      <c r="S622" s="435"/>
      <c r="T622" s="683"/>
      <c r="U622" s="683"/>
    </row>
    <row r="623">
      <c r="A623" s="664"/>
      <c r="B623" s="435"/>
      <c r="C623" s="665"/>
      <c r="D623" s="435"/>
      <c r="E623" s="115"/>
      <c r="F623" s="115"/>
      <c r="G623" s="666"/>
      <c r="H623" s="115"/>
      <c r="I623" s="115"/>
      <c r="J623" s="115"/>
      <c r="K623" s="115"/>
      <c r="L623" s="435"/>
      <c r="M623" s="435"/>
      <c r="N623" s="435"/>
      <c r="O623" s="435"/>
      <c r="P623" s="115"/>
      <c r="Q623" s="435"/>
      <c r="R623" s="435"/>
      <c r="S623" s="435"/>
      <c r="T623" s="683"/>
      <c r="U623" s="683"/>
    </row>
    <row r="624">
      <c r="A624" s="664"/>
      <c r="B624" s="435"/>
      <c r="C624" s="665"/>
      <c r="D624" s="435"/>
      <c r="E624" s="115"/>
      <c r="F624" s="115"/>
      <c r="G624" s="666"/>
      <c r="H624" s="115"/>
      <c r="I624" s="115"/>
      <c r="J624" s="115"/>
      <c r="K624" s="435"/>
      <c r="L624" s="115"/>
      <c r="M624" s="435"/>
      <c r="N624" s="435"/>
      <c r="O624" s="435"/>
      <c r="P624" s="115"/>
      <c r="Q624" s="435"/>
      <c r="R624" s="435"/>
      <c r="S624" s="435"/>
      <c r="T624" s="683"/>
      <c r="U624" s="683"/>
    </row>
    <row r="625">
      <c r="A625" s="664"/>
      <c r="B625" s="682"/>
      <c r="C625" s="665"/>
      <c r="D625" s="435"/>
      <c r="E625" s="435"/>
      <c r="F625" s="435"/>
      <c r="G625" s="671"/>
      <c r="H625" s="115"/>
      <c r="I625" s="115"/>
      <c r="J625" s="115"/>
      <c r="K625" s="435"/>
      <c r="L625" s="115"/>
      <c r="M625" s="435"/>
      <c r="N625" s="435"/>
      <c r="O625" s="435"/>
      <c r="P625" s="115"/>
      <c r="Q625" s="435"/>
      <c r="R625" s="435"/>
      <c r="S625" s="435"/>
      <c r="T625" s="683"/>
      <c r="U625" s="683"/>
    </row>
    <row r="626">
      <c r="A626" s="664"/>
      <c r="B626" s="435"/>
      <c r="C626" s="665"/>
      <c r="D626" s="435"/>
      <c r="E626" s="435"/>
      <c r="F626" s="435"/>
      <c r="G626" s="671"/>
      <c r="H626" s="115"/>
      <c r="I626" s="115"/>
      <c r="J626" s="115"/>
      <c r="K626" s="435"/>
      <c r="L626" s="115"/>
      <c r="M626" s="435"/>
      <c r="N626" s="435"/>
      <c r="O626" s="435"/>
      <c r="P626" s="115"/>
      <c r="Q626" s="435"/>
      <c r="R626" s="435"/>
      <c r="S626" s="435"/>
      <c r="T626" s="683"/>
      <c r="U626" s="683"/>
    </row>
    <row r="627">
      <c r="A627" s="664"/>
      <c r="B627" s="435"/>
      <c r="C627" s="665"/>
      <c r="D627" s="435"/>
      <c r="E627" s="115"/>
      <c r="F627" s="115"/>
      <c r="G627" s="666"/>
      <c r="H627" s="115"/>
      <c r="I627" s="115"/>
      <c r="J627" s="115"/>
      <c r="K627" s="435"/>
      <c r="L627" s="115"/>
      <c r="M627" s="435"/>
      <c r="N627" s="435"/>
      <c r="O627" s="435"/>
      <c r="P627" s="115"/>
      <c r="Q627" s="435"/>
      <c r="R627" s="435"/>
      <c r="S627" s="435"/>
      <c r="T627" s="683"/>
      <c r="U627" s="683"/>
    </row>
    <row r="628">
      <c r="A628" s="664"/>
      <c r="B628" s="435"/>
      <c r="C628" s="665"/>
      <c r="D628" s="435"/>
      <c r="E628" s="115"/>
      <c r="F628" s="115"/>
      <c r="G628" s="666"/>
      <c r="H628" s="115"/>
      <c r="I628" s="115"/>
      <c r="J628" s="115"/>
      <c r="K628" s="435"/>
      <c r="L628" s="115"/>
      <c r="M628" s="435"/>
      <c r="N628" s="435"/>
      <c r="O628" s="435"/>
      <c r="P628" s="115"/>
      <c r="Q628" s="435"/>
      <c r="R628" s="435"/>
      <c r="S628" s="435"/>
      <c r="T628" s="683"/>
      <c r="U628" s="683"/>
    </row>
    <row r="629">
      <c r="A629" s="664"/>
      <c r="B629" s="435"/>
      <c r="C629" s="665"/>
      <c r="D629" s="435"/>
      <c r="E629" s="115"/>
      <c r="F629" s="115"/>
      <c r="G629" s="666"/>
      <c r="H629" s="115"/>
      <c r="I629" s="115"/>
      <c r="J629" s="115"/>
      <c r="K629" s="435"/>
      <c r="L629" s="115"/>
      <c r="M629" s="435"/>
      <c r="N629" s="435"/>
      <c r="O629" s="435"/>
      <c r="P629" s="115"/>
      <c r="Q629" s="435"/>
      <c r="R629" s="435"/>
      <c r="S629" s="435"/>
      <c r="T629" s="683"/>
      <c r="U629" s="683"/>
    </row>
    <row r="630">
      <c r="A630" s="664"/>
      <c r="B630" s="435"/>
      <c r="C630" s="665"/>
      <c r="D630" s="435"/>
      <c r="E630" s="115"/>
      <c r="F630" s="115"/>
      <c r="G630" s="666"/>
      <c r="H630" s="115"/>
      <c r="I630" s="115"/>
      <c r="J630" s="115"/>
      <c r="K630" s="115"/>
      <c r="L630" s="435"/>
      <c r="M630" s="115"/>
      <c r="N630" s="115"/>
      <c r="O630" s="435"/>
      <c r="P630" s="115"/>
      <c r="Q630" s="435"/>
      <c r="R630" s="435"/>
      <c r="S630" s="435"/>
      <c r="T630" s="683"/>
      <c r="U630" s="683"/>
    </row>
    <row r="631">
      <c r="A631" s="664"/>
      <c r="B631" s="435"/>
      <c r="C631" s="665"/>
      <c r="D631" s="435"/>
      <c r="E631" s="115"/>
      <c r="F631" s="115"/>
      <c r="G631" s="666"/>
      <c r="H631" s="115"/>
      <c r="I631" s="115"/>
      <c r="J631" s="115"/>
      <c r="K631" s="115"/>
      <c r="L631" s="435"/>
      <c r="M631" s="435"/>
      <c r="N631" s="435"/>
      <c r="O631" s="435"/>
      <c r="P631" s="115"/>
      <c r="Q631" s="435"/>
      <c r="R631" s="435"/>
      <c r="S631" s="435"/>
      <c r="T631" s="683"/>
      <c r="U631" s="683"/>
    </row>
    <row r="632">
      <c r="A632" s="664"/>
      <c r="B632" s="435"/>
      <c r="C632" s="665"/>
      <c r="D632" s="435"/>
      <c r="E632" s="115"/>
      <c r="F632" s="115"/>
      <c r="G632" s="666"/>
      <c r="H632" s="115"/>
      <c r="I632" s="115"/>
      <c r="J632" s="115"/>
      <c r="K632" s="115"/>
      <c r="L632" s="435"/>
      <c r="M632" s="435"/>
      <c r="N632" s="115"/>
      <c r="O632" s="435"/>
      <c r="P632" s="115"/>
      <c r="Q632" s="435"/>
      <c r="R632" s="435"/>
      <c r="S632" s="435"/>
      <c r="T632" s="683"/>
      <c r="U632" s="683"/>
    </row>
    <row r="633">
      <c r="A633" s="664"/>
      <c r="B633" s="435"/>
      <c r="C633" s="665"/>
      <c r="D633" s="435"/>
      <c r="E633" s="115"/>
      <c r="F633" s="115"/>
      <c r="G633" s="666"/>
      <c r="H633" s="115"/>
      <c r="I633" s="115"/>
      <c r="J633" s="115"/>
      <c r="K633" s="115"/>
      <c r="L633" s="435"/>
      <c r="M633" s="115"/>
      <c r="N633" s="115"/>
      <c r="O633" s="435"/>
      <c r="P633" s="115"/>
      <c r="Q633" s="115"/>
      <c r="R633" s="435"/>
      <c r="S633" s="435"/>
      <c r="T633" s="683"/>
      <c r="U633" s="683"/>
    </row>
    <row r="634">
      <c r="A634" s="664"/>
      <c r="B634" s="435"/>
      <c r="C634" s="665"/>
      <c r="D634" s="435"/>
      <c r="E634" s="115"/>
      <c r="F634" s="115"/>
      <c r="G634" s="666"/>
      <c r="H634" s="115"/>
      <c r="I634" s="115"/>
      <c r="J634" s="115"/>
      <c r="K634" s="435"/>
      <c r="L634" s="115"/>
      <c r="M634" s="435"/>
      <c r="N634" s="435"/>
      <c r="O634" s="435"/>
      <c r="P634" s="115"/>
      <c r="Q634" s="435"/>
      <c r="R634" s="435"/>
      <c r="S634" s="435"/>
      <c r="T634" s="683"/>
      <c r="U634" s="683"/>
    </row>
    <row r="635">
      <c r="A635" s="664"/>
      <c r="B635" s="435"/>
      <c r="C635" s="665"/>
      <c r="D635" s="435"/>
      <c r="E635" s="115"/>
      <c r="F635" s="115"/>
      <c r="G635" s="666"/>
      <c r="H635" s="115"/>
      <c r="I635" s="115"/>
      <c r="J635" s="115"/>
      <c r="K635" s="115"/>
      <c r="L635" s="435"/>
      <c r="M635" s="435"/>
      <c r="N635" s="115"/>
      <c r="O635" s="435"/>
      <c r="P635" s="435"/>
      <c r="Q635" s="435"/>
      <c r="R635" s="435"/>
      <c r="S635" s="435"/>
      <c r="T635" s="683"/>
      <c r="U635" s="683"/>
    </row>
    <row r="636">
      <c r="A636" s="664"/>
      <c r="B636" s="435"/>
      <c r="C636" s="665"/>
      <c r="D636" s="435"/>
      <c r="E636" s="115"/>
      <c r="F636" s="115"/>
      <c r="G636" s="666"/>
      <c r="H636" s="115"/>
      <c r="I636" s="115"/>
      <c r="J636" s="115"/>
      <c r="K636" s="435"/>
      <c r="L636" s="115"/>
      <c r="M636" s="435"/>
      <c r="N636" s="115"/>
      <c r="O636" s="435"/>
      <c r="P636" s="115"/>
      <c r="Q636" s="435"/>
      <c r="R636" s="435"/>
      <c r="S636" s="435"/>
      <c r="T636" s="683"/>
      <c r="U636" s="683"/>
    </row>
    <row r="637">
      <c r="A637" s="664"/>
      <c r="B637" s="435"/>
      <c r="C637" s="665"/>
      <c r="D637" s="435"/>
      <c r="E637" s="115"/>
      <c r="F637" s="115"/>
      <c r="G637" s="666"/>
      <c r="H637" s="115"/>
      <c r="I637" s="115"/>
      <c r="J637" s="115"/>
      <c r="K637" s="435"/>
      <c r="L637" s="115"/>
      <c r="M637" s="435"/>
      <c r="N637" s="115"/>
      <c r="O637" s="435"/>
      <c r="P637" s="115"/>
      <c r="Q637" s="435"/>
      <c r="R637" s="435"/>
      <c r="S637" s="435"/>
      <c r="T637" s="683"/>
      <c r="U637" s="683"/>
    </row>
    <row r="638">
      <c r="A638" s="664"/>
      <c r="B638" s="435"/>
      <c r="C638" s="665"/>
      <c r="D638" s="435"/>
      <c r="E638" s="115"/>
      <c r="F638" s="115"/>
      <c r="G638" s="666"/>
      <c r="H638" s="115"/>
      <c r="I638" s="115"/>
      <c r="J638" s="115"/>
      <c r="K638" s="435"/>
      <c r="L638" s="115"/>
      <c r="M638" s="435"/>
      <c r="N638" s="115"/>
      <c r="O638" s="435"/>
      <c r="P638" s="115"/>
      <c r="Q638" s="435"/>
      <c r="R638" s="435"/>
      <c r="S638" s="435"/>
      <c r="T638" s="683"/>
      <c r="U638" s="683"/>
    </row>
    <row r="639">
      <c r="A639" s="664"/>
      <c r="B639" s="435"/>
      <c r="C639" s="665"/>
      <c r="D639" s="435"/>
      <c r="E639" s="115"/>
      <c r="F639" s="115"/>
      <c r="G639" s="666"/>
      <c r="H639" s="115"/>
      <c r="I639" s="115"/>
      <c r="J639" s="115"/>
      <c r="K639" s="435"/>
      <c r="L639" s="115"/>
      <c r="M639" s="435"/>
      <c r="N639" s="435"/>
      <c r="O639" s="435"/>
      <c r="P639" s="115"/>
      <c r="Q639" s="435"/>
      <c r="R639" s="435"/>
      <c r="S639" s="435"/>
      <c r="T639" s="683"/>
      <c r="U639" s="683"/>
    </row>
    <row r="640">
      <c r="A640" s="664"/>
      <c r="B640" s="435"/>
      <c r="C640" s="665"/>
      <c r="D640" s="435"/>
      <c r="E640" s="115"/>
      <c r="F640" s="115"/>
      <c r="G640" s="666"/>
      <c r="H640" s="115"/>
      <c r="I640" s="115"/>
      <c r="J640" s="115"/>
      <c r="K640" s="435"/>
      <c r="L640" s="115"/>
      <c r="M640" s="435"/>
      <c r="N640" s="115"/>
      <c r="O640" s="435"/>
      <c r="P640" s="435"/>
      <c r="Q640" s="115"/>
      <c r="R640" s="435"/>
      <c r="S640" s="435"/>
      <c r="T640" s="683"/>
      <c r="U640" s="683"/>
    </row>
    <row r="641">
      <c r="A641" s="664"/>
      <c r="B641" s="435"/>
      <c r="C641" s="665"/>
      <c r="D641" s="435"/>
      <c r="E641" s="115"/>
      <c r="F641" s="115"/>
      <c r="G641" s="666"/>
      <c r="H641" s="115"/>
      <c r="I641" s="115"/>
      <c r="J641" s="115"/>
      <c r="K641" s="435"/>
      <c r="L641" s="115"/>
      <c r="M641" s="435"/>
      <c r="N641" s="435"/>
      <c r="O641" s="435"/>
      <c r="P641" s="115"/>
      <c r="Q641" s="435"/>
      <c r="R641" s="435"/>
      <c r="S641" s="435"/>
      <c r="T641" s="683"/>
      <c r="U641" s="683"/>
    </row>
    <row r="642">
      <c r="A642" s="664"/>
      <c r="B642" s="435"/>
      <c r="C642" s="665"/>
      <c r="D642" s="435"/>
      <c r="E642" s="115"/>
      <c r="F642" s="115"/>
      <c r="G642" s="666"/>
      <c r="H642" s="115"/>
      <c r="I642" s="115"/>
      <c r="J642" s="115"/>
      <c r="K642" s="435"/>
      <c r="L642" s="115"/>
      <c r="M642" s="435"/>
      <c r="N642" s="435"/>
      <c r="O642" s="435"/>
      <c r="P642" s="115"/>
      <c r="Q642" s="435"/>
      <c r="R642" s="435"/>
      <c r="S642" s="435"/>
      <c r="T642" s="683"/>
      <c r="U642" s="683"/>
    </row>
    <row r="643">
      <c r="A643" s="664"/>
      <c r="B643" s="435"/>
      <c r="C643" s="665"/>
      <c r="D643" s="435"/>
      <c r="E643" s="115"/>
      <c r="F643" s="115"/>
      <c r="G643" s="666"/>
      <c r="H643" s="115"/>
      <c r="I643" s="115"/>
      <c r="J643" s="115"/>
      <c r="K643" s="115"/>
      <c r="L643" s="435"/>
      <c r="M643" s="435"/>
      <c r="N643" s="115"/>
      <c r="O643" s="435"/>
      <c r="P643" s="115"/>
      <c r="Q643" s="435"/>
      <c r="R643" s="435"/>
      <c r="S643" s="435"/>
      <c r="T643" s="683"/>
      <c r="U643" s="683"/>
    </row>
    <row r="644">
      <c r="A644" s="664"/>
      <c r="B644" s="435"/>
      <c r="C644" s="665"/>
      <c r="D644" s="435"/>
      <c r="E644" s="115"/>
      <c r="F644" s="115"/>
      <c r="G644" s="666"/>
      <c r="H644" s="115"/>
      <c r="I644" s="115"/>
      <c r="J644" s="115"/>
      <c r="K644" s="435"/>
      <c r="L644" s="115"/>
      <c r="M644" s="435"/>
      <c r="N644" s="435"/>
      <c r="O644" s="435"/>
      <c r="P644" s="435"/>
      <c r="Q644" s="435"/>
      <c r="R644" s="435"/>
      <c r="S644" s="435"/>
      <c r="T644" s="683"/>
      <c r="U644" s="683"/>
    </row>
    <row r="645">
      <c r="A645" s="664"/>
      <c r="B645" s="435"/>
      <c r="C645" s="665"/>
      <c r="D645" s="435"/>
      <c r="E645" s="115"/>
      <c r="F645" s="115"/>
      <c r="G645" s="666"/>
      <c r="H645" s="115"/>
      <c r="I645" s="115"/>
      <c r="J645" s="115"/>
      <c r="K645" s="435"/>
      <c r="L645" s="115"/>
      <c r="M645" s="435"/>
      <c r="N645" s="435"/>
      <c r="O645" s="435"/>
      <c r="P645" s="115"/>
      <c r="Q645" s="435"/>
      <c r="R645" s="435"/>
      <c r="S645" s="435"/>
      <c r="T645" s="683"/>
      <c r="U645" s="683"/>
    </row>
    <row r="646">
      <c r="A646" s="664"/>
      <c r="B646" s="435"/>
      <c r="C646" s="665"/>
      <c r="D646" s="435"/>
      <c r="E646" s="115"/>
      <c r="F646" s="115"/>
      <c r="G646" s="666"/>
      <c r="H646" s="115"/>
      <c r="I646" s="115"/>
      <c r="J646" s="115"/>
      <c r="K646" s="435"/>
      <c r="L646" s="435"/>
      <c r="M646" s="435"/>
      <c r="N646" s="435"/>
      <c r="O646" s="435"/>
      <c r="P646" s="435"/>
      <c r="Q646" s="435"/>
      <c r="R646" s="435"/>
      <c r="S646" s="435"/>
      <c r="T646" s="683"/>
      <c r="U646" s="683"/>
    </row>
    <row r="647">
      <c r="A647" s="664"/>
      <c r="B647" s="435"/>
      <c r="C647" s="435"/>
      <c r="D647" s="435"/>
      <c r="E647" s="435"/>
      <c r="F647" s="435"/>
      <c r="G647" s="671"/>
      <c r="H647" s="115"/>
      <c r="I647" s="115"/>
      <c r="J647" s="115"/>
      <c r="K647" s="435"/>
      <c r="L647" s="435"/>
      <c r="M647" s="435"/>
      <c r="N647" s="435"/>
      <c r="O647" s="435"/>
      <c r="P647" s="435"/>
      <c r="Q647" s="435"/>
      <c r="R647" s="435"/>
      <c r="S647" s="435"/>
      <c r="T647" s="683"/>
      <c r="U647" s="683"/>
    </row>
    <row r="648">
      <c r="A648" s="664"/>
      <c r="B648" s="435"/>
      <c r="C648" s="435"/>
      <c r="D648" s="435"/>
      <c r="E648" s="435"/>
      <c r="F648" s="435"/>
      <c r="G648" s="671"/>
      <c r="H648" s="115"/>
      <c r="I648" s="115"/>
      <c r="J648" s="115"/>
      <c r="K648" s="435"/>
      <c r="L648" s="435"/>
      <c r="M648" s="435"/>
      <c r="N648" s="435"/>
      <c r="O648" s="435"/>
      <c r="P648" s="435"/>
      <c r="Q648" s="435"/>
      <c r="R648" s="435"/>
      <c r="S648" s="435"/>
      <c r="T648" s="683"/>
      <c r="U648" s="683"/>
    </row>
    <row r="649">
      <c r="A649" s="664"/>
      <c r="B649" s="435"/>
      <c r="C649" s="435"/>
      <c r="D649" s="435"/>
      <c r="E649" s="435"/>
      <c r="F649" s="435"/>
      <c r="G649" s="671"/>
      <c r="H649" s="115"/>
      <c r="I649" s="115"/>
      <c r="J649" s="115"/>
      <c r="K649" s="435"/>
      <c r="L649" s="435"/>
      <c r="M649" s="435"/>
      <c r="N649" s="435"/>
      <c r="O649" s="435"/>
      <c r="P649" s="435"/>
      <c r="Q649" s="435"/>
      <c r="R649" s="435"/>
      <c r="S649" s="435"/>
      <c r="T649" s="683"/>
      <c r="U649" s="683"/>
    </row>
    <row r="650">
      <c r="A650" s="664"/>
      <c r="B650" s="435"/>
      <c r="C650" s="435"/>
      <c r="D650" s="435"/>
      <c r="E650" s="435"/>
      <c r="F650" s="435"/>
      <c r="G650" s="671"/>
      <c r="H650" s="115"/>
      <c r="I650" s="115"/>
      <c r="J650" s="115"/>
      <c r="K650" s="435"/>
      <c r="L650" s="435"/>
      <c r="M650" s="435"/>
      <c r="N650" s="435"/>
      <c r="O650" s="435"/>
      <c r="P650" s="435"/>
      <c r="Q650" s="435"/>
      <c r="R650" s="435"/>
      <c r="S650" s="435"/>
      <c r="T650" s="683"/>
      <c r="U650" s="683"/>
    </row>
    <row r="651">
      <c r="A651" s="664"/>
      <c r="B651" s="435"/>
      <c r="C651" s="435"/>
      <c r="D651" s="435"/>
      <c r="E651" s="435"/>
      <c r="F651" s="435"/>
      <c r="G651" s="671"/>
      <c r="H651" s="115"/>
      <c r="I651" s="115"/>
      <c r="J651" s="115"/>
      <c r="K651" s="435"/>
      <c r="L651" s="435"/>
      <c r="M651" s="435"/>
      <c r="N651" s="435"/>
      <c r="O651" s="435"/>
      <c r="P651" s="435"/>
      <c r="Q651" s="435"/>
      <c r="R651" s="435"/>
      <c r="S651" s="435"/>
      <c r="T651" s="683"/>
      <c r="U651" s="683"/>
    </row>
    <row r="652">
      <c r="A652" s="664"/>
      <c r="B652" s="435"/>
      <c r="C652" s="435"/>
      <c r="D652" s="435"/>
      <c r="E652" s="435"/>
      <c r="F652" s="435"/>
      <c r="G652" s="671"/>
      <c r="H652" s="115"/>
      <c r="I652" s="115"/>
      <c r="J652" s="115"/>
      <c r="K652" s="435"/>
      <c r="L652" s="435"/>
      <c r="M652" s="435"/>
      <c r="N652" s="435"/>
      <c r="O652" s="435"/>
      <c r="P652" s="435"/>
      <c r="Q652" s="435"/>
      <c r="R652" s="435"/>
      <c r="S652" s="435"/>
      <c r="T652" s="683"/>
      <c r="U652" s="683"/>
    </row>
    <row r="653">
      <c r="A653" s="664"/>
      <c r="B653" s="435"/>
      <c r="C653" s="435"/>
      <c r="D653" s="435"/>
      <c r="E653" s="435"/>
      <c r="F653" s="435"/>
      <c r="G653" s="671"/>
      <c r="H653" s="115"/>
      <c r="I653" s="115"/>
      <c r="J653" s="115"/>
      <c r="K653" s="435"/>
      <c r="L653" s="435"/>
      <c r="M653" s="435"/>
      <c r="N653" s="435"/>
      <c r="O653" s="435"/>
      <c r="P653" s="435"/>
      <c r="Q653" s="435"/>
      <c r="R653" s="435"/>
      <c r="S653" s="435"/>
      <c r="T653" s="683"/>
      <c r="U653" s="683"/>
    </row>
    <row r="654">
      <c r="A654" s="664"/>
      <c r="B654" s="435"/>
      <c r="C654" s="435"/>
      <c r="D654" s="435"/>
      <c r="E654" s="435"/>
      <c r="F654" s="435"/>
      <c r="G654" s="671"/>
      <c r="H654" s="115"/>
      <c r="I654" s="115"/>
      <c r="J654" s="115"/>
      <c r="K654" s="435"/>
      <c r="L654" s="435"/>
      <c r="M654" s="435"/>
      <c r="N654" s="435"/>
      <c r="O654" s="435"/>
      <c r="P654" s="435"/>
      <c r="Q654" s="435"/>
      <c r="R654" s="435"/>
      <c r="S654" s="435"/>
      <c r="T654" s="683"/>
      <c r="U654" s="683"/>
    </row>
    <row r="655">
      <c r="A655" s="664"/>
      <c r="B655" s="435"/>
      <c r="C655" s="435"/>
      <c r="D655" s="435"/>
      <c r="E655" s="435"/>
      <c r="F655" s="435"/>
      <c r="G655" s="671"/>
      <c r="H655" s="115"/>
      <c r="I655" s="115"/>
      <c r="J655" s="115"/>
      <c r="K655" s="435"/>
      <c r="L655" s="435"/>
      <c r="M655" s="435"/>
      <c r="N655" s="435"/>
      <c r="O655" s="435"/>
      <c r="P655" s="435"/>
      <c r="Q655" s="435"/>
      <c r="R655" s="435"/>
      <c r="S655" s="435"/>
      <c r="T655" s="683"/>
      <c r="U655" s="683"/>
    </row>
    <row r="656">
      <c r="A656" s="664"/>
      <c r="B656" s="435"/>
      <c r="C656" s="435"/>
      <c r="D656" s="435"/>
      <c r="E656" s="435"/>
      <c r="F656" s="435"/>
      <c r="G656" s="671"/>
      <c r="H656" s="115"/>
      <c r="I656" s="115"/>
      <c r="J656" s="115"/>
      <c r="K656" s="435"/>
      <c r="L656" s="435"/>
      <c r="M656" s="435"/>
      <c r="N656" s="435"/>
      <c r="O656" s="435"/>
      <c r="P656" s="435"/>
      <c r="Q656" s="435"/>
      <c r="R656" s="435"/>
      <c r="S656" s="435"/>
      <c r="T656" s="683"/>
      <c r="U656" s="683"/>
    </row>
    <row r="657">
      <c r="A657" s="664"/>
      <c r="B657" s="435"/>
      <c r="C657" s="435"/>
      <c r="D657" s="435"/>
      <c r="E657" s="435"/>
      <c r="F657" s="435"/>
      <c r="G657" s="671"/>
      <c r="H657" s="115"/>
      <c r="I657" s="115"/>
      <c r="J657" s="115"/>
      <c r="K657" s="435"/>
      <c r="L657" s="435"/>
      <c r="M657" s="435"/>
      <c r="N657" s="435"/>
      <c r="O657" s="435"/>
      <c r="P657" s="435"/>
      <c r="Q657" s="435"/>
      <c r="R657" s="435"/>
      <c r="S657" s="435"/>
      <c r="T657" s="683"/>
      <c r="U657" s="683"/>
    </row>
    <row r="658">
      <c r="A658" s="664"/>
      <c r="B658" s="435"/>
      <c r="C658" s="435"/>
      <c r="D658" s="435"/>
      <c r="E658" s="435"/>
      <c r="F658" s="435"/>
      <c r="G658" s="671"/>
      <c r="H658" s="115"/>
      <c r="I658" s="115"/>
      <c r="J658" s="115"/>
      <c r="K658" s="435"/>
      <c r="L658" s="435"/>
      <c r="M658" s="435"/>
      <c r="N658" s="435"/>
      <c r="O658" s="435"/>
      <c r="P658" s="435"/>
      <c r="Q658" s="435"/>
      <c r="R658" s="435"/>
      <c r="S658" s="435"/>
      <c r="T658" s="683"/>
      <c r="U658" s="683"/>
    </row>
    <row r="659">
      <c r="A659" s="664"/>
      <c r="B659" s="435"/>
      <c r="C659" s="435"/>
      <c r="D659" s="435"/>
      <c r="E659" s="435"/>
      <c r="F659" s="435"/>
      <c r="G659" s="671"/>
      <c r="H659" s="115"/>
      <c r="I659" s="115"/>
      <c r="J659" s="115"/>
      <c r="K659" s="435"/>
      <c r="L659" s="435"/>
      <c r="M659" s="435"/>
      <c r="N659" s="435"/>
      <c r="O659" s="435"/>
      <c r="P659" s="435"/>
      <c r="Q659" s="435"/>
      <c r="R659" s="435"/>
      <c r="S659" s="435"/>
      <c r="T659" s="683"/>
      <c r="U659" s="683"/>
    </row>
    <row r="660">
      <c r="A660" s="664"/>
      <c r="B660" s="435"/>
      <c r="C660" s="435"/>
      <c r="D660" s="435"/>
      <c r="E660" s="435"/>
      <c r="F660" s="435"/>
      <c r="G660" s="671"/>
      <c r="H660" s="115"/>
      <c r="I660" s="115"/>
      <c r="J660" s="115"/>
      <c r="K660" s="435"/>
      <c r="L660" s="435"/>
      <c r="M660" s="435"/>
      <c r="N660" s="435"/>
      <c r="O660" s="435"/>
      <c r="P660" s="435"/>
      <c r="Q660" s="435"/>
      <c r="R660" s="435"/>
      <c r="S660" s="435"/>
      <c r="T660" s="683"/>
      <c r="U660" s="683"/>
    </row>
    <row r="661">
      <c r="A661" s="664"/>
      <c r="B661" s="435"/>
      <c r="C661" s="435"/>
      <c r="D661" s="435"/>
      <c r="E661" s="435"/>
      <c r="F661" s="435"/>
      <c r="G661" s="671"/>
      <c r="H661" s="115"/>
      <c r="I661" s="115"/>
      <c r="J661" s="115"/>
      <c r="K661" s="435"/>
      <c r="L661" s="435"/>
      <c r="M661" s="435"/>
      <c r="N661" s="435"/>
      <c r="O661" s="435"/>
      <c r="P661" s="435"/>
      <c r="Q661" s="435"/>
      <c r="R661" s="435"/>
      <c r="S661" s="435"/>
      <c r="T661" s="683"/>
      <c r="U661" s="683"/>
    </row>
    <row r="662">
      <c r="A662" s="664"/>
      <c r="B662" s="435"/>
      <c r="C662" s="435"/>
      <c r="D662" s="435"/>
      <c r="E662" s="435"/>
      <c r="F662" s="435"/>
      <c r="G662" s="671"/>
      <c r="H662" s="115"/>
      <c r="I662" s="115"/>
      <c r="J662" s="115"/>
      <c r="K662" s="435"/>
      <c r="L662" s="435"/>
      <c r="M662" s="435"/>
      <c r="N662" s="435"/>
      <c r="O662" s="435"/>
      <c r="P662" s="435"/>
      <c r="Q662" s="435"/>
      <c r="R662" s="435"/>
      <c r="S662" s="435"/>
      <c r="T662" s="683"/>
      <c r="U662" s="683"/>
    </row>
    <row r="663">
      <c r="A663" s="664"/>
      <c r="B663" s="435"/>
      <c r="C663" s="435"/>
      <c r="D663" s="435"/>
      <c r="E663" s="435"/>
      <c r="F663" s="435"/>
      <c r="G663" s="671"/>
      <c r="H663" s="115"/>
      <c r="I663" s="115"/>
      <c r="J663" s="115"/>
      <c r="K663" s="435"/>
      <c r="L663" s="435"/>
      <c r="M663" s="435"/>
      <c r="N663" s="435"/>
      <c r="O663" s="435"/>
      <c r="P663" s="435"/>
      <c r="Q663" s="435"/>
      <c r="R663" s="435"/>
      <c r="S663" s="435"/>
      <c r="T663" s="683"/>
      <c r="U663" s="683"/>
    </row>
    <row r="664">
      <c r="A664" s="664"/>
      <c r="B664" s="435"/>
      <c r="C664" s="435"/>
      <c r="D664" s="435"/>
      <c r="E664" s="435"/>
      <c r="F664" s="435"/>
      <c r="G664" s="671"/>
      <c r="H664" s="115"/>
      <c r="I664" s="115"/>
      <c r="J664" s="115"/>
      <c r="K664" s="435"/>
      <c r="L664" s="435"/>
      <c r="M664" s="435"/>
      <c r="N664" s="435"/>
      <c r="O664" s="435"/>
      <c r="P664" s="435"/>
      <c r="Q664" s="435"/>
      <c r="R664" s="435"/>
      <c r="S664" s="435"/>
      <c r="T664" s="683"/>
      <c r="U664" s="683"/>
    </row>
    <row r="665">
      <c r="A665" s="664"/>
      <c r="B665" s="435"/>
      <c r="C665" s="435"/>
      <c r="D665" s="435"/>
      <c r="E665" s="435"/>
      <c r="F665" s="435"/>
      <c r="G665" s="671"/>
      <c r="H665" s="115"/>
      <c r="I665" s="115"/>
      <c r="J665" s="115"/>
      <c r="K665" s="435"/>
      <c r="L665" s="435"/>
      <c r="M665" s="435"/>
      <c r="N665" s="435"/>
      <c r="O665" s="435"/>
      <c r="P665" s="435"/>
      <c r="Q665" s="435"/>
      <c r="R665" s="435"/>
      <c r="S665" s="435"/>
      <c r="T665" s="683"/>
      <c r="U665" s="683"/>
    </row>
    <row r="666">
      <c r="A666" s="664"/>
      <c r="B666" s="435"/>
      <c r="C666" s="435"/>
      <c r="D666" s="435"/>
      <c r="E666" s="435"/>
      <c r="F666" s="435"/>
      <c r="G666" s="671"/>
      <c r="H666" s="115"/>
      <c r="I666" s="115"/>
      <c r="J666" s="115"/>
      <c r="K666" s="435"/>
      <c r="L666" s="435"/>
      <c r="M666" s="435"/>
      <c r="N666" s="435"/>
      <c r="O666" s="435"/>
      <c r="P666" s="435"/>
      <c r="Q666" s="435"/>
      <c r="R666" s="435"/>
      <c r="S666" s="435"/>
      <c r="T666" s="683"/>
      <c r="U666" s="683"/>
    </row>
    <row r="667">
      <c r="A667" s="664"/>
      <c r="B667" s="435"/>
      <c r="C667" s="435"/>
      <c r="D667" s="435"/>
      <c r="E667" s="435"/>
      <c r="F667" s="435"/>
      <c r="G667" s="671"/>
      <c r="H667" s="115"/>
      <c r="I667" s="115"/>
      <c r="J667" s="115"/>
      <c r="K667" s="435"/>
      <c r="L667" s="435"/>
      <c r="M667" s="435"/>
      <c r="N667" s="435"/>
      <c r="O667" s="435"/>
      <c r="P667" s="435"/>
      <c r="Q667" s="435"/>
      <c r="R667" s="435"/>
      <c r="S667" s="435"/>
      <c r="T667" s="683"/>
      <c r="U667" s="683"/>
    </row>
    <row r="668">
      <c r="A668" s="664"/>
      <c r="B668" s="435"/>
      <c r="C668" s="435"/>
      <c r="D668" s="435"/>
      <c r="E668" s="435"/>
      <c r="F668" s="435"/>
      <c r="G668" s="671"/>
      <c r="H668" s="115"/>
      <c r="I668" s="115"/>
      <c r="J668" s="115"/>
      <c r="K668" s="435"/>
      <c r="L668" s="435"/>
      <c r="M668" s="435"/>
      <c r="N668" s="435"/>
      <c r="O668" s="435"/>
      <c r="P668" s="435"/>
      <c r="Q668" s="435"/>
      <c r="R668" s="435"/>
      <c r="S668" s="435"/>
      <c r="T668" s="683"/>
      <c r="U668" s="683"/>
    </row>
    <row r="669">
      <c r="A669" s="723"/>
      <c r="B669" s="115"/>
      <c r="C669" s="724"/>
      <c r="D669" s="115"/>
      <c r="E669" s="115"/>
      <c r="F669" s="115"/>
      <c r="G669" s="666"/>
      <c r="H669" s="115"/>
      <c r="I669" s="115"/>
      <c r="J669" s="115"/>
      <c r="K669" s="435"/>
      <c r="L669" s="435"/>
      <c r="M669" s="435"/>
      <c r="N669" s="435"/>
      <c r="O669" s="435"/>
      <c r="P669" s="435"/>
      <c r="Q669" s="435"/>
      <c r="R669" s="435"/>
      <c r="S669" s="435"/>
      <c r="T669" s="683"/>
      <c r="U669" s="683"/>
    </row>
    <row r="670">
      <c r="A670" s="723"/>
      <c r="B670" s="115"/>
      <c r="C670" s="724"/>
      <c r="D670" s="115"/>
      <c r="E670" s="115"/>
      <c r="F670" s="115"/>
      <c r="G670" s="666"/>
      <c r="H670" s="115"/>
      <c r="I670" s="115"/>
      <c r="J670" s="115"/>
      <c r="K670" s="435"/>
      <c r="L670" s="435"/>
      <c r="M670" s="435"/>
      <c r="N670" s="435"/>
      <c r="O670" s="435"/>
      <c r="P670" s="435"/>
      <c r="Q670" s="435"/>
      <c r="R670" s="435"/>
      <c r="S670" s="435"/>
      <c r="T670" s="683"/>
      <c r="U670" s="683"/>
    </row>
    <row r="671">
      <c r="A671" s="723"/>
      <c r="B671" s="115"/>
      <c r="C671" s="724"/>
      <c r="D671" s="115"/>
      <c r="E671" s="115"/>
      <c r="F671" s="115"/>
      <c r="G671" s="666"/>
      <c r="H671" s="115"/>
      <c r="I671" s="115"/>
      <c r="J671" s="115"/>
      <c r="K671" s="435"/>
      <c r="L671" s="435"/>
      <c r="M671" s="435"/>
      <c r="N671" s="435"/>
      <c r="O671" s="435"/>
      <c r="P671" s="435"/>
      <c r="Q671" s="435"/>
      <c r="R671" s="435"/>
      <c r="S671" s="435"/>
      <c r="T671" s="683"/>
      <c r="U671" s="683"/>
    </row>
    <row r="672">
      <c r="A672" s="723"/>
      <c r="B672" s="115"/>
      <c r="C672" s="724"/>
      <c r="D672" s="115"/>
      <c r="E672" s="115"/>
      <c r="F672" s="115"/>
      <c r="G672" s="666"/>
      <c r="H672" s="115"/>
      <c r="I672" s="115"/>
      <c r="J672" s="115"/>
      <c r="K672" s="435"/>
      <c r="L672" s="435"/>
      <c r="M672" s="435"/>
      <c r="N672" s="435"/>
      <c r="O672" s="435"/>
      <c r="P672" s="435"/>
      <c r="Q672" s="435"/>
      <c r="R672" s="435"/>
      <c r="S672" s="435"/>
      <c r="T672" s="683"/>
      <c r="U672" s="683"/>
    </row>
    <row r="673">
      <c r="A673" s="723"/>
      <c r="B673" s="115"/>
      <c r="C673" s="724"/>
      <c r="D673" s="115"/>
      <c r="E673" s="115"/>
      <c r="F673" s="115"/>
      <c r="G673" s="666"/>
      <c r="H673" s="115"/>
      <c r="I673" s="115"/>
      <c r="J673" s="115"/>
      <c r="K673" s="435"/>
      <c r="L673" s="435"/>
      <c r="M673" s="435"/>
      <c r="N673" s="435"/>
      <c r="O673" s="435"/>
      <c r="P673" s="435"/>
      <c r="Q673" s="435"/>
      <c r="R673" s="435"/>
      <c r="S673" s="435"/>
      <c r="T673" s="683"/>
      <c r="U673" s="683"/>
    </row>
    <row r="674">
      <c r="A674" s="723"/>
      <c r="B674" s="115"/>
      <c r="C674" s="724"/>
      <c r="D674" s="115"/>
      <c r="E674" s="115"/>
      <c r="F674" s="115"/>
      <c r="G674" s="666"/>
      <c r="H674" s="115"/>
      <c r="I674" s="115"/>
      <c r="J674" s="115"/>
      <c r="K674" s="435"/>
      <c r="L674" s="435"/>
      <c r="M674" s="435"/>
      <c r="N674" s="435"/>
      <c r="O674" s="435"/>
      <c r="P674" s="435"/>
      <c r="Q674" s="435"/>
      <c r="R674" s="435"/>
      <c r="S674" s="435"/>
      <c r="T674" s="683"/>
      <c r="U674" s="683"/>
    </row>
    <row r="675">
      <c r="A675" s="723"/>
      <c r="B675" s="115"/>
      <c r="C675" s="724"/>
      <c r="D675" s="115"/>
      <c r="E675" s="115"/>
      <c r="F675" s="115"/>
      <c r="G675" s="666"/>
      <c r="H675" s="115"/>
      <c r="I675" s="115"/>
      <c r="J675" s="115"/>
      <c r="K675" s="435"/>
      <c r="L675" s="435"/>
      <c r="M675" s="435"/>
      <c r="N675" s="435"/>
      <c r="O675" s="435"/>
      <c r="P675" s="435"/>
      <c r="Q675" s="435"/>
      <c r="R675" s="435"/>
      <c r="S675" s="435"/>
      <c r="T675" s="683"/>
      <c r="U675" s="683"/>
    </row>
    <row r="676">
      <c r="A676" s="723"/>
      <c r="B676" s="115"/>
      <c r="C676" s="724"/>
      <c r="D676" s="115"/>
      <c r="E676" s="115"/>
      <c r="F676" s="115"/>
      <c r="G676" s="666"/>
      <c r="H676" s="115"/>
      <c r="I676" s="115"/>
      <c r="J676" s="115"/>
      <c r="K676" s="435"/>
      <c r="L676" s="435"/>
      <c r="M676" s="435"/>
      <c r="N676" s="435"/>
      <c r="O676" s="435"/>
      <c r="P676" s="435"/>
      <c r="Q676" s="435"/>
      <c r="R676" s="435"/>
      <c r="S676" s="435"/>
      <c r="T676" s="683"/>
      <c r="U676" s="683"/>
    </row>
    <row r="677">
      <c r="A677" s="723"/>
      <c r="B677" s="115"/>
      <c r="C677" s="724"/>
      <c r="D677" s="115"/>
      <c r="E677" s="115"/>
      <c r="F677" s="115"/>
      <c r="G677" s="666"/>
      <c r="H677" s="115"/>
      <c r="I677" s="115"/>
      <c r="J677" s="115"/>
      <c r="K677" s="435"/>
      <c r="L677" s="435"/>
      <c r="M677" s="435"/>
      <c r="N677" s="435"/>
      <c r="O677" s="435"/>
      <c r="P677" s="435"/>
      <c r="Q677" s="435"/>
      <c r="R677" s="435"/>
      <c r="S677" s="435"/>
      <c r="T677" s="683"/>
      <c r="U677" s="683"/>
    </row>
    <row r="678">
      <c r="A678" s="723"/>
      <c r="B678" s="115"/>
      <c r="C678" s="724"/>
      <c r="D678" s="115"/>
      <c r="E678" s="115"/>
      <c r="F678" s="115"/>
      <c r="G678" s="666"/>
      <c r="H678" s="115"/>
      <c r="I678" s="115"/>
      <c r="J678" s="115"/>
      <c r="K678" s="435"/>
      <c r="L678" s="435"/>
      <c r="M678" s="435"/>
      <c r="N678" s="435"/>
      <c r="O678" s="435"/>
      <c r="P678" s="435"/>
      <c r="Q678" s="435"/>
      <c r="R678" s="435"/>
      <c r="S678" s="435"/>
      <c r="T678" s="683"/>
      <c r="U678" s="683"/>
    </row>
    <row r="679">
      <c r="A679" s="723"/>
      <c r="B679" s="115"/>
      <c r="C679" s="724"/>
      <c r="D679" s="115"/>
      <c r="E679" s="115"/>
      <c r="F679" s="115"/>
      <c r="G679" s="666"/>
      <c r="H679" s="115"/>
      <c r="I679" s="115"/>
      <c r="J679" s="115"/>
      <c r="K679" s="435"/>
      <c r="L679" s="435"/>
      <c r="M679" s="435"/>
      <c r="N679" s="435"/>
      <c r="O679" s="435"/>
      <c r="P679" s="435"/>
      <c r="Q679" s="435"/>
      <c r="R679" s="435"/>
      <c r="S679" s="435"/>
      <c r="T679" s="683"/>
      <c r="U679" s="683"/>
    </row>
    <row r="680">
      <c r="A680" s="723"/>
      <c r="B680" s="115"/>
      <c r="C680" s="724"/>
      <c r="D680" s="115"/>
      <c r="E680" s="115"/>
      <c r="F680" s="115"/>
      <c r="G680" s="666"/>
      <c r="H680" s="115"/>
      <c r="I680" s="115"/>
      <c r="J680" s="115"/>
      <c r="K680" s="435"/>
      <c r="L680" s="435"/>
      <c r="M680" s="435"/>
      <c r="N680" s="435"/>
      <c r="O680" s="435"/>
      <c r="P680" s="435"/>
      <c r="Q680" s="435"/>
      <c r="R680" s="435"/>
      <c r="S680" s="435"/>
      <c r="T680" s="683"/>
      <c r="U680" s="683"/>
    </row>
    <row r="681">
      <c r="A681" s="723"/>
      <c r="B681" s="115"/>
      <c r="C681" s="724"/>
      <c r="D681" s="115"/>
      <c r="E681" s="115"/>
      <c r="F681" s="115"/>
      <c r="G681" s="666"/>
      <c r="H681" s="115"/>
      <c r="I681" s="115"/>
      <c r="J681" s="115"/>
      <c r="K681" s="435"/>
      <c r="L681" s="435"/>
      <c r="M681" s="435"/>
      <c r="N681" s="435"/>
      <c r="O681" s="435"/>
      <c r="P681" s="435"/>
      <c r="Q681" s="435"/>
      <c r="R681" s="435"/>
      <c r="S681" s="435"/>
      <c r="T681" s="683"/>
      <c r="U681" s="683"/>
    </row>
    <row r="682">
      <c r="A682" s="723"/>
      <c r="B682" s="115"/>
      <c r="C682" s="724"/>
      <c r="D682" s="115"/>
      <c r="E682" s="115"/>
      <c r="F682" s="115"/>
      <c r="G682" s="666"/>
      <c r="H682" s="115"/>
      <c r="I682" s="115"/>
      <c r="J682" s="115"/>
      <c r="K682" s="435"/>
      <c r="L682" s="435"/>
      <c r="M682" s="435"/>
      <c r="N682" s="435"/>
      <c r="O682" s="435"/>
      <c r="P682" s="435"/>
      <c r="Q682" s="435"/>
      <c r="R682" s="435"/>
      <c r="S682" s="435"/>
      <c r="T682" s="683"/>
      <c r="U682" s="683"/>
    </row>
    <row r="683">
      <c r="A683" s="723"/>
      <c r="B683" s="115"/>
      <c r="C683" s="724"/>
      <c r="D683" s="115"/>
      <c r="E683" s="115"/>
      <c r="F683" s="115"/>
      <c r="G683" s="666"/>
      <c r="H683" s="115"/>
      <c r="I683" s="115"/>
      <c r="J683" s="115"/>
      <c r="K683" s="435"/>
      <c r="L683" s="435"/>
      <c r="M683" s="435"/>
      <c r="N683" s="435"/>
      <c r="O683" s="435"/>
      <c r="P683" s="435"/>
      <c r="Q683" s="435"/>
      <c r="R683" s="435"/>
      <c r="S683" s="435"/>
      <c r="T683" s="683"/>
      <c r="U683" s="683"/>
    </row>
    <row r="684">
      <c r="A684" s="723"/>
      <c r="B684" s="115"/>
      <c r="C684" s="724"/>
      <c r="D684" s="115"/>
      <c r="E684" s="115"/>
      <c r="F684" s="115"/>
      <c r="G684" s="666"/>
      <c r="H684" s="115"/>
      <c r="I684" s="115"/>
      <c r="J684" s="115"/>
      <c r="K684" s="435"/>
      <c r="L684" s="435"/>
      <c r="M684" s="435"/>
      <c r="N684" s="435"/>
      <c r="O684" s="435"/>
      <c r="P684" s="435"/>
      <c r="Q684" s="435"/>
      <c r="R684" s="435"/>
      <c r="S684" s="435"/>
      <c r="T684" s="683"/>
      <c r="U684" s="683"/>
    </row>
    <row r="685">
      <c r="A685" s="723"/>
      <c r="B685" s="115"/>
      <c r="C685" s="724"/>
      <c r="D685" s="115"/>
      <c r="E685" s="115"/>
      <c r="F685" s="115"/>
      <c r="G685" s="666"/>
      <c r="H685" s="115"/>
      <c r="I685" s="115"/>
      <c r="J685" s="115"/>
      <c r="K685" s="435"/>
      <c r="L685" s="435"/>
      <c r="M685" s="435"/>
      <c r="N685" s="435"/>
      <c r="O685" s="435"/>
      <c r="P685" s="435"/>
      <c r="Q685" s="435"/>
      <c r="R685" s="435"/>
      <c r="S685" s="435"/>
      <c r="T685" s="683"/>
      <c r="U685" s="683"/>
    </row>
    <row r="686">
      <c r="A686" s="723"/>
      <c r="B686" s="115"/>
      <c r="C686" s="724"/>
      <c r="D686" s="115"/>
      <c r="E686" s="115"/>
      <c r="F686" s="115"/>
      <c r="G686" s="666"/>
      <c r="H686" s="115"/>
      <c r="I686" s="115"/>
      <c r="J686" s="115"/>
      <c r="K686" s="435"/>
      <c r="L686" s="435"/>
      <c r="M686" s="435"/>
      <c r="N686" s="435"/>
      <c r="O686" s="435"/>
      <c r="P686" s="435"/>
      <c r="Q686" s="435"/>
      <c r="R686" s="435"/>
      <c r="S686" s="435"/>
      <c r="T686" s="683"/>
      <c r="U686" s="683"/>
    </row>
    <row r="687">
      <c r="A687" s="723"/>
      <c r="B687" s="115"/>
      <c r="C687" s="724"/>
      <c r="D687" s="115"/>
      <c r="E687" s="115"/>
      <c r="F687" s="115"/>
      <c r="G687" s="666"/>
      <c r="H687" s="115"/>
      <c r="I687" s="115"/>
      <c r="J687" s="115"/>
      <c r="K687" s="435"/>
      <c r="L687" s="435"/>
      <c r="M687" s="435"/>
      <c r="N687" s="435"/>
      <c r="O687" s="435"/>
      <c r="P687" s="435"/>
      <c r="Q687" s="435"/>
      <c r="R687" s="435"/>
      <c r="S687" s="435"/>
      <c r="T687" s="683"/>
      <c r="U687" s="683"/>
    </row>
    <row r="688">
      <c r="A688" s="723"/>
      <c r="B688" s="115"/>
      <c r="C688" s="724"/>
      <c r="D688" s="115"/>
      <c r="E688" s="115"/>
      <c r="F688" s="115"/>
      <c r="G688" s="666"/>
      <c r="H688" s="115"/>
      <c r="I688" s="115"/>
      <c r="J688" s="115"/>
      <c r="K688" s="435"/>
      <c r="L688" s="435"/>
      <c r="M688" s="435"/>
      <c r="N688" s="435"/>
      <c r="O688" s="435"/>
      <c r="P688" s="435"/>
      <c r="Q688" s="435"/>
      <c r="R688" s="435"/>
      <c r="S688" s="435"/>
      <c r="T688" s="683"/>
      <c r="U688" s="683"/>
    </row>
    <row r="689">
      <c r="A689" s="723"/>
      <c r="B689" s="115"/>
      <c r="C689" s="724"/>
      <c r="D689" s="115"/>
      <c r="E689" s="115"/>
      <c r="F689" s="115"/>
      <c r="G689" s="666"/>
      <c r="H689" s="115"/>
      <c r="I689" s="115"/>
      <c r="J689" s="115"/>
      <c r="K689" s="435"/>
      <c r="L689" s="435"/>
      <c r="M689" s="435"/>
      <c r="N689" s="435"/>
      <c r="O689" s="435"/>
      <c r="P689" s="435"/>
      <c r="Q689" s="435"/>
      <c r="R689" s="435"/>
      <c r="S689" s="435"/>
      <c r="T689" s="683"/>
      <c r="U689" s="683"/>
    </row>
    <row r="690">
      <c r="A690" s="723"/>
      <c r="B690" s="115"/>
      <c r="C690" s="724"/>
      <c r="D690" s="115"/>
      <c r="E690" s="115"/>
      <c r="F690" s="115"/>
      <c r="G690" s="666"/>
      <c r="H690" s="115"/>
      <c r="I690" s="115"/>
      <c r="J690" s="115"/>
      <c r="K690" s="435"/>
      <c r="L690" s="435"/>
      <c r="M690" s="435"/>
      <c r="N690" s="435"/>
      <c r="O690" s="435"/>
      <c r="P690" s="435"/>
      <c r="Q690" s="435"/>
      <c r="R690" s="435"/>
      <c r="S690" s="435"/>
      <c r="T690" s="683"/>
      <c r="U690" s="683"/>
    </row>
    <row r="691">
      <c r="A691" s="723"/>
      <c r="B691" s="115"/>
      <c r="C691" s="724"/>
      <c r="D691" s="115"/>
      <c r="E691" s="115"/>
      <c r="F691" s="115"/>
      <c r="G691" s="666"/>
      <c r="H691" s="115"/>
      <c r="I691" s="115"/>
      <c r="J691" s="115"/>
      <c r="K691" s="435"/>
      <c r="L691" s="435"/>
      <c r="M691" s="435"/>
      <c r="N691" s="435"/>
      <c r="O691" s="435"/>
      <c r="P691" s="435"/>
      <c r="Q691" s="435"/>
      <c r="R691" s="435"/>
      <c r="S691" s="435"/>
      <c r="T691" s="683"/>
      <c r="U691" s="683"/>
    </row>
    <row r="692">
      <c r="A692" s="723"/>
      <c r="B692" s="115"/>
      <c r="C692" s="724"/>
      <c r="D692" s="115"/>
      <c r="E692" s="115"/>
      <c r="F692" s="115"/>
      <c r="G692" s="666"/>
      <c r="H692" s="115"/>
      <c r="I692" s="115"/>
      <c r="J692" s="115"/>
      <c r="K692" s="435"/>
      <c r="L692" s="435"/>
      <c r="M692" s="435"/>
      <c r="N692" s="435"/>
      <c r="O692" s="435"/>
      <c r="P692" s="435"/>
      <c r="Q692" s="435"/>
      <c r="R692" s="435"/>
      <c r="S692" s="435"/>
      <c r="T692" s="683"/>
      <c r="U692" s="683"/>
    </row>
    <row r="693">
      <c r="A693" s="723"/>
      <c r="B693" s="115"/>
      <c r="C693" s="724"/>
      <c r="D693" s="115"/>
      <c r="E693" s="115"/>
      <c r="F693" s="115"/>
      <c r="G693" s="666"/>
      <c r="H693" s="115"/>
      <c r="I693" s="115"/>
      <c r="J693" s="115"/>
      <c r="K693" s="435"/>
      <c r="L693" s="435"/>
      <c r="M693" s="435"/>
      <c r="N693" s="435"/>
      <c r="O693" s="435"/>
      <c r="P693" s="435"/>
      <c r="Q693" s="435"/>
      <c r="R693" s="435"/>
      <c r="S693" s="435"/>
      <c r="T693" s="683"/>
      <c r="U693" s="683"/>
    </row>
    <row r="694">
      <c r="A694" s="723"/>
      <c r="B694" s="115"/>
      <c r="C694" s="724"/>
      <c r="D694" s="115"/>
      <c r="E694" s="115"/>
      <c r="F694" s="115"/>
      <c r="G694" s="666"/>
      <c r="H694" s="115"/>
      <c r="I694" s="115"/>
      <c r="J694" s="115"/>
      <c r="K694" s="435"/>
      <c r="L694" s="435"/>
      <c r="M694" s="435"/>
      <c r="N694" s="435"/>
      <c r="O694" s="435"/>
      <c r="P694" s="435"/>
      <c r="Q694" s="435"/>
      <c r="R694" s="435"/>
      <c r="S694" s="435"/>
      <c r="T694" s="683"/>
      <c r="U694" s="683"/>
    </row>
    <row r="695">
      <c r="A695" s="723"/>
      <c r="B695" s="115"/>
      <c r="C695" s="724"/>
      <c r="D695" s="115"/>
      <c r="E695" s="115"/>
      <c r="F695" s="115"/>
      <c r="G695" s="666"/>
      <c r="H695" s="115"/>
      <c r="I695" s="115"/>
      <c r="J695" s="115"/>
      <c r="K695" s="435"/>
      <c r="L695" s="435"/>
      <c r="M695" s="435"/>
      <c r="N695" s="435"/>
      <c r="O695" s="435"/>
      <c r="P695" s="435"/>
      <c r="Q695" s="435"/>
      <c r="R695" s="435"/>
      <c r="S695" s="435"/>
      <c r="T695" s="683"/>
      <c r="U695" s="683"/>
    </row>
    <row r="696">
      <c r="A696" s="723"/>
      <c r="B696" s="115"/>
      <c r="C696" s="724"/>
      <c r="D696" s="115"/>
      <c r="E696" s="115"/>
      <c r="F696" s="115"/>
      <c r="G696" s="666"/>
      <c r="H696" s="115"/>
      <c r="I696" s="115"/>
      <c r="J696" s="115"/>
      <c r="K696" s="435"/>
      <c r="L696" s="435"/>
      <c r="M696" s="435"/>
      <c r="N696" s="435"/>
      <c r="O696" s="435"/>
      <c r="P696" s="435"/>
      <c r="Q696" s="435"/>
      <c r="R696" s="435"/>
      <c r="S696" s="435"/>
      <c r="T696" s="683"/>
      <c r="U696" s="683"/>
    </row>
    <row r="697">
      <c r="A697" s="723"/>
      <c r="B697" s="115"/>
      <c r="C697" s="724"/>
      <c r="D697" s="115"/>
      <c r="E697" s="115"/>
      <c r="F697" s="115"/>
      <c r="G697" s="666"/>
      <c r="H697" s="115"/>
      <c r="I697" s="115"/>
      <c r="J697" s="115"/>
      <c r="K697" s="435"/>
      <c r="L697" s="435"/>
      <c r="M697" s="435"/>
      <c r="N697" s="435"/>
      <c r="O697" s="435"/>
      <c r="P697" s="435"/>
      <c r="Q697" s="435"/>
      <c r="R697" s="435"/>
      <c r="S697" s="435"/>
      <c r="T697" s="683"/>
      <c r="U697" s="683"/>
    </row>
    <row r="698">
      <c r="A698" s="723"/>
      <c r="B698" s="115"/>
      <c r="C698" s="724"/>
      <c r="D698" s="115"/>
      <c r="E698" s="115"/>
      <c r="F698" s="115"/>
      <c r="G698" s="666"/>
      <c r="H698" s="115"/>
      <c r="I698" s="115"/>
      <c r="J698" s="115"/>
      <c r="K698" s="435"/>
      <c r="L698" s="435"/>
      <c r="M698" s="435"/>
      <c r="N698" s="435"/>
      <c r="O698" s="435"/>
      <c r="P698" s="435"/>
      <c r="Q698" s="435"/>
      <c r="R698" s="435"/>
      <c r="S698" s="435"/>
      <c r="T698" s="683"/>
      <c r="U698" s="683"/>
    </row>
    <row r="699">
      <c r="A699" s="723"/>
      <c r="B699" s="115"/>
      <c r="C699" s="724"/>
      <c r="D699" s="115"/>
      <c r="E699" s="115"/>
      <c r="F699" s="115"/>
      <c r="G699" s="666"/>
      <c r="H699" s="115"/>
      <c r="I699" s="115"/>
      <c r="J699" s="115"/>
      <c r="K699" s="435"/>
      <c r="L699" s="435"/>
      <c r="M699" s="435"/>
      <c r="N699" s="435"/>
      <c r="O699" s="435"/>
      <c r="P699" s="435"/>
      <c r="Q699" s="435"/>
      <c r="R699" s="435"/>
      <c r="S699" s="435"/>
      <c r="T699" s="683"/>
      <c r="U699" s="683"/>
    </row>
    <row r="700">
      <c r="A700" s="723"/>
      <c r="B700" s="115"/>
      <c r="C700" s="724"/>
      <c r="D700" s="115"/>
      <c r="E700" s="115"/>
      <c r="F700" s="115"/>
      <c r="G700" s="666"/>
      <c r="H700" s="115"/>
      <c r="I700" s="115"/>
      <c r="J700" s="115"/>
      <c r="K700" s="435"/>
      <c r="L700" s="435"/>
      <c r="M700" s="435"/>
      <c r="N700" s="435"/>
      <c r="O700" s="435"/>
      <c r="P700" s="435"/>
      <c r="Q700" s="435"/>
      <c r="R700" s="435"/>
      <c r="S700" s="435"/>
      <c r="T700" s="683"/>
      <c r="U700" s="683"/>
    </row>
    <row r="701">
      <c r="A701" s="723"/>
      <c r="B701" s="115"/>
      <c r="C701" s="724"/>
      <c r="D701" s="115"/>
      <c r="E701" s="115"/>
      <c r="F701" s="115"/>
      <c r="G701" s="666"/>
      <c r="H701" s="115"/>
      <c r="I701" s="115"/>
      <c r="J701" s="115"/>
      <c r="K701" s="435"/>
      <c r="L701" s="435"/>
      <c r="M701" s="435"/>
      <c r="N701" s="435"/>
      <c r="O701" s="435"/>
      <c r="P701" s="435"/>
      <c r="Q701" s="435"/>
      <c r="R701" s="435"/>
      <c r="S701" s="435"/>
      <c r="T701" s="683"/>
      <c r="U701" s="683"/>
    </row>
    <row r="702">
      <c r="A702" s="723"/>
      <c r="B702" s="115"/>
      <c r="C702" s="724"/>
      <c r="D702" s="115"/>
      <c r="E702" s="115"/>
      <c r="F702" s="115"/>
      <c r="G702" s="666"/>
      <c r="H702" s="115"/>
      <c r="I702" s="115"/>
      <c r="J702" s="115"/>
      <c r="K702" s="435"/>
      <c r="L702" s="435"/>
      <c r="M702" s="435"/>
      <c r="N702" s="435"/>
      <c r="O702" s="435"/>
      <c r="P702" s="435"/>
      <c r="Q702" s="435"/>
      <c r="R702" s="435"/>
      <c r="S702" s="435"/>
      <c r="T702" s="683"/>
      <c r="U702" s="683"/>
    </row>
    <row r="703">
      <c r="A703" s="723"/>
      <c r="B703" s="115"/>
      <c r="C703" s="724"/>
      <c r="D703" s="115"/>
      <c r="E703" s="115"/>
      <c r="F703" s="115"/>
      <c r="G703" s="666"/>
      <c r="H703" s="115"/>
      <c r="I703" s="115"/>
      <c r="J703" s="115"/>
      <c r="K703" s="435"/>
      <c r="L703" s="435"/>
      <c r="M703" s="435"/>
      <c r="N703" s="435"/>
      <c r="O703" s="435"/>
      <c r="P703" s="435"/>
      <c r="Q703" s="435"/>
      <c r="R703" s="435"/>
      <c r="S703" s="435"/>
      <c r="T703" s="683"/>
      <c r="U703" s="683"/>
    </row>
    <row r="704">
      <c r="A704" s="723"/>
      <c r="B704" s="115"/>
      <c r="C704" s="724"/>
      <c r="D704" s="115"/>
      <c r="E704" s="115"/>
      <c r="F704" s="115"/>
      <c r="G704" s="666"/>
      <c r="H704" s="115"/>
      <c r="I704" s="115"/>
      <c r="J704" s="115"/>
      <c r="K704" s="435"/>
      <c r="L704" s="435"/>
      <c r="M704" s="435"/>
      <c r="N704" s="435"/>
      <c r="O704" s="435"/>
      <c r="P704" s="435"/>
      <c r="Q704" s="435"/>
      <c r="R704" s="435"/>
      <c r="S704" s="435"/>
      <c r="T704" s="683"/>
      <c r="U704" s="683"/>
    </row>
    <row r="705">
      <c r="A705" s="723"/>
      <c r="B705" s="115"/>
      <c r="C705" s="724"/>
      <c r="D705" s="115"/>
      <c r="E705" s="115"/>
      <c r="F705" s="115"/>
      <c r="G705" s="666"/>
      <c r="H705" s="115"/>
      <c r="I705" s="115"/>
      <c r="J705" s="115"/>
      <c r="K705" s="435"/>
      <c r="L705" s="435"/>
      <c r="M705" s="435"/>
      <c r="N705" s="435"/>
      <c r="O705" s="435"/>
      <c r="P705" s="435"/>
      <c r="Q705" s="435"/>
      <c r="R705" s="435"/>
      <c r="S705" s="435"/>
      <c r="T705" s="683"/>
      <c r="U705" s="683"/>
    </row>
    <row r="706">
      <c r="A706" s="723"/>
      <c r="B706" s="115"/>
      <c r="C706" s="724"/>
      <c r="D706" s="115"/>
      <c r="E706" s="115"/>
      <c r="F706" s="115"/>
      <c r="G706" s="666"/>
      <c r="H706" s="115"/>
      <c r="I706" s="115"/>
      <c r="J706" s="115"/>
      <c r="K706" s="435"/>
      <c r="L706" s="435"/>
      <c r="M706" s="435"/>
      <c r="N706" s="435"/>
      <c r="O706" s="435"/>
      <c r="P706" s="435"/>
      <c r="Q706" s="435"/>
      <c r="R706" s="435"/>
      <c r="S706" s="435"/>
      <c r="T706" s="683"/>
      <c r="U706" s="683"/>
    </row>
    <row r="707">
      <c r="A707" s="723"/>
      <c r="B707" s="115"/>
      <c r="C707" s="724"/>
      <c r="D707" s="115"/>
      <c r="E707" s="115"/>
      <c r="F707" s="115"/>
      <c r="G707" s="666"/>
      <c r="H707" s="115"/>
      <c r="I707" s="115"/>
      <c r="J707" s="115"/>
      <c r="K707" s="435"/>
      <c r="L707" s="435"/>
      <c r="M707" s="435"/>
      <c r="N707" s="435"/>
      <c r="O707" s="435"/>
      <c r="P707" s="435"/>
      <c r="Q707" s="435"/>
      <c r="R707" s="435"/>
      <c r="S707" s="435"/>
      <c r="T707" s="683"/>
      <c r="U707" s="683"/>
    </row>
    <row r="708">
      <c r="A708" s="723"/>
      <c r="B708" s="115"/>
      <c r="C708" s="724"/>
      <c r="D708" s="115"/>
      <c r="E708" s="115"/>
      <c r="F708" s="115"/>
      <c r="G708" s="666"/>
      <c r="H708" s="115"/>
      <c r="I708" s="115"/>
      <c r="J708" s="115"/>
      <c r="K708" s="435"/>
      <c r="L708" s="435"/>
      <c r="M708" s="435"/>
      <c r="N708" s="435"/>
      <c r="O708" s="435"/>
      <c r="P708" s="435"/>
      <c r="Q708" s="435"/>
      <c r="R708" s="435"/>
      <c r="S708" s="435"/>
      <c r="T708" s="683"/>
      <c r="U708" s="683"/>
    </row>
    <row r="709">
      <c r="A709" s="723"/>
      <c r="B709" s="115"/>
      <c r="C709" s="724"/>
      <c r="D709" s="115"/>
      <c r="E709" s="115"/>
      <c r="F709" s="115"/>
      <c r="G709" s="666"/>
      <c r="H709" s="115"/>
      <c r="I709" s="115"/>
      <c r="J709" s="115"/>
      <c r="K709" s="435"/>
      <c r="L709" s="435"/>
      <c r="M709" s="435"/>
      <c r="N709" s="435"/>
      <c r="O709" s="435"/>
      <c r="P709" s="435"/>
      <c r="Q709" s="435"/>
      <c r="R709" s="435"/>
      <c r="S709" s="435"/>
      <c r="T709" s="683"/>
      <c r="U709" s="683"/>
    </row>
    <row r="710">
      <c r="A710" s="723"/>
      <c r="B710" s="115"/>
      <c r="C710" s="724"/>
      <c r="D710" s="115"/>
      <c r="E710" s="115"/>
      <c r="F710" s="115"/>
      <c r="G710" s="666"/>
      <c r="H710" s="115"/>
      <c r="I710" s="115"/>
      <c r="J710" s="115"/>
      <c r="K710" s="435"/>
      <c r="L710" s="435"/>
      <c r="M710" s="435"/>
      <c r="N710" s="435"/>
      <c r="O710" s="435"/>
      <c r="P710" s="435"/>
      <c r="Q710" s="435"/>
      <c r="R710" s="435"/>
      <c r="S710" s="435"/>
      <c r="T710" s="683"/>
      <c r="U710" s="683"/>
    </row>
    <row r="711">
      <c r="A711" s="723"/>
      <c r="B711" s="115"/>
      <c r="C711" s="724"/>
      <c r="D711" s="115"/>
      <c r="E711" s="115"/>
      <c r="F711" s="115"/>
      <c r="G711" s="666"/>
      <c r="H711" s="115"/>
      <c r="I711" s="115"/>
      <c r="J711" s="115"/>
      <c r="K711" s="435"/>
      <c r="L711" s="435"/>
      <c r="M711" s="435"/>
      <c r="N711" s="435"/>
      <c r="O711" s="435"/>
      <c r="P711" s="435"/>
      <c r="Q711" s="435"/>
      <c r="R711" s="435"/>
      <c r="S711" s="435"/>
      <c r="T711" s="683"/>
      <c r="U711" s="683"/>
    </row>
    <row r="712">
      <c r="A712" s="723"/>
      <c r="B712" s="115"/>
      <c r="C712" s="724"/>
      <c r="D712" s="115"/>
      <c r="E712" s="115"/>
      <c r="F712" s="115"/>
      <c r="G712" s="666"/>
      <c r="H712" s="115"/>
      <c r="I712" s="115"/>
      <c r="J712" s="115"/>
      <c r="K712" s="435"/>
      <c r="L712" s="435"/>
      <c r="M712" s="435"/>
      <c r="N712" s="435"/>
      <c r="O712" s="435"/>
      <c r="P712" s="435"/>
      <c r="Q712" s="435"/>
      <c r="R712" s="435"/>
      <c r="S712" s="435"/>
      <c r="T712" s="683"/>
      <c r="U712" s="683"/>
    </row>
    <row r="713">
      <c r="A713" s="723"/>
      <c r="B713" s="115"/>
      <c r="C713" s="724"/>
      <c r="D713" s="115"/>
      <c r="E713" s="115"/>
      <c r="F713" s="115"/>
      <c r="G713" s="666"/>
      <c r="H713" s="115"/>
      <c r="I713" s="115"/>
      <c r="J713" s="115"/>
      <c r="K713" s="435"/>
      <c r="L713" s="435"/>
      <c r="M713" s="435"/>
      <c r="N713" s="435"/>
      <c r="O713" s="435"/>
      <c r="P713" s="435"/>
      <c r="Q713" s="435"/>
      <c r="R713" s="435"/>
      <c r="S713" s="435"/>
      <c r="T713" s="683"/>
      <c r="U713" s="683"/>
    </row>
    <row r="714">
      <c r="A714" s="723"/>
      <c r="B714" s="115"/>
      <c r="C714" s="724"/>
      <c r="D714" s="115"/>
      <c r="E714" s="115"/>
      <c r="F714" s="115"/>
      <c r="G714" s="666"/>
      <c r="H714" s="115"/>
      <c r="I714" s="115"/>
      <c r="J714" s="115"/>
      <c r="K714" s="435"/>
      <c r="L714" s="435"/>
      <c r="M714" s="435"/>
      <c r="N714" s="435"/>
      <c r="O714" s="435"/>
      <c r="P714" s="435"/>
      <c r="Q714" s="435"/>
      <c r="R714" s="435"/>
      <c r="S714" s="435"/>
      <c r="T714" s="683"/>
      <c r="U714" s="683"/>
    </row>
    <row r="715">
      <c r="A715" s="723"/>
      <c r="B715" s="115"/>
      <c r="C715" s="724"/>
      <c r="D715" s="115"/>
      <c r="E715" s="115"/>
      <c r="F715" s="115"/>
      <c r="G715" s="666"/>
      <c r="H715" s="115"/>
      <c r="I715" s="115"/>
      <c r="J715" s="115"/>
      <c r="K715" s="435"/>
      <c r="L715" s="435"/>
      <c r="M715" s="435"/>
      <c r="N715" s="435"/>
      <c r="O715" s="435"/>
      <c r="P715" s="435"/>
      <c r="Q715" s="435"/>
      <c r="R715" s="435"/>
      <c r="S715" s="435"/>
      <c r="T715" s="683"/>
      <c r="U715" s="683"/>
    </row>
    <row r="716">
      <c r="A716" s="723"/>
      <c r="B716" s="115"/>
      <c r="C716" s="724"/>
      <c r="D716" s="115"/>
      <c r="E716" s="115"/>
      <c r="F716" s="115"/>
      <c r="G716" s="666"/>
      <c r="H716" s="115"/>
      <c r="I716" s="115"/>
      <c r="J716" s="115"/>
      <c r="K716" s="435"/>
      <c r="L716" s="435"/>
      <c r="M716" s="435"/>
      <c r="N716" s="435"/>
      <c r="O716" s="435"/>
      <c r="P716" s="435"/>
      <c r="Q716" s="435"/>
      <c r="R716" s="435"/>
      <c r="S716" s="435"/>
      <c r="T716" s="683"/>
      <c r="U716" s="683"/>
    </row>
    <row r="717">
      <c r="A717" s="723"/>
      <c r="B717" s="115"/>
      <c r="C717" s="724"/>
      <c r="D717" s="115"/>
      <c r="E717" s="115"/>
      <c r="F717" s="115"/>
      <c r="G717" s="666"/>
      <c r="H717" s="115"/>
      <c r="I717" s="115"/>
      <c r="J717" s="115"/>
      <c r="K717" s="435"/>
      <c r="L717" s="435"/>
      <c r="M717" s="435"/>
      <c r="N717" s="435"/>
      <c r="O717" s="435"/>
      <c r="P717" s="435"/>
      <c r="Q717" s="435"/>
      <c r="R717" s="435"/>
      <c r="S717" s="435"/>
      <c r="T717" s="683"/>
      <c r="U717" s="683"/>
    </row>
    <row r="718">
      <c r="A718" s="723"/>
      <c r="B718" s="115"/>
      <c r="C718" s="724"/>
      <c r="D718" s="115"/>
      <c r="E718" s="115"/>
      <c r="F718" s="115"/>
      <c r="G718" s="666"/>
      <c r="H718" s="115"/>
      <c r="I718" s="115"/>
      <c r="J718" s="115"/>
      <c r="K718" s="435"/>
      <c r="L718" s="435"/>
      <c r="M718" s="435"/>
      <c r="N718" s="435"/>
      <c r="O718" s="435"/>
      <c r="P718" s="435"/>
      <c r="Q718" s="435"/>
      <c r="R718" s="435"/>
      <c r="S718" s="435"/>
      <c r="T718" s="683"/>
      <c r="U718" s="683"/>
    </row>
    <row r="719">
      <c r="A719" s="723"/>
      <c r="B719" s="115"/>
      <c r="C719" s="724"/>
      <c r="D719" s="115"/>
      <c r="E719" s="115"/>
      <c r="F719" s="115"/>
      <c r="G719" s="666"/>
      <c r="H719" s="115"/>
      <c r="I719" s="115"/>
      <c r="J719" s="115"/>
      <c r="K719" s="435"/>
      <c r="L719" s="435"/>
      <c r="M719" s="435"/>
      <c r="N719" s="435"/>
      <c r="O719" s="435"/>
      <c r="P719" s="435"/>
      <c r="Q719" s="435"/>
      <c r="R719" s="435"/>
      <c r="S719" s="435"/>
      <c r="T719" s="683"/>
      <c r="U719" s="683"/>
    </row>
    <row r="720">
      <c r="A720" s="723"/>
      <c r="B720" s="115"/>
      <c r="C720" s="724"/>
      <c r="D720" s="115"/>
      <c r="E720" s="115"/>
      <c r="F720" s="115"/>
      <c r="G720" s="666"/>
      <c r="H720" s="115"/>
      <c r="I720" s="115"/>
      <c r="J720" s="115"/>
      <c r="K720" s="435"/>
      <c r="L720" s="435"/>
      <c r="M720" s="435"/>
      <c r="N720" s="435"/>
      <c r="O720" s="435"/>
      <c r="P720" s="435"/>
      <c r="Q720" s="435"/>
      <c r="R720" s="435"/>
      <c r="S720" s="435"/>
      <c r="T720" s="683"/>
      <c r="U720" s="683"/>
    </row>
    <row r="721">
      <c r="A721" s="723"/>
      <c r="B721" s="115"/>
      <c r="C721" s="724"/>
      <c r="D721" s="115"/>
      <c r="E721" s="115"/>
      <c r="F721" s="115"/>
      <c r="G721" s="666"/>
      <c r="H721" s="115"/>
      <c r="I721" s="115"/>
      <c r="J721" s="115"/>
      <c r="K721" s="435"/>
      <c r="L721" s="435"/>
      <c r="M721" s="435"/>
      <c r="N721" s="435"/>
      <c r="O721" s="435"/>
      <c r="P721" s="435"/>
      <c r="Q721" s="435"/>
      <c r="R721" s="435"/>
      <c r="S721" s="435"/>
      <c r="T721" s="683"/>
      <c r="U721" s="683"/>
    </row>
    <row r="722">
      <c r="A722" s="723"/>
      <c r="B722" s="115"/>
      <c r="C722" s="724"/>
      <c r="D722" s="115"/>
      <c r="E722" s="115"/>
      <c r="F722" s="115"/>
      <c r="G722" s="666"/>
      <c r="H722" s="115"/>
      <c r="I722" s="115"/>
      <c r="J722" s="115"/>
      <c r="K722" s="435"/>
      <c r="L722" s="435"/>
      <c r="M722" s="435"/>
      <c r="N722" s="435"/>
      <c r="O722" s="435"/>
      <c r="P722" s="435"/>
      <c r="Q722" s="435"/>
      <c r="R722" s="435"/>
      <c r="S722" s="435"/>
      <c r="T722" s="683"/>
      <c r="U722" s="683"/>
    </row>
    <row r="723">
      <c r="A723" s="723"/>
      <c r="B723" s="115"/>
      <c r="C723" s="724"/>
      <c r="D723" s="115"/>
      <c r="E723" s="115"/>
      <c r="F723" s="115"/>
      <c r="G723" s="666"/>
      <c r="H723" s="115"/>
      <c r="I723" s="115"/>
      <c r="J723" s="115"/>
      <c r="K723" s="435"/>
      <c r="L723" s="435"/>
      <c r="M723" s="435"/>
      <c r="N723" s="435"/>
      <c r="O723" s="435"/>
      <c r="P723" s="435"/>
      <c r="Q723" s="435"/>
      <c r="R723" s="435"/>
      <c r="S723" s="435"/>
      <c r="T723" s="683"/>
      <c r="U723" s="683"/>
    </row>
    <row r="724">
      <c r="A724" s="723"/>
      <c r="B724" s="115"/>
      <c r="C724" s="724"/>
      <c r="D724" s="115"/>
      <c r="E724" s="115"/>
      <c r="F724" s="115"/>
      <c r="G724" s="666"/>
      <c r="H724" s="115"/>
      <c r="I724" s="115"/>
      <c r="J724" s="115"/>
      <c r="K724" s="435"/>
      <c r="L724" s="435"/>
      <c r="M724" s="435"/>
      <c r="N724" s="435"/>
      <c r="O724" s="435"/>
      <c r="P724" s="435"/>
      <c r="Q724" s="435"/>
      <c r="R724" s="435"/>
      <c r="S724" s="435"/>
      <c r="T724" s="683"/>
      <c r="U724" s="683"/>
    </row>
    <row r="725">
      <c r="A725" s="723"/>
      <c r="B725" s="115"/>
      <c r="C725" s="724"/>
      <c r="D725" s="115"/>
      <c r="E725" s="115"/>
      <c r="F725" s="115"/>
      <c r="G725" s="666"/>
      <c r="H725" s="115"/>
      <c r="I725" s="115"/>
      <c r="J725" s="115"/>
      <c r="K725" s="435"/>
      <c r="L725" s="435"/>
      <c r="M725" s="435"/>
      <c r="N725" s="435"/>
      <c r="O725" s="435"/>
      <c r="P725" s="435"/>
      <c r="Q725" s="435"/>
      <c r="R725" s="435"/>
      <c r="S725" s="435"/>
      <c r="T725" s="683"/>
      <c r="U725" s="683"/>
    </row>
    <row r="726">
      <c r="A726" s="723"/>
      <c r="B726" s="115"/>
      <c r="C726" s="724"/>
      <c r="D726" s="115"/>
      <c r="E726" s="115"/>
      <c r="F726" s="115"/>
      <c r="G726" s="666"/>
      <c r="H726" s="115"/>
      <c r="I726" s="115"/>
      <c r="J726" s="115"/>
      <c r="K726" s="435"/>
      <c r="L726" s="435"/>
      <c r="M726" s="435"/>
      <c r="N726" s="435"/>
      <c r="O726" s="435"/>
      <c r="P726" s="435"/>
      <c r="Q726" s="435"/>
      <c r="R726" s="435"/>
      <c r="S726" s="435"/>
      <c r="T726" s="683"/>
      <c r="U726" s="683"/>
    </row>
    <row r="727">
      <c r="A727" s="723"/>
      <c r="B727" s="115"/>
      <c r="C727" s="724"/>
      <c r="D727" s="115"/>
      <c r="E727" s="115"/>
      <c r="F727" s="115"/>
      <c r="G727" s="666"/>
      <c r="H727" s="115"/>
      <c r="I727" s="115"/>
      <c r="J727" s="115"/>
      <c r="K727" s="435"/>
      <c r="L727" s="435"/>
      <c r="M727" s="435"/>
      <c r="N727" s="435"/>
      <c r="O727" s="435"/>
      <c r="P727" s="435"/>
      <c r="Q727" s="435"/>
      <c r="R727" s="435"/>
      <c r="S727" s="435"/>
      <c r="T727" s="683"/>
      <c r="U727" s="683"/>
    </row>
    <row r="728">
      <c r="A728" s="723"/>
      <c r="B728" s="115"/>
      <c r="C728" s="724"/>
      <c r="D728" s="115"/>
      <c r="E728" s="115"/>
      <c r="F728" s="115"/>
      <c r="G728" s="666"/>
      <c r="H728" s="115"/>
      <c r="I728" s="115"/>
      <c r="J728" s="115"/>
      <c r="K728" s="435"/>
      <c r="L728" s="435"/>
      <c r="M728" s="435"/>
      <c r="N728" s="435"/>
      <c r="O728" s="435"/>
      <c r="P728" s="435"/>
      <c r="Q728" s="435"/>
      <c r="R728" s="435"/>
      <c r="S728" s="435"/>
      <c r="T728" s="683"/>
      <c r="U728" s="683"/>
    </row>
    <row r="729">
      <c r="A729" s="723"/>
      <c r="B729" s="115"/>
      <c r="C729" s="724"/>
      <c r="D729" s="115"/>
      <c r="E729" s="115"/>
      <c r="F729" s="115"/>
      <c r="G729" s="666"/>
      <c r="H729" s="115"/>
      <c r="I729" s="115"/>
      <c r="J729" s="115"/>
      <c r="K729" s="435"/>
      <c r="L729" s="435"/>
      <c r="M729" s="435"/>
      <c r="N729" s="435"/>
      <c r="O729" s="435"/>
      <c r="P729" s="435"/>
      <c r="Q729" s="435"/>
      <c r="R729" s="435"/>
      <c r="S729" s="435"/>
      <c r="T729" s="683"/>
      <c r="U729" s="683"/>
    </row>
    <row r="730">
      <c r="A730" s="723"/>
      <c r="B730" s="115"/>
      <c r="C730" s="724"/>
      <c r="D730" s="115"/>
      <c r="E730" s="115"/>
      <c r="F730" s="115"/>
      <c r="G730" s="666"/>
      <c r="H730" s="115"/>
      <c r="I730" s="115"/>
      <c r="J730" s="115"/>
      <c r="K730" s="435"/>
      <c r="L730" s="435"/>
      <c r="M730" s="435"/>
      <c r="N730" s="435"/>
      <c r="O730" s="435"/>
      <c r="P730" s="435"/>
      <c r="Q730" s="435"/>
      <c r="R730" s="435"/>
      <c r="S730" s="435"/>
      <c r="T730" s="683"/>
      <c r="U730" s="683"/>
    </row>
    <row r="731">
      <c r="A731" s="723"/>
      <c r="B731" s="115"/>
      <c r="C731" s="724"/>
      <c r="D731" s="115"/>
      <c r="E731" s="115"/>
      <c r="F731" s="115"/>
      <c r="G731" s="666"/>
      <c r="H731" s="115"/>
      <c r="I731" s="115"/>
      <c r="J731" s="115"/>
      <c r="K731" s="435"/>
      <c r="L731" s="435"/>
      <c r="M731" s="435"/>
      <c r="N731" s="435"/>
      <c r="O731" s="435"/>
      <c r="P731" s="435"/>
      <c r="Q731" s="435"/>
      <c r="R731" s="435"/>
      <c r="S731" s="435"/>
      <c r="T731" s="683"/>
      <c r="U731" s="683"/>
    </row>
    <row r="732">
      <c r="A732" s="723"/>
      <c r="B732" s="115"/>
      <c r="C732" s="724"/>
      <c r="D732" s="115"/>
      <c r="E732" s="115"/>
      <c r="F732" s="115"/>
      <c r="G732" s="666"/>
      <c r="H732" s="115"/>
      <c r="I732" s="115"/>
      <c r="J732" s="115"/>
      <c r="K732" s="435"/>
      <c r="L732" s="435"/>
      <c r="M732" s="435"/>
      <c r="N732" s="435"/>
      <c r="O732" s="435"/>
      <c r="P732" s="435"/>
      <c r="Q732" s="435"/>
      <c r="R732" s="435"/>
      <c r="S732" s="435"/>
      <c r="T732" s="683"/>
      <c r="U732" s="683"/>
    </row>
    <row r="733">
      <c r="A733" s="723"/>
      <c r="B733" s="115"/>
      <c r="C733" s="724"/>
      <c r="D733" s="115"/>
      <c r="E733" s="115"/>
      <c r="F733" s="115"/>
      <c r="G733" s="666"/>
      <c r="H733" s="115"/>
      <c r="I733" s="115"/>
      <c r="J733" s="115"/>
      <c r="K733" s="435"/>
      <c r="L733" s="435"/>
      <c r="M733" s="435"/>
      <c r="N733" s="435"/>
      <c r="O733" s="435"/>
      <c r="P733" s="435"/>
      <c r="Q733" s="435"/>
      <c r="R733" s="435"/>
      <c r="S733" s="435"/>
      <c r="T733" s="683"/>
      <c r="U733" s="683"/>
    </row>
    <row r="734">
      <c r="A734" s="723"/>
      <c r="B734" s="115"/>
      <c r="C734" s="724"/>
      <c r="D734" s="115"/>
      <c r="E734" s="115"/>
      <c r="F734" s="115"/>
      <c r="G734" s="666"/>
      <c r="H734" s="115"/>
      <c r="I734" s="115"/>
      <c r="J734" s="115"/>
      <c r="K734" s="435"/>
      <c r="L734" s="435"/>
      <c r="M734" s="435"/>
      <c r="N734" s="435"/>
      <c r="O734" s="435"/>
      <c r="P734" s="435"/>
      <c r="Q734" s="435"/>
      <c r="R734" s="435"/>
      <c r="S734" s="435"/>
      <c r="T734" s="683"/>
      <c r="U734" s="683"/>
    </row>
    <row r="735">
      <c r="A735" s="723"/>
      <c r="B735" s="115"/>
      <c r="C735" s="724"/>
      <c r="D735" s="115"/>
      <c r="E735" s="115"/>
      <c r="F735" s="115"/>
      <c r="G735" s="666"/>
      <c r="H735" s="115"/>
      <c r="I735" s="115"/>
      <c r="J735" s="115"/>
      <c r="K735" s="435"/>
      <c r="L735" s="435"/>
      <c r="M735" s="435"/>
      <c r="N735" s="435"/>
      <c r="O735" s="435"/>
      <c r="P735" s="435"/>
      <c r="Q735" s="435"/>
      <c r="R735" s="435"/>
      <c r="S735" s="435"/>
      <c r="T735" s="683"/>
      <c r="U735" s="683"/>
    </row>
    <row r="736">
      <c r="A736" s="723"/>
      <c r="B736" s="115"/>
      <c r="C736" s="724"/>
      <c r="D736" s="115"/>
      <c r="E736" s="115"/>
      <c r="F736" s="115"/>
      <c r="G736" s="666"/>
      <c r="H736" s="115"/>
      <c r="I736" s="115"/>
      <c r="J736" s="115"/>
      <c r="K736" s="435"/>
      <c r="L736" s="435"/>
      <c r="M736" s="435"/>
      <c r="N736" s="435"/>
      <c r="O736" s="435"/>
      <c r="P736" s="435"/>
      <c r="Q736" s="435"/>
      <c r="R736" s="435"/>
      <c r="S736" s="435"/>
      <c r="T736" s="683"/>
      <c r="U736" s="683"/>
    </row>
    <row r="737">
      <c r="A737" s="723"/>
      <c r="B737" s="115"/>
      <c r="C737" s="724"/>
      <c r="D737" s="115"/>
      <c r="E737" s="115"/>
      <c r="F737" s="115"/>
      <c r="G737" s="666"/>
      <c r="H737" s="115"/>
      <c r="I737" s="115"/>
      <c r="J737" s="115"/>
      <c r="K737" s="435"/>
      <c r="L737" s="435"/>
      <c r="M737" s="435"/>
      <c r="N737" s="435"/>
      <c r="O737" s="435"/>
      <c r="P737" s="435"/>
      <c r="Q737" s="435"/>
      <c r="R737" s="435"/>
      <c r="S737" s="435"/>
      <c r="T737" s="683"/>
      <c r="U737" s="683"/>
    </row>
    <row r="738">
      <c r="A738" s="723"/>
      <c r="B738" s="115"/>
      <c r="C738" s="724"/>
      <c r="D738" s="115"/>
      <c r="E738" s="115"/>
      <c r="F738" s="115"/>
      <c r="G738" s="666"/>
      <c r="H738" s="115"/>
      <c r="I738" s="115"/>
      <c r="J738" s="115"/>
      <c r="K738" s="435"/>
      <c r="L738" s="435"/>
      <c r="M738" s="435"/>
      <c r="N738" s="435"/>
      <c r="O738" s="435"/>
      <c r="P738" s="435"/>
      <c r="Q738" s="435"/>
      <c r="R738" s="435"/>
      <c r="S738" s="435"/>
      <c r="T738" s="683"/>
      <c r="U738" s="683"/>
    </row>
    <row r="739">
      <c r="A739" s="723"/>
      <c r="B739" s="115"/>
      <c r="C739" s="724"/>
      <c r="D739" s="115"/>
      <c r="E739" s="115"/>
      <c r="F739" s="115"/>
      <c r="G739" s="666"/>
      <c r="H739" s="115"/>
      <c r="I739" s="115"/>
      <c r="J739" s="115"/>
      <c r="K739" s="435"/>
      <c r="L739" s="435"/>
      <c r="M739" s="435"/>
      <c r="N739" s="435"/>
      <c r="O739" s="435"/>
      <c r="P739" s="435"/>
      <c r="Q739" s="435"/>
      <c r="R739" s="435"/>
      <c r="S739" s="435"/>
      <c r="T739" s="683"/>
      <c r="U739" s="683"/>
    </row>
    <row r="740">
      <c r="A740" s="723"/>
      <c r="B740" s="115"/>
      <c r="C740" s="724"/>
      <c r="D740" s="115"/>
      <c r="E740" s="115"/>
      <c r="F740" s="115"/>
      <c r="G740" s="666"/>
      <c r="H740" s="115"/>
      <c r="I740" s="115"/>
      <c r="J740" s="115"/>
      <c r="K740" s="435"/>
      <c r="L740" s="435"/>
      <c r="M740" s="435"/>
      <c r="N740" s="435"/>
      <c r="O740" s="435"/>
      <c r="P740" s="435"/>
      <c r="Q740" s="435"/>
      <c r="R740" s="435"/>
      <c r="S740" s="435"/>
      <c r="T740" s="683"/>
      <c r="U740" s="683"/>
    </row>
    <row r="741">
      <c r="A741" s="723"/>
      <c r="B741" s="115"/>
      <c r="C741" s="724"/>
      <c r="D741" s="115"/>
      <c r="E741" s="115"/>
      <c r="F741" s="115"/>
      <c r="G741" s="666"/>
      <c r="H741" s="115"/>
      <c r="I741" s="115"/>
      <c r="J741" s="115"/>
      <c r="K741" s="435"/>
      <c r="L741" s="435"/>
      <c r="M741" s="435"/>
      <c r="N741" s="435"/>
      <c r="O741" s="435"/>
      <c r="P741" s="435"/>
      <c r="Q741" s="435"/>
      <c r="R741" s="435"/>
      <c r="S741" s="435"/>
      <c r="T741" s="683"/>
      <c r="U741" s="683"/>
    </row>
    <row r="742">
      <c r="A742" s="723"/>
      <c r="B742" s="115"/>
      <c r="C742" s="724"/>
      <c r="D742" s="115"/>
      <c r="E742" s="115"/>
      <c r="F742" s="115"/>
      <c r="G742" s="666"/>
      <c r="H742" s="115"/>
      <c r="I742" s="115"/>
      <c r="J742" s="115"/>
      <c r="K742" s="435"/>
      <c r="L742" s="435"/>
      <c r="M742" s="435"/>
      <c r="N742" s="435"/>
      <c r="O742" s="435"/>
      <c r="P742" s="435"/>
      <c r="Q742" s="435"/>
      <c r="R742" s="435"/>
      <c r="S742" s="435"/>
      <c r="T742" s="683"/>
      <c r="U742" s="683"/>
    </row>
    <row r="743">
      <c r="A743" s="723"/>
      <c r="B743" s="115"/>
      <c r="C743" s="724"/>
      <c r="D743" s="115"/>
      <c r="E743" s="115"/>
      <c r="F743" s="115"/>
      <c r="G743" s="666"/>
      <c r="H743" s="115"/>
      <c r="I743" s="115"/>
      <c r="J743" s="115"/>
      <c r="K743" s="435"/>
      <c r="L743" s="435"/>
      <c r="M743" s="435"/>
      <c r="N743" s="435"/>
      <c r="O743" s="435"/>
      <c r="P743" s="435"/>
      <c r="Q743" s="435"/>
      <c r="R743" s="435"/>
      <c r="S743" s="435"/>
      <c r="T743" s="683"/>
      <c r="U743" s="683"/>
    </row>
    <row r="744">
      <c r="A744" s="723"/>
      <c r="B744" s="115"/>
      <c r="C744" s="724"/>
      <c r="D744" s="115"/>
      <c r="E744" s="115"/>
      <c r="F744" s="115"/>
      <c r="G744" s="666"/>
      <c r="H744" s="115"/>
      <c r="I744" s="115"/>
      <c r="J744" s="115"/>
      <c r="K744" s="435"/>
      <c r="L744" s="435"/>
      <c r="M744" s="435"/>
      <c r="N744" s="435"/>
      <c r="O744" s="435"/>
      <c r="P744" s="435"/>
      <c r="Q744" s="435"/>
      <c r="R744" s="435"/>
      <c r="S744" s="435"/>
      <c r="T744" s="683"/>
      <c r="U744" s="683"/>
    </row>
    <row r="745">
      <c r="A745" s="723"/>
      <c r="B745" s="115"/>
      <c r="C745" s="724"/>
      <c r="D745" s="115"/>
      <c r="E745" s="115"/>
      <c r="F745" s="115"/>
      <c r="G745" s="666"/>
      <c r="H745" s="115"/>
      <c r="I745" s="115"/>
      <c r="J745" s="115"/>
      <c r="K745" s="435"/>
      <c r="L745" s="435"/>
      <c r="M745" s="435"/>
      <c r="N745" s="435"/>
      <c r="O745" s="435"/>
      <c r="P745" s="435"/>
      <c r="Q745" s="435"/>
      <c r="R745" s="435"/>
      <c r="S745" s="435"/>
      <c r="T745" s="683"/>
      <c r="U745" s="683"/>
    </row>
    <row r="746">
      <c r="A746" s="723"/>
      <c r="B746" s="115"/>
      <c r="C746" s="724"/>
      <c r="D746" s="115"/>
      <c r="E746" s="115"/>
      <c r="F746" s="115"/>
      <c r="G746" s="666"/>
      <c r="H746" s="115"/>
      <c r="I746" s="115"/>
      <c r="J746" s="115"/>
      <c r="K746" s="435"/>
      <c r="L746" s="435"/>
      <c r="M746" s="435"/>
      <c r="N746" s="435"/>
      <c r="O746" s="435"/>
      <c r="P746" s="435"/>
      <c r="Q746" s="435"/>
      <c r="R746" s="435"/>
      <c r="S746" s="435"/>
      <c r="T746" s="683"/>
      <c r="U746" s="683"/>
    </row>
    <row r="747">
      <c r="A747" s="723"/>
      <c r="B747" s="115"/>
      <c r="C747" s="724"/>
      <c r="D747" s="115"/>
      <c r="E747" s="115"/>
      <c r="F747" s="115"/>
      <c r="G747" s="666"/>
      <c r="H747" s="115"/>
      <c r="I747" s="115"/>
      <c r="J747" s="115"/>
      <c r="K747" s="435"/>
      <c r="L747" s="435"/>
      <c r="M747" s="435"/>
      <c r="N747" s="435"/>
      <c r="O747" s="435"/>
      <c r="P747" s="435"/>
      <c r="Q747" s="435"/>
      <c r="R747" s="435"/>
      <c r="S747" s="435"/>
      <c r="T747" s="683"/>
      <c r="U747" s="683"/>
    </row>
    <row r="748">
      <c r="A748" s="723"/>
      <c r="B748" s="115"/>
      <c r="C748" s="724"/>
      <c r="D748" s="115"/>
      <c r="E748" s="115"/>
      <c r="F748" s="115"/>
      <c r="G748" s="666"/>
      <c r="H748" s="115"/>
      <c r="I748" s="115"/>
      <c r="J748" s="115"/>
      <c r="K748" s="435"/>
      <c r="L748" s="435"/>
      <c r="M748" s="435"/>
      <c r="N748" s="435"/>
      <c r="O748" s="435"/>
      <c r="P748" s="435"/>
      <c r="Q748" s="435"/>
      <c r="R748" s="435"/>
      <c r="S748" s="435"/>
      <c r="T748" s="683"/>
      <c r="U748" s="683"/>
    </row>
    <row r="749">
      <c r="A749" s="723"/>
      <c r="B749" s="115"/>
      <c r="C749" s="724"/>
      <c r="D749" s="115"/>
      <c r="E749" s="115"/>
      <c r="F749" s="115"/>
      <c r="G749" s="666"/>
      <c r="H749" s="115"/>
      <c r="I749" s="115"/>
      <c r="J749" s="115"/>
      <c r="K749" s="435"/>
      <c r="L749" s="435"/>
      <c r="M749" s="435"/>
      <c r="N749" s="435"/>
      <c r="O749" s="435"/>
      <c r="P749" s="435"/>
      <c r="Q749" s="435"/>
      <c r="R749" s="435"/>
      <c r="S749" s="435"/>
      <c r="T749" s="683"/>
      <c r="U749" s="683"/>
    </row>
    <row r="750">
      <c r="A750" s="723"/>
      <c r="B750" s="115"/>
      <c r="C750" s="724"/>
      <c r="D750" s="115"/>
      <c r="E750" s="115"/>
      <c r="F750" s="115"/>
      <c r="G750" s="666"/>
      <c r="H750" s="115"/>
      <c r="I750" s="115"/>
      <c r="J750" s="115"/>
      <c r="K750" s="435"/>
      <c r="L750" s="435"/>
      <c r="M750" s="435"/>
      <c r="N750" s="435"/>
      <c r="O750" s="435"/>
      <c r="P750" s="435"/>
      <c r="Q750" s="435"/>
      <c r="R750" s="435"/>
      <c r="S750" s="435"/>
      <c r="T750" s="683"/>
      <c r="U750" s="683"/>
    </row>
    <row r="751">
      <c r="A751" s="723"/>
      <c r="B751" s="115"/>
      <c r="C751" s="724"/>
      <c r="D751" s="115"/>
      <c r="E751" s="115"/>
      <c r="F751" s="115"/>
      <c r="G751" s="666"/>
      <c r="H751" s="115"/>
      <c r="I751" s="115"/>
      <c r="J751" s="115"/>
      <c r="K751" s="435"/>
      <c r="L751" s="435"/>
      <c r="M751" s="435"/>
      <c r="N751" s="435"/>
      <c r="O751" s="435"/>
      <c r="P751" s="435"/>
      <c r="Q751" s="435"/>
      <c r="R751" s="435"/>
      <c r="S751" s="435"/>
      <c r="T751" s="683"/>
      <c r="U751" s="683"/>
    </row>
    <row r="752">
      <c r="A752" s="723"/>
      <c r="B752" s="115"/>
      <c r="C752" s="724"/>
      <c r="D752" s="115"/>
      <c r="E752" s="115"/>
      <c r="F752" s="115"/>
      <c r="G752" s="666"/>
      <c r="H752" s="115"/>
      <c r="I752" s="115"/>
      <c r="J752" s="115"/>
      <c r="K752" s="435"/>
      <c r="L752" s="435"/>
      <c r="M752" s="435"/>
      <c r="N752" s="435"/>
      <c r="O752" s="435"/>
      <c r="P752" s="435"/>
      <c r="Q752" s="435"/>
      <c r="R752" s="435"/>
      <c r="S752" s="435"/>
      <c r="T752" s="683"/>
      <c r="U752" s="683"/>
    </row>
    <row r="753">
      <c r="A753" s="723"/>
      <c r="B753" s="115"/>
      <c r="C753" s="724"/>
      <c r="D753" s="115"/>
      <c r="E753" s="115"/>
      <c r="F753" s="115"/>
      <c r="G753" s="666"/>
      <c r="H753" s="115"/>
      <c r="I753" s="115"/>
      <c r="J753" s="115"/>
      <c r="K753" s="435"/>
      <c r="L753" s="435"/>
      <c r="M753" s="435"/>
      <c r="N753" s="435"/>
      <c r="O753" s="435"/>
      <c r="P753" s="435"/>
      <c r="Q753" s="435"/>
      <c r="R753" s="435"/>
      <c r="S753" s="435"/>
      <c r="T753" s="683"/>
      <c r="U753" s="683"/>
    </row>
    <row r="754">
      <c r="A754" s="723"/>
      <c r="B754" s="115"/>
      <c r="C754" s="724"/>
      <c r="D754" s="115"/>
      <c r="E754" s="115"/>
      <c r="F754" s="115"/>
      <c r="G754" s="666"/>
      <c r="H754" s="115"/>
      <c r="I754" s="115"/>
      <c r="J754" s="115"/>
      <c r="K754" s="435"/>
      <c r="L754" s="435"/>
      <c r="M754" s="435"/>
      <c r="N754" s="435"/>
      <c r="O754" s="435"/>
      <c r="P754" s="435"/>
      <c r="Q754" s="435"/>
      <c r="R754" s="435"/>
      <c r="S754" s="435"/>
      <c r="T754" s="683"/>
      <c r="U754" s="683"/>
    </row>
    <row r="755">
      <c r="A755" s="723"/>
      <c r="B755" s="115"/>
      <c r="C755" s="724"/>
      <c r="D755" s="115"/>
      <c r="E755" s="115"/>
      <c r="F755" s="115"/>
      <c r="G755" s="666"/>
      <c r="H755" s="115"/>
      <c r="I755" s="115"/>
      <c r="J755" s="115"/>
      <c r="K755" s="435"/>
      <c r="L755" s="435"/>
      <c r="M755" s="435"/>
      <c r="N755" s="435"/>
      <c r="O755" s="435"/>
      <c r="P755" s="435"/>
      <c r="Q755" s="435"/>
      <c r="R755" s="435"/>
      <c r="S755" s="435"/>
      <c r="T755" s="683"/>
      <c r="U755" s="683"/>
    </row>
    <row r="756">
      <c r="A756" s="723"/>
      <c r="B756" s="115"/>
      <c r="C756" s="724"/>
      <c r="D756" s="115"/>
      <c r="E756" s="115"/>
      <c r="F756" s="115"/>
      <c r="G756" s="666"/>
      <c r="H756" s="115"/>
      <c r="I756" s="115"/>
      <c r="J756" s="115"/>
      <c r="K756" s="435"/>
      <c r="L756" s="435"/>
      <c r="M756" s="435"/>
      <c r="N756" s="435"/>
      <c r="O756" s="435"/>
      <c r="P756" s="435"/>
      <c r="Q756" s="435"/>
      <c r="R756" s="435"/>
      <c r="S756" s="435"/>
      <c r="T756" s="683"/>
      <c r="U756" s="683"/>
    </row>
    <row r="757">
      <c r="A757" s="723"/>
      <c r="B757" s="115"/>
      <c r="C757" s="724"/>
      <c r="D757" s="115"/>
      <c r="E757" s="115"/>
      <c r="F757" s="115"/>
      <c r="G757" s="666"/>
      <c r="H757" s="115"/>
      <c r="I757" s="115"/>
      <c r="J757" s="115"/>
      <c r="K757" s="435"/>
      <c r="L757" s="435"/>
      <c r="M757" s="435"/>
      <c r="N757" s="435"/>
      <c r="O757" s="435"/>
      <c r="P757" s="435"/>
      <c r="Q757" s="435"/>
      <c r="R757" s="435"/>
      <c r="S757" s="435"/>
      <c r="T757" s="683"/>
      <c r="U757" s="683"/>
    </row>
    <row r="758">
      <c r="A758" s="723"/>
      <c r="B758" s="115"/>
      <c r="C758" s="724"/>
      <c r="D758" s="115"/>
      <c r="E758" s="115"/>
      <c r="F758" s="115"/>
      <c r="G758" s="666"/>
      <c r="H758" s="115"/>
      <c r="I758" s="115"/>
      <c r="J758" s="115"/>
      <c r="K758" s="435"/>
      <c r="L758" s="435"/>
      <c r="M758" s="435"/>
      <c r="N758" s="435"/>
      <c r="O758" s="435"/>
      <c r="P758" s="435"/>
      <c r="Q758" s="435"/>
      <c r="R758" s="435"/>
      <c r="S758" s="435"/>
      <c r="T758" s="683"/>
      <c r="U758" s="683"/>
    </row>
    <row r="759">
      <c r="A759" s="723"/>
      <c r="B759" s="115"/>
      <c r="C759" s="724"/>
      <c r="D759" s="115"/>
      <c r="E759" s="115"/>
      <c r="F759" s="115"/>
      <c r="G759" s="666"/>
      <c r="H759" s="115"/>
      <c r="I759" s="115"/>
      <c r="J759" s="115"/>
      <c r="K759" s="435"/>
      <c r="L759" s="435"/>
      <c r="M759" s="435"/>
      <c r="N759" s="435"/>
      <c r="O759" s="435"/>
      <c r="P759" s="435"/>
      <c r="Q759" s="435"/>
      <c r="R759" s="435"/>
      <c r="S759" s="435"/>
      <c r="T759" s="683"/>
      <c r="U759" s="683"/>
    </row>
    <row r="760">
      <c r="A760" s="723"/>
      <c r="B760" s="115"/>
      <c r="C760" s="724"/>
      <c r="D760" s="115"/>
      <c r="E760" s="115"/>
      <c r="F760" s="115"/>
      <c r="G760" s="666"/>
      <c r="H760" s="115"/>
      <c r="I760" s="115"/>
      <c r="J760" s="115"/>
      <c r="K760" s="435"/>
      <c r="L760" s="435"/>
      <c r="M760" s="435"/>
      <c r="N760" s="435"/>
      <c r="O760" s="435"/>
      <c r="P760" s="435"/>
      <c r="Q760" s="435"/>
      <c r="R760" s="435"/>
      <c r="S760" s="435"/>
      <c r="T760" s="683"/>
      <c r="U760" s="683"/>
    </row>
    <row r="761">
      <c r="A761" s="723"/>
      <c r="B761" s="115"/>
      <c r="C761" s="724"/>
      <c r="D761" s="115"/>
      <c r="E761" s="115"/>
      <c r="F761" s="115"/>
      <c r="G761" s="666"/>
      <c r="H761" s="115"/>
      <c r="I761" s="115"/>
      <c r="J761" s="115"/>
      <c r="K761" s="435"/>
      <c r="L761" s="435"/>
      <c r="M761" s="435"/>
      <c r="N761" s="435"/>
      <c r="O761" s="435"/>
      <c r="P761" s="435"/>
      <c r="Q761" s="435"/>
      <c r="R761" s="435"/>
      <c r="S761" s="435"/>
      <c r="T761" s="683"/>
      <c r="U761" s="683"/>
    </row>
    <row r="762">
      <c r="A762" s="723"/>
      <c r="B762" s="115"/>
      <c r="C762" s="724"/>
      <c r="D762" s="115"/>
      <c r="E762" s="115"/>
      <c r="F762" s="115"/>
      <c r="G762" s="666"/>
      <c r="H762" s="115"/>
      <c r="I762" s="115"/>
      <c r="J762" s="115"/>
      <c r="K762" s="435"/>
      <c r="L762" s="435"/>
      <c r="M762" s="435"/>
      <c r="N762" s="435"/>
      <c r="O762" s="435"/>
      <c r="P762" s="435"/>
      <c r="Q762" s="435"/>
      <c r="R762" s="435"/>
      <c r="S762" s="435"/>
      <c r="T762" s="683"/>
      <c r="U762" s="683"/>
    </row>
    <row r="763">
      <c r="A763" s="723"/>
      <c r="B763" s="115"/>
      <c r="C763" s="724"/>
      <c r="D763" s="115"/>
      <c r="E763" s="115"/>
      <c r="F763" s="115"/>
      <c r="G763" s="666"/>
      <c r="H763" s="115"/>
      <c r="I763" s="115"/>
      <c r="J763" s="115"/>
      <c r="K763" s="435"/>
      <c r="L763" s="435"/>
      <c r="M763" s="435"/>
      <c r="N763" s="435"/>
      <c r="O763" s="435"/>
      <c r="P763" s="435"/>
      <c r="Q763" s="435"/>
      <c r="R763" s="435"/>
      <c r="S763" s="435"/>
      <c r="T763" s="683"/>
      <c r="U763" s="683"/>
    </row>
    <row r="764">
      <c r="A764" s="723"/>
      <c r="B764" s="115"/>
      <c r="C764" s="724"/>
      <c r="D764" s="115"/>
      <c r="E764" s="115"/>
      <c r="F764" s="115"/>
      <c r="G764" s="666"/>
      <c r="H764" s="115"/>
      <c r="I764" s="115"/>
      <c r="J764" s="115"/>
      <c r="K764" s="435"/>
      <c r="L764" s="435"/>
      <c r="M764" s="435"/>
      <c r="N764" s="435"/>
      <c r="O764" s="435"/>
      <c r="P764" s="435"/>
      <c r="Q764" s="435"/>
      <c r="R764" s="435"/>
      <c r="S764" s="435"/>
      <c r="T764" s="683"/>
      <c r="U764" s="683"/>
    </row>
    <row r="765">
      <c r="A765" s="723"/>
      <c r="B765" s="115"/>
      <c r="C765" s="724"/>
      <c r="D765" s="115"/>
      <c r="E765" s="115"/>
      <c r="F765" s="115"/>
      <c r="G765" s="666"/>
      <c r="H765" s="115"/>
      <c r="I765" s="115"/>
      <c r="J765" s="115"/>
      <c r="K765" s="435"/>
      <c r="L765" s="435"/>
      <c r="M765" s="435"/>
      <c r="N765" s="435"/>
      <c r="O765" s="435"/>
      <c r="P765" s="435"/>
      <c r="Q765" s="435"/>
      <c r="R765" s="435"/>
      <c r="S765" s="435"/>
      <c r="T765" s="683"/>
      <c r="U765" s="683"/>
    </row>
    <row r="766">
      <c r="A766" s="723"/>
      <c r="B766" s="115"/>
      <c r="C766" s="724"/>
      <c r="D766" s="115"/>
      <c r="E766" s="115"/>
      <c r="F766" s="115"/>
      <c r="G766" s="666"/>
      <c r="H766" s="115"/>
      <c r="I766" s="115"/>
      <c r="J766" s="115"/>
      <c r="K766" s="435"/>
      <c r="L766" s="435"/>
      <c r="M766" s="435"/>
      <c r="N766" s="435"/>
      <c r="O766" s="435"/>
      <c r="P766" s="435"/>
      <c r="Q766" s="435"/>
      <c r="R766" s="435"/>
      <c r="S766" s="435"/>
      <c r="T766" s="683"/>
      <c r="U766" s="683"/>
    </row>
    <row r="767">
      <c r="A767" s="723"/>
      <c r="B767" s="115"/>
      <c r="C767" s="724"/>
      <c r="D767" s="115"/>
      <c r="E767" s="115"/>
      <c r="F767" s="115"/>
      <c r="G767" s="666"/>
      <c r="H767" s="115"/>
      <c r="I767" s="115"/>
      <c r="J767" s="115"/>
      <c r="K767" s="435"/>
      <c r="L767" s="435"/>
      <c r="M767" s="435"/>
      <c r="N767" s="435"/>
      <c r="O767" s="435"/>
      <c r="P767" s="435"/>
      <c r="Q767" s="435"/>
      <c r="R767" s="435"/>
      <c r="S767" s="435"/>
      <c r="T767" s="683"/>
      <c r="U767" s="683"/>
    </row>
    <row r="768">
      <c r="A768" s="723"/>
      <c r="B768" s="115"/>
      <c r="C768" s="724"/>
      <c r="D768" s="115"/>
      <c r="E768" s="115"/>
      <c r="F768" s="115"/>
      <c r="G768" s="666"/>
      <c r="H768" s="115"/>
      <c r="I768" s="115"/>
      <c r="J768" s="115"/>
      <c r="K768" s="435"/>
      <c r="L768" s="435"/>
      <c r="M768" s="435"/>
      <c r="N768" s="435"/>
      <c r="O768" s="435"/>
      <c r="P768" s="435"/>
      <c r="Q768" s="435"/>
      <c r="R768" s="435"/>
      <c r="S768" s="435"/>
      <c r="T768" s="683"/>
      <c r="U768" s="683"/>
    </row>
    <row r="769">
      <c r="A769" s="723"/>
      <c r="B769" s="115"/>
      <c r="C769" s="724"/>
      <c r="D769" s="115"/>
      <c r="E769" s="115"/>
      <c r="F769" s="115"/>
      <c r="G769" s="666"/>
      <c r="H769" s="115"/>
      <c r="I769" s="115"/>
      <c r="J769" s="115"/>
      <c r="K769" s="435"/>
      <c r="L769" s="435"/>
      <c r="M769" s="435"/>
      <c r="N769" s="435"/>
      <c r="O769" s="435"/>
      <c r="P769" s="435"/>
      <c r="Q769" s="435"/>
      <c r="R769" s="435"/>
      <c r="S769" s="435"/>
      <c r="T769" s="683"/>
      <c r="U769" s="683"/>
    </row>
    <row r="770">
      <c r="A770" s="723"/>
      <c r="B770" s="115"/>
      <c r="C770" s="724"/>
      <c r="D770" s="115"/>
      <c r="E770" s="115"/>
      <c r="F770" s="115"/>
      <c r="G770" s="666"/>
      <c r="H770" s="115"/>
      <c r="I770" s="115"/>
      <c r="J770" s="115"/>
      <c r="K770" s="435"/>
      <c r="L770" s="435"/>
      <c r="M770" s="435"/>
      <c r="N770" s="435"/>
      <c r="O770" s="435"/>
      <c r="P770" s="435"/>
      <c r="Q770" s="435"/>
      <c r="R770" s="435"/>
      <c r="S770" s="435"/>
      <c r="T770" s="683"/>
      <c r="U770" s="683"/>
    </row>
    <row r="771">
      <c r="A771" s="723"/>
      <c r="B771" s="115"/>
      <c r="C771" s="724"/>
      <c r="D771" s="115"/>
      <c r="E771" s="115"/>
      <c r="F771" s="115"/>
      <c r="G771" s="666"/>
      <c r="H771" s="115"/>
      <c r="I771" s="115"/>
      <c r="J771" s="115"/>
      <c r="K771" s="435"/>
      <c r="L771" s="435"/>
      <c r="M771" s="435"/>
      <c r="N771" s="435"/>
      <c r="O771" s="435"/>
      <c r="P771" s="435"/>
      <c r="Q771" s="435"/>
      <c r="R771" s="435"/>
      <c r="S771" s="435"/>
      <c r="T771" s="683"/>
      <c r="U771" s="683"/>
    </row>
    <row r="772">
      <c r="A772" s="723"/>
      <c r="B772" s="115"/>
      <c r="C772" s="724"/>
      <c r="D772" s="115"/>
      <c r="E772" s="115"/>
      <c r="F772" s="115"/>
      <c r="G772" s="666"/>
      <c r="H772" s="115"/>
      <c r="I772" s="115"/>
      <c r="J772" s="115"/>
      <c r="K772" s="435"/>
      <c r="L772" s="435"/>
      <c r="M772" s="435"/>
      <c r="N772" s="435"/>
      <c r="O772" s="435"/>
      <c r="P772" s="435"/>
      <c r="Q772" s="435"/>
      <c r="R772" s="435"/>
      <c r="S772" s="435"/>
      <c r="T772" s="683"/>
      <c r="U772" s="683"/>
    </row>
    <row r="773">
      <c r="A773" s="723"/>
      <c r="B773" s="115"/>
      <c r="C773" s="724"/>
      <c r="D773" s="115"/>
      <c r="E773" s="115"/>
      <c r="F773" s="115"/>
      <c r="G773" s="666"/>
      <c r="H773" s="115"/>
      <c r="I773" s="115"/>
      <c r="J773" s="115"/>
      <c r="K773" s="435"/>
      <c r="L773" s="435"/>
      <c r="M773" s="435"/>
      <c r="N773" s="435"/>
      <c r="O773" s="435"/>
      <c r="P773" s="435"/>
      <c r="Q773" s="435"/>
      <c r="R773" s="435"/>
      <c r="S773" s="435"/>
      <c r="T773" s="683"/>
      <c r="U773" s="683"/>
    </row>
    <row r="774">
      <c r="A774" s="723"/>
      <c r="B774" s="115"/>
      <c r="C774" s="724"/>
      <c r="D774" s="115"/>
      <c r="E774" s="115"/>
      <c r="F774" s="115"/>
      <c r="G774" s="666"/>
      <c r="H774" s="115"/>
      <c r="I774" s="115"/>
      <c r="J774" s="115"/>
      <c r="K774" s="435"/>
      <c r="L774" s="435"/>
      <c r="M774" s="435"/>
      <c r="N774" s="435"/>
      <c r="O774" s="435"/>
      <c r="P774" s="435"/>
      <c r="Q774" s="435"/>
      <c r="R774" s="435"/>
      <c r="S774" s="435"/>
      <c r="T774" s="683"/>
      <c r="U774" s="683"/>
    </row>
    <row r="775">
      <c r="A775" s="723"/>
      <c r="B775" s="115"/>
      <c r="C775" s="724"/>
      <c r="D775" s="115"/>
      <c r="E775" s="115"/>
      <c r="F775" s="115"/>
      <c r="G775" s="666"/>
      <c r="H775" s="115"/>
      <c r="I775" s="115"/>
      <c r="J775" s="115"/>
      <c r="K775" s="435"/>
      <c r="L775" s="435"/>
      <c r="M775" s="435"/>
      <c r="N775" s="435"/>
      <c r="O775" s="435"/>
      <c r="P775" s="435"/>
      <c r="Q775" s="435"/>
      <c r="R775" s="435"/>
      <c r="S775" s="435"/>
      <c r="T775" s="683"/>
      <c r="U775" s="683"/>
    </row>
    <row r="776">
      <c r="A776" s="723"/>
      <c r="B776" s="115"/>
      <c r="C776" s="724"/>
      <c r="D776" s="115"/>
      <c r="E776" s="115"/>
      <c r="F776" s="115"/>
      <c r="G776" s="666"/>
      <c r="H776" s="115"/>
      <c r="I776" s="115"/>
      <c r="J776" s="115"/>
      <c r="K776" s="435"/>
      <c r="L776" s="435"/>
      <c r="M776" s="435"/>
      <c r="N776" s="435"/>
      <c r="O776" s="435"/>
      <c r="P776" s="435"/>
      <c r="Q776" s="435"/>
      <c r="R776" s="435"/>
      <c r="S776" s="435"/>
      <c r="T776" s="683"/>
      <c r="U776" s="683"/>
    </row>
    <row r="777">
      <c r="A777" s="723"/>
      <c r="B777" s="115"/>
      <c r="C777" s="724"/>
      <c r="D777" s="115"/>
      <c r="E777" s="115"/>
      <c r="F777" s="115"/>
      <c r="G777" s="666"/>
      <c r="H777" s="115"/>
      <c r="I777" s="115"/>
      <c r="J777" s="115"/>
      <c r="K777" s="435"/>
      <c r="L777" s="435"/>
      <c r="M777" s="435"/>
      <c r="N777" s="435"/>
      <c r="O777" s="435"/>
      <c r="P777" s="435"/>
      <c r="Q777" s="435"/>
      <c r="R777" s="435"/>
      <c r="S777" s="435"/>
      <c r="T777" s="683"/>
      <c r="U777" s="683"/>
    </row>
    <row r="778">
      <c r="A778" s="723"/>
      <c r="B778" s="115"/>
      <c r="C778" s="724"/>
      <c r="D778" s="115"/>
      <c r="E778" s="115"/>
      <c r="F778" s="115"/>
      <c r="G778" s="666"/>
      <c r="H778" s="115"/>
      <c r="I778" s="115"/>
      <c r="J778" s="115"/>
      <c r="K778" s="435"/>
      <c r="L778" s="435"/>
      <c r="M778" s="435"/>
      <c r="N778" s="435"/>
      <c r="O778" s="435"/>
      <c r="P778" s="435"/>
      <c r="Q778" s="435"/>
      <c r="R778" s="435"/>
      <c r="S778" s="435"/>
      <c r="T778" s="683"/>
      <c r="U778" s="683"/>
    </row>
    <row r="779">
      <c r="A779" s="723"/>
      <c r="B779" s="115"/>
      <c r="C779" s="724"/>
      <c r="D779" s="115"/>
      <c r="E779" s="115"/>
      <c r="F779" s="115"/>
      <c r="G779" s="666"/>
      <c r="H779" s="115"/>
      <c r="I779" s="115"/>
      <c r="J779" s="115"/>
      <c r="K779" s="435"/>
      <c r="L779" s="435"/>
      <c r="M779" s="435"/>
      <c r="N779" s="435"/>
      <c r="O779" s="435"/>
      <c r="P779" s="435"/>
      <c r="Q779" s="435"/>
      <c r="R779" s="435"/>
      <c r="S779" s="435"/>
      <c r="T779" s="683"/>
      <c r="U779" s="683"/>
    </row>
    <row r="780">
      <c r="A780" s="723"/>
      <c r="B780" s="115"/>
      <c r="C780" s="724"/>
      <c r="D780" s="115"/>
      <c r="E780" s="115"/>
      <c r="F780" s="115"/>
      <c r="G780" s="666"/>
      <c r="H780" s="115"/>
      <c r="I780" s="115"/>
      <c r="J780" s="115"/>
      <c r="K780" s="435"/>
      <c r="L780" s="435"/>
      <c r="M780" s="435"/>
      <c r="N780" s="435"/>
      <c r="O780" s="435"/>
      <c r="P780" s="435"/>
      <c r="Q780" s="435"/>
      <c r="R780" s="435"/>
      <c r="S780" s="435"/>
      <c r="T780" s="683"/>
      <c r="U780" s="683"/>
    </row>
    <row r="781">
      <c r="A781" s="723"/>
      <c r="B781" s="115"/>
      <c r="C781" s="724"/>
      <c r="D781" s="115"/>
      <c r="E781" s="115"/>
      <c r="F781" s="115"/>
      <c r="G781" s="666"/>
      <c r="H781" s="115"/>
      <c r="I781" s="115"/>
      <c r="J781" s="115"/>
      <c r="K781" s="435"/>
      <c r="L781" s="435"/>
      <c r="M781" s="435"/>
      <c r="N781" s="435"/>
      <c r="O781" s="435"/>
      <c r="P781" s="435"/>
      <c r="Q781" s="435"/>
      <c r="R781" s="435"/>
      <c r="S781" s="435"/>
      <c r="T781" s="683"/>
      <c r="U781" s="683"/>
    </row>
    <row r="782">
      <c r="A782" s="723"/>
      <c r="B782" s="115"/>
      <c r="C782" s="724"/>
      <c r="D782" s="115"/>
      <c r="E782" s="115"/>
      <c r="F782" s="115"/>
      <c r="G782" s="666"/>
      <c r="H782" s="115"/>
      <c r="I782" s="115"/>
      <c r="J782" s="115"/>
      <c r="K782" s="435"/>
      <c r="L782" s="435"/>
      <c r="M782" s="435"/>
      <c r="N782" s="435"/>
      <c r="O782" s="435"/>
      <c r="P782" s="435"/>
      <c r="Q782" s="435"/>
      <c r="R782" s="435"/>
      <c r="S782" s="435"/>
      <c r="T782" s="683"/>
      <c r="U782" s="683"/>
    </row>
    <row r="783">
      <c r="A783" s="723"/>
      <c r="B783" s="115"/>
      <c r="C783" s="724"/>
      <c r="D783" s="115"/>
      <c r="E783" s="115"/>
      <c r="F783" s="115"/>
      <c r="G783" s="666"/>
      <c r="H783" s="115"/>
      <c r="I783" s="115"/>
      <c r="J783" s="115"/>
      <c r="K783" s="435"/>
      <c r="L783" s="435"/>
      <c r="M783" s="435"/>
      <c r="N783" s="435"/>
      <c r="O783" s="435"/>
      <c r="P783" s="435"/>
      <c r="Q783" s="435"/>
      <c r="R783" s="435"/>
      <c r="S783" s="435"/>
      <c r="T783" s="683"/>
      <c r="U783" s="683"/>
    </row>
    <row r="784">
      <c r="A784" s="723"/>
      <c r="B784" s="115"/>
      <c r="C784" s="724"/>
      <c r="D784" s="115"/>
      <c r="E784" s="115"/>
      <c r="F784" s="115"/>
      <c r="G784" s="666"/>
      <c r="H784" s="115"/>
      <c r="I784" s="115"/>
      <c r="J784" s="115"/>
      <c r="K784" s="435"/>
      <c r="L784" s="435"/>
      <c r="M784" s="435"/>
      <c r="N784" s="435"/>
      <c r="O784" s="435"/>
      <c r="P784" s="435"/>
      <c r="Q784" s="435"/>
      <c r="R784" s="435"/>
      <c r="S784" s="435"/>
      <c r="T784" s="683"/>
      <c r="U784" s="683"/>
    </row>
    <row r="785">
      <c r="A785" s="723"/>
      <c r="B785" s="115"/>
      <c r="C785" s="724"/>
      <c r="D785" s="115"/>
      <c r="E785" s="115"/>
      <c r="F785" s="115"/>
      <c r="G785" s="666"/>
      <c r="H785" s="115"/>
      <c r="I785" s="115"/>
      <c r="J785" s="115"/>
      <c r="K785" s="435"/>
      <c r="L785" s="435"/>
      <c r="M785" s="435"/>
      <c r="N785" s="435"/>
      <c r="O785" s="435"/>
      <c r="P785" s="435"/>
      <c r="Q785" s="435"/>
      <c r="R785" s="435"/>
      <c r="S785" s="435"/>
      <c r="T785" s="683"/>
      <c r="U785" s="683"/>
    </row>
    <row r="786">
      <c r="A786" s="723"/>
      <c r="B786" s="115"/>
      <c r="C786" s="724"/>
      <c r="D786" s="115"/>
      <c r="E786" s="115"/>
      <c r="F786" s="115"/>
      <c r="G786" s="666"/>
      <c r="H786" s="115"/>
      <c r="I786" s="115"/>
      <c r="J786" s="115"/>
      <c r="K786" s="435"/>
      <c r="L786" s="435"/>
      <c r="M786" s="435"/>
      <c r="N786" s="435"/>
      <c r="O786" s="435"/>
      <c r="P786" s="435"/>
      <c r="Q786" s="435"/>
      <c r="R786" s="435"/>
      <c r="S786" s="435"/>
      <c r="T786" s="683"/>
      <c r="U786" s="683"/>
    </row>
    <row r="787">
      <c r="A787" s="723"/>
      <c r="B787" s="115"/>
      <c r="C787" s="724"/>
      <c r="D787" s="115"/>
      <c r="E787" s="115"/>
      <c r="F787" s="115"/>
      <c r="G787" s="666"/>
      <c r="H787" s="115"/>
      <c r="I787" s="115"/>
      <c r="J787" s="115"/>
      <c r="K787" s="435"/>
      <c r="L787" s="435"/>
      <c r="M787" s="435"/>
      <c r="N787" s="435"/>
      <c r="O787" s="435"/>
      <c r="P787" s="435"/>
      <c r="Q787" s="435"/>
      <c r="R787" s="435"/>
      <c r="S787" s="435"/>
      <c r="T787" s="683"/>
      <c r="U787" s="683"/>
    </row>
    <row r="788">
      <c r="A788" s="723"/>
      <c r="B788" s="115"/>
      <c r="C788" s="724"/>
      <c r="D788" s="115"/>
      <c r="E788" s="115"/>
      <c r="F788" s="115"/>
      <c r="G788" s="666"/>
      <c r="H788" s="115"/>
      <c r="I788" s="115"/>
      <c r="J788" s="115"/>
      <c r="K788" s="435"/>
      <c r="L788" s="435"/>
      <c r="M788" s="435"/>
      <c r="N788" s="435"/>
      <c r="O788" s="435"/>
      <c r="P788" s="435"/>
      <c r="Q788" s="435"/>
      <c r="R788" s="435"/>
      <c r="S788" s="435"/>
      <c r="T788" s="683"/>
      <c r="U788" s="683"/>
    </row>
    <row r="789">
      <c r="A789" s="723"/>
      <c r="B789" s="115"/>
      <c r="C789" s="724"/>
      <c r="D789" s="115"/>
      <c r="E789" s="115"/>
      <c r="F789" s="115"/>
      <c r="G789" s="666"/>
      <c r="H789" s="115"/>
      <c r="I789" s="115"/>
      <c r="J789" s="115"/>
      <c r="K789" s="435"/>
      <c r="L789" s="435"/>
      <c r="M789" s="435"/>
      <c r="N789" s="435"/>
      <c r="O789" s="435"/>
      <c r="P789" s="435"/>
      <c r="Q789" s="435"/>
      <c r="R789" s="435"/>
      <c r="S789" s="435"/>
      <c r="T789" s="683"/>
      <c r="U789" s="683"/>
    </row>
    <row r="790">
      <c r="A790" s="723"/>
      <c r="B790" s="115"/>
      <c r="C790" s="724"/>
      <c r="D790" s="115"/>
      <c r="E790" s="115"/>
      <c r="F790" s="115"/>
      <c r="G790" s="666"/>
      <c r="H790" s="115"/>
      <c r="I790" s="115"/>
      <c r="J790" s="115"/>
      <c r="K790" s="435"/>
      <c r="L790" s="435"/>
      <c r="M790" s="435"/>
      <c r="N790" s="435"/>
      <c r="O790" s="435"/>
      <c r="P790" s="435"/>
      <c r="Q790" s="435"/>
      <c r="R790" s="435"/>
      <c r="S790" s="435"/>
      <c r="T790" s="683"/>
      <c r="U790" s="683"/>
    </row>
    <row r="791">
      <c r="A791" s="723"/>
      <c r="B791" s="115"/>
      <c r="C791" s="724"/>
      <c r="D791" s="115"/>
      <c r="E791" s="115"/>
      <c r="F791" s="115"/>
      <c r="G791" s="666"/>
      <c r="H791" s="115"/>
      <c r="I791" s="115"/>
      <c r="J791" s="115"/>
      <c r="K791" s="435"/>
      <c r="L791" s="435"/>
      <c r="M791" s="435"/>
      <c r="N791" s="435"/>
      <c r="O791" s="435"/>
      <c r="P791" s="435"/>
      <c r="Q791" s="435"/>
      <c r="R791" s="435"/>
      <c r="S791" s="435"/>
      <c r="T791" s="683"/>
      <c r="U791" s="683"/>
    </row>
    <row r="792">
      <c r="A792" s="723"/>
      <c r="B792" s="115"/>
      <c r="C792" s="724"/>
      <c r="D792" s="115"/>
      <c r="E792" s="115"/>
      <c r="F792" s="115"/>
      <c r="G792" s="666"/>
      <c r="H792" s="115"/>
      <c r="I792" s="115"/>
      <c r="J792" s="115"/>
      <c r="K792" s="435"/>
      <c r="L792" s="435"/>
      <c r="M792" s="435"/>
      <c r="N792" s="435"/>
      <c r="O792" s="435"/>
      <c r="P792" s="435"/>
      <c r="Q792" s="435"/>
      <c r="R792" s="435"/>
      <c r="S792" s="435"/>
      <c r="T792" s="683"/>
      <c r="U792" s="683"/>
    </row>
    <row r="793">
      <c r="A793" s="723"/>
      <c r="B793" s="115"/>
      <c r="C793" s="724"/>
      <c r="D793" s="115"/>
      <c r="E793" s="115"/>
      <c r="F793" s="115"/>
      <c r="G793" s="666"/>
      <c r="H793" s="115"/>
      <c r="I793" s="115"/>
      <c r="J793" s="115"/>
      <c r="K793" s="435"/>
      <c r="L793" s="435"/>
      <c r="M793" s="435"/>
      <c r="N793" s="435"/>
      <c r="O793" s="435"/>
      <c r="P793" s="435"/>
      <c r="Q793" s="435"/>
      <c r="R793" s="435"/>
      <c r="S793" s="435"/>
      <c r="T793" s="683"/>
      <c r="U793" s="683"/>
    </row>
    <row r="794">
      <c r="A794" s="723"/>
      <c r="B794" s="115"/>
      <c r="C794" s="724"/>
      <c r="D794" s="115"/>
      <c r="E794" s="115"/>
      <c r="F794" s="115"/>
      <c r="G794" s="666"/>
      <c r="H794" s="115"/>
      <c r="I794" s="115"/>
      <c r="J794" s="115"/>
      <c r="K794" s="435"/>
      <c r="L794" s="435"/>
      <c r="M794" s="435"/>
      <c r="N794" s="435"/>
      <c r="O794" s="435"/>
      <c r="P794" s="435"/>
      <c r="Q794" s="435"/>
      <c r="R794" s="435"/>
      <c r="S794" s="435"/>
      <c r="T794" s="683"/>
      <c r="U794" s="683"/>
    </row>
    <row r="795">
      <c r="A795" s="723"/>
      <c r="B795" s="115"/>
      <c r="C795" s="724"/>
      <c r="D795" s="115"/>
      <c r="E795" s="115"/>
      <c r="F795" s="115"/>
      <c r="G795" s="666"/>
      <c r="H795" s="115"/>
      <c r="I795" s="115"/>
      <c r="J795" s="115"/>
      <c r="K795" s="435"/>
      <c r="L795" s="435"/>
      <c r="M795" s="435"/>
      <c r="N795" s="435"/>
      <c r="O795" s="435"/>
      <c r="P795" s="435"/>
      <c r="Q795" s="435"/>
      <c r="R795" s="435"/>
      <c r="S795" s="435"/>
      <c r="T795" s="683"/>
      <c r="U795" s="683"/>
    </row>
    <row r="796">
      <c r="A796" s="723"/>
      <c r="B796" s="115"/>
      <c r="C796" s="724"/>
      <c r="D796" s="115"/>
      <c r="E796" s="115"/>
      <c r="F796" s="115"/>
      <c r="G796" s="666"/>
      <c r="H796" s="115"/>
      <c r="I796" s="115"/>
      <c r="J796" s="115"/>
      <c r="K796" s="435"/>
      <c r="L796" s="435"/>
      <c r="M796" s="435"/>
      <c r="N796" s="435"/>
      <c r="O796" s="435"/>
      <c r="P796" s="435"/>
      <c r="Q796" s="435"/>
      <c r="R796" s="435"/>
      <c r="S796" s="435"/>
      <c r="T796" s="683"/>
      <c r="U796" s="683"/>
    </row>
    <row r="797">
      <c r="A797" s="723"/>
      <c r="B797" s="115"/>
      <c r="C797" s="724"/>
      <c r="D797" s="115"/>
      <c r="E797" s="115"/>
      <c r="F797" s="115"/>
      <c r="G797" s="666"/>
      <c r="H797" s="115"/>
      <c r="I797" s="115"/>
      <c r="J797" s="115"/>
      <c r="K797" s="435"/>
      <c r="L797" s="435"/>
      <c r="M797" s="435"/>
      <c r="N797" s="435"/>
      <c r="O797" s="435"/>
      <c r="P797" s="435"/>
      <c r="Q797" s="435"/>
      <c r="R797" s="435"/>
      <c r="S797" s="435"/>
      <c r="T797" s="683"/>
      <c r="U797" s="683"/>
    </row>
    <row r="798">
      <c r="A798" s="723"/>
      <c r="B798" s="115"/>
      <c r="C798" s="724"/>
      <c r="D798" s="115"/>
      <c r="E798" s="115"/>
      <c r="F798" s="115"/>
      <c r="G798" s="666"/>
      <c r="H798" s="115"/>
      <c r="I798" s="115"/>
      <c r="J798" s="115"/>
      <c r="K798" s="435"/>
      <c r="L798" s="435"/>
      <c r="M798" s="435"/>
      <c r="N798" s="435"/>
      <c r="O798" s="435"/>
      <c r="P798" s="435"/>
      <c r="Q798" s="435"/>
      <c r="R798" s="435"/>
      <c r="S798" s="435"/>
      <c r="T798" s="683"/>
      <c r="U798" s="683"/>
    </row>
    <row r="799">
      <c r="A799" s="723"/>
      <c r="B799" s="115"/>
      <c r="C799" s="724"/>
      <c r="D799" s="115"/>
      <c r="E799" s="115"/>
      <c r="F799" s="115"/>
      <c r="G799" s="666"/>
      <c r="H799" s="115"/>
      <c r="I799" s="115"/>
      <c r="J799" s="115"/>
      <c r="K799" s="435"/>
      <c r="L799" s="435"/>
      <c r="M799" s="435"/>
      <c r="N799" s="435"/>
      <c r="O799" s="435"/>
      <c r="P799" s="435"/>
      <c r="Q799" s="435"/>
      <c r="R799" s="435"/>
      <c r="S799" s="435"/>
      <c r="T799" s="683"/>
      <c r="U799" s="683"/>
    </row>
    <row r="800">
      <c r="A800" s="723"/>
      <c r="B800" s="115"/>
      <c r="C800" s="724"/>
      <c r="D800" s="115"/>
      <c r="E800" s="115"/>
      <c r="F800" s="115"/>
      <c r="G800" s="666"/>
      <c r="H800" s="115"/>
      <c r="I800" s="115"/>
      <c r="J800" s="115"/>
      <c r="K800" s="435"/>
      <c r="L800" s="435"/>
      <c r="M800" s="435"/>
      <c r="N800" s="435"/>
      <c r="O800" s="435"/>
      <c r="P800" s="435"/>
      <c r="Q800" s="435"/>
      <c r="R800" s="435"/>
      <c r="S800" s="435"/>
      <c r="T800" s="683"/>
      <c r="U800" s="683"/>
    </row>
    <row r="801">
      <c r="A801" s="723"/>
      <c r="B801" s="115"/>
      <c r="C801" s="724"/>
      <c r="D801" s="115"/>
      <c r="E801" s="115"/>
      <c r="F801" s="115"/>
      <c r="G801" s="666"/>
      <c r="H801" s="115"/>
      <c r="I801" s="115"/>
      <c r="J801" s="115"/>
      <c r="K801" s="435"/>
      <c r="L801" s="435"/>
      <c r="M801" s="435"/>
      <c r="N801" s="435"/>
      <c r="O801" s="435"/>
      <c r="P801" s="435"/>
      <c r="Q801" s="435"/>
      <c r="R801" s="435"/>
      <c r="S801" s="435"/>
      <c r="T801" s="683"/>
      <c r="U801" s="683"/>
    </row>
    <row r="802">
      <c r="A802" s="723"/>
      <c r="B802" s="115"/>
      <c r="C802" s="724"/>
      <c r="D802" s="115"/>
      <c r="E802" s="115"/>
      <c r="F802" s="115"/>
      <c r="G802" s="666"/>
      <c r="H802" s="115"/>
      <c r="I802" s="115"/>
      <c r="J802" s="115"/>
      <c r="K802" s="435"/>
      <c r="L802" s="435"/>
      <c r="M802" s="435"/>
      <c r="N802" s="435"/>
      <c r="O802" s="435"/>
      <c r="P802" s="435"/>
      <c r="Q802" s="435"/>
      <c r="R802" s="435"/>
      <c r="S802" s="435"/>
      <c r="T802" s="683"/>
      <c r="U802" s="683"/>
    </row>
    <row r="803">
      <c r="A803" s="723"/>
      <c r="B803" s="115"/>
      <c r="C803" s="724"/>
      <c r="D803" s="115"/>
      <c r="E803" s="115"/>
      <c r="F803" s="115"/>
      <c r="G803" s="666"/>
      <c r="H803" s="115"/>
      <c r="I803" s="115"/>
      <c r="J803" s="115"/>
      <c r="K803" s="435"/>
      <c r="L803" s="435"/>
      <c r="M803" s="435"/>
      <c r="N803" s="435"/>
      <c r="O803" s="435"/>
      <c r="P803" s="435"/>
      <c r="Q803" s="435"/>
      <c r="R803" s="435"/>
      <c r="S803" s="435"/>
      <c r="T803" s="683"/>
      <c r="U803" s="683"/>
    </row>
    <row r="804">
      <c r="A804" s="723"/>
      <c r="B804" s="115"/>
      <c r="C804" s="724"/>
      <c r="D804" s="115"/>
      <c r="E804" s="115"/>
      <c r="F804" s="115"/>
      <c r="G804" s="666"/>
      <c r="H804" s="115"/>
      <c r="I804" s="115"/>
      <c r="J804" s="115"/>
      <c r="K804" s="435"/>
      <c r="L804" s="435"/>
      <c r="M804" s="435"/>
      <c r="N804" s="435"/>
      <c r="O804" s="435"/>
      <c r="P804" s="435"/>
      <c r="Q804" s="435"/>
      <c r="R804" s="435"/>
      <c r="S804" s="435"/>
      <c r="T804" s="683"/>
      <c r="U804" s="683"/>
    </row>
    <row r="805">
      <c r="A805" s="723"/>
      <c r="B805" s="115"/>
      <c r="C805" s="724"/>
      <c r="D805" s="115"/>
      <c r="E805" s="115"/>
      <c r="F805" s="115"/>
      <c r="G805" s="666"/>
      <c r="H805" s="115"/>
      <c r="I805" s="115"/>
      <c r="J805" s="115"/>
      <c r="K805" s="435"/>
      <c r="L805" s="435"/>
      <c r="M805" s="435"/>
      <c r="N805" s="435"/>
      <c r="O805" s="435"/>
      <c r="P805" s="435"/>
      <c r="Q805" s="435"/>
      <c r="R805" s="435"/>
      <c r="S805" s="435"/>
      <c r="T805" s="683"/>
      <c r="U805" s="683"/>
    </row>
    <row r="806">
      <c r="A806" s="723"/>
      <c r="B806" s="115"/>
      <c r="C806" s="724"/>
      <c r="D806" s="115"/>
      <c r="E806" s="115"/>
      <c r="F806" s="115"/>
      <c r="G806" s="666"/>
      <c r="H806" s="115"/>
      <c r="I806" s="115"/>
      <c r="J806" s="115"/>
      <c r="K806" s="435"/>
      <c r="L806" s="435"/>
      <c r="M806" s="435"/>
      <c r="N806" s="435"/>
      <c r="O806" s="435"/>
      <c r="P806" s="435"/>
      <c r="Q806" s="435"/>
      <c r="R806" s="435"/>
      <c r="S806" s="435"/>
      <c r="T806" s="683"/>
      <c r="U806" s="683"/>
    </row>
    <row r="807">
      <c r="A807" s="723"/>
      <c r="B807" s="115"/>
      <c r="C807" s="724"/>
      <c r="D807" s="115"/>
      <c r="E807" s="115"/>
      <c r="F807" s="115"/>
      <c r="G807" s="666"/>
      <c r="H807" s="115"/>
      <c r="I807" s="115"/>
      <c r="J807" s="115"/>
      <c r="K807" s="435"/>
      <c r="L807" s="435"/>
      <c r="M807" s="435"/>
      <c r="N807" s="435"/>
      <c r="O807" s="435"/>
      <c r="P807" s="435"/>
      <c r="Q807" s="435"/>
      <c r="R807" s="435"/>
      <c r="S807" s="435"/>
      <c r="T807" s="683"/>
      <c r="U807" s="683"/>
    </row>
    <row r="808">
      <c r="A808" s="723"/>
      <c r="B808" s="115"/>
      <c r="C808" s="724"/>
      <c r="D808" s="115"/>
      <c r="E808" s="115"/>
      <c r="F808" s="115"/>
      <c r="G808" s="666"/>
      <c r="H808" s="115"/>
      <c r="I808" s="115"/>
      <c r="J808" s="115"/>
      <c r="K808" s="435"/>
      <c r="L808" s="435"/>
      <c r="M808" s="435"/>
      <c r="N808" s="435"/>
      <c r="O808" s="435"/>
      <c r="P808" s="435"/>
      <c r="Q808" s="435"/>
      <c r="R808" s="435"/>
      <c r="S808" s="435"/>
      <c r="T808" s="683"/>
      <c r="U808" s="683"/>
    </row>
    <row r="809">
      <c r="A809" s="723"/>
      <c r="B809" s="115"/>
      <c r="C809" s="724"/>
      <c r="D809" s="115"/>
      <c r="E809" s="115"/>
      <c r="F809" s="115"/>
      <c r="G809" s="666"/>
      <c r="H809" s="115"/>
      <c r="I809" s="115"/>
      <c r="J809" s="115"/>
      <c r="K809" s="435"/>
      <c r="L809" s="435"/>
      <c r="M809" s="435"/>
      <c r="N809" s="435"/>
      <c r="O809" s="435"/>
      <c r="P809" s="435"/>
      <c r="Q809" s="435"/>
      <c r="R809" s="435"/>
      <c r="S809" s="435"/>
      <c r="T809" s="683"/>
      <c r="U809" s="683"/>
    </row>
    <row r="810">
      <c r="A810" s="723"/>
      <c r="B810" s="115"/>
      <c r="C810" s="724"/>
      <c r="D810" s="115"/>
      <c r="E810" s="115"/>
      <c r="F810" s="115"/>
      <c r="G810" s="666"/>
      <c r="H810" s="115"/>
      <c r="I810" s="115"/>
      <c r="J810" s="115"/>
      <c r="K810" s="435"/>
      <c r="L810" s="435"/>
      <c r="M810" s="435"/>
      <c r="N810" s="435"/>
      <c r="O810" s="435"/>
      <c r="P810" s="435"/>
      <c r="Q810" s="435"/>
      <c r="R810" s="435"/>
      <c r="S810" s="435"/>
      <c r="T810" s="683"/>
      <c r="U810" s="683"/>
    </row>
    <row r="811">
      <c r="A811" s="723"/>
      <c r="B811" s="115"/>
      <c r="C811" s="724"/>
      <c r="D811" s="115"/>
      <c r="E811" s="115"/>
      <c r="F811" s="115"/>
      <c r="G811" s="666"/>
      <c r="H811" s="115"/>
      <c r="I811" s="115"/>
      <c r="J811" s="115"/>
      <c r="K811" s="435"/>
      <c r="L811" s="435"/>
      <c r="M811" s="435"/>
      <c r="N811" s="435"/>
      <c r="O811" s="435"/>
      <c r="P811" s="435"/>
      <c r="Q811" s="435"/>
      <c r="R811" s="435"/>
      <c r="S811" s="435"/>
      <c r="T811" s="683"/>
      <c r="U811" s="683"/>
    </row>
    <row r="812">
      <c r="A812" s="723"/>
      <c r="B812" s="115"/>
      <c r="C812" s="724"/>
      <c r="D812" s="115"/>
      <c r="E812" s="115"/>
      <c r="F812" s="115"/>
      <c r="G812" s="666"/>
      <c r="H812" s="115"/>
      <c r="I812" s="115"/>
      <c r="J812" s="115"/>
      <c r="K812" s="435"/>
      <c r="L812" s="435"/>
      <c r="M812" s="435"/>
      <c r="N812" s="435"/>
      <c r="O812" s="435"/>
      <c r="P812" s="435"/>
      <c r="Q812" s="435"/>
      <c r="R812" s="435"/>
      <c r="S812" s="435"/>
      <c r="T812" s="683"/>
      <c r="U812" s="683"/>
    </row>
    <row r="813">
      <c r="A813" s="723"/>
      <c r="B813" s="115"/>
      <c r="C813" s="724"/>
      <c r="D813" s="115"/>
      <c r="E813" s="115"/>
      <c r="F813" s="115"/>
      <c r="G813" s="666"/>
      <c r="H813" s="115"/>
      <c r="I813" s="115"/>
      <c r="J813" s="115"/>
      <c r="K813" s="435"/>
      <c r="L813" s="435"/>
      <c r="M813" s="435"/>
      <c r="N813" s="435"/>
      <c r="O813" s="435"/>
      <c r="P813" s="435"/>
      <c r="Q813" s="435"/>
      <c r="R813" s="435"/>
      <c r="S813" s="435"/>
      <c r="T813" s="683"/>
      <c r="U813" s="683"/>
    </row>
    <row r="814">
      <c r="A814" s="723"/>
      <c r="B814" s="115"/>
      <c r="C814" s="724"/>
      <c r="D814" s="115"/>
      <c r="E814" s="115"/>
      <c r="F814" s="115"/>
      <c r="G814" s="666"/>
      <c r="H814" s="115"/>
      <c r="I814" s="115"/>
      <c r="J814" s="115"/>
      <c r="K814" s="435"/>
      <c r="L814" s="435"/>
      <c r="M814" s="435"/>
      <c r="N814" s="435"/>
      <c r="O814" s="435"/>
      <c r="P814" s="435"/>
      <c r="Q814" s="435"/>
      <c r="R814" s="435"/>
      <c r="S814" s="435"/>
      <c r="T814" s="683"/>
      <c r="U814" s="683"/>
    </row>
    <row r="815">
      <c r="A815" s="723"/>
      <c r="B815" s="115"/>
      <c r="C815" s="724"/>
      <c r="D815" s="115"/>
      <c r="E815" s="115"/>
      <c r="F815" s="115"/>
      <c r="G815" s="666"/>
      <c r="H815" s="115"/>
      <c r="I815" s="115"/>
      <c r="J815" s="115"/>
      <c r="K815" s="435"/>
      <c r="L815" s="435"/>
      <c r="M815" s="435"/>
      <c r="N815" s="435"/>
      <c r="O815" s="435"/>
      <c r="P815" s="435"/>
      <c r="Q815" s="435"/>
      <c r="R815" s="435"/>
      <c r="S815" s="435"/>
      <c r="T815" s="683"/>
      <c r="U815" s="683"/>
    </row>
    <row r="816">
      <c r="A816" s="723"/>
      <c r="B816" s="115"/>
      <c r="C816" s="724"/>
      <c r="D816" s="115"/>
      <c r="E816" s="115"/>
      <c r="F816" s="115"/>
      <c r="G816" s="666"/>
      <c r="H816" s="115"/>
      <c r="I816" s="115"/>
      <c r="J816" s="115"/>
      <c r="K816" s="435"/>
      <c r="L816" s="435"/>
      <c r="M816" s="435"/>
      <c r="N816" s="435"/>
      <c r="O816" s="435"/>
      <c r="P816" s="435"/>
      <c r="Q816" s="435"/>
      <c r="R816" s="435"/>
      <c r="S816" s="435"/>
      <c r="T816" s="683"/>
      <c r="U816" s="683"/>
    </row>
    <row r="817">
      <c r="A817" s="723"/>
      <c r="B817" s="115"/>
      <c r="C817" s="724"/>
      <c r="D817" s="115"/>
      <c r="E817" s="115"/>
      <c r="F817" s="115"/>
      <c r="G817" s="666"/>
      <c r="H817" s="115"/>
      <c r="I817" s="115"/>
      <c r="J817" s="115"/>
      <c r="K817" s="435"/>
      <c r="L817" s="435"/>
      <c r="M817" s="435"/>
      <c r="N817" s="435"/>
      <c r="O817" s="435"/>
      <c r="P817" s="435"/>
      <c r="Q817" s="435"/>
      <c r="R817" s="435"/>
      <c r="S817" s="435"/>
      <c r="T817" s="683"/>
      <c r="U817" s="683"/>
    </row>
    <row r="818">
      <c r="A818" s="723"/>
      <c r="B818" s="115"/>
      <c r="C818" s="724"/>
      <c r="D818" s="115"/>
      <c r="E818" s="115"/>
      <c r="F818" s="115"/>
      <c r="G818" s="666"/>
      <c r="H818" s="115"/>
      <c r="I818" s="115"/>
      <c r="J818" s="115"/>
      <c r="K818" s="435"/>
      <c r="L818" s="435"/>
      <c r="M818" s="435"/>
      <c r="N818" s="435"/>
      <c r="O818" s="435"/>
      <c r="P818" s="435"/>
      <c r="Q818" s="435"/>
      <c r="R818" s="435"/>
      <c r="S818" s="435"/>
      <c r="T818" s="683"/>
      <c r="U818" s="683"/>
    </row>
    <row r="819">
      <c r="A819" s="723"/>
      <c r="B819" s="115"/>
      <c r="C819" s="724"/>
      <c r="D819" s="115"/>
      <c r="E819" s="115"/>
      <c r="F819" s="115"/>
      <c r="G819" s="666"/>
      <c r="H819" s="115"/>
      <c r="I819" s="115"/>
      <c r="J819" s="115"/>
      <c r="K819" s="435"/>
      <c r="L819" s="435"/>
      <c r="M819" s="435"/>
      <c r="N819" s="435"/>
      <c r="O819" s="435"/>
      <c r="P819" s="435"/>
      <c r="Q819" s="435"/>
      <c r="R819" s="435"/>
      <c r="S819" s="435"/>
      <c r="T819" s="683"/>
      <c r="U819" s="683"/>
    </row>
    <row r="820">
      <c r="A820" s="723"/>
      <c r="B820" s="115"/>
      <c r="C820" s="724"/>
      <c r="D820" s="115"/>
      <c r="E820" s="115"/>
      <c r="F820" s="115"/>
      <c r="G820" s="666"/>
      <c r="H820" s="115"/>
      <c r="I820" s="115"/>
      <c r="J820" s="115"/>
      <c r="K820" s="435"/>
      <c r="L820" s="435"/>
      <c r="M820" s="435"/>
      <c r="N820" s="435"/>
      <c r="O820" s="435"/>
      <c r="P820" s="435"/>
      <c r="Q820" s="435"/>
      <c r="R820" s="435"/>
      <c r="S820" s="435"/>
      <c r="T820" s="683"/>
      <c r="U820" s="683"/>
    </row>
    <row r="821">
      <c r="A821" s="723"/>
      <c r="B821" s="115"/>
      <c r="C821" s="724"/>
      <c r="D821" s="115"/>
      <c r="E821" s="115"/>
      <c r="F821" s="115"/>
      <c r="G821" s="666"/>
      <c r="H821" s="115"/>
      <c r="I821" s="115"/>
      <c r="J821" s="115"/>
      <c r="K821" s="435"/>
      <c r="L821" s="435"/>
      <c r="M821" s="435"/>
      <c r="N821" s="435"/>
      <c r="O821" s="435"/>
      <c r="P821" s="435"/>
      <c r="Q821" s="435"/>
      <c r="R821" s="435"/>
      <c r="S821" s="435"/>
      <c r="T821" s="683"/>
      <c r="U821" s="683"/>
    </row>
    <row r="822">
      <c r="A822" s="723"/>
      <c r="B822" s="115"/>
      <c r="C822" s="724"/>
      <c r="D822" s="115"/>
      <c r="E822" s="115"/>
      <c r="F822" s="115"/>
      <c r="G822" s="666"/>
      <c r="H822" s="115"/>
      <c r="I822" s="115"/>
      <c r="J822" s="115"/>
      <c r="K822" s="435"/>
      <c r="L822" s="435"/>
      <c r="M822" s="435"/>
      <c r="N822" s="435"/>
      <c r="O822" s="435"/>
      <c r="P822" s="435"/>
      <c r="Q822" s="435"/>
      <c r="R822" s="435"/>
      <c r="S822" s="435"/>
      <c r="T822" s="683"/>
      <c r="U822" s="683"/>
    </row>
    <row r="823">
      <c r="A823" s="723"/>
      <c r="B823" s="115"/>
      <c r="C823" s="724"/>
      <c r="D823" s="115"/>
      <c r="E823" s="115"/>
      <c r="F823" s="115"/>
      <c r="G823" s="666"/>
      <c r="H823" s="115"/>
      <c r="I823" s="115"/>
      <c r="J823" s="115"/>
      <c r="K823" s="435"/>
      <c r="L823" s="435"/>
      <c r="M823" s="435"/>
      <c r="N823" s="435"/>
      <c r="O823" s="435"/>
      <c r="P823" s="435"/>
      <c r="Q823" s="435"/>
      <c r="R823" s="435"/>
      <c r="S823" s="435"/>
      <c r="T823" s="683"/>
      <c r="U823" s="683"/>
    </row>
    <row r="824">
      <c r="A824" s="723"/>
      <c r="B824" s="115"/>
      <c r="C824" s="724"/>
      <c r="D824" s="115"/>
      <c r="E824" s="115"/>
      <c r="F824" s="115"/>
      <c r="G824" s="666"/>
      <c r="H824" s="115"/>
      <c r="I824" s="115"/>
      <c r="J824" s="115"/>
      <c r="K824" s="435"/>
      <c r="L824" s="435"/>
      <c r="M824" s="435"/>
      <c r="N824" s="435"/>
      <c r="O824" s="435"/>
      <c r="P824" s="435"/>
      <c r="Q824" s="435"/>
      <c r="R824" s="435"/>
      <c r="S824" s="435"/>
      <c r="T824" s="683"/>
      <c r="U824" s="683"/>
    </row>
    <row r="825">
      <c r="A825" s="723"/>
      <c r="B825" s="115"/>
      <c r="C825" s="724"/>
      <c r="D825" s="115"/>
      <c r="E825" s="115"/>
      <c r="F825" s="115"/>
      <c r="G825" s="666"/>
      <c r="H825" s="115"/>
      <c r="I825" s="115"/>
      <c r="J825" s="115"/>
      <c r="K825" s="435"/>
      <c r="L825" s="435"/>
      <c r="M825" s="435"/>
      <c r="N825" s="435"/>
      <c r="O825" s="435"/>
      <c r="P825" s="435"/>
      <c r="Q825" s="435"/>
      <c r="R825" s="435"/>
      <c r="S825" s="435"/>
      <c r="T825" s="683"/>
      <c r="U825" s="683"/>
    </row>
    <row r="826">
      <c r="A826" s="723"/>
      <c r="B826" s="115"/>
      <c r="C826" s="724"/>
      <c r="D826" s="115"/>
      <c r="E826" s="115"/>
      <c r="F826" s="115"/>
      <c r="G826" s="666"/>
      <c r="H826" s="115"/>
      <c r="I826" s="115"/>
      <c r="J826" s="115"/>
      <c r="K826" s="435"/>
      <c r="L826" s="435"/>
      <c r="M826" s="435"/>
      <c r="N826" s="435"/>
      <c r="O826" s="435"/>
      <c r="P826" s="435"/>
      <c r="Q826" s="435"/>
      <c r="R826" s="435"/>
      <c r="S826" s="435"/>
      <c r="T826" s="683"/>
      <c r="U826" s="683"/>
    </row>
    <row r="827">
      <c r="A827" s="723"/>
      <c r="B827" s="115"/>
      <c r="C827" s="724"/>
      <c r="D827" s="115"/>
      <c r="E827" s="115"/>
      <c r="F827" s="115"/>
      <c r="G827" s="666"/>
      <c r="H827" s="115"/>
      <c r="I827" s="115"/>
      <c r="J827" s="115"/>
      <c r="K827" s="435"/>
      <c r="L827" s="435"/>
      <c r="M827" s="435"/>
      <c r="N827" s="435"/>
      <c r="O827" s="435"/>
      <c r="P827" s="435"/>
      <c r="Q827" s="435"/>
      <c r="R827" s="435"/>
      <c r="S827" s="435"/>
      <c r="T827" s="683"/>
      <c r="U827" s="683"/>
    </row>
    <row r="828">
      <c r="A828" s="723"/>
      <c r="B828" s="115"/>
      <c r="C828" s="724"/>
      <c r="D828" s="115"/>
      <c r="E828" s="115"/>
      <c r="F828" s="115"/>
      <c r="G828" s="666"/>
      <c r="H828" s="115"/>
      <c r="I828" s="115"/>
      <c r="J828" s="115"/>
      <c r="K828" s="435"/>
      <c r="L828" s="435"/>
      <c r="M828" s="435"/>
      <c r="N828" s="435"/>
      <c r="O828" s="435"/>
      <c r="P828" s="435"/>
      <c r="Q828" s="435"/>
      <c r="R828" s="435"/>
      <c r="S828" s="435"/>
      <c r="T828" s="683"/>
      <c r="U828" s="683"/>
    </row>
    <row r="829">
      <c r="A829" s="723"/>
      <c r="B829" s="115"/>
      <c r="C829" s="724"/>
      <c r="D829" s="115"/>
      <c r="E829" s="115"/>
      <c r="F829" s="115"/>
      <c r="G829" s="666"/>
      <c r="H829" s="115"/>
      <c r="I829" s="115"/>
      <c r="J829" s="115"/>
      <c r="K829" s="435"/>
      <c r="L829" s="435"/>
      <c r="M829" s="435"/>
      <c r="N829" s="435"/>
      <c r="O829" s="435"/>
      <c r="P829" s="435"/>
      <c r="Q829" s="435"/>
      <c r="R829" s="435"/>
      <c r="S829" s="435"/>
      <c r="T829" s="683"/>
      <c r="U829" s="683"/>
    </row>
    <row r="830">
      <c r="A830" s="723"/>
      <c r="B830" s="115"/>
      <c r="C830" s="724"/>
      <c r="D830" s="115"/>
      <c r="E830" s="115"/>
      <c r="F830" s="115"/>
      <c r="G830" s="666"/>
      <c r="H830" s="115"/>
      <c r="I830" s="115"/>
      <c r="J830" s="115"/>
      <c r="K830" s="435"/>
      <c r="L830" s="435"/>
      <c r="M830" s="435"/>
      <c r="N830" s="435"/>
      <c r="O830" s="435"/>
      <c r="P830" s="435"/>
      <c r="Q830" s="435"/>
      <c r="R830" s="435"/>
      <c r="S830" s="435"/>
      <c r="T830" s="683"/>
      <c r="U830" s="683"/>
    </row>
    <row r="831">
      <c r="A831" s="723"/>
      <c r="B831" s="115"/>
      <c r="C831" s="724"/>
      <c r="D831" s="115"/>
      <c r="E831" s="115"/>
      <c r="F831" s="115"/>
      <c r="G831" s="666"/>
      <c r="H831" s="115"/>
      <c r="I831" s="115"/>
      <c r="J831" s="115"/>
      <c r="K831" s="435"/>
      <c r="L831" s="435"/>
      <c r="M831" s="435"/>
      <c r="N831" s="435"/>
      <c r="O831" s="435"/>
      <c r="P831" s="435"/>
      <c r="Q831" s="435"/>
      <c r="R831" s="435"/>
      <c r="S831" s="435"/>
      <c r="T831" s="683"/>
      <c r="U831" s="683"/>
    </row>
    <row r="832">
      <c r="A832" s="723"/>
      <c r="B832" s="115"/>
      <c r="C832" s="724"/>
      <c r="D832" s="115"/>
      <c r="E832" s="115"/>
      <c r="F832" s="115"/>
      <c r="G832" s="666"/>
      <c r="H832" s="115"/>
      <c r="I832" s="115"/>
      <c r="J832" s="115"/>
      <c r="K832" s="435"/>
      <c r="L832" s="435"/>
      <c r="M832" s="435"/>
      <c r="N832" s="435"/>
      <c r="O832" s="435"/>
      <c r="P832" s="435"/>
      <c r="Q832" s="435"/>
      <c r="R832" s="435"/>
      <c r="S832" s="435"/>
      <c r="T832" s="683"/>
      <c r="U832" s="683"/>
    </row>
    <row r="833">
      <c r="A833" s="723"/>
      <c r="B833" s="115"/>
      <c r="C833" s="724"/>
      <c r="D833" s="115"/>
      <c r="E833" s="115"/>
      <c r="F833" s="115"/>
      <c r="G833" s="666"/>
      <c r="H833" s="115"/>
      <c r="I833" s="115"/>
      <c r="J833" s="115"/>
      <c r="K833" s="435"/>
      <c r="L833" s="435"/>
      <c r="M833" s="435"/>
      <c r="N833" s="435"/>
      <c r="O833" s="435"/>
      <c r="P833" s="435"/>
      <c r="Q833" s="435"/>
      <c r="R833" s="435"/>
      <c r="S833" s="435"/>
      <c r="T833" s="683"/>
      <c r="U833" s="683"/>
    </row>
    <row r="834">
      <c r="A834" s="723"/>
      <c r="B834" s="115"/>
      <c r="C834" s="724"/>
      <c r="D834" s="115"/>
      <c r="E834" s="115"/>
      <c r="F834" s="115"/>
      <c r="G834" s="666"/>
      <c r="H834" s="115"/>
      <c r="I834" s="115"/>
      <c r="J834" s="115"/>
      <c r="K834" s="435"/>
      <c r="L834" s="435"/>
      <c r="M834" s="435"/>
      <c r="N834" s="435"/>
      <c r="O834" s="435"/>
      <c r="P834" s="435"/>
      <c r="Q834" s="435"/>
      <c r="R834" s="435"/>
      <c r="S834" s="435"/>
      <c r="T834" s="683"/>
      <c r="U834" s="683"/>
    </row>
    <row r="835">
      <c r="A835" s="723"/>
      <c r="B835" s="115"/>
      <c r="C835" s="724"/>
      <c r="D835" s="115"/>
      <c r="E835" s="115"/>
      <c r="F835" s="115"/>
      <c r="G835" s="666"/>
      <c r="H835" s="115"/>
      <c r="I835" s="115"/>
      <c r="J835" s="115"/>
      <c r="K835" s="435"/>
      <c r="L835" s="435"/>
      <c r="M835" s="435"/>
      <c r="N835" s="435"/>
      <c r="O835" s="435"/>
      <c r="P835" s="435"/>
      <c r="Q835" s="435"/>
      <c r="R835" s="435"/>
      <c r="S835" s="435"/>
      <c r="T835" s="683"/>
      <c r="U835" s="683"/>
    </row>
    <row r="836">
      <c r="A836" s="723"/>
      <c r="B836" s="115"/>
      <c r="C836" s="724"/>
      <c r="D836" s="115"/>
      <c r="E836" s="115"/>
      <c r="F836" s="115"/>
      <c r="G836" s="666"/>
      <c r="H836" s="115"/>
      <c r="I836" s="115"/>
      <c r="J836" s="115"/>
      <c r="K836" s="435"/>
      <c r="L836" s="435"/>
      <c r="M836" s="435"/>
      <c r="N836" s="435"/>
      <c r="O836" s="435"/>
      <c r="P836" s="435"/>
      <c r="Q836" s="435"/>
      <c r="R836" s="435"/>
      <c r="S836" s="435"/>
      <c r="T836" s="683"/>
      <c r="U836" s="683"/>
    </row>
    <row r="837">
      <c r="A837" s="723"/>
      <c r="B837" s="115"/>
      <c r="C837" s="724"/>
      <c r="D837" s="115"/>
      <c r="E837" s="115"/>
      <c r="F837" s="115"/>
      <c r="G837" s="666"/>
      <c r="H837" s="115"/>
      <c r="I837" s="115"/>
      <c r="J837" s="115"/>
      <c r="K837" s="435"/>
      <c r="L837" s="435"/>
      <c r="M837" s="435"/>
      <c r="N837" s="435"/>
      <c r="O837" s="435"/>
      <c r="P837" s="435"/>
      <c r="Q837" s="435"/>
      <c r="R837" s="435"/>
      <c r="S837" s="435"/>
      <c r="T837" s="683"/>
      <c r="U837" s="683"/>
    </row>
    <row r="838">
      <c r="A838" s="723"/>
      <c r="B838" s="115"/>
      <c r="C838" s="724"/>
      <c r="D838" s="115"/>
      <c r="E838" s="115"/>
      <c r="F838" s="115"/>
      <c r="G838" s="666"/>
      <c r="H838" s="115"/>
      <c r="I838" s="115"/>
      <c r="J838" s="115"/>
      <c r="K838" s="435"/>
      <c r="L838" s="435"/>
      <c r="M838" s="435"/>
      <c r="N838" s="435"/>
      <c r="O838" s="435"/>
      <c r="P838" s="435"/>
      <c r="Q838" s="435"/>
      <c r="R838" s="435"/>
      <c r="S838" s="435"/>
      <c r="T838" s="683"/>
      <c r="U838" s="683"/>
    </row>
    <row r="839">
      <c r="A839" s="723"/>
      <c r="B839" s="115"/>
      <c r="C839" s="724"/>
      <c r="D839" s="115"/>
      <c r="E839" s="115"/>
      <c r="F839" s="115"/>
      <c r="G839" s="666"/>
      <c r="H839" s="115"/>
      <c r="I839" s="115"/>
      <c r="J839" s="115"/>
      <c r="K839" s="435"/>
      <c r="L839" s="435"/>
      <c r="M839" s="435"/>
      <c r="N839" s="435"/>
      <c r="O839" s="435"/>
      <c r="P839" s="435"/>
      <c r="Q839" s="435"/>
      <c r="R839" s="435"/>
      <c r="S839" s="435"/>
      <c r="T839" s="683"/>
      <c r="U839" s="683"/>
    </row>
    <row r="840">
      <c r="A840" s="723"/>
      <c r="B840" s="115"/>
      <c r="C840" s="724"/>
      <c r="D840" s="115"/>
      <c r="E840" s="115"/>
      <c r="F840" s="115"/>
      <c r="G840" s="666"/>
      <c r="H840" s="115"/>
      <c r="I840" s="115"/>
      <c r="J840" s="115"/>
      <c r="K840" s="435"/>
      <c r="L840" s="435"/>
      <c r="M840" s="435"/>
      <c r="N840" s="435"/>
      <c r="O840" s="435"/>
      <c r="P840" s="435"/>
      <c r="Q840" s="435"/>
      <c r="R840" s="435"/>
      <c r="S840" s="435"/>
      <c r="T840" s="683"/>
      <c r="U840" s="683"/>
    </row>
    <row r="841">
      <c r="A841" s="723"/>
      <c r="B841" s="115"/>
      <c r="C841" s="724"/>
      <c r="D841" s="115"/>
      <c r="E841" s="115"/>
      <c r="F841" s="115"/>
      <c r="G841" s="666"/>
      <c r="H841" s="115"/>
      <c r="I841" s="115"/>
      <c r="J841" s="115"/>
      <c r="K841" s="435"/>
      <c r="L841" s="435"/>
      <c r="M841" s="435"/>
      <c r="N841" s="435"/>
      <c r="O841" s="435"/>
      <c r="P841" s="435"/>
      <c r="Q841" s="435"/>
      <c r="R841" s="435"/>
      <c r="S841" s="435"/>
      <c r="T841" s="683"/>
      <c r="U841" s="683"/>
    </row>
    <row r="842">
      <c r="A842" s="723"/>
      <c r="B842" s="115"/>
      <c r="C842" s="724"/>
      <c r="D842" s="115"/>
      <c r="E842" s="115"/>
      <c r="F842" s="115"/>
      <c r="G842" s="666"/>
      <c r="H842" s="115"/>
      <c r="I842" s="115"/>
      <c r="J842" s="115"/>
      <c r="K842" s="435"/>
      <c r="L842" s="435"/>
      <c r="M842" s="435"/>
      <c r="N842" s="435"/>
      <c r="O842" s="435"/>
      <c r="P842" s="435"/>
      <c r="Q842" s="435"/>
      <c r="R842" s="435"/>
      <c r="S842" s="435"/>
      <c r="T842" s="683"/>
      <c r="U842" s="683"/>
    </row>
    <row r="843">
      <c r="A843" s="723"/>
      <c r="B843" s="115"/>
      <c r="C843" s="724"/>
      <c r="D843" s="115"/>
      <c r="E843" s="115"/>
      <c r="F843" s="115"/>
      <c r="G843" s="666"/>
      <c r="H843" s="115"/>
      <c r="I843" s="115"/>
      <c r="J843" s="115"/>
      <c r="K843" s="435"/>
      <c r="L843" s="435"/>
      <c r="M843" s="435"/>
      <c r="N843" s="435"/>
      <c r="O843" s="435"/>
      <c r="P843" s="435"/>
      <c r="Q843" s="435"/>
      <c r="R843" s="435"/>
      <c r="S843" s="435"/>
      <c r="T843" s="683"/>
      <c r="U843" s="683"/>
    </row>
    <row r="844">
      <c r="A844" s="723"/>
      <c r="B844" s="115"/>
      <c r="C844" s="724"/>
      <c r="D844" s="115"/>
      <c r="E844" s="115"/>
      <c r="F844" s="115"/>
      <c r="G844" s="666"/>
      <c r="H844" s="115"/>
      <c r="I844" s="115"/>
      <c r="J844" s="115"/>
      <c r="K844" s="435"/>
      <c r="L844" s="435"/>
      <c r="M844" s="435"/>
      <c r="N844" s="435"/>
      <c r="O844" s="435"/>
      <c r="P844" s="435"/>
      <c r="Q844" s="435"/>
      <c r="R844" s="435"/>
      <c r="S844" s="435"/>
      <c r="T844" s="683"/>
      <c r="U844" s="683"/>
    </row>
    <row r="845">
      <c r="A845" s="723"/>
      <c r="B845" s="115"/>
      <c r="C845" s="724"/>
      <c r="D845" s="115"/>
      <c r="E845" s="115"/>
      <c r="F845" s="115"/>
      <c r="G845" s="666"/>
      <c r="H845" s="115"/>
      <c r="I845" s="115"/>
      <c r="J845" s="115"/>
      <c r="K845" s="435"/>
      <c r="L845" s="435"/>
      <c r="M845" s="435"/>
      <c r="N845" s="435"/>
      <c r="O845" s="435"/>
      <c r="P845" s="435"/>
      <c r="Q845" s="435"/>
      <c r="R845" s="435"/>
      <c r="S845" s="435"/>
      <c r="T845" s="683"/>
      <c r="U845" s="683"/>
    </row>
    <row r="846">
      <c r="A846" s="723"/>
      <c r="B846" s="115"/>
      <c r="C846" s="724"/>
      <c r="D846" s="115"/>
      <c r="E846" s="115"/>
      <c r="F846" s="115"/>
      <c r="G846" s="666"/>
      <c r="H846" s="115"/>
      <c r="I846" s="115"/>
      <c r="J846" s="115"/>
      <c r="K846" s="435"/>
      <c r="L846" s="435"/>
      <c r="M846" s="435"/>
      <c r="N846" s="435"/>
      <c r="O846" s="435"/>
      <c r="P846" s="435"/>
      <c r="Q846" s="435"/>
      <c r="R846" s="435"/>
      <c r="S846" s="435"/>
      <c r="T846" s="683"/>
      <c r="U846" s="683"/>
    </row>
    <row r="847">
      <c r="A847" s="723"/>
      <c r="B847" s="115"/>
      <c r="C847" s="724"/>
      <c r="D847" s="115"/>
      <c r="E847" s="115"/>
      <c r="F847" s="115"/>
      <c r="G847" s="666"/>
      <c r="H847" s="115"/>
      <c r="I847" s="115"/>
      <c r="J847" s="115"/>
      <c r="K847" s="435"/>
      <c r="L847" s="435"/>
      <c r="M847" s="435"/>
      <c r="N847" s="435"/>
      <c r="O847" s="435"/>
      <c r="P847" s="435"/>
      <c r="Q847" s="435"/>
      <c r="R847" s="435"/>
      <c r="S847" s="435"/>
      <c r="T847" s="683"/>
      <c r="U847" s="683"/>
    </row>
    <row r="848">
      <c r="A848" s="723"/>
      <c r="B848" s="115"/>
      <c r="C848" s="724"/>
      <c r="D848" s="115"/>
      <c r="E848" s="115"/>
      <c r="F848" s="115"/>
      <c r="G848" s="666"/>
      <c r="H848" s="115"/>
      <c r="I848" s="115"/>
      <c r="J848" s="115"/>
      <c r="K848" s="435"/>
      <c r="L848" s="435"/>
      <c r="M848" s="435"/>
      <c r="N848" s="435"/>
      <c r="O848" s="435"/>
      <c r="P848" s="435"/>
      <c r="Q848" s="435"/>
      <c r="R848" s="435"/>
      <c r="S848" s="435"/>
      <c r="T848" s="683"/>
      <c r="U848" s="683"/>
    </row>
    <row r="849">
      <c r="A849" s="723"/>
      <c r="B849" s="115"/>
      <c r="C849" s="724"/>
      <c r="D849" s="115"/>
      <c r="E849" s="115"/>
      <c r="F849" s="115"/>
      <c r="G849" s="666"/>
      <c r="H849" s="115"/>
      <c r="I849" s="115"/>
      <c r="J849" s="115"/>
      <c r="K849" s="435"/>
      <c r="L849" s="435"/>
      <c r="M849" s="435"/>
      <c r="N849" s="435"/>
      <c r="O849" s="435"/>
      <c r="P849" s="435"/>
      <c r="Q849" s="435"/>
      <c r="R849" s="435"/>
      <c r="S849" s="435"/>
      <c r="T849" s="683"/>
      <c r="U849" s="683"/>
    </row>
    <row r="850">
      <c r="A850" s="723"/>
      <c r="B850" s="115"/>
      <c r="C850" s="724"/>
      <c r="D850" s="115"/>
      <c r="E850" s="115"/>
      <c r="F850" s="115"/>
      <c r="G850" s="666"/>
      <c r="H850" s="115"/>
      <c r="I850" s="115"/>
      <c r="J850" s="115"/>
      <c r="K850" s="435"/>
      <c r="L850" s="435"/>
      <c r="M850" s="435"/>
      <c r="N850" s="435"/>
      <c r="O850" s="435"/>
      <c r="P850" s="435"/>
      <c r="Q850" s="435"/>
      <c r="R850" s="435"/>
      <c r="S850" s="435"/>
      <c r="T850" s="683"/>
      <c r="U850" s="683"/>
    </row>
    <row r="851">
      <c r="A851" s="723"/>
      <c r="B851" s="115"/>
      <c r="C851" s="724"/>
      <c r="D851" s="115"/>
      <c r="E851" s="115"/>
      <c r="F851" s="115"/>
      <c r="G851" s="666"/>
      <c r="H851" s="115"/>
      <c r="I851" s="115"/>
      <c r="J851" s="115"/>
      <c r="K851" s="435"/>
      <c r="L851" s="435"/>
      <c r="M851" s="435"/>
      <c r="N851" s="435"/>
      <c r="O851" s="435"/>
      <c r="P851" s="435"/>
      <c r="Q851" s="435"/>
      <c r="R851" s="435"/>
      <c r="S851" s="435"/>
      <c r="T851" s="683"/>
      <c r="U851" s="683"/>
    </row>
    <row r="852">
      <c r="A852" s="723"/>
      <c r="B852" s="115"/>
      <c r="C852" s="724"/>
      <c r="D852" s="115"/>
      <c r="E852" s="115"/>
      <c r="F852" s="115"/>
      <c r="G852" s="666"/>
      <c r="H852" s="115"/>
      <c r="I852" s="115"/>
      <c r="J852" s="115"/>
      <c r="K852" s="435"/>
      <c r="L852" s="435"/>
      <c r="M852" s="435"/>
      <c r="N852" s="435"/>
      <c r="O852" s="435"/>
      <c r="P852" s="435"/>
      <c r="Q852" s="435"/>
      <c r="R852" s="435"/>
      <c r="S852" s="435"/>
      <c r="T852" s="683"/>
      <c r="U852" s="683"/>
    </row>
    <row r="853">
      <c r="A853" s="723"/>
      <c r="B853" s="115"/>
      <c r="C853" s="724"/>
      <c r="D853" s="115"/>
      <c r="E853" s="115"/>
      <c r="F853" s="115"/>
      <c r="G853" s="666"/>
      <c r="H853" s="115"/>
      <c r="I853" s="115"/>
      <c r="J853" s="115"/>
      <c r="K853" s="435"/>
      <c r="L853" s="435"/>
      <c r="M853" s="435"/>
      <c r="N853" s="435"/>
      <c r="O853" s="435"/>
      <c r="P853" s="435"/>
      <c r="Q853" s="435"/>
      <c r="R853" s="435"/>
      <c r="S853" s="435"/>
      <c r="T853" s="683"/>
      <c r="U853" s="683"/>
    </row>
    <row r="854">
      <c r="A854" s="723"/>
      <c r="B854" s="115"/>
      <c r="C854" s="724"/>
      <c r="D854" s="115"/>
      <c r="E854" s="115"/>
      <c r="F854" s="115"/>
      <c r="G854" s="666"/>
      <c r="H854" s="115"/>
      <c r="I854" s="115"/>
      <c r="J854" s="115"/>
      <c r="K854" s="435"/>
      <c r="L854" s="435"/>
      <c r="M854" s="435"/>
      <c r="N854" s="435"/>
      <c r="O854" s="435"/>
      <c r="P854" s="435"/>
      <c r="Q854" s="435"/>
      <c r="R854" s="435"/>
      <c r="S854" s="435"/>
      <c r="T854" s="683"/>
      <c r="U854" s="683"/>
    </row>
    <row r="855">
      <c r="A855" s="723"/>
      <c r="B855" s="115"/>
      <c r="C855" s="724"/>
      <c r="D855" s="115"/>
      <c r="E855" s="115"/>
      <c r="F855" s="115"/>
      <c r="G855" s="666"/>
      <c r="H855" s="115"/>
      <c r="I855" s="115"/>
      <c r="J855" s="115"/>
      <c r="K855" s="435"/>
      <c r="L855" s="435"/>
      <c r="M855" s="435"/>
      <c r="N855" s="435"/>
      <c r="O855" s="435"/>
      <c r="P855" s="435"/>
      <c r="Q855" s="435"/>
      <c r="R855" s="435"/>
      <c r="S855" s="435"/>
      <c r="T855" s="683"/>
      <c r="U855" s="683"/>
    </row>
    <row r="856">
      <c r="A856" s="723"/>
      <c r="B856" s="115"/>
      <c r="C856" s="724"/>
      <c r="D856" s="115"/>
      <c r="E856" s="115"/>
      <c r="F856" s="115"/>
      <c r="G856" s="666"/>
      <c r="H856" s="115"/>
      <c r="I856" s="115"/>
      <c r="J856" s="115"/>
      <c r="K856" s="435"/>
      <c r="L856" s="435"/>
      <c r="M856" s="435"/>
      <c r="N856" s="435"/>
      <c r="O856" s="435"/>
      <c r="P856" s="435"/>
      <c r="Q856" s="435"/>
      <c r="R856" s="435"/>
      <c r="S856" s="435"/>
      <c r="T856" s="683"/>
      <c r="U856" s="683"/>
    </row>
    <row r="857">
      <c r="A857" s="723"/>
      <c r="B857" s="115"/>
      <c r="C857" s="724"/>
      <c r="D857" s="115"/>
      <c r="E857" s="115"/>
      <c r="F857" s="115"/>
      <c r="G857" s="666"/>
      <c r="H857" s="115"/>
      <c r="I857" s="115"/>
      <c r="J857" s="115"/>
      <c r="K857" s="435"/>
      <c r="L857" s="435"/>
      <c r="M857" s="435"/>
      <c r="N857" s="435"/>
      <c r="O857" s="435"/>
      <c r="P857" s="435"/>
      <c r="Q857" s="435"/>
      <c r="R857" s="435"/>
      <c r="S857" s="435"/>
      <c r="T857" s="683"/>
      <c r="U857" s="683"/>
    </row>
    <row r="858">
      <c r="A858" s="723"/>
      <c r="B858" s="115"/>
      <c r="C858" s="724"/>
      <c r="D858" s="115"/>
      <c r="E858" s="115"/>
      <c r="F858" s="115"/>
      <c r="G858" s="666"/>
      <c r="H858" s="115"/>
      <c r="I858" s="115"/>
      <c r="J858" s="115"/>
      <c r="K858" s="435"/>
      <c r="L858" s="435"/>
      <c r="M858" s="435"/>
      <c r="N858" s="435"/>
      <c r="O858" s="435"/>
      <c r="P858" s="435"/>
      <c r="Q858" s="435"/>
      <c r="R858" s="435"/>
      <c r="S858" s="435"/>
      <c r="T858" s="683"/>
      <c r="U858" s="683"/>
    </row>
    <row r="859">
      <c r="A859" s="723"/>
      <c r="B859" s="115"/>
      <c r="C859" s="724"/>
      <c r="D859" s="115"/>
      <c r="E859" s="115"/>
      <c r="F859" s="115"/>
      <c r="G859" s="666"/>
      <c r="H859" s="115"/>
      <c r="I859" s="115"/>
      <c r="J859" s="115"/>
      <c r="K859" s="435"/>
      <c r="L859" s="435"/>
      <c r="M859" s="435"/>
      <c r="N859" s="435"/>
      <c r="O859" s="435"/>
      <c r="P859" s="435"/>
      <c r="Q859" s="435"/>
      <c r="R859" s="435"/>
      <c r="S859" s="435"/>
      <c r="T859" s="683"/>
      <c r="U859" s="683"/>
    </row>
    <row r="860">
      <c r="A860" s="723"/>
      <c r="B860" s="115"/>
      <c r="C860" s="724"/>
      <c r="D860" s="115"/>
      <c r="E860" s="115"/>
      <c r="F860" s="115"/>
      <c r="G860" s="666"/>
      <c r="H860" s="115"/>
      <c r="I860" s="115"/>
      <c r="J860" s="115"/>
      <c r="K860" s="435"/>
      <c r="L860" s="435"/>
      <c r="M860" s="435"/>
      <c r="N860" s="435"/>
      <c r="O860" s="435"/>
      <c r="P860" s="435"/>
      <c r="Q860" s="435"/>
      <c r="R860" s="435"/>
      <c r="S860" s="435"/>
      <c r="T860" s="683"/>
      <c r="U860" s="683"/>
    </row>
    <row r="861">
      <c r="A861" s="723"/>
      <c r="B861" s="115"/>
      <c r="C861" s="724"/>
      <c r="D861" s="115"/>
      <c r="E861" s="115"/>
      <c r="F861" s="115"/>
      <c r="G861" s="666"/>
      <c r="H861" s="115"/>
      <c r="I861" s="115"/>
      <c r="J861" s="115"/>
      <c r="K861" s="435"/>
      <c r="L861" s="435"/>
      <c r="M861" s="435"/>
      <c r="N861" s="435"/>
      <c r="O861" s="435"/>
      <c r="P861" s="435"/>
      <c r="Q861" s="435"/>
      <c r="R861" s="435"/>
      <c r="S861" s="435"/>
      <c r="T861" s="683"/>
      <c r="U861" s="683"/>
    </row>
    <row r="862">
      <c r="A862" s="723"/>
      <c r="B862" s="115"/>
      <c r="C862" s="724"/>
      <c r="D862" s="115"/>
      <c r="E862" s="115"/>
      <c r="F862" s="115"/>
      <c r="G862" s="666"/>
      <c r="H862" s="115"/>
      <c r="I862" s="115"/>
      <c r="J862" s="115"/>
      <c r="K862" s="435"/>
      <c r="L862" s="435"/>
      <c r="M862" s="435"/>
      <c r="N862" s="435"/>
      <c r="O862" s="435"/>
      <c r="P862" s="435"/>
      <c r="Q862" s="435"/>
      <c r="R862" s="435"/>
      <c r="S862" s="435"/>
      <c r="T862" s="683"/>
      <c r="U862" s="683"/>
    </row>
    <row r="863">
      <c r="A863" s="723"/>
      <c r="B863" s="115"/>
      <c r="C863" s="724"/>
      <c r="D863" s="115"/>
      <c r="E863" s="115"/>
      <c r="F863" s="115"/>
      <c r="G863" s="666"/>
      <c r="H863" s="115"/>
      <c r="I863" s="115"/>
      <c r="J863" s="115"/>
      <c r="K863" s="435"/>
      <c r="L863" s="435"/>
      <c r="M863" s="435"/>
      <c r="N863" s="435"/>
      <c r="O863" s="435"/>
      <c r="P863" s="435"/>
      <c r="Q863" s="435"/>
      <c r="R863" s="435"/>
      <c r="S863" s="435"/>
      <c r="T863" s="683"/>
      <c r="U863" s="683"/>
    </row>
    <row r="864">
      <c r="A864" s="723"/>
      <c r="B864" s="115"/>
      <c r="C864" s="724"/>
      <c r="D864" s="115"/>
      <c r="E864" s="115"/>
      <c r="F864" s="115"/>
      <c r="G864" s="666"/>
      <c r="H864" s="115"/>
      <c r="I864" s="115"/>
      <c r="J864" s="115"/>
      <c r="K864" s="435"/>
      <c r="L864" s="435"/>
      <c r="M864" s="435"/>
      <c r="N864" s="435"/>
      <c r="O864" s="435"/>
      <c r="P864" s="435"/>
      <c r="Q864" s="435"/>
      <c r="R864" s="435"/>
      <c r="S864" s="435"/>
      <c r="T864" s="683"/>
      <c r="U864" s="683"/>
    </row>
    <row r="865">
      <c r="A865" s="723"/>
      <c r="B865" s="115"/>
      <c r="C865" s="724"/>
      <c r="D865" s="115"/>
      <c r="E865" s="115"/>
      <c r="F865" s="115"/>
      <c r="G865" s="666"/>
      <c r="H865" s="115"/>
      <c r="I865" s="115"/>
      <c r="J865" s="115"/>
      <c r="K865" s="435"/>
      <c r="L865" s="435"/>
      <c r="M865" s="435"/>
      <c r="N865" s="435"/>
      <c r="O865" s="435"/>
      <c r="P865" s="435"/>
      <c r="Q865" s="435"/>
      <c r="R865" s="435"/>
      <c r="S865" s="435"/>
      <c r="T865" s="683"/>
      <c r="U865" s="683"/>
    </row>
    <row r="866">
      <c r="A866" s="723"/>
      <c r="B866" s="115"/>
      <c r="C866" s="724"/>
      <c r="D866" s="115"/>
      <c r="E866" s="115"/>
      <c r="F866" s="115"/>
      <c r="G866" s="666"/>
      <c r="H866" s="115"/>
      <c r="I866" s="115"/>
      <c r="J866" s="115"/>
      <c r="K866" s="435"/>
      <c r="L866" s="435"/>
      <c r="M866" s="435"/>
      <c r="N866" s="435"/>
      <c r="O866" s="435"/>
      <c r="P866" s="435"/>
      <c r="Q866" s="435"/>
      <c r="R866" s="435"/>
      <c r="S866" s="435"/>
      <c r="T866" s="683"/>
      <c r="U866" s="683"/>
    </row>
    <row r="867">
      <c r="A867" s="723"/>
      <c r="B867" s="115"/>
      <c r="C867" s="724"/>
      <c r="D867" s="115"/>
      <c r="E867" s="115"/>
      <c r="F867" s="115"/>
      <c r="G867" s="666"/>
      <c r="H867" s="115"/>
      <c r="I867" s="115"/>
      <c r="J867" s="115"/>
      <c r="K867" s="435"/>
      <c r="L867" s="435"/>
      <c r="M867" s="435"/>
      <c r="N867" s="435"/>
      <c r="O867" s="435"/>
      <c r="P867" s="435"/>
      <c r="Q867" s="435"/>
      <c r="R867" s="435"/>
      <c r="S867" s="435"/>
      <c r="T867" s="683"/>
      <c r="U867" s="683"/>
    </row>
    <row r="868">
      <c r="A868" s="723"/>
      <c r="B868" s="115"/>
      <c r="C868" s="724"/>
      <c r="D868" s="115"/>
      <c r="E868" s="115"/>
      <c r="F868" s="115"/>
      <c r="G868" s="666"/>
      <c r="H868" s="115"/>
      <c r="I868" s="115"/>
      <c r="J868" s="115"/>
      <c r="K868" s="435"/>
      <c r="L868" s="435"/>
      <c r="M868" s="435"/>
      <c r="N868" s="435"/>
      <c r="O868" s="435"/>
      <c r="P868" s="435"/>
      <c r="Q868" s="435"/>
      <c r="R868" s="435"/>
      <c r="S868" s="435"/>
      <c r="T868" s="683"/>
      <c r="U868" s="683"/>
    </row>
    <row r="869">
      <c r="A869" s="723"/>
      <c r="B869" s="115"/>
      <c r="C869" s="724"/>
      <c r="D869" s="115"/>
      <c r="E869" s="115"/>
      <c r="F869" s="115"/>
      <c r="G869" s="666"/>
      <c r="H869" s="115"/>
      <c r="I869" s="115"/>
      <c r="J869" s="115"/>
      <c r="K869" s="435"/>
      <c r="L869" s="435"/>
      <c r="M869" s="435"/>
      <c r="N869" s="435"/>
      <c r="O869" s="435"/>
      <c r="P869" s="435"/>
      <c r="Q869" s="435"/>
      <c r="R869" s="435"/>
      <c r="S869" s="435"/>
      <c r="T869" s="683"/>
      <c r="U869" s="683"/>
    </row>
    <row r="870">
      <c r="A870" s="723"/>
      <c r="B870" s="115"/>
      <c r="C870" s="724"/>
      <c r="D870" s="115"/>
      <c r="E870" s="115"/>
      <c r="F870" s="115"/>
      <c r="G870" s="666"/>
      <c r="H870" s="115"/>
      <c r="I870" s="115"/>
      <c r="J870" s="115"/>
      <c r="K870" s="435"/>
      <c r="L870" s="435"/>
      <c r="M870" s="435"/>
      <c r="N870" s="435"/>
      <c r="O870" s="435"/>
      <c r="P870" s="435"/>
      <c r="Q870" s="435"/>
      <c r="R870" s="435"/>
      <c r="S870" s="435"/>
      <c r="T870" s="683"/>
      <c r="U870" s="683"/>
    </row>
    <row r="871">
      <c r="A871" s="723"/>
      <c r="B871" s="115"/>
      <c r="C871" s="724"/>
      <c r="D871" s="115"/>
      <c r="E871" s="115"/>
      <c r="F871" s="115"/>
      <c r="G871" s="666"/>
      <c r="H871" s="115"/>
      <c r="I871" s="115"/>
      <c r="J871" s="115"/>
      <c r="K871" s="435"/>
      <c r="L871" s="435"/>
      <c r="M871" s="435"/>
      <c r="N871" s="435"/>
      <c r="O871" s="435"/>
      <c r="P871" s="435"/>
      <c r="Q871" s="435"/>
      <c r="R871" s="435"/>
      <c r="S871" s="435"/>
      <c r="T871" s="683"/>
      <c r="U871" s="683"/>
    </row>
    <row r="872">
      <c r="A872" s="723"/>
      <c r="B872" s="115"/>
      <c r="C872" s="724"/>
      <c r="D872" s="115"/>
      <c r="E872" s="115"/>
      <c r="F872" s="115"/>
      <c r="G872" s="666"/>
      <c r="H872" s="115"/>
      <c r="I872" s="115"/>
      <c r="J872" s="115"/>
      <c r="K872" s="115"/>
      <c r="L872" s="115"/>
      <c r="M872" s="115"/>
      <c r="N872" s="115"/>
      <c r="O872" s="115"/>
      <c r="P872" s="115"/>
      <c r="Q872" s="115"/>
      <c r="R872" s="115"/>
      <c r="S872" s="115"/>
      <c r="T872" s="335"/>
      <c r="U872" s="335"/>
    </row>
    <row r="873">
      <c r="A873" s="723"/>
      <c r="B873" s="115"/>
      <c r="C873" s="724"/>
      <c r="D873" s="115"/>
      <c r="E873" s="115"/>
      <c r="F873" s="115"/>
      <c r="G873" s="666"/>
      <c r="H873" s="115"/>
      <c r="I873" s="115"/>
      <c r="J873" s="115"/>
      <c r="K873" s="115"/>
      <c r="L873" s="115"/>
      <c r="M873" s="115"/>
      <c r="N873" s="115"/>
      <c r="O873" s="115"/>
      <c r="P873" s="115"/>
      <c r="Q873" s="115"/>
      <c r="R873" s="115"/>
      <c r="S873" s="115"/>
      <c r="T873" s="335"/>
      <c r="U873" s="335"/>
    </row>
    <row r="874">
      <c r="A874" s="723"/>
      <c r="B874" s="115"/>
      <c r="C874" s="724"/>
      <c r="D874" s="115"/>
      <c r="E874" s="115"/>
      <c r="F874" s="115"/>
      <c r="G874" s="666"/>
      <c r="H874" s="115"/>
      <c r="I874" s="115"/>
      <c r="J874" s="115"/>
      <c r="K874" s="115"/>
      <c r="L874" s="115"/>
      <c r="M874" s="115"/>
      <c r="N874" s="115"/>
      <c r="O874" s="115"/>
      <c r="P874" s="115"/>
      <c r="Q874" s="115"/>
      <c r="R874" s="115"/>
      <c r="S874" s="115"/>
      <c r="T874" s="335"/>
      <c r="U874" s="335"/>
    </row>
    <row r="875">
      <c r="A875" s="723"/>
      <c r="B875" s="115"/>
      <c r="C875" s="724"/>
      <c r="D875" s="115"/>
      <c r="E875" s="115"/>
      <c r="F875" s="115"/>
      <c r="G875" s="666"/>
      <c r="H875" s="115"/>
      <c r="I875" s="115"/>
      <c r="J875" s="115"/>
      <c r="K875" s="115"/>
      <c r="L875" s="115"/>
      <c r="M875" s="115"/>
      <c r="N875" s="115"/>
      <c r="O875" s="115"/>
      <c r="P875" s="115"/>
      <c r="Q875" s="115"/>
      <c r="R875" s="115"/>
      <c r="S875" s="115"/>
      <c r="T875" s="335"/>
      <c r="U875" s="335"/>
    </row>
    <row r="876">
      <c r="A876" s="723"/>
      <c r="B876" s="115"/>
      <c r="C876" s="724"/>
      <c r="D876" s="115"/>
      <c r="E876" s="115"/>
      <c r="F876" s="115"/>
      <c r="G876" s="666"/>
      <c r="H876" s="115"/>
      <c r="I876" s="115"/>
      <c r="J876" s="115"/>
      <c r="K876" s="115"/>
      <c r="L876" s="115"/>
      <c r="M876" s="115"/>
      <c r="N876" s="115"/>
      <c r="O876" s="115"/>
      <c r="P876" s="115"/>
      <c r="Q876" s="115"/>
      <c r="R876" s="115"/>
      <c r="S876" s="115"/>
      <c r="T876" s="335"/>
      <c r="U876" s="335"/>
    </row>
    <row r="877">
      <c r="A877" s="723"/>
      <c r="B877" s="115"/>
      <c r="C877" s="724"/>
      <c r="D877" s="115"/>
      <c r="E877" s="115"/>
      <c r="F877" s="115"/>
      <c r="G877" s="666"/>
      <c r="H877" s="115"/>
      <c r="I877" s="115"/>
      <c r="J877" s="115"/>
      <c r="K877" s="115"/>
      <c r="L877" s="115"/>
      <c r="M877" s="115"/>
      <c r="N877" s="115"/>
      <c r="O877" s="115"/>
      <c r="P877" s="115"/>
      <c r="Q877" s="115"/>
      <c r="R877" s="115"/>
      <c r="S877" s="115"/>
      <c r="T877" s="335"/>
      <c r="U877" s="335"/>
    </row>
    <row r="878">
      <c r="A878" s="723"/>
      <c r="B878" s="115"/>
      <c r="C878" s="724"/>
      <c r="D878" s="115"/>
      <c r="E878" s="115"/>
      <c r="F878" s="115"/>
      <c r="G878" s="666"/>
      <c r="H878" s="115"/>
      <c r="I878" s="115"/>
      <c r="J878" s="115"/>
      <c r="K878" s="115"/>
      <c r="L878" s="115"/>
      <c r="M878" s="115"/>
      <c r="N878" s="115"/>
      <c r="O878" s="115"/>
      <c r="P878" s="115"/>
      <c r="Q878" s="115"/>
      <c r="R878" s="115"/>
      <c r="S878" s="115"/>
      <c r="T878" s="335"/>
      <c r="U878" s="335"/>
    </row>
    <row r="879">
      <c r="A879" s="723"/>
      <c r="B879" s="115"/>
      <c r="C879" s="724"/>
      <c r="D879" s="115"/>
      <c r="E879" s="115"/>
      <c r="F879" s="115"/>
      <c r="G879" s="666"/>
      <c r="H879" s="115"/>
      <c r="I879" s="115"/>
      <c r="J879" s="115"/>
      <c r="K879" s="115"/>
      <c r="L879" s="115"/>
      <c r="M879" s="115"/>
      <c r="N879" s="115"/>
      <c r="O879" s="115"/>
      <c r="P879" s="115"/>
      <c r="Q879" s="115"/>
      <c r="R879" s="115"/>
      <c r="S879" s="115"/>
      <c r="T879" s="335"/>
      <c r="U879" s="335"/>
    </row>
    <row r="880">
      <c r="A880" s="723"/>
      <c r="B880" s="115"/>
      <c r="C880" s="724"/>
      <c r="D880" s="115"/>
      <c r="E880" s="115"/>
      <c r="F880" s="115"/>
      <c r="G880" s="666"/>
      <c r="H880" s="115"/>
      <c r="I880" s="115"/>
      <c r="J880" s="115"/>
      <c r="K880" s="115"/>
      <c r="L880" s="115"/>
      <c r="M880" s="115"/>
      <c r="N880" s="115"/>
      <c r="O880" s="115"/>
      <c r="P880" s="115"/>
      <c r="Q880" s="115"/>
      <c r="R880" s="115"/>
      <c r="S880" s="115"/>
      <c r="T880" s="335"/>
      <c r="U880" s="335"/>
    </row>
    <row r="881">
      <c r="A881" s="723"/>
      <c r="B881" s="115"/>
      <c r="C881" s="724"/>
      <c r="D881" s="115"/>
      <c r="E881" s="115"/>
      <c r="F881" s="115"/>
      <c r="G881" s="666"/>
      <c r="H881" s="115"/>
      <c r="I881" s="115"/>
      <c r="J881" s="115"/>
      <c r="K881" s="115"/>
      <c r="L881" s="115"/>
      <c r="M881" s="115"/>
      <c r="N881" s="115"/>
      <c r="O881" s="115"/>
      <c r="P881" s="115"/>
      <c r="Q881" s="115"/>
      <c r="R881" s="115"/>
      <c r="S881" s="115"/>
      <c r="T881" s="335"/>
      <c r="U881" s="335"/>
    </row>
    <row r="882">
      <c r="A882" s="723"/>
      <c r="B882" s="115"/>
      <c r="C882" s="724"/>
      <c r="D882" s="115"/>
      <c r="E882" s="115"/>
      <c r="F882" s="115"/>
      <c r="G882" s="666"/>
      <c r="H882" s="115"/>
      <c r="I882" s="115"/>
      <c r="J882" s="115"/>
      <c r="K882" s="115"/>
      <c r="L882" s="115"/>
      <c r="M882" s="115"/>
      <c r="N882" s="115"/>
      <c r="O882" s="115"/>
      <c r="P882" s="115"/>
      <c r="Q882" s="115"/>
      <c r="R882" s="115"/>
      <c r="S882" s="115"/>
      <c r="T882" s="335"/>
      <c r="U882" s="335"/>
    </row>
    <row r="883">
      <c r="A883" s="723"/>
      <c r="B883" s="115"/>
      <c r="C883" s="724"/>
      <c r="D883" s="115"/>
      <c r="E883" s="115"/>
      <c r="F883" s="115"/>
      <c r="G883" s="666"/>
      <c r="H883" s="115"/>
      <c r="I883" s="115"/>
      <c r="J883" s="115"/>
      <c r="K883" s="115"/>
      <c r="L883" s="115"/>
      <c r="M883" s="115"/>
      <c r="N883" s="115"/>
      <c r="O883" s="115"/>
      <c r="P883" s="115"/>
      <c r="Q883" s="115"/>
      <c r="R883" s="115"/>
      <c r="S883" s="115"/>
      <c r="T883" s="335"/>
      <c r="U883" s="335"/>
    </row>
    <row r="884">
      <c r="A884" s="723"/>
      <c r="B884" s="115"/>
      <c r="C884" s="724"/>
      <c r="D884" s="115"/>
      <c r="E884" s="115"/>
      <c r="F884" s="115"/>
      <c r="G884" s="666"/>
      <c r="H884" s="115"/>
      <c r="I884" s="115"/>
      <c r="J884" s="115"/>
      <c r="K884" s="115"/>
      <c r="L884" s="115"/>
      <c r="M884" s="115"/>
      <c r="N884" s="115"/>
      <c r="O884" s="115"/>
      <c r="P884" s="115"/>
      <c r="Q884" s="115"/>
      <c r="R884" s="115"/>
      <c r="S884" s="115"/>
      <c r="T884" s="335"/>
      <c r="U884" s="335"/>
    </row>
    <row r="885">
      <c r="A885" s="723"/>
      <c r="B885" s="115"/>
      <c r="C885" s="724"/>
      <c r="D885" s="115"/>
      <c r="E885" s="115"/>
      <c r="F885" s="115"/>
      <c r="G885" s="666"/>
      <c r="H885" s="115"/>
      <c r="I885" s="115"/>
      <c r="J885" s="115"/>
      <c r="K885" s="115"/>
      <c r="L885" s="115"/>
      <c r="M885" s="115"/>
      <c r="N885" s="115"/>
      <c r="O885" s="115"/>
      <c r="P885" s="115"/>
      <c r="Q885" s="115"/>
      <c r="R885" s="115"/>
      <c r="S885" s="115"/>
      <c r="T885" s="335"/>
      <c r="U885" s="335"/>
    </row>
    <row r="886">
      <c r="A886" s="723"/>
      <c r="B886" s="115"/>
      <c r="C886" s="724"/>
      <c r="D886" s="115"/>
      <c r="E886" s="115"/>
      <c r="F886" s="115"/>
      <c r="G886" s="666"/>
      <c r="H886" s="115"/>
      <c r="I886" s="115"/>
      <c r="J886" s="115"/>
      <c r="K886" s="115"/>
      <c r="L886" s="115"/>
      <c r="M886" s="115"/>
      <c r="N886" s="115"/>
      <c r="O886" s="115"/>
      <c r="P886" s="115"/>
      <c r="Q886" s="115"/>
      <c r="R886" s="115"/>
      <c r="S886" s="115"/>
      <c r="T886" s="335"/>
      <c r="U886" s="335"/>
    </row>
    <row r="887">
      <c r="A887" s="723"/>
      <c r="B887" s="115"/>
      <c r="C887" s="724"/>
      <c r="D887" s="115"/>
      <c r="E887" s="115"/>
      <c r="F887" s="115"/>
      <c r="G887" s="666"/>
      <c r="H887" s="115"/>
      <c r="I887" s="115"/>
      <c r="J887" s="115"/>
      <c r="K887" s="115"/>
      <c r="L887" s="115"/>
      <c r="M887" s="115"/>
      <c r="N887" s="115"/>
      <c r="O887" s="115"/>
      <c r="P887" s="115"/>
      <c r="Q887" s="115"/>
      <c r="R887" s="115"/>
      <c r="S887" s="115"/>
      <c r="T887" s="335"/>
      <c r="U887" s="335"/>
    </row>
    <row r="888">
      <c r="A888" s="723"/>
      <c r="B888" s="115"/>
      <c r="C888" s="724"/>
      <c r="D888" s="115"/>
      <c r="E888" s="115"/>
      <c r="F888" s="115"/>
      <c r="G888" s="666"/>
      <c r="H888" s="115"/>
      <c r="I888" s="115"/>
      <c r="J888" s="115"/>
      <c r="K888" s="115"/>
      <c r="L888" s="115"/>
      <c r="M888" s="115"/>
      <c r="N888" s="115"/>
      <c r="O888" s="115"/>
      <c r="P888" s="115"/>
      <c r="Q888" s="115"/>
      <c r="R888" s="115"/>
      <c r="S888" s="115"/>
      <c r="T888" s="335"/>
      <c r="U888" s="335"/>
    </row>
    <row r="889">
      <c r="A889" s="723"/>
      <c r="B889" s="115"/>
      <c r="C889" s="724"/>
      <c r="D889" s="115"/>
      <c r="E889" s="115"/>
      <c r="F889" s="115"/>
      <c r="G889" s="666"/>
      <c r="H889" s="115"/>
      <c r="I889" s="115"/>
      <c r="J889" s="115"/>
      <c r="K889" s="115"/>
      <c r="L889" s="115"/>
      <c r="M889" s="115"/>
      <c r="N889" s="115"/>
      <c r="O889" s="115"/>
      <c r="P889" s="115"/>
      <c r="Q889" s="115"/>
      <c r="R889" s="115"/>
      <c r="S889" s="115"/>
      <c r="T889" s="335"/>
      <c r="U889" s="335"/>
    </row>
    <row r="890">
      <c r="A890" s="723"/>
      <c r="B890" s="115"/>
      <c r="C890" s="724"/>
      <c r="D890" s="115"/>
      <c r="E890" s="115"/>
      <c r="F890" s="115"/>
      <c r="G890" s="666"/>
      <c r="H890" s="115"/>
      <c r="I890" s="115"/>
      <c r="J890" s="115"/>
      <c r="K890" s="115"/>
      <c r="L890" s="115"/>
      <c r="M890" s="115"/>
      <c r="N890" s="115"/>
      <c r="O890" s="115"/>
      <c r="P890" s="115"/>
      <c r="Q890" s="115"/>
      <c r="R890" s="115"/>
      <c r="S890" s="115"/>
      <c r="T890" s="335"/>
      <c r="U890" s="335"/>
    </row>
    <row r="891">
      <c r="A891" s="723"/>
      <c r="B891" s="115"/>
      <c r="C891" s="724"/>
      <c r="D891" s="115"/>
      <c r="E891" s="115"/>
      <c r="F891" s="115"/>
      <c r="G891" s="666"/>
      <c r="H891" s="115"/>
      <c r="I891" s="115"/>
      <c r="J891" s="115"/>
      <c r="K891" s="115"/>
      <c r="L891" s="115"/>
      <c r="M891" s="115"/>
      <c r="N891" s="115"/>
      <c r="O891" s="115"/>
      <c r="P891" s="115"/>
      <c r="Q891" s="115"/>
      <c r="R891" s="115"/>
      <c r="S891" s="115"/>
      <c r="T891" s="335"/>
      <c r="U891" s="335"/>
    </row>
    <row r="892">
      <c r="A892" s="723"/>
      <c r="B892" s="115"/>
      <c r="C892" s="724"/>
      <c r="D892" s="115"/>
      <c r="E892" s="115"/>
      <c r="F892" s="115"/>
      <c r="G892" s="666"/>
      <c r="H892" s="115"/>
      <c r="I892" s="115"/>
      <c r="J892" s="115"/>
      <c r="K892" s="115"/>
      <c r="L892" s="115"/>
      <c r="M892" s="115"/>
      <c r="N892" s="115"/>
      <c r="O892" s="115"/>
      <c r="P892" s="115"/>
      <c r="Q892" s="115"/>
      <c r="R892" s="115"/>
      <c r="S892" s="115"/>
      <c r="T892" s="335"/>
      <c r="U892" s="335"/>
    </row>
    <row r="893">
      <c r="A893" s="723"/>
      <c r="B893" s="115"/>
      <c r="C893" s="724"/>
      <c r="D893" s="115"/>
      <c r="E893" s="115"/>
      <c r="F893" s="115"/>
      <c r="G893" s="666"/>
      <c r="H893" s="115"/>
      <c r="I893" s="115"/>
      <c r="J893" s="115"/>
      <c r="K893" s="115"/>
      <c r="L893" s="115"/>
      <c r="M893" s="115"/>
      <c r="N893" s="115"/>
      <c r="O893" s="115"/>
      <c r="P893" s="115"/>
      <c r="Q893" s="115"/>
      <c r="R893" s="115"/>
      <c r="S893" s="115"/>
      <c r="T893" s="335"/>
      <c r="U893" s="335"/>
    </row>
    <row r="894">
      <c r="A894" s="723"/>
      <c r="B894" s="115"/>
      <c r="C894" s="724"/>
      <c r="D894" s="115"/>
      <c r="E894" s="115"/>
      <c r="F894" s="115"/>
      <c r="G894" s="666"/>
      <c r="H894" s="115"/>
      <c r="I894" s="115"/>
      <c r="J894" s="115"/>
      <c r="K894" s="115"/>
      <c r="L894" s="115"/>
      <c r="M894" s="115"/>
      <c r="N894" s="115"/>
      <c r="O894" s="115"/>
      <c r="P894" s="115"/>
      <c r="Q894" s="115"/>
      <c r="R894" s="115"/>
      <c r="S894" s="115"/>
      <c r="T894" s="335"/>
      <c r="U894" s="335"/>
    </row>
    <row r="895">
      <c r="A895" s="723"/>
      <c r="B895" s="115"/>
      <c r="C895" s="724"/>
      <c r="D895" s="115"/>
      <c r="E895" s="115"/>
      <c r="F895" s="115"/>
      <c r="G895" s="666"/>
      <c r="H895" s="115"/>
      <c r="I895" s="115"/>
      <c r="J895" s="115"/>
      <c r="K895" s="115"/>
      <c r="L895" s="115"/>
      <c r="M895" s="115"/>
      <c r="N895" s="115"/>
      <c r="O895" s="115"/>
      <c r="P895" s="115"/>
      <c r="Q895" s="115"/>
      <c r="R895" s="115"/>
      <c r="S895" s="115"/>
      <c r="T895" s="335"/>
      <c r="U895" s="335"/>
    </row>
    <row r="896">
      <c r="A896" s="723"/>
      <c r="B896" s="115"/>
      <c r="C896" s="724"/>
      <c r="D896" s="115"/>
      <c r="E896" s="115"/>
      <c r="F896" s="115"/>
      <c r="G896" s="666"/>
      <c r="H896" s="115"/>
      <c r="I896" s="115"/>
      <c r="J896" s="115"/>
      <c r="K896" s="115"/>
      <c r="L896" s="115"/>
      <c r="M896" s="115"/>
      <c r="N896" s="115"/>
      <c r="O896" s="115"/>
      <c r="P896" s="115"/>
      <c r="Q896" s="115"/>
      <c r="R896" s="115"/>
      <c r="S896" s="115"/>
      <c r="T896" s="335"/>
      <c r="U896" s="335"/>
    </row>
    <row r="897">
      <c r="A897" s="723"/>
      <c r="B897" s="115"/>
      <c r="C897" s="724"/>
      <c r="D897" s="115"/>
      <c r="E897" s="115"/>
      <c r="F897" s="115"/>
      <c r="G897" s="666"/>
      <c r="H897" s="115"/>
      <c r="I897" s="115"/>
      <c r="J897" s="115"/>
      <c r="K897" s="115"/>
      <c r="L897" s="115"/>
      <c r="M897" s="115"/>
      <c r="N897" s="115"/>
      <c r="O897" s="115"/>
      <c r="P897" s="115"/>
      <c r="Q897" s="115"/>
      <c r="R897" s="115"/>
      <c r="S897" s="115"/>
      <c r="T897" s="335"/>
      <c r="U897" s="335"/>
    </row>
    <row r="898">
      <c r="A898" s="723"/>
      <c r="B898" s="115"/>
      <c r="C898" s="724"/>
      <c r="D898" s="115"/>
      <c r="E898" s="115"/>
      <c r="F898" s="115"/>
      <c r="G898" s="666"/>
      <c r="H898" s="115"/>
      <c r="I898" s="115"/>
      <c r="J898" s="115"/>
      <c r="K898" s="115"/>
      <c r="L898" s="115"/>
      <c r="M898" s="115"/>
      <c r="N898" s="115"/>
      <c r="O898" s="115"/>
      <c r="P898" s="115"/>
      <c r="Q898" s="115"/>
      <c r="R898" s="115"/>
      <c r="S898" s="115"/>
      <c r="T898" s="335"/>
      <c r="U898" s="335"/>
    </row>
    <row r="899">
      <c r="A899" s="723"/>
      <c r="B899" s="115"/>
      <c r="C899" s="724"/>
      <c r="D899" s="115"/>
      <c r="E899" s="115"/>
      <c r="F899" s="115"/>
      <c r="G899" s="666"/>
      <c r="H899" s="115"/>
      <c r="I899" s="115"/>
      <c r="J899" s="115"/>
      <c r="K899" s="115"/>
      <c r="L899" s="115"/>
      <c r="M899" s="115"/>
      <c r="N899" s="115"/>
      <c r="O899" s="115"/>
      <c r="P899" s="115"/>
      <c r="Q899" s="115"/>
      <c r="R899" s="115"/>
      <c r="S899" s="115"/>
      <c r="T899" s="335"/>
      <c r="U899" s="335"/>
    </row>
    <row r="900">
      <c r="A900" s="723"/>
      <c r="B900" s="115"/>
      <c r="C900" s="724"/>
      <c r="D900" s="115"/>
      <c r="E900" s="115"/>
      <c r="F900" s="115"/>
      <c r="G900" s="666"/>
      <c r="H900" s="115"/>
      <c r="I900" s="115"/>
      <c r="J900" s="115"/>
      <c r="K900" s="115"/>
      <c r="L900" s="115"/>
      <c r="M900" s="115"/>
      <c r="N900" s="115"/>
      <c r="O900" s="115"/>
      <c r="P900" s="115"/>
      <c r="Q900" s="115"/>
      <c r="R900" s="115"/>
      <c r="S900" s="115"/>
      <c r="T900" s="335"/>
      <c r="U900" s="335"/>
    </row>
    <row r="901">
      <c r="A901" s="723"/>
      <c r="B901" s="115"/>
      <c r="C901" s="724"/>
      <c r="D901" s="115"/>
      <c r="E901" s="115"/>
      <c r="F901" s="115"/>
      <c r="G901" s="666"/>
      <c r="H901" s="115"/>
      <c r="I901" s="115"/>
      <c r="J901" s="115"/>
      <c r="K901" s="115"/>
      <c r="L901" s="115"/>
      <c r="M901" s="115"/>
      <c r="N901" s="115"/>
      <c r="O901" s="115"/>
      <c r="P901" s="115"/>
      <c r="Q901" s="115"/>
      <c r="R901" s="115"/>
      <c r="S901" s="115"/>
      <c r="T901" s="335"/>
      <c r="U901" s="335"/>
    </row>
    <row r="902">
      <c r="A902" s="723"/>
      <c r="B902" s="115"/>
      <c r="C902" s="724"/>
      <c r="D902" s="115"/>
      <c r="E902" s="115"/>
      <c r="F902" s="115"/>
      <c r="G902" s="666"/>
      <c r="H902" s="115"/>
      <c r="I902" s="115"/>
      <c r="J902" s="115"/>
      <c r="K902" s="115"/>
      <c r="L902" s="115"/>
      <c r="M902" s="115"/>
      <c r="N902" s="115"/>
      <c r="O902" s="115"/>
      <c r="P902" s="115"/>
      <c r="Q902" s="115"/>
      <c r="R902" s="115"/>
      <c r="S902" s="115"/>
      <c r="T902" s="335"/>
      <c r="U902" s="335"/>
    </row>
    <row r="903">
      <c r="A903" s="723"/>
      <c r="B903" s="115"/>
      <c r="C903" s="724"/>
      <c r="D903" s="115"/>
      <c r="E903" s="115"/>
      <c r="F903" s="115"/>
      <c r="G903" s="666"/>
      <c r="H903" s="115"/>
      <c r="I903" s="115"/>
      <c r="J903" s="115"/>
      <c r="K903" s="115"/>
      <c r="L903" s="115"/>
      <c r="M903" s="115"/>
      <c r="N903" s="115"/>
      <c r="O903" s="115"/>
      <c r="P903" s="115"/>
      <c r="Q903" s="115"/>
      <c r="R903" s="115"/>
      <c r="S903" s="115"/>
      <c r="T903" s="335"/>
      <c r="U903" s="335"/>
    </row>
    <row r="904">
      <c r="A904" s="723"/>
      <c r="B904" s="115"/>
      <c r="C904" s="724"/>
      <c r="D904" s="115"/>
      <c r="E904" s="115"/>
      <c r="F904" s="115"/>
      <c r="G904" s="666"/>
      <c r="H904" s="115"/>
      <c r="I904" s="115"/>
      <c r="J904" s="115"/>
      <c r="K904" s="115"/>
      <c r="L904" s="115"/>
      <c r="M904" s="115"/>
      <c r="N904" s="115"/>
      <c r="O904" s="115"/>
      <c r="P904" s="115"/>
      <c r="Q904" s="115"/>
      <c r="R904" s="115"/>
      <c r="S904" s="115"/>
      <c r="T904" s="335"/>
      <c r="U904" s="335"/>
    </row>
    <row r="905">
      <c r="A905" s="723"/>
      <c r="B905" s="115"/>
      <c r="C905" s="724"/>
      <c r="D905" s="115"/>
      <c r="E905" s="115"/>
      <c r="F905" s="115"/>
      <c r="G905" s="666"/>
      <c r="H905" s="115"/>
      <c r="I905" s="115"/>
      <c r="J905" s="115"/>
      <c r="K905" s="115"/>
      <c r="L905" s="115"/>
      <c r="M905" s="115"/>
      <c r="N905" s="115"/>
      <c r="O905" s="115"/>
      <c r="P905" s="115"/>
      <c r="Q905" s="115"/>
      <c r="R905" s="115"/>
      <c r="S905" s="115"/>
      <c r="T905" s="335"/>
      <c r="U905" s="335"/>
    </row>
    <row r="906">
      <c r="A906" s="723"/>
      <c r="B906" s="115"/>
      <c r="C906" s="724"/>
      <c r="D906" s="115"/>
      <c r="E906" s="115"/>
      <c r="F906" s="115"/>
      <c r="G906" s="666"/>
      <c r="H906" s="115"/>
      <c r="I906" s="115"/>
      <c r="J906" s="115"/>
      <c r="K906" s="115"/>
      <c r="L906" s="115"/>
      <c r="M906" s="115"/>
      <c r="N906" s="115"/>
      <c r="O906" s="115"/>
      <c r="P906" s="115"/>
      <c r="Q906" s="115"/>
      <c r="R906" s="115"/>
      <c r="S906" s="115"/>
      <c r="T906" s="335"/>
      <c r="U906" s="335"/>
    </row>
    <row r="907">
      <c r="A907" s="723"/>
      <c r="B907" s="115"/>
      <c r="C907" s="724"/>
      <c r="D907" s="115"/>
      <c r="E907" s="115"/>
      <c r="F907" s="115"/>
      <c r="G907" s="666"/>
      <c r="H907" s="115"/>
      <c r="I907" s="115"/>
      <c r="J907" s="115"/>
      <c r="K907" s="115"/>
      <c r="L907" s="115"/>
      <c r="M907" s="115"/>
      <c r="N907" s="115"/>
      <c r="O907" s="115"/>
      <c r="P907" s="115"/>
      <c r="Q907" s="115"/>
      <c r="R907" s="115"/>
      <c r="S907" s="115"/>
      <c r="T907" s="335"/>
      <c r="U907" s="335"/>
    </row>
    <row r="908">
      <c r="A908" s="723"/>
      <c r="B908" s="115"/>
      <c r="C908" s="724"/>
      <c r="D908" s="115"/>
      <c r="E908" s="115"/>
      <c r="F908" s="115"/>
      <c r="G908" s="666"/>
      <c r="H908" s="115"/>
      <c r="I908" s="115"/>
      <c r="J908" s="115"/>
      <c r="K908" s="115"/>
      <c r="L908" s="115"/>
      <c r="M908" s="115"/>
      <c r="N908" s="115"/>
      <c r="O908" s="115"/>
      <c r="P908" s="115"/>
      <c r="Q908" s="115"/>
      <c r="R908" s="115"/>
      <c r="S908" s="115"/>
      <c r="T908" s="335"/>
      <c r="U908" s="335"/>
    </row>
    <row r="909">
      <c r="A909" s="723"/>
      <c r="B909" s="115"/>
      <c r="C909" s="724"/>
      <c r="D909" s="115"/>
      <c r="E909" s="115"/>
      <c r="F909" s="115"/>
      <c r="G909" s="666"/>
      <c r="H909" s="115"/>
      <c r="I909" s="115"/>
      <c r="J909" s="115"/>
      <c r="K909" s="115"/>
      <c r="L909" s="115"/>
      <c r="M909" s="115"/>
      <c r="N909" s="115"/>
      <c r="O909" s="115"/>
      <c r="P909" s="115"/>
      <c r="Q909" s="115"/>
      <c r="R909" s="115"/>
      <c r="S909" s="115"/>
      <c r="T909" s="335"/>
      <c r="U909" s="335"/>
    </row>
    <row r="910">
      <c r="A910" s="723"/>
      <c r="B910" s="115"/>
      <c r="C910" s="724"/>
      <c r="D910" s="115"/>
      <c r="E910" s="115"/>
      <c r="F910" s="115"/>
      <c r="G910" s="666"/>
      <c r="H910" s="115"/>
      <c r="I910" s="115"/>
      <c r="J910" s="115"/>
      <c r="K910" s="115"/>
      <c r="L910" s="115"/>
      <c r="M910" s="115"/>
      <c r="N910" s="115"/>
      <c r="O910" s="115"/>
      <c r="P910" s="115"/>
      <c r="Q910" s="115"/>
      <c r="R910" s="115"/>
      <c r="S910" s="115"/>
      <c r="T910" s="335"/>
      <c r="U910" s="335"/>
    </row>
    <row r="911">
      <c r="A911" s="723"/>
      <c r="B911" s="115"/>
      <c r="C911" s="724"/>
      <c r="D911" s="115"/>
      <c r="E911" s="115"/>
      <c r="F911" s="115"/>
      <c r="G911" s="666"/>
      <c r="H911" s="115"/>
      <c r="I911" s="115"/>
      <c r="J911" s="115"/>
      <c r="K911" s="115"/>
      <c r="L911" s="115"/>
      <c r="M911" s="115"/>
      <c r="N911" s="115"/>
      <c r="O911" s="115"/>
      <c r="P911" s="115"/>
      <c r="Q911" s="115"/>
      <c r="R911" s="115"/>
      <c r="S911" s="115"/>
      <c r="T911" s="335"/>
      <c r="U911" s="335"/>
    </row>
    <row r="912">
      <c r="A912" s="723"/>
      <c r="B912" s="115"/>
      <c r="C912" s="724"/>
      <c r="D912" s="115"/>
      <c r="E912" s="115"/>
      <c r="F912" s="115"/>
      <c r="G912" s="666"/>
      <c r="H912" s="115"/>
      <c r="I912" s="115"/>
      <c r="J912" s="115"/>
      <c r="K912" s="115"/>
      <c r="L912" s="115"/>
      <c r="M912" s="115"/>
      <c r="N912" s="115"/>
      <c r="O912" s="115"/>
      <c r="P912" s="115"/>
      <c r="Q912" s="115"/>
      <c r="R912" s="115"/>
      <c r="S912" s="115"/>
      <c r="T912" s="335"/>
      <c r="U912" s="335"/>
    </row>
    <row r="913">
      <c r="A913" s="723"/>
      <c r="B913" s="115"/>
      <c r="C913" s="724"/>
      <c r="D913" s="115"/>
      <c r="E913" s="115"/>
      <c r="F913" s="115"/>
      <c r="G913" s="666"/>
      <c r="H913" s="115"/>
      <c r="I913" s="115"/>
      <c r="J913" s="115"/>
      <c r="K913" s="115"/>
      <c r="L913" s="115"/>
      <c r="M913" s="115"/>
      <c r="N913" s="115"/>
      <c r="O913" s="115"/>
      <c r="P913" s="115"/>
      <c r="Q913" s="115"/>
      <c r="R913" s="115"/>
      <c r="S913" s="115"/>
      <c r="T913" s="335"/>
      <c r="U913" s="335"/>
    </row>
    <row r="914">
      <c r="A914" s="723"/>
      <c r="B914" s="115"/>
      <c r="C914" s="724"/>
      <c r="D914" s="115"/>
      <c r="E914" s="115"/>
      <c r="F914" s="115"/>
      <c r="G914" s="666"/>
      <c r="H914" s="115"/>
      <c r="I914" s="115"/>
      <c r="J914" s="115"/>
      <c r="K914" s="115"/>
      <c r="L914" s="115"/>
      <c r="M914" s="115"/>
      <c r="N914" s="115"/>
      <c r="O914" s="115"/>
      <c r="P914" s="115"/>
      <c r="Q914" s="115"/>
      <c r="R914" s="115"/>
      <c r="S914" s="115"/>
      <c r="T914" s="335"/>
      <c r="U914" s="335"/>
    </row>
    <row r="915">
      <c r="A915" s="723"/>
      <c r="B915" s="115"/>
      <c r="C915" s="724"/>
      <c r="D915" s="115"/>
      <c r="E915" s="115"/>
      <c r="F915" s="115"/>
      <c r="G915" s="666"/>
      <c r="H915" s="115"/>
      <c r="I915" s="115"/>
      <c r="J915" s="115"/>
      <c r="K915" s="115"/>
      <c r="L915" s="115"/>
      <c r="M915" s="115"/>
      <c r="N915" s="115"/>
      <c r="O915" s="115"/>
      <c r="P915" s="115"/>
      <c r="Q915" s="115"/>
      <c r="R915" s="115"/>
      <c r="S915" s="115"/>
      <c r="T915" s="335"/>
      <c r="U915" s="335"/>
    </row>
    <row r="916">
      <c r="A916" s="723"/>
      <c r="B916" s="115"/>
      <c r="C916" s="724"/>
      <c r="D916" s="115"/>
      <c r="E916" s="115"/>
      <c r="F916" s="115"/>
      <c r="G916" s="666"/>
      <c r="H916" s="115"/>
      <c r="I916" s="115"/>
      <c r="J916" s="115"/>
      <c r="K916" s="115"/>
      <c r="L916" s="115"/>
      <c r="M916" s="115"/>
      <c r="N916" s="115"/>
      <c r="O916" s="115"/>
      <c r="P916" s="115"/>
      <c r="Q916" s="115"/>
      <c r="R916" s="115"/>
      <c r="S916" s="115"/>
      <c r="T916" s="335"/>
      <c r="U916" s="335"/>
    </row>
    <row r="917">
      <c r="A917" s="723"/>
      <c r="B917" s="115"/>
      <c r="C917" s="724"/>
      <c r="D917" s="115"/>
      <c r="E917" s="115"/>
      <c r="F917" s="115"/>
      <c r="G917" s="666"/>
      <c r="H917" s="115"/>
      <c r="I917" s="115"/>
      <c r="J917" s="115"/>
      <c r="K917" s="115"/>
      <c r="L917" s="115"/>
      <c r="M917" s="115"/>
      <c r="N917" s="115"/>
      <c r="O917" s="115"/>
      <c r="P917" s="115"/>
      <c r="Q917" s="115"/>
      <c r="R917" s="115"/>
      <c r="S917" s="115"/>
      <c r="T917" s="335"/>
      <c r="U917" s="335"/>
    </row>
    <row r="918">
      <c r="A918" s="723"/>
      <c r="B918" s="115"/>
      <c r="C918" s="724"/>
      <c r="D918" s="115"/>
      <c r="E918" s="115"/>
      <c r="F918" s="115"/>
      <c r="G918" s="666"/>
      <c r="H918" s="115"/>
      <c r="I918" s="115"/>
      <c r="J918" s="115"/>
      <c r="K918" s="115"/>
      <c r="L918" s="115"/>
      <c r="M918" s="115"/>
      <c r="N918" s="115"/>
      <c r="O918" s="115"/>
      <c r="P918" s="115"/>
      <c r="Q918" s="115"/>
      <c r="R918" s="115"/>
      <c r="S918" s="115"/>
      <c r="T918" s="335"/>
      <c r="U918" s="335"/>
    </row>
    <row r="919">
      <c r="A919" s="723"/>
      <c r="B919" s="115"/>
      <c r="C919" s="724"/>
      <c r="D919" s="115"/>
      <c r="E919" s="115"/>
      <c r="F919" s="115"/>
      <c r="G919" s="666"/>
      <c r="H919" s="115"/>
      <c r="I919" s="115"/>
      <c r="J919" s="115"/>
      <c r="K919" s="115"/>
      <c r="L919" s="115"/>
      <c r="M919" s="115"/>
      <c r="N919" s="115"/>
      <c r="O919" s="115"/>
      <c r="P919" s="115"/>
      <c r="Q919" s="115"/>
      <c r="R919" s="115"/>
      <c r="S919" s="115"/>
      <c r="T919" s="335"/>
      <c r="U919" s="335"/>
    </row>
    <row r="920">
      <c r="A920" s="723"/>
      <c r="B920" s="115"/>
      <c r="C920" s="724"/>
      <c r="D920" s="115"/>
      <c r="E920" s="115"/>
      <c r="F920" s="115"/>
      <c r="G920" s="666"/>
      <c r="H920" s="115"/>
      <c r="I920" s="115"/>
      <c r="J920" s="115"/>
      <c r="K920" s="115"/>
      <c r="L920" s="115"/>
      <c r="M920" s="115"/>
      <c r="N920" s="115"/>
      <c r="O920" s="115"/>
      <c r="P920" s="115"/>
      <c r="Q920" s="115"/>
      <c r="R920" s="115"/>
      <c r="S920" s="115"/>
      <c r="T920" s="335"/>
      <c r="U920" s="335"/>
    </row>
    <row r="921">
      <c r="A921" s="723"/>
      <c r="B921" s="115"/>
      <c r="C921" s="724"/>
      <c r="D921" s="115"/>
      <c r="E921" s="115"/>
      <c r="F921" s="115"/>
      <c r="G921" s="666"/>
      <c r="H921" s="115"/>
      <c r="I921" s="115"/>
      <c r="J921" s="115"/>
      <c r="K921" s="115"/>
      <c r="L921" s="115"/>
      <c r="M921" s="115"/>
      <c r="N921" s="115"/>
      <c r="O921" s="115"/>
      <c r="P921" s="115"/>
      <c r="Q921" s="115"/>
      <c r="R921" s="115"/>
      <c r="S921" s="115"/>
      <c r="T921" s="335"/>
      <c r="U921" s="335"/>
    </row>
    <row r="922">
      <c r="A922" s="723"/>
      <c r="B922" s="115"/>
      <c r="C922" s="724"/>
      <c r="D922" s="115"/>
      <c r="E922" s="115"/>
      <c r="F922" s="115"/>
      <c r="G922" s="666"/>
      <c r="H922" s="115"/>
      <c r="I922" s="115"/>
      <c r="J922" s="115"/>
      <c r="K922" s="115"/>
      <c r="L922" s="115"/>
      <c r="M922" s="115"/>
      <c r="N922" s="115"/>
      <c r="O922" s="115"/>
      <c r="P922" s="115"/>
      <c r="Q922" s="115"/>
      <c r="R922" s="115"/>
      <c r="S922" s="115"/>
      <c r="T922" s="335"/>
      <c r="U922" s="335"/>
    </row>
    <row r="923">
      <c r="A923" s="723"/>
      <c r="B923" s="115"/>
      <c r="C923" s="724"/>
      <c r="D923" s="115"/>
      <c r="E923" s="115"/>
      <c r="F923" s="115"/>
      <c r="G923" s="666"/>
      <c r="H923" s="115"/>
      <c r="I923" s="115"/>
      <c r="J923" s="115"/>
      <c r="K923" s="115"/>
      <c r="L923" s="115"/>
      <c r="M923" s="115"/>
      <c r="N923" s="115"/>
      <c r="O923" s="115"/>
      <c r="P923" s="115"/>
      <c r="Q923" s="115"/>
      <c r="R923" s="115"/>
      <c r="S923" s="115"/>
      <c r="T923" s="335"/>
      <c r="U923" s="335"/>
    </row>
    <row r="924">
      <c r="A924" s="723"/>
      <c r="B924" s="115"/>
      <c r="C924" s="724"/>
      <c r="D924" s="115"/>
      <c r="E924" s="115"/>
      <c r="F924" s="115"/>
      <c r="G924" s="666"/>
      <c r="H924" s="115"/>
      <c r="I924" s="115"/>
      <c r="J924" s="115"/>
      <c r="K924" s="115"/>
      <c r="L924" s="115"/>
      <c r="M924" s="115"/>
      <c r="N924" s="115"/>
      <c r="O924" s="115"/>
      <c r="P924" s="115"/>
      <c r="Q924" s="115"/>
      <c r="R924" s="115"/>
      <c r="S924" s="115"/>
      <c r="T924" s="335"/>
      <c r="U924" s="335"/>
    </row>
    <row r="925">
      <c r="A925" s="723"/>
      <c r="B925" s="115"/>
      <c r="C925" s="724"/>
      <c r="D925" s="115"/>
      <c r="E925" s="115"/>
      <c r="F925" s="115"/>
      <c r="G925" s="666"/>
      <c r="H925" s="115"/>
      <c r="I925" s="115"/>
      <c r="J925" s="115"/>
      <c r="K925" s="115"/>
      <c r="L925" s="115"/>
      <c r="M925" s="115"/>
      <c r="N925" s="115"/>
      <c r="O925" s="115"/>
      <c r="P925" s="115"/>
      <c r="Q925" s="115"/>
      <c r="R925" s="115"/>
      <c r="S925" s="115"/>
      <c r="T925" s="335"/>
      <c r="U925" s="335"/>
    </row>
    <row r="926">
      <c r="A926" s="723"/>
      <c r="B926" s="115"/>
      <c r="C926" s="724"/>
      <c r="D926" s="115"/>
      <c r="E926" s="115"/>
      <c r="F926" s="115"/>
      <c r="G926" s="666"/>
      <c r="H926" s="115"/>
      <c r="I926" s="115"/>
      <c r="J926" s="115"/>
      <c r="K926" s="115"/>
      <c r="L926" s="115"/>
      <c r="M926" s="115"/>
      <c r="N926" s="115"/>
      <c r="O926" s="115"/>
      <c r="P926" s="115"/>
      <c r="Q926" s="115"/>
      <c r="R926" s="115"/>
      <c r="S926" s="115"/>
      <c r="T926" s="335"/>
      <c r="U926" s="335"/>
    </row>
    <row r="927">
      <c r="A927" s="723"/>
      <c r="B927" s="115"/>
      <c r="C927" s="724"/>
      <c r="D927" s="115"/>
      <c r="E927" s="115"/>
      <c r="F927" s="115"/>
      <c r="G927" s="666"/>
      <c r="H927" s="115"/>
      <c r="I927" s="115"/>
      <c r="J927" s="115"/>
      <c r="K927" s="115"/>
      <c r="L927" s="115"/>
      <c r="M927" s="115"/>
      <c r="N927" s="115"/>
      <c r="O927" s="115"/>
      <c r="P927" s="115"/>
      <c r="Q927" s="115"/>
      <c r="R927" s="115"/>
      <c r="S927" s="115"/>
      <c r="T927" s="335"/>
      <c r="U927" s="335"/>
    </row>
    <row r="928">
      <c r="A928" s="723"/>
      <c r="B928" s="115"/>
      <c r="C928" s="724"/>
      <c r="D928" s="115"/>
      <c r="E928" s="115"/>
      <c r="F928" s="115"/>
      <c r="G928" s="666"/>
      <c r="H928" s="115"/>
      <c r="I928" s="115"/>
      <c r="J928" s="115"/>
      <c r="K928" s="115"/>
      <c r="L928" s="115"/>
      <c r="M928" s="115"/>
      <c r="N928" s="115"/>
      <c r="O928" s="115"/>
      <c r="P928" s="115"/>
      <c r="Q928" s="115"/>
      <c r="R928" s="115"/>
      <c r="S928" s="115"/>
      <c r="T928" s="335"/>
      <c r="U928" s="335"/>
    </row>
    <row r="929">
      <c r="A929" s="723"/>
      <c r="B929" s="115"/>
      <c r="C929" s="724"/>
      <c r="D929" s="115"/>
      <c r="E929" s="115"/>
      <c r="F929" s="115"/>
      <c r="G929" s="666"/>
      <c r="H929" s="115"/>
      <c r="I929" s="115"/>
      <c r="J929" s="115"/>
      <c r="K929" s="115"/>
      <c r="L929" s="115"/>
      <c r="M929" s="115"/>
      <c r="N929" s="115"/>
      <c r="O929" s="115"/>
      <c r="P929" s="115"/>
      <c r="Q929" s="115"/>
      <c r="R929" s="115"/>
      <c r="S929" s="115"/>
      <c r="T929" s="335"/>
      <c r="U929" s="335"/>
    </row>
    <row r="930">
      <c r="A930" s="723"/>
      <c r="B930" s="115"/>
      <c r="C930" s="724"/>
      <c r="D930" s="115"/>
      <c r="E930" s="115"/>
      <c r="F930" s="115"/>
      <c r="G930" s="666"/>
      <c r="H930" s="115"/>
      <c r="I930" s="115"/>
      <c r="J930" s="115"/>
      <c r="K930" s="115"/>
      <c r="L930" s="115"/>
      <c r="M930" s="115"/>
      <c r="N930" s="115"/>
      <c r="O930" s="115"/>
      <c r="P930" s="115"/>
      <c r="Q930" s="115"/>
      <c r="R930" s="115"/>
      <c r="S930" s="115"/>
      <c r="T930" s="335"/>
      <c r="U930" s="335"/>
    </row>
    <row r="931">
      <c r="A931" s="723"/>
      <c r="B931" s="115"/>
      <c r="C931" s="724"/>
      <c r="D931" s="115"/>
      <c r="E931" s="115"/>
      <c r="F931" s="115"/>
      <c r="G931" s="666"/>
      <c r="H931" s="115"/>
      <c r="I931" s="115"/>
      <c r="J931" s="115"/>
      <c r="K931" s="115"/>
      <c r="L931" s="115"/>
      <c r="M931" s="115"/>
      <c r="N931" s="115"/>
      <c r="O931" s="115"/>
      <c r="P931" s="115"/>
      <c r="Q931" s="115"/>
      <c r="R931" s="115"/>
      <c r="S931" s="115"/>
      <c r="T931" s="335"/>
      <c r="U931" s="335"/>
    </row>
    <row r="932">
      <c r="A932" s="723"/>
      <c r="B932" s="115"/>
      <c r="C932" s="724"/>
      <c r="D932" s="115"/>
      <c r="E932" s="115"/>
      <c r="F932" s="115"/>
      <c r="G932" s="666"/>
      <c r="H932" s="115"/>
      <c r="I932" s="115"/>
      <c r="J932" s="115"/>
      <c r="K932" s="115"/>
      <c r="L932" s="115"/>
      <c r="M932" s="115"/>
      <c r="N932" s="115"/>
      <c r="O932" s="115"/>
      <c r="P932" s="115"/>
      <c r="Q932" s="115"/>
      <c r="R932" s="115"/>
      <c r="S932" s="115"/>
      <c r="T932" s="335"/>
      <c r="U932" s="335"/>
    </row>
    <row r="933">
      <c r="A933" s="723"/>
      <c r="B933" s="115"/>
      <c r="C933" s="724"/>
      <c r="D933" s="115"/>
      <c r="E933" s="115"/>
      <c r="F933" s="115"/>
      <c r="G933" s="666"/>
      <c r="H933" s="115"/>
      <c r="I933" s="115"/>
      <c r="J933" s="115"/>
      <c r="K933" s="115"/>
      <c r="L933" s="115"/>
      <c r="M933" s="115"/>
      <c r="N933" s="115"/>
      <c r="O933" s="115"/>
      <c r="P933" s="115"/>
      <c r="Q933" s="115"/>
      <c r="R933" s="115"/>
      <c r="S933" s="115"/>
      <c r="T933" s="335"/>
      <c r="U933" s="335"/>
    </row>
    <row r="934">
      <c r="A934" s="723"/>
      <c r="B934" s="115"/>
      <c r="C934" s="724"/>
      <c r="D934" s="115"/>
      <c r="E934" s="115"/>
      <c r="F934" s="115"/>
      <c r="G934" s="666"/>
      <c r="H934" s="115"/>
      <c r="I934" s="115"/>
      <c r="J934" s="115"/>
      <c r="K934" s="115"/>
      <c r="L934" s="115"/>
      <c r="M934" s="115"/>
      <c r="N934" s="115"/>
      <c r="O934" s="115"/>
      <c r="P934" s="115"/>
      <c r="Q934" s="115"/>
      <c r="R934" s="115"/>
      <c r="S934" s="115"/>
      <c r="T934" s="335"/>
      <c r="U934" s="335"/>
    </row>
    <row r="935">
      <c r="A935" s="723"/>
      <c r="B935" s="115"/>
      <c r="C935" s="724"/>
      <c r="D935" s="115"/>
      <c r="E935" s="115"/>
      <c r="F935" s="115"/>
      <c r="G935" s="666"/>
      <c r="H935" s="115"/>
      <c r="I935" s="115"/>
      <c r="J935" s="115"/>
      <c r="K935" s="115"/>
      <c r="L935" s="115"/>
      <c r="M935" s="115"/>
      <c r="N935" s="115"/>
      <c r="O935" s="115"/>
      <c r="P935" s="115"/>
      <c r="Q935" s="115"/>
      <c r="R935" s="115"/>
      <c r="S935" s="115"/>
      <c r="T935" s="335"/>
      <c r="U935" s="335"/>
    </row>
    <row r="936">
      <c r="A936" s="723"/>
      <c r="B936" s="115"/>
      <c r="C936" s="724"/>
      <c r="D936" s="115"/>
      <c r="E936" s="115"/>
      <c r="F936" s="115"/>
      <c r="G936" s="666"/>
      <c r="H936" s="115"/>
      <c r="I936" s="115"/>
      <c r="J936" s="115"/>
      <c r="K936" s="115"/>
      <c r="L936" s="115"/>
      <c r="M936" s="115"/>
      <c r="N936" s="115"/>
      <c r="O936" s="115"/>
      <c r="P936" s="115"/>
      <c r="Q936" s="115"/>
      <c r="R936" s="115"/>
      <c r="S936" s="115"/>
      <c r="T936" s="335"/>
      <c r="U936" s="335"/>
    </row>
    <row r="937">
      <c r="A937" s="723"/>
      <c r="B937" s="115"/>
      <c r="C937" s="724"/>
      <c r="D937" s="115"/>
      <c r="E937" s="115"/>
      <c r="F937" s="115"/>
      <c r="G937" s="666"/>
      <c r="H937" s="115"/>
      <c r="I937" s="115"/>
      <c r="J937" s="115"/>
      <c r="K937" s="115"/>
      <c r="L937" s="115"/>
      <c r="M937" s="115"/>
      <c r="N937" s="115"/>
      <c r="O937" s="115"/>
      <c r="P937" s="115"/>
      <c r="Q937" s="115"/>
      <c r="R937" s="115"/>
      <c r="S937" s="115"/>
      <c r="T937" s="335"/>
      <c r="U937" s="335"/>
    </row>
    <row r="938">
      <c r="A938" s="723"/>
      <c r="B938" s="115"/>
      <c r="C938" s="724"/>
      <c r="D938" s="115"/>
      <c r="E938" s="115"/>
      <c r="F938" s="115"/>
      <c r="G938" s="666"/>
      <c r="H938" s="115"/>
      <c r="I938" s="115"/>
      <c r="J938" s="115"/>
      <c r="K938" s="115"/>
      <c r="L938" s="115"/>
      <c r="M938" s="115"/>
      <c r="N938" s="115"/>
      <c r="O938" s="115"/>
      <c r="P938" s="115"/>
      <c r="Q938" s="115"/>
      <c r="R938" s="115"/>
      <c r="S938" s="115"/>
      <c r="T938" s="335"/>
      <c r="U938" s="335"/>
    </row>
    <row r="939">
      <c r="A939" s="723"/>
      <c r="B939" s="115"/>
      <c r="C939" s="724"/>
      <c r="D939" s="115"/>
      <c r="E939" s="115"/>
      <c r="F939" s="115"/>
      <c r="G939" s="666"/>
      <c r="H939" s="115"/>
      <c r="I939" s="115"/>
      <c r="J939" s="115"/>
      <c r="K939" s="115"/>
      <c r="L939" s="115"/>
      <c r="M939" s="115"/>
      <c r="N939" s="115"/>
      <c r="O939" s="115"/>
      <c r="P939" s="115"/>
      <c r="Q939" s="115"/>
      <c r="R939" s="115"/>
      <c r="S939" s="115"/>
      <c r="T939" s="335"/>
      <c r="U939" s="335"/>
    </row>
    <row r="940">
      <c r="A940" s="723"/>
      <c r="B940" s="115"/>
      <c r="C940" s="724"/>
      <c r="D940" s="115"/>
      <c r="E940" s="115"/>
      <c r="F940" s="115"/>
      <c r="G940" s="666"/>
      <c r="H940" s="115"/>
      <c r="I940" s="115"/>
      <c r="J940" s="115"/>
      <c r="K940" s="115"/>
      <c r="L940" s="115"/>
      <c r="M940" s="115"/>
      <c r="N940" s="115"/>
      <c r="O940" s="115"/>
      <c r="P940" s="115"/>
      <c r="Q940" s="115"/>
      <c r="R940" s="115"/>
      <c r="S940" s="115"/>
      <c r="T940" s="335"/>
      <c r="U940" s="335"/>
    </row>
    <row r="941">
      <c r="A941" s="723"/>
      <c r="B941" s="115"/>
      <c r="C941" s="724"/>
      <c r="D941" s="115"/>
      <c r="E941" s="115"/>
      <c r="F941" s="115"/>
      <c r="G941" s="666"/>
      <c r="H941" s="115"/>
      <c r="I941" s="115"/>
      <c r="J941" s="115"/>
      <c r="K941" s="115"/>
      <c r="L941" s="115"/>
      <c r="M941" s="115"/>
      <c r="N941" s="115"/>
      <c r="O941" s="115"/>
      <c r="P941" s="115"/>
      <c r="Q941" s="115"/>
      <c r="R941" s="115"/>
      <c r="S941" s="115"/>
      <c r="T941" s="335"/>
      <c r="U941" s="335"/>
    </row>
    <row r="942">
      <c r="A942" s="723"/>
      <c r="B942" s="115"/>
      <c r="C942" s="724"/>
      <c r="D942" s="115"/>
      <c r="E942" s="115"/>
      <c r="F942" s="115"/>
      <c r="G942" s="666"/>
      <c r="H942" s="115"/>
      <c r="I942" s="115"/>
      <c r="J942" s="115"/>
      <c r="K942" s="115"/>
      <c r="L942" s="115"/>
      <c r="M942" s="115"/>
      <c r="N942" s="115"/>
      <c r="O942" s="115"/>
      <c r="P942" s="115"/>
      <c r="Q942" s="115"/>
      <c r="R942" s="115"/>
      <c r="S942" s="115"/>
      <c r="T942" s="335"/>
      <c r="U942" s="335"/>
    </row>
    <row r="943">
      <c r="A943" s="723"/>
      <c r="B943" s="115"/>
      <c r="C943" s="724"/>
      <c r="D943" s="115"/>
      <c r="E943" s="115"/>
      <c r="F943" s="115"/>
      <c r="G943" s="666"/>
      <c r="H943" s="115"/>
      <c r="I943" s="115"/>
      <c r="J943" s="115"/>
      <c r="K943" s="115"/>
      <c r="L943" s="115"/>
      <c r="M943" s="115"/>
      <c r="N943" s="115"/>
      <c r="O943" s="115"/>
      <c r="P943" s="115"/>
      <c r="Q943" s="115"/>
      <c r="R943" s="115"/>
      <c r="S943" s="115"/>
      <c r="T943" s="335"/>
      <c r="U943" s="335"/>
    </row>
    <row r="944">
      <c r="A944" s="723"/>
      <c r="B944" s="115"/>
      <c r="C944" s="724"/>
      <c r="D944" s="115"/>
      <c r="E944" s="115"/>
      <c r="F944" s="115"/>
      <c r="G944" s="666"/>
      <c r="H944" s="115"/>
      <c r="I944" s="115"/>
      <c r="J944" s="115"/>
      <c r="K944" s="115"/>
      <c r="L944" s="115"/>
      <c r="M944" s="115"/>
      <c r="N944" s="115"/>
      <c r="O944" s="115"/>
      <c r="P944" s="115"/>
      <c r="Q944" s="115"/>
      <c r="R944" s="115"/>
      <c r="S944" s="115"/>
      <c r="T944" s="335"/>
      <c r="U944" s="335"/>
    </row>
    <row r="945">
      <c r="A945" s="723"/>
      <c r="B945" s="115"/>
      <c r="C945" s="724"/>
      <c r="D945" s="115"/>
      <c r="E945" s="115"/>
      <c r="F945" s="115"/>
      <c r="G945" s="666"/>
      <c r="H945" s="115"/>
      <c r="I945" s="115"/>
      <c r="J945" s="115"/>
      <c r="K945" s="115"/>
      <c r="L945" s="115"/>
      <c r="M945" s="115"/>
      <c r="N945" s="115"/>
      <c r="O945" s="115"/>
      <c r="P945" s="115"/>
      <c r="Q945" s="115"/>
      <c r="R945" s="115"/>
      <c r="S945" s="115"/>
      <c r="T945" s="335"/>
      <c r="U945" s="335"/>
    </row>
    <row r="946">
      <c r="A946" s="723"/>
      <c r="B946" s="115"/>
      <c r="C946" s="724"/>
      <c r="D946" s="115"/>
      <c r="E946" s="115"/>
      <c r="F946" s="115"/>
      <c r="G946" s="666"/>
      <c r="H946" s="115"/>
      <c r="I946" s="115"/>
      <c r="J946" s="115"/>
      <c r="K946" s="115"/>
      <c r="L946" s="115"/>
      <c r="M946" s="115"/>
      <c r="N946" s="115"/>
      <c r="O946" s="115"/>
      <c r="P946" s="115"/>
      <c r="Q946" s="115"/>
      <c r="R946" s="115"/>
      <c r="S946" s="115"/>
      <c r="T946" s="335"/>
      <c r="U946" s="335"/>
    </row>
    <row r="947">
      <c r="A947" s="723"/>
      <c r="B947" s="115"/>
      <c r="C947" s="724"/>
      <c r="D947" s="115"/>
      <c r="E947" s="115"/>
      <c r="F947" s="115"/>
      <c r="G947" s="666"/>
      <c r="H947" s="115"/>
      <c r="I947" s="115"/>
      <c r="J947" s="115"/>
      <c r="K947" s="115"/>
      <c r="L947" s="115"/>
      <c r="M947" s="115"/>
      <c r="N947" s="115"/>
      <c r="O947" s="115"/>
      <c r="P947" s="115"/>
      <c r="Q947" s="115"/>
      <c r="R947" s="115"/>
      <c r="S947" s="115"/>
      <c r="T947" s="335"/>
      <c r="U947" s="335"/>
    </row>
    <row r="948">
      <c r="A948" s="723"/>
      <c r="B948" s="115"/>
      <c r="C948" s="724"/>
      <c r="D948" s="115"/>
      <c r="E948" s="115"/>
      <c r="F948" s="115"/>
      <c r="G948" s="666"/>
      <c r="H948" s="115"/>
      <c r="I948" s="115"/>
      <c r="J948" s="115"/>
      <c r="K948" s="115"/>
      <c r="L948" s="115"/>
      <c r="M948" s="115"/>
      <c r="N948" s="115"/>
      <c r="O948" s="115"/>
      <c r="P948" s="115"/>
      <c r="Q948" s="115"/>
      <c r="R948" s="115"/>
      <c r="S948" s="115"/>
      <c r="T948" s="335"/>
      <c r="U948" s="335"/>
    </row>
    <row r="949">
      <c r="A949" s="723"/>
      <c r="B949" s="115"/>
      <c r="C949" s="724"/>
      <c r="D949" s="115"/>
      <c r="E949" s="115"/>
      <c r="F949" s="115"/>
      <c r="G949" s="666"/>
      <c r="H949" s="115"/>
      <c r="I949" s="115"/>
      <c r="J949" s="115"/>
      <c r="K949" s="115"/>
      <c r="L949" s="115"/>
      <c r="M949" s="115"/>
      <c r="N949" s="115"/>
      <c r="O949" s="115"/>
      <c r="P949" s="115"/>
      <c r="Q949" s="115"/>
      <c r="R949" s="115"/>
      <c r="S949" s="115"/>
      <c r="T949" s="335"/>
      <c r="U949" s="335"/>
    </row>
    <row r="950">
      <c r="A950" s="723"/>
      <c r="B950" s="115"/>
      <c r="C950" s="724"/>
      <c r="D950" s="115"/>
      <c r="E950" s="115"/>
      <c r="F950" s="115"/>
      <c r="G950" s="666"/>
      <c r="H950" s="115"/>
      <c r="I950" s="115"/>
      <c r="J950" s="115"/>
      <c r="K950" s="115"/>
      <c r="L950" s="115"/>
      <c r="M950" s="115"/>
      <c r="N950" s="115"/>
      <c r="O950" s="115"/>
      <c r="P950" s="115"/>
      <c r="Q950" s="115"/>
      <c r="R950" s="115"/>
      <c r="S950" s="115"/>
      <c r="T950" s="335"/>
      <c r="U950" s="335"/>
    </row>
    <row r="951">
      <c r="A951" s="723"/>
      <c r="B951" s="115"/>
      <c r="C951" s="724"/>
      <c r="D951" s="115"/>
      <c r="E951" s="115"/>
      <c r="F951" s="115"/>
      <c r="G951" s="666"/>
      <c r="H951" s="115"/>
      <c r="I951" s="115"/>
      <c r="J951" s="115"/>
      <c r="K951" s="115"/>
      <c r="L951" s="115"/>
      <c r="M951" s="115"/>
      <c r="N951" s="115"/>
      <c r="O951" s="115"/>
      <c r="P951" s="115"/>
      <c r="Q951" s="115"/>
      <c r="R951" s="115"/>
      <c r="S951" s="115"/>
      <c r="T951" s="335"/>
      <c r="U951" s="335"/>
    </row>
    <row r="952">
      <c r="A952" s="723"/>
      <c r="B952" s="115"/>
      <c r="C952" s="724"/>
      <c r="D952" s="115"/>
      <c r="E952" s="115"/>
      <c r="F952" s="115"/>
      <c r="G952" s="666"/>
      <c r="H952" s="115"/>
      <c r="I952" s="115"/>
      <c r="J952" s="115"/>
      <c r="K952" s="115"/>
      <c r="L952" s="115"/>
      <c r="M952" s="115"/>
      <c r="N952" s="115"/>
      <c r="O952" s="115"/>
      <c r="P952" s="115"/>
      <c r="Q952" s="115"/>
      <c r="R952" s="115"/>
      <c r="S952" s="115"/>
      <c r="T952" s="335"/>
      <c r="U952" s="335"/>
    </row>
    <row r="953">
      <c r="A953" s="723"/>
      <c r="B953" s="115"/>
      <c r="C953" s="724"/>
      <c r="D953" s="115"/>
      <c r="E953" s="115"/>
      <c r="F953" s="115"/>
      <c r="G953" s="666"/>
      <c r="H953" s="115"/>
      <c r="I953" s="115"/>
      <c r="J953" s="115"/>
      <c r="K953" s="115"/>
      <c r="L953" s="115"/>
      <c r="M953" s="115"/>
      <c r="N953" s="115"/>
      <c r="O953" s="115"/>
      <c r="P953" s="115"/>
      <c r="Q953" s="115"/>
      <c r="R953" s="115"/>
      <c r="S953" s="115"/>
      <c r="T953" s="335"/>
      <c r="U953" s="335"/>
    </row>
    <row r="954">
      <c r="A954" s="723"/>
      <c r="B954" s="115"/>
      <c r="C954" s="724"/>
      <c r="D954" s="115"/>
      <c r="E954" s="115"/>
      <c r="F954" s="115"/>
      <c r="G954" s="666"/>
      <c r="H954" s="115"/>
      <c r="I954" s="115"/>
      <c r="J954" s="115"/>
      <c r="K954" s="115"/>
      <c r="L954" s="115"/>
      <c r="M954" s="115"/>
      <c r="N954" s="115"/>
      <c r="O954" s="115"/>
      <c r="P954" s="115"/>
      <c r="Q954" s="115"/>
      <c r="R954" s="115"/>
      <c r="S954" s="115"/>
      <c r="T954" s="335"/>
      <c r="U954" s="335"/>
    </row>
    <row r="955">
      <c r="A955" s="723"/>
      <c r="B955" s="115"/>
      <c r="C955" s="724"/>
      <c r="D955" s="115"/>
      <c r="E955" s="115"/>
      <c r="F955" s="115"/>
      <c r="G955" s="666"/>
      <c r="H955" s="115"/>
      <c r="I955" s="115"/>
      <c r="J955" s="115"/>
      <c r="K955" s="115"/>
      <c r="L955" s="115"/>
      <c r="M955" s="115"/>
      <c r="N955" s="115"/>
      <c r="O955" s="115"/>
      <c r="P955" s="115"/>
      <c r="Q955" s="115"/>
      <c r="R955" s="115"/>
      <c r="S955" s="115"/>
      <c r="T955" s="335"/>
      <c r="U955" s="335"/>
    </row>
    <row r="956">
      <c r="A956" s="723"/>
      <c r="B956" s="115"/>
      <c r="C956" s="724"/>
      <c r="D956" s="115"/>
      <c r="E956" s="115"/>
      <c r="F956" s="115"/>
      <c r="G956" s="666"/>
      <c r="H956" s="115"/>
      <c r="I956" s="115"/>
      <c r="J956" s="115"/>
      <c r="K956" s="115"/>
      <c r="L956" s="115"/>
      <c r="M956" s="115"/>
      <c r="N956" s="115"/>
      <c r="O956" s="115"/>
      <c r="P956" s="115"/>
      <c r="Q956" s="115"/>
      <c r="R956" s="115"/>
      <c r="S956" s="115"/>
      <c r="T956" s="335"/>
      <c r="U956" s="335"/>
    </row>
    <row r="957">
      <c r="A957" s="723"/>
      <c r="B957" s="115"/>
      <c r="C957" s="724"/>
      <c r="D957" s="115"/>
      <c r="E957" s="115"/>
      <c r="F957" s="115"/>
      <c r="G957" s="666"/>
      <c r="H957" s="115"/>
      <c r="I957" s="115"/>
      <c r="J957" s="115"/>
      <c r="K957" s="115"/>
      <c r="L957" s="115"/>
      <c r="M957" s="115"/>
      <c r="N957" s="115"/>
      <c r="O957" s="115"/>
      <c r="P957" s="115"/>
      <c r="Q957" s="115"/>
      <c r="R957" s="115"/>
      <c r="S957" s="115"/>
      <c r="T957" s="335"/>
      <c r="U957" s="335"/>
    </row>
    <row r="958">
      <c r="A958" s="723"/>
      <c r="B958" s="115"/>
      <c r="C958" s="724"/>
      <c r="D958" s="115"/>
      <c r="E958" s="115"/>
      <c r="F958" s="115"/>
      <c r="G958" s="666"/>
      <c r="H958" s="115"/>
      <c r="I958" s="115"/>
      <c r="J958" s="115"/>
      <c r="K958" s="115"/>
      <c r="L958" s="115"/>
      <c r="M958" s="115"/>
      <c r="N958" s="115"/>
      <c r="O958" s="115"/>
      <c r="P958" s="115"/>
      <c r="Q958" s="115"/>
      <c r="R958" s="115"/>
      <c r="S958" s="115"/>
      <c r="T958" s="335"/>
      <c r="U958" s="335"/>
    </row>
    <row r="959">
      <c r="A959" s="723"/>
      <c r="B959" s="115"/>
      <c r="C959" s="724"/>
      <c r="D959" s="115"/>
      <c r="E959" s="115"/>
      <c r="F959" s="115"/>
      <c r="G959" s="666"/>
      <c r="H959" s="115"/>
      <c r="I959" s="115"/>
      <c r="J959" s="115"/>
      <c r="K959" s="115"/>
      <c r="L959" s="115"/>
      <c r="M959" s="115"/>
      <c r="N959" s="115"/>
      <c r="O959" s="115"/>
      <c r="P959" s="115"/>
      <c r="Q959" s="115"/>
      <c r="R959" s="115"/>
      <c r="S959" s="115"/>
      <c r="T959" s="335"/>
      <c r="U959" s="335"/>
    </row>
    <row r="960">
      <c r="A960" s="723"/>
      <c r="B960" s="115"/>
      <c r="C960" s="724"/>
      <c r="D960" s="115"/>
      <c r="E960" s="115"/>
      <c r="F960" s="115"/>
      <c r="G960" s="666"/>
      <c r="H960" s="115"/>
      <c r="I960" s="115"/>
      <c r="J960" s="115"/>
      <c r="K960" s="115"/>
      <c r="L960" s="115"/>
      <c r="M960" s="115"/>
      <c r="N960" s="115"/>
      <c r="O960" s="115"/>
      <c r="P960" s="115"/>
      <c r="Q960" s="115"/>
      <c r="R960" s="115"/>
      <c r="S960" s="115"/>
      <c r="T960" s="335"/>
      <c r="U960" s="335"/>
    </row>
    <row r="961">
      <c r="A961" s="723"/>
      <c r="B961" s="115"/>
      <c r="C961" s="724"/>
      <c r="D961" s="115"/>
      <c r="E961" s="115"/>
      <c r="F961" s="115"/>
      <c r="G961" s="666"/>
      <c r="H961" s="115"/>
      <c r="I961" s="115"/>
      <c r="J961" s="115"/>
      <c r="K961" s="115"/>
      <c r="L961" s="115"/>
      <c r="M961" s="115"/>
      <c r="N961" s="115"/>
      <c r="O961" s="115"/>
      <c r="P961" s="115"/>
      <c r="Q961" s="115"/>
      <c r="R961" s="115"/>
      <c r="S961" s="115"/>
      <c r="T961" s="335"/>
      <c r="U961" s="335"/>
    </row>
    <row r="962">
      <c r="A962" s="723"/>
      <c r="B962" s="115"/>
      <c r="C962" s="724"/>
      <c r="D962" s="115"/>
      <c r="E962" s="115"/>
      <c r="F962" s="115"/>
      <c r="G962" s="666"/>
      <c r="H962" s="115"/>
      <c r="I962" s="115"/>
      <c r="J962" s="115"/>
      <c r="K962" s="115"/>
      <c r="L962" s="115"/>
      <c r="M962" s="115"/>
      <c r="N962" s="115"/>
      <c r="O962" s="115"/>
      <c r="P962" s="115"/>
      <c r="Q962" s="115"/>
      <c r="R962" s="115"/>
      <c r="S962" s="115"/>
      <c r="T962" s="335"/>
      <c r="U962" s="335"/>
    </row>
    <row r="963">
      <c r="A963" s="723"/>
      <c r="B963" s="115"/>
      <c r="C963" s="724"/>
      <c r="D963" s="115"/>
      <c r="E963" s="115"/>
      <c r="F963" s="115"/>
      <c r="G963" s="666"/>
      <c r="H963" s="115"/>
      <c r="I963" s="115"/>
      <c r="J963" s="115"/>
      <c r="K963" s="115"/>
      <c r="L963" s="115"/>
      <c r="M963" s="115"/>
      <c r="N963" s="115"/>
      <c r="O963" s="115"/>
      <c r="P963" s="115"/>
      <c r="Q963" s="115"/>
      <c r="R963" s="115"/>
      <c r="S963" s="115"/>
      <c r="T963" s="335"/>
      <c r="U963" s="335"/>
    </row>
    <row r="964">
      <c r="A964" s="723"/>
      <c r="B964" s="115"/>
      <c r="C964" s="724"/>
      <c r="D964" s="115"/>
      <c r="E964" s="115"/>
      <c r="F964" s="115"/>
      <c r="G964" s="666"/>
      <c r="H964" s="115"/>
      <c r="I964" s="115"/>
      <c r="J964" s="115"/>
      <c r="K964" s="115"/>
      <c r="L964" s="115"/>
      <c r="M964" s="115"/>
      <c r="N964" s="115"/>
      <c r="O964" s="115"/>
      <c r="P964" s="115"/>
      <c r="Q964" s="115"/>
      <c r="R964" s="115"/>
      <c r="S964" s="115"/>
      <c r="T964" s="335"/>
      <c r="U964" s="335"/>
    </row>
    <row r="965">
      <c r="A965" s="723"/>
      <c r="B965" s="115"/>
      <c r="C965" s="724"/>
      <c r="D965" s="115"/>
      <c r="E965" s="115"/>
      <c r="F965" s="115"/>
      <c r="G965" s="666"/>
      <c r="H965" s="115"/>
      <c r="I965" s="115"/>
      <c r="J965" s="115"/>
      <c r="K965" s="115"/>
      <c r="L965" s="115"/>
      <c r="M965" s="115"/>
      <c r="N965" s="115"/>
      <c r="O965" s="115"/>
      <c r="P965" s="115"/>
      <c r="Q965" s="115"/>
      <c r="R965" s="115"/>
      <c r="S965" s="115"/>
      <c r="T965" s="335"/>
      <c r="U965" s="335"/>
    </row>
    <row r="966">
      <c r="A966" s="723"/>
      <c r="B966" s="115"/>
      <c r="C966" s="724"/>
      <c r="D966" s="115"/>
      <c r="E966" s="115"/>
      <c r="F966" s="115"/>
      <c r="G966" s="666"/>
      <c r="H966" s="115"/>
      <c r="I966" s="115"/>
      <c r="J966" s="115"/>
      <c r="K966" s="115"/>
      <c r="L966" s="115"/>
      <c r="M966" s="115"/>
      <c r="N966" s="115"/>
      <c r="O966" s="115"/>
      <c r="P966" s="115"/>
      <c r="Q966" s="115"/>
      <c r="R966" s="115"/>
      <c r="S966" s="115"/>
      <c r="T966" s="335"/>
      <c r="U966" s="335"/>
    </row>
    <row r="967">
      <c r="A967" s="723"/>
      <c r="B967" s="115"/>
      <c r="C967" s="724"/>
      <c r="D967" s="115"/>
      <c r="E967" s="115"/>
      <c r="F967" s="115"/>
      <c r="G967" s="666"/>
      <c r="H967" s="115"/>
      <c r="I967" s="115"/>
      <c r="J967" s="115"/>
      <c r="K967" s="115"/>
      <c r="L967" s="115"/>
      <c r="M967" s="115"/>
      <c r="N967" s="115"/>
      <c r="O967" s="115"/>
      <c r="P967" s="115"/>
      <c r="Q967" s="115"/>
      <c r="R967" s="115"/>
      <c r="S967" s="115"/>
      <c r="T967" s="335"/>
      <c r="U967" s="335"/>
    </row>
    <row r="968">
      <c r="A968" s="723"/>
      <c r="B968" s="115"/>
      <c r="C968" s="724"/>
      <c r="D968" s="115"/>
      <c r="E968" s="115"/>
      <c r="F968" s="115"/>
      <c r="G968" s="666"/>
      <c r="H968" s="115"/>
      <c r="I968" s="115"/>
      <c r="J968" s="115"/>
      <c r="K968" s="115"/>
      <c r="L968" s="115"/>
      <c r="M968" s="115"/>
      <c r="N968" s="115"/>
      <c r="O968" s="115"/>
      <c r="P968" s="115"/>
      <c r="Q968" s="115"/>
      <c r="R968" s="115"/>
      <c r="S968" s="115"/>
      <c r="T968" s="335"/>
      <c r="U968" s="335"/>
    </row>
    <row r="969">
      <c r="A969" s="723"/>
      <c r="B969" s="115"/>
      <c r="C969" s="724"/>
      <c r="D969" s="115"/>
      <c r="E969" s="115"/>
      <c r="F969" s="115"/>
      <c r="G969" s="666"/>
      <c r="H969" s="115"/>
      <c r="I969" s="115"/>
      <c r="J969" s="115"/>
      <c r="K969" s="115"/>
      <c r="L969" s="115"/>
      <c r="M969" s="115"/>
      <c r="N969" s="115"/>
      <c r="O969" s="115"/>
      <c r="P969" s="115"/>
      <c r="Q969" s="115"/>
      <c r="R969" s="115"/>
      <c r="S969" s="115"/>
      <c r="T969" s="335"/>
      <c r="U969" s="335"/>
    </row>
    <row r="970">
      <c r="A970" s="723"/>
      <c r="B970" s="115"/>
      <c r="C970" s="724"/>
      <c r="D970" s="115"/>
      <c r="E970" s="115"/>
      <c r="F970" s="115"/>
      <c r="G970" s="666"/>
      <c r="H970" s="115"/>
      <c r="I970" s="115"/>
      <c r="J970" s="115"/>
      <c r="K970" s="115"/>
      <c r="L970" s="115"/>
      <c r="M970" s="115"/>
      <c r="N970" s="115"/>
      <c r="O970" s="115"/>
      <c r="P970" s="115"/>
      <c r="Q970" s="115"/>
      <c r="R970" s="115"/>
      <c r="S970" s="115"/>
      <c r="T970" s="335"/>
      <c r="U970" s="335"/>
    </row>
    <row r="971">
      <c r="A971" s="723"/>
      <c r="B971" s="115"/>
      <c r="C971" s="724"/>
      <c r="D971" s="115"/>
      <c r="E971" s="115"/>
      <c r="F971" s="115"/>
      <c r="G971" s="666"/>
      <c r="H971" s="115"/>
      <c r="I971" s="115"/>
      <c r="J971" s="115"/>
      <c r="K971" s="115"/>
      <c r="L971" s="115"/>
      <c r="M971" s="115"/>
      <c r="N971" s="115"/>
      <c r="O971" s="115"/>
      <c r="P971" s="115"/>
      <c r="Q971" s="115"/>
      <c r="R971" s="115"/>
      <c r="S971" s="115"/>
      <c r="T971" s="335"/>
      <c r="U971" s="335"/>
    </row>
    <row r="972">
      <c r="A972" s="723"/>
      <c r="B972" s="115"/>
      <c r="C972" s="724"/>
      <c r="D972" s="115"/>
      <c r="E972" s="115"/>
      <c r="F972" s="115"/>
      <c r="G972" s="666"/>
      <c r="H972" s="115"/>
      <c r="I972" s="115"/>
      <c r="J972" s="115"/>
      <c r="K972" s="115"/>
      <c r="L972" s="115"/>
      <c r="M972" s="115"/>
      <c r="N972" s="115"/>
      <c r="O972" s="115"/>
      <c r="P972" s="115"/>
      <c r="Q972" s="115"/>
      <c r="R972" s="115"/>
      <c r="S972" s="115"/>
      <c r="T972" s="335"/>
      <c r="U972" s="335"/>
    </row>
    <row r="973">
      <c r="A973" s="723"/>
      <c r="B973" s="115"/>
      <c r="C973" s="724"/>
      <c r="D973" s="115"/>
      <c r="E973" s="115"/>
      <c r="F973" s="115"/>
      <c r="G973" s="666"/>
      <c r="H973" s="115"/>
      <c r="I973" s="115"/>
      <c r="J973" s="115"/>
      <c r="K973" s="115"/>
      <c r="L973" s="115"/>
      <c r="M973" s="115"/>
      <c r="N973" s="115"/>
      <c r="O973" s="115"/>
      <c r="P973" s="115"/>
      <c r="Q973" s="115"/>
      <c r="R973" s="115"/>
      <c r="S973" s="115"/>
      <c r="T973" s="335"/>
      <c r="U973" s="335"/>
    </row>
    <row r="974">
      <c r="A974" s="723"/>
      <c r="B974" s="115"/>
      <c r="C974" s="724"/>
      <c r="D974" s="115"/>
      <c r="E974" s="115"/>
      <c r="F974" s="115"/>
      <c r="G974" s="666"/>
      <c r="H974" s="115"/>
      <c r="I974" s="115"/>
      <c r="J974" s="115"/>
      <c r="K974" s="115"/>
      <c r="L974" s="115"/>
      <c r="M974" s="115"/>
      <c r="N974" s="115"/>
      <c r="O974" s="115"/>
      <c r="P974" s="115"/>
      <c r="Q974" s="115"/>
      <c r="R974" s="115"/>
      <c r="S974" s="115"/>
      <c r="T974" s="335"/>
      <c r="U974" s="335"/>
    </row>
    <row r="975">
      <c r="A975" s="723"/>
      <c r="B975" s="115"/>
      <c r="C975" s="724"/>
      <c r="D975" s="115"/>
      <c r="E975" s="115"/>
      <c r="F975" s="115"/>
      <c r="G975" s="666"/>
      <c r="H975" s="115"/>
      <c r="I975" s="115"/>
      <c r="J975" s="115"/>
      <c r="K975" s="115"/>
      <c r="L975" s="115"/>
      <c r="M975" s="115"/>
      <c r="N975" s="115"/>
      <c r="O975" s="115"/>
      <c r="P975" s="115"/>
      <c r="Q975" s="115"/>
      <c r="R975" s="115"/>
      <c r="S975" s="115"/>
      <c r="T975" s="335"/>
      <c r="U975" s="335"/>
    </row>
    <row r="976">
      <c r="A976" s="723"/>
      <c r="B976" s="115"/>
      <c r="C976" s="724"/>
      <c r="D976" s="115"/>
      <c r="E976" s="115"/>
      <c r="F976" s="115"/>
      <c r="G976" s="666"/>
      <c r="H976" s="115"/>
      <c r="I976" s="115"/>
      <c r="J976" s="115"/>
      <c r="K976" s="115"/>
      <c r="L976" s="115"/>
      <c r="M976" s="115"/>
      <c r="N976" s="115"/>
      <c r="O976" s="115"/>
      <c r="P976" s="115"/>
      <c r="Q976" s="115"/>
      <c r="R976" s="115"/>
      <c r="S976" s="115"/>
      <c r="T976" s="335"/>
      <c r="U976" s="335"/>
    </row>
    <row r="977">
      <c r="A977" s="723"/>
      <c r="B977" s="115"/>
      <c r="C977" s="724"/>
      <c r="D977" s="115"/>
      <c r="E977" s="115"/>
      <c r="F977" s="115"/>
      <c r="G977" s="666"/>
      <c r="H977" s="115"/>
      <c r="I977" s="115"/>
      <c r="J977" s="115"/>
      <c r="K977" s="115"/>
      <c r="L977" s="115"/>
      <c r="M977" s="115"/>
      <c r="N977" s="115"/>
      <c r="O977" s="115"/>
      <c r="P977" s="115"/>
      <c r="Q977" s="115"/>
      <c r="R977" s="115"/>
      <c r="S977" s="115"/>
      <c r="T977" s="335"/>
      <c r="U977" s="335"/>
    </row>
    <row r="978">
      <c r="A978" s="723"/>
      <c r="B978" s="115"/>
      <c r="C978" s="724"/>
      <c r="D978" s="115"/>
      <c r="E978" s="115"/>
      <c r="F978" s="115"/>
      <c r="G978" s="666"/>
      <c r="H978" s="115"/>
      <c r="I978" s="115"/>
      <c r="J978" s="115"/>
      <c r="K978" s="115"/>
      <c r="L978" s="115"/>
      <c r="M978" s="115"/>
      <c r="N978" s="115"/>
      <c r="O978" s="115"/>
      <c r="P978" s="115"/>
      <c r="Q978" s="115"/>
      <c r="R978" s="115"/>
      <c r="S978" s="115"/>
      <c r="T978" s="335"/>
      <c r="U978" s="335"/>
    </row>
    <row r="979">
      <c r="A979" s="723"/>
      <c r="B979" s="115"/>
      <c r="C979" s="724"/>
      <c r="D979" s="115"/>
      <c r="E979" s="115"/>
      <c r="F979" s="115"/>
      <c r="G979" s="666"/>
      <c r="H979" s="115"/>
      <c r="I979" s="115"/>
      <c r="J979" s="115"/>
      <c r="K979" s="115"/>
      <c r="L979" s="115"/>
      <c r="M979" s="115"/>
      <c r="N979" s="115"/>
      <c r="O979" s="115"/>
      <c r="P979" s="115"/>
      <c r="Q979" s="115"/>
      <c r="R979" s="115"/>
      <c r="S979" s="115"/>
      <c r="T979" s="335"/>
      <c r="U979" s="335"/>
    </row>
    <row r="980">
      <c r="A980" s="723"/>
      <c r="B980" s="115"/>
      <c r="C980" s="724"/>
      <c r="D980" s="115"/>
      <c r="E980" s="115"/>
      <c r="F980" s="115"/>
      <c r="G980" s="666"/>
      <c r="H980" s="115"/>
      <c r="I980" s="115"/>
      <c r="J980" s="115"/>
      <c r="K980" s="115"/>
      <c r="L980" s="115"/>
      <c r="M980" s="115"/>
      <c r="N980" s="115"/>
      <c r="O980" s="115"/>
      <c r="P980" s="115"/>
      <c r="Q980" s="115"/>
      <c r="R980" s="115"/>
      <c r="S980" s="115"/>
      <c r="T980" s="335"/>
      <c r="U980" s="335"/>
    </row>
    <row r="981">
      <c r="A981" s="723"/>
      <c r="B981" s="115"/>
      <c r="C981" s="724"/>
      <c r="D981" s="115"/>
      <c r="E981" s="115"/>
      <c r="F981" s="115"/>
      <c r="G981" s="666"/>
      <c r="H981" s="115"/>
      <c r="I981" s="115"/>
      <c r="J981" s="115"/>
      <c r="K981" s="115"/>
      <c r="L981" s="115"/>
      <c r="M981" s="115"/>
      <c r="N981" s="115"/>
      <c r="O981" s="115"/>
      <c r="P981" s="115"/>
      <c r="Q981" s="115"/>
      <c r="R981" s="115"/>
      <c r="S981" s="115"/>
      <c r="T981" s="335"/>
      <c r="U981" s="335"/>
    </row>
    <row r="982">
      <c r="A982" s="723"/>
      <c r="B982" s="115"/>
      <c r="C982" s="724"/>
      <c r="D982" s="115"/>
      <c r="E982" s="115"/>
      <c r="F982" s="115"/>
      <c r="G982" s="666"/>
      <c r="H982" s="115"/>
      <c r="I982" s="115"/>
      <c r="J982" s="115"/>
      <c r="K982" s="115"/>
      <c r="L982" s="115"/>
      <c r="M982" s="115"/>
      <c r="N982" s="115"/>
      <c r="O982" s="115"/>
      <c r="P982" s="115"/>
      <c r="Q982" s="115"/>
      <c r="R982" s="115"/>
      <c r="S982" s="115"/>
      <c r="T982" s="335"/>
      <c r="U982" s="335"/>
    </row>
    <row r="983">
      <c r="A983" s="723"/>
      <c r="B983" s="115"/>
      <c r="C983" s="724"/>
      <c r="D983" s="115"/>
      <c r="E983" s="115"/>
      <c r="F983" s="115"/>
      <c r="G983" s="666"/>
      <c r="H983" s="115"/>
      <c r="I983" s="115"/>
      <c r="J983" s="115"/>
      <c r="K983" s="115"/>
      <c r="L983" s="115"/>
      <c r="M983" s="115"/>
      <c r="N983" s="115"/>
      <c r="O983" s="115"/>
      <c r="P983" s="115"/>
      <c r="Q983" s="115"/>
      <c r="R983" s="115"/>
      <c r="S983" s="115"/>
      <c r="T983" s="335"/>
      <c r="U983" s="335"/>
    </row>
    <row r="984">
      <c r="A984" s="723"/>
      <c r="B984" s="115"/>
      <c r="C984" s="724"/>
      <c r="D984" s="115"/>
      <c r="E984" s="115"/>
      <c r="F984" s="115"/>
      <c r="G984" s="666"/>
      <c r="H984" s="115"/>
      <c r="I984" s="115"/>
      <c r="J984" s="115"/>
      <c r="K984" s="115"/>
      <c r="L984" s="115"/>
      <c r="M984" s="115"/>
      <c r="N984" s="115"/>
      <c r="O984" s="115"/>
      <c r="P984" s="115"/>
      <c r="Q984" s="115"/>
      <c r="R984" s="115"/>
      <c r="S984" s="115"/>
      <c r="T984" s="335"/>
      <c r="U984" s="335"/>
    </row>
    <row r="985">
      <c r="A985" s="723"/>
      <c r="B985" s="115"/>
      <c r="C985" s="724"/>
      <c r="D985" s="115"/>
      <c r="E985" s="115"/>
      <c r="F985" s="115"/>
      <c r="G985" s="666"/>
      <c r="H985" s="115"/>
      <c r="I985" s="115"/>
      <c r="J985" s="115"/>
      <c r="K985" s="115"/>
      <c r="L985" s="115"/>
      <c r="M985" s="115"/>
      <c r="N985" s="115"/>
      <c r="O985" s="115"/>
      <c r="P985" s="115"/>
      <c r="Q985" s="115"/>
      <c r="R985" s="115"/>
      <c r="S985" s="115"/>
      <c r="T985" s="335"/>
      <c r="U985" s="335"/>
    </row>
    <row r="986">
      <c r="A986" s="723"/>
      <c r="B986" s="115"/>
      <c r="C986" s="724"/>
      <c r="D986" s="115"/>
      <c r="E986" s="115"/>
      <c r="F986" s="115"/>
      <c r="G986" s="666"/>
      <c r="H986" s="115"/>
      <c r="I986" s="115"/>
      <c r="J986" s="115"/>
      <c r="K986" s="115"/>
      <c r="L986" s="115"/>
      <c r="M986" s="115"/>
      <c r="N986" s="115"/>
      <c r="O986" s="115"/>
      <c r="P986" s="115"/>
      <c r="Q986" s="115"/>
      <c r="R986" s="115"/>
      <c r="S986" s="115"/>
      <c r="T986" s="335"/>
      <c r="U986" s="335"/>
    </row>
    <row r="987">
      <c r="A987" s="723"/>
      <c r="B987" s="115"/>
      <c r="C987" s="724"/>
      <c r="D987" s="115"/>
      <c r="E987" s="115"/>
      <c r="F987" s="115"/>
      <c r="G987" s="666"/>
      <c r="H987" s="115"/>
      <c r="I987" s="115"/>
      <c r="J987" s="115"/>
      <c r="K987" s="115"/>
      <c r="L987" s="115"/>
      <c r="M987" s="115"/>
      <c r="N987" s="115"/>
      <c r="O987" s="115"/>
      <c r="P987" s="115"/>
      <c r="Q987" s="115"/>
      <c r="R987" s="115"/>
      <c r="S987" s="115"/>
      <c r="T987" s="335"/>
      <c r="U987" s="335"/>
    </row>
    <row r="988">
      <c r="A988" s="723"/>
      <c r="B988" s="115"/>
      <c r="C988" s="724"/>
      <c r="D988" s="115"/>
      <c r="E988" s="115"/>
      <c r="F988" s="115"/>
      <c r="G988" s="666"/>
      <c r="H988" s="115"/>
      <c r="I988" s="115"/>
      <c r="J988" s="115"/>
      <c r="K988" s="115"/>
      <c r="L988" s="115"/>
      <c r="M988" s="115"/>
      <c r="N988" s="115"/>
      <c r="O988" s="115"/>
      <c r="P988" s="115"/>
      <c r="Q988" s="115"/>
      <c r="R988" s="115"/>
      <c r="S988" s="115"/>
      <c r="T988" s="335"/>
      <c r="U988" s="335"/>
    </row>
    <row r="989">
      <c r="A989" s="723"/>
      <c r="B989" s="115"/>
      <c r="C989" s="724"/>
      <c r="D989" s="115"/>
      <c r="E989" s="115"/>
      <c r="F989" s="115"/>
      <c r="G989" s="666"/>
      <c r="H989" s="115"/>
      <c r="I989" s="115"/>
      <c r="J989" s="115"/>
      <c r="K989" s="115"/>
      <c r="L989" s="115"/>
      <c r="M989" s="115"/>
      <c r="N989" s="115"/>
      <c r="O989" s="115"/>
      <c r="P989" s="115"/>
      <c r="Q989" s="115"/>
      <c r="R989" s="115"/>
      <c r="S989" s="115"/>
      <c r="T989" s="335"/>
      <c r="U989" s="335"/>
    </row>
    <row r="990">
      <c r="A990" s="664"/>
      <c r="B990" s="435"/>
      <c r="C990" s="724"/>
      <c r="D990" s="115"/>
      <c r="E990" s="115"/>
      <c r="F990" s="115"/>
      <c r="G990" s="666"/>
      <c r="H990" s="115"/>
      <c r="I990" s="115"/>
      <c r="J990" s="115"/>
      <c r="K990" s="115"/>
      <c r="L990" s="115"/>
      <c r="M990" s="115"/>
      <c r="N990" s="115"/>
      <c r="O990" s="115"/>
      <c r="P990" s="115"/>
      <c r="Q990" s="115"/>
      <c r="R990" s="115"/>
      <c r="S990" s="115"/>
      <c r="T990" s="335"/>
      <c r="U990" s="335"/>
    </row>
    <row r="991">
      <c r="A991" s="335"/>
      <c r="B991" s="335"/>
      <c r="C991" s="335"/>
      <c r="D991" s="335"/>
      <c r="E991" s="335"/>
      <c r="F991" s="335"/>
      <c r="G991" s="726"/>
      <c r="H991" s="115"/>
      <c r="I991" s="115"/>
      <c r="J991" s="335"/>
      <c r="K991" s="335"/>
      <c r="L991" s="335"/>
      <c r="M991" s="335"/>
      <c r="N991" s="335"/>
      <c r="O991" s="335"/>
      <c r="P991" s="335"/>
      <c r="Q991" s="335"/>
      <c r="R991" s="335"/>
      <c r="S991" s="335"/>
      <c r="T991" s="335"/>
      <c r="U991" s="335"/>
    </row>
    <row r="992">
      <c r="A992" s="335"/>
      <c r="B992" s="335"/>
      <c r="C992" s="335"/>
      <c r="D992" s="335"/>
      <c r="E992" s="335"/>
      <c r="F992" s="335"/>
      <c r="G992" s="726"/>
      <c r="H992" s="115"/>
      <c r="I992" s="115"/>
      <c r="J992" s="335"/>
      <c r="K992" s="335"/>
      <c r="L992" s="335"/>
      <c r="M992" s="335"/>
      <c r="N992" s="335"/>
      <c r="O992" s="335"/>
      <c r="P992" s="335"/>
      <c r="Q992" s="335"/>
      <c r="R992" s="335"/>
      <c r="S992" s="335"/>
      <c r="T992" s="335"/>
      <c r="U992" s="335"/>
    </row>
    <row r="993">
      <c r="A993" s="335"/>
      <c r="B993" s="335"/>
      <c r="C993" s="335"/>
      <c r="D993" s="335"/>
      <c r="E993" s="335"/>
      <c r="F993" s="335"/>
      <c r="G993" s="726"/>
      <c r="H993" s="115"/>
      <c r="I993" s="115"/>
      <c r="J993" s="335"/>
      <c r="K993" s="335"/>
      <c r="L993" s="335"/>
      <c r="M993" s="335"/>
      <c r="N993" s="335"/>
      <c r="O993" s="335"/>
      <c r="P993" s="335"/>
      <c r="Q993" s="335"/>
      <c r="R993" s="335"/>
      <c r="S993" s="335"/>
      <c r="T993" s="335"/>
      <c r="U993" s="335"/>
    </row>
    <row r="994">
      <c r="A994" s="335"/>
      <c r="B994" s="335"/>
      <c r="C994" s="335"/>
      <c r="D994" s="335"/>
      <c r="E994" s="335"/>
      <c r="F994" s="335"/>
      <c r="G994" s="726"/>
      <c r="H994" s="115"/>
      <c r="I994" s="115"/>
      <c r="J994" s="335"/>
      <c r="K994" s="335"/>
      <c r="L994" s="335"/>
      <c r="M994" s="335"/>
      <c r="N994" s="335"/>
      <c r="O994" s="335"/>
      <c r="P994" s="335"/>
      <c r="Q994" s="335"/>
      <c r="R994" s="335"/>
      <c r="S994" s="335"/>
      <c r="T994" s="335"/>
      <c r="U994" s="335"/>
    </row>
    <row r="995">
      <c r="A995" s="335"/>
      <c r="B995" s="335"/>
      <c r="C995" s="335"/>
      <c r="D995" s="335"/>
      <c r="E995" s="335"/>
      <c r="F995" s="335"/>
      <c r="G995" s="726"/>
      <c r="H995" s="115"/>
      <c r="I995" s="115"/>
      <c r="J995" s="335"/>
      <c r="K995" s="335"/>
      <c r="L995" s="335"/>
      <c r="M995" s="335"/>
      <c r="N995" s="335"/>
      <c r="O995" s="335"/>
      <c r="P995" s="335"/>
      <c r="Q995" s="335"/>
      <c r="R995" s="335"/>
      <c r="S995" s="335"/>
      <c r="T995" s="335"/>
      <c r="U995" s="335"/>
    </row>
    <row r="996">
      <c r="A996" s="335"/>
      <c r="B996" s="335"/>
      <c r="C996" s="335"/>
      <c r="D996" s="335"/>
      <c r="E996" s="335"/>
      <c r="F996" s="335"/>
      <c r="G996" s="726"/>
      <c r="H996" s="115"/>
      <c r="I996" s="115"/>
      <c r="J996" s="335"/>
      <c r="K996" s="335"/>
      <c r="L996" s="335"/>
      <c r="M996" s="335"/>
      <c r="N996" s="335"/>
      <c r="O996" s="335"/>
      <c r="P996" s="335"/>
      <c r="Q996" s="335"/>
      <c r="R996" s="335"/>
      <c r="S996" s="335"/>
      <c r="T996" s="335"/>
      <c r="U996" s="335"/>
    </row>
    <row r="997">
      <c r="A997" s="335"/>
      <c r="B997" s="335"/>
      <c r="C997" s="335"/>
      <c r="D997" s="335"/>
      <c r="E997" s="335"/>
      <c r="F997" s="335"/>
      <c r="G997" s="726"/>
      <c r="H997" s="115"/>
      <c r="I997" s="115"/>
      <c r="J997" s="335"/>
      <c r="K997" s="335"/>
      <c r="L997" s="335"/>
      <c r="M997" s="335"/>
      <c r="N997" s="335"/>
      <c r="O997" s="335"/>
      <c r="P997" s="335"/>
      <c r="Q997" s="335"/>
      <c r="R997" s="335"/>
      <c r="S997" s="335"/>
      <c r="T997" s="335"/>
      <c r="U997" s="335"/>
    </row>
    <row r="998">
      <c r="A998" s="335"/>
      <c r="B998" s="335"/>
      <c r="C998" s="335"/>
      <c r="D998" s="335"/>
      <c r="E998" s="335"/>
      <c r="F998" s="335"/>
      <c r="G998" s="726"/>
      <c r="H998" s="115"/>
      <c r="I998" s="115"/>
      <c r="J998" s="335"/>
      <c r="K998" s="335"/>
      <c r="L998" s="335"/>
      <c r="M998" s="335"/>
      <c r="N998" s="335"/>
      <c r="O998" s="335"/>
      <c r="P998" s="335"/>
      <c r="Q998" s="335"/>
      <c r="R998" s="335"/>
      <c r="S998" s="335"/>
      <c r="T998" s="335"/>
      <c r="U998" s="335"/>
    </row>
    <row r="999">
      <c r="A999" s="335"/>
      <c r="B999" s="335"/>
      <c r="C999" s="335"/>
      <c r="D999" s="335"/>
      <c r="E999" s="335"/>
      <c r="F999" s="335"/>
      <c r="G999" s="726"/>
      <c r="H999" s="115"/>
      <c r="I999" s="115"/>
      <c r="J999" s="335"/>
      <c r="K999" s="335"/>
      <c r="L999" s="335"/>
      <c r="M999" s="335"/>
      <c r="N999" s="335"/>
      <c r="O999" s="335"/>
      <c r="P999" s="335"/>
      <c r="Q999" s="335"/>
      <c r="R999" s="335"/>
      <c r="S999" s="335"/>
      <c r="T999" s="335"/>
      <c r="U999" s="33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3" max="3" width="11.63"/>
    <col customWidth="1" min="4" max="4" width="23.75"/>
    <col customWidth="1" min="5" max="5" width="25.25"/>
    <col customWidth="1" min="9" max="9" width="58.88"/>
  </cols>
  <sheetData>
    <row r="1">
      <c r="A1" s="609" t="s">
        <v>3075</v>
      </c>
      <c r="B1" s="610" t="s">
        <v>20</v>
      </c>
      <c r="C1" s="611" t="s">
        <v>23</v>
      </c>
      <c r="D1" s="612" t="s">
        <v>26</v>
      </c>
      <c r="E1" s="612" t="s">
        <v>29</v>
      </c>
      <c r="F1" s="613" t="s">
        <v>3079</v>
      </c>
      <c r="G1" s="613" t="s">
        <v>3080</v>
      </c>
      <c r="H1" s="613" t="s">
        <v>3081</v>
      </c>
      <c r="I1" s="614" t="s">
        <v>3082</v>
      </c>
      <c r="J1" s="615"/>
      <c r="K1" s="336"/>
      <c r="L1" s="615"/>
      <c r="M1" s="615"/>
      <c r="N1" s="615"/>
      <c r="O1" s="615"/>
      <c r="P1" s="615"/>
      <c r="Q1" s="615"/>
      <c r="R1" s="615"/>
      <c r="S1" s="615"/>
      <c r="T1" s="615"/>
      <c r="U1" s="615"/>
      <c r="V1" s="615"/>
      <c r="W1" s="615"/>
      <c r="X1" s="615"/>
      <c r="Y1" s="615"/>
      <c r="Z1" s="615"/>
      <c r="AA1" s="615"/>
    </row>
    <row r="2">
      <c r="A2" s="616">
        <v>44930.0</v>
      </c>
      <c r="B2" s="617">
        <v>44917.0</v>
      </c>
      <c r="C2" s="618" t="s">
        <v>3088</v>
      </c>
      <c r="D2" s="619" t="s">
        <v>3091</v>
      </c>
      <c r="E2" s="619" t="s">
        <v>3092</v>
      </c>
      <c r="F2" s="618">
        <v>36.58</v>
      </c>
      <c r="G2" s="618">
        <v>58.51</v>
      </c>
      <c r="H2" s="620">
        <v>21.93</v>
      </c>
      <c r="I2" s="619" t="s">
        <v>3095</v>
      </c>
      <c r="J2" s="615"/>
      <c r="K2" s="615"/>
      <c r="L2" s="615"/>
      <c r="M2" s="615"/>
      <c r="N2" s="615"/>
      <c r="O2" s="615"/>
      <c r="P2" s="615"/>
      <c r="Q2" s="615"/>
      <c r="R2" s="615"/>
      <c r="S2" s="615"/>
      <c r="T2" s="615"/>
      <c r="U2" s="615"/>
      <c r="V2" s="615"/>
      <c r="W2" s="615"/>
      <c r="X2" s="615"/>
      <c r="Y2" s="615"/>
      <c r="Z2" s="615"/>
      <c r="AA2" s="615"/>
    </row>
    <row r="3">
      <c r="A3" s="616">
        <v>44930.0</v>
      </c>
      <c r="B3" s="616">
        <v>44930.0</v>
      </c>
      <c r="C3" s="621" t="s">
        <v>3097</v>
      </c>
      <c r="D3" s="619" t="s">
        <v>3098</v>
      </c>
      <c r="E3" s="619" t="s">
        <v>3099</v>
      </c>
      <c r="F3" s="618">
        <v>70.0</v>
      </c>
      <c r="G3" s="618">
        <v>70.0</v>
      </c>
      <c r="H3" s="622">
        <v>0.0</v>
      </c>
      <c r="I3" s="619" t="s">
        <v>3100</v>
      </c>
      <c r="J3" s="615"/>
      <c r="K3" s="615"/>
      <c r="L3" s="615"/>
      <c r="M3" s="615"/>
      <c r="N3" s="615"/>
      <c r="O3" s="615"/>
      <c r="P3" s="615"/>
      <c r="Q3" s="615"/>
      <c r="R3" s="615"/>
      <c r="S3" s="615"/>
      <c r="T3" s="615"/>
      <c r="U3" s="615"/>
      <c r="V3" s="615"/>
      <c r="W3" s="615"/>
      <c r="X3" s="615"/>
      <c r="Y3" s="615"/>
      <c r="Z3" s="615"/>
      <c r="AA3" s="615"/>
    </row>
    <row r="4">
      <c r="A4" s="616">
        <v>44932.0</v>
      </c>
      <c r="B4" s="623">
        <v>44923.0</v>
      </c>
      <c r="C4" s="621" t="s">
        <v>3104</v>
      </c>
      <c r="D4" s="619" t="s">
        <v>3105</v>
      </c>
      <c r="E4" s="619" t="s">
        <v>3106</v>
      </c>
      <c r="F4" s="618">
        <v>66.0</v>
      </c>
      <c r="G4" s="618">
        <v>42.0</v>
      </c>
      <c r="H4" s="622">
        <v>24.0</v>
      </c>
      <c r="I4" s="619" t="s">
        <v>3107</v>
      </c>
      <c r="J4" s="615"/>
      <c r="K4" s="615"/>
      <c r="L4" s="615"/>
      <c r="M4" s="615"/>
      <c r="N4" s="615"/>
      <c r="O4" s="615"/>
      <c r="P4" s="615"/>
      <c r="Q4" s="615"/>
      <c r="R4" s="615"/>
      <c r="S4" s="615"/>
      <c r="T4" s="615"/>
      <c r="U4" s="615"/>
      <c r="V4" s="615"/>
      <c r="W4" s="615"/>
      <c r="X4" s="615"/>
      <c r="Y4" s="615"/>
      <c r="Z4" s="615"/>
      <c r="AA4" s="615"/>
    </row>
    <row r="5">
      <c r="A5" s="616"/>
      <c r="B5" s="623">
        <v>44919.0</v>
      </c>
      <c r="C5" s="626" t="s">
        <v>3111</v>
      </c>
      <c r="D5" s="619" t="s">
        <v>3112</v>
      </c>
      <c r="E5" s="619" t="s">
        <v>3113</v>
      </c>
      <c r="F5" s="618">
        <v>183.27</v>
      </c>
      <c r="G5" s="618">
        <v>183.27</v>
      </c>
      <c r="H5" s="622">
        <v>0.0</v>
      </c>
      <c r="I5" s="619" t="s">
        <v>3115</v>
      </c>
      <c r="J5" s="615"/>
      <c r="K5" s="615"/>
      <c r="L5" s="615"/>
      <c r="M5" s="615"/>
      <c r="N5" s="615"/>
      <c r="O5" s="615"/>
      <c r="P5" s="615"/>
      <c r="Q5" s="615"/>
      <c r="R5" s="615"/>
      <c r="S5" s="615"/>
      <c r="T5" s="615"/>
      <c r="U5" s="615"/>
      <c r="V5" s="615"/>
      <c r="W5" s="615"/>
      <c r="X5" s="615"/>
      <c r="Y5" s="615"/>
      <c r="Z5" s="615"/>
      <c r="AA5" s="615"/>
    </row>
    <row r="6">
      <c r="A6" s="631"/>
      <c r="B6" s="623">
        <v>44919.0</v>
      </c>
      <c r="C6" s="621" t="s">
        <v>3120</v>
      </c>
      <c r="D6" s="619" t="s">
        <v>3121</v>
      </c>
      <c r="E6" s="619" t="s">
        <v>3122</v>
      </c>
      <c r="F6" s="620">
        <v>363.27</v>
      </c>
      <c r="G6" s="618">
        <v>363.27</v>
      </c>
      <c r="H6" s="633">
        <v>0.0</v>
      </c>
      <c r="I6" s="619" t="s">
        <v>3123</v>
      </c>
      <c r="J6" s="615"/>
      <c r="K6" s="615"/>
      <c r="L6" s="615"/>
      <c r="M6" s="615"/>
      <c r="N6" s="615"/>
      <c r="O6" s="615"/>
      <c r="P6" s="615"/>
      <c r="Q6" s="615"/>
      <c r="R6" s="615"/>
      <c r="S6" s="615"/>
      <c r="T6" s="615"/>
      <c r="U6" s="615"/>
      <c r="V6" s="615"/>
      <c r="W6" s="615"/>
      <c r="X6" s="615"/>
      <c r="Y6" s="615"/>
      <c r="Z6" s="615"/>
      <c r="AA6" s="615"/>
    </row>
    <row r="7">
      <c r="A7" s="631"/>
      <c r="B7" s="617">
        <v>44931.0</v>
      </c>
      <c r="C7" s="626" t="s">
        <v>3124</v>
      </c>
      <c r="D7" s="619" t="s">
        <v>3125</v>
      </c>
      <c r="E7" s="619" t="s">
        <v>3126</v>
      </c>
      <c r="F7" s="618">
        <v>271.18</v>
      </c>
      <c r="G7" s="618">
        <v>271.18</v>
      </c>
      <c r="H7" s="620">
        <v>0.0</v>
      </c>
      <c r="I7" s="619" t="s">
        <v>3123</v>
      </c>
      <c r="J7" s="615"/>
      <c r="K7" s="635"/>
      <c r="L7" s="635"/>
      <c r="M7" s="615"/>
      <c r="N7" s="615"/>
      <c r="O7" s="615"/>
      <c r="P7" s="615"/>
      <c r="Q7" s="615"/>
      <c r="R7" s="615"/>
      <c r="S7" s="615"/>
      <c r="T7" s="615"/>
      <c r="U7" s="615"/>
      <c r="V7" s="615"/>
      <c r="W7" s="615"/>
      <c r="X7" s="615"/>
      <c r="Y7" s="615"/>
      <c r="Z7" s="615"/>
      <c r="AA7" s="615"/>
    </row>
    <row r="8">
      <c r="A8" s="631">
        <v>44935.0</v>
      </c>
      <c r="B8" s="617">
        <v>44874.0</v>
      </c>
      <c r="C8" s="636" t="s">
        <v>1987</v>
      </c>
      <c r="D8" s="637" t="s">
        <v>1988</v>
      </c>
      <c r="E8" s="619" t="s">
        <v>1989</v>
      </c>
      <c r="F8" s="638">
        <v>299.0</v>
      </c>
      <c r="G8" s="618">
        <v>299.0</v>
      </c>
      <c r="H8" s="620">
        <v>0.0</v>
      </c>
      <c r="I8" s="636" t="s">
        <v>3134</v>
      </c>
      <c r="J8" s="615"/>
      <c r="K8" s="635"/>
      <c r="L8" s="635"/>
      <c r="M8" s="615"/>
      <c r="N8" s="615"/>
      <c r="O8" s="615"/>
      <c r="P8" s="615"/>
      <c r="Q8" s="615"/>
      <c r="R8" s="615"/>
      <c r="S8" s="615"/>
      <c r="T8" s="615"/>
      <c r="U8" s="615"/>
      <c r="V8" s="615"/>
      <c r="W8" s="615"/>
      <c r="X8" s="615"/>
      <c r="Y8" s="615"/>
      <c r="Z8" s="615"/>
      <c r="AA8" s="615"/>
    </row>
    <row r="9">
      <c r="A9" s="631">
        <v>44935.0</v>
      </c>
      <c r="B9" s="617">
        <v>44856.0</v>
      </c>
      <c r="C9" s="639" t="s">
        <v>1339</v>
      </c>
      <c r="D9" s="639" t="s">
        <v>1340</v>
      </c>
      <c r="E9" s="619" t="s">
        <v>1341</v>
      </c>
      <c r="F9" s="638">
        <v>313.0</v>
      </c>
      <c r="G9" s="351">
        <v>219.0</v>
      </c>
      <c r="H9" s="620">
        <v>94.0</v>
      </c>
      <c r="I9" s="640" t="s">
        <v>3138</v>
      </c>
      <c r="J9" s="615"/>
      <c r="K9" s="635"/>
      <c r="L9" s="635"/>
      <c r="M9" s="615"/>
      <c r="N9" s="615"/>
      <c r="O9" s="615"/>
      <c r="P9" s="615"/>
      <c r="Q9" s="615"/>
      <c r="R9" s="615"/>
      <c r="S9" s="615"/>
      <c r="T9" s="615"/>
      <c r="U9" s="615"/>
      <c r="V9" s="615"/>
      <c r="W9" s="615"/>
      <c r="X9" s="615"/>
      <c r="Y9" s="615"/>
      <c r="Z9" s="615"/>
      <c r="AA9" s="615"/>
    </row>
    <row r="10">
      <c r="A10" s="631">
        <v>44935.0</v>
      </c>
      <c r="B10" s="617">
        <v>44885.0</v>
      </c>
      <c r="C10" s="640" t="s">
        <v>3142</v>
      </c>
      <c r="D10" s="639" t="s">
        <v>3143</v>
      </c>
      <c r="E10" s="619" t="s">
        <v>3144</v>
      </c>
      <c r="F10" s="618">
        <v>244.46</v>
      </c>
      <c r="G10" s="351">
        <v>244.46</v>
      </c>
      <c r="H10" s="620">
        <v>0.0</v>
      </c>
      <c r="I10" s="640" t="s">
        <v>3134</v>
      </c>
      <c r="J10" s="615"/>
      <c r="K10" s="635"/>
      <c r="L10" s="635"/>
      <c r="M10" s="615"/>
      <c r="N10" s="615"/>
      <c r="O10" s="615"/>
      <c r="P10" s="615"/>
      <c r="Q10" s="615"/>
      <c r="R10" s="615"/>
      <c r="S10" s="615"/>
      <c r="T10" s="615"/>
      <c r="U10" s="615"/>
      <c r="V10" s="615"/>
      <c r="W10" s="615"/>
      <c r="X10" s="615"/>
      <c r="Y10" s="615"/>
      <c r="Z10" s="615"/>
      <c r="AA10" s="615"/>
    </row>
    <row r="11">
      <c r="A11" s="631">
        <v>44935.0</v>
      </c>
      <c r="B11" s="617">
        <v>44886.0</v>
      </c>
      <c r="C11" s="640" t="s">
        <v>3148</v>
      </c>
      <c r="D11" s="639" t="s">
        <v>3150</v>
      </c>
      <c r="E11" s="619" t="s">
        <v>3151</v>
      </c>
      <c r="F11" s="618">
        <v>244.46</v>
      </c>
      <c r="G11" s="618">
        <v>244.46</v>
      </c>
      <c r="H11" s="620">
        <v>0.0</v>
      </c>
      <c r="I11" s="640" t="s">
        <v>3134</v>
      </c>
      <c r="J11" s="615"/>
      <c r="K11" s="635"/>
      <c r="L11" s="635"/>
      <c r="M11" s="615"/>
      <c r="N11" s="615"/>
      <c r="O11" s="615"/>
      <c r="P11" s="615"/>
      <c r="Q11" s="615"/>
      <c r="R11" s="615"/>
      <c r="S11" s="615"/>
      <c r="T11" s="615"/>
      <c r="U11" s="615"/>
      <c r="V11" s="615"/>
      <c r="W11" s="615"/>
      <c r="X11" s="615"/>
      <c r="Y11" s="615"/>
      <c r="Z11" s="615"/>
      <c r="AA11" s="615"/>
    </row>
    <row r="12">
      <c r="A12" s="631">
        <v>44935.0</v>
      </c>
      <c r="B12" s="617">
        <v>44859.0</v>
      </c>
      <c r="C12" s="640" t="s">
        <v>1954</v>
      </c>
      <c r="D12" s="639" t="s">
        <v>1955</v>
      </c>
      <c r="E12" s="356" t="s">
        <v>1956</v>
      </c>
      <c r="F12" s="618">
        <v>239.5</v>
      </c>
      <c r="G12" s="351">
        <v>239.5</v>
      </c>
      <c r="H12" s="620">
        <v>0.0</v>
      </c>
      <c r="I12" s="640" t="s">
        <v>3134</v>
      </c>
      <c r="J12" s="615"/>
      <c r="K12" s="635"/>
      <c r="L12" s="635"/>
      <c r="M12" s="615"/>
      <c r="N12" s="615"/>
      <c r="O12" s="615"/>
      <c r="P12" s="615"/>
      <c r="Q12" s="615"/>
      <c r="R12" s="615"/>
      <c r="S12" s="615"/>
      <c r="T12" s="615"/>
      <c r="U12" s="615"/>
      <c r="V12" s="615"/>
      <c r="W12" s="615"/>
      <c r="X12" s="615"/>
      <c r="Y12" s="615"/>
      <c r="Z12" s="615"/>
      <c r="AA12" s="615"/>
    </row>
    <row r="13">
      <c r="A13" s="631">
        <v>44935.0</v>
      </c>
      <c r="B13" s="617">
        <v>44856.0</v>
      </c>
      <c r="C13" s="1" t="s">
        <v>451</v>
      </c>
      <c r="D13" s="357" t="s">
        <v>452</v>
      </c>
      <c r="E13" s="619" t="s">
        <v>453</v>
      </c>
      <c r="F13" s="333">
        <v>306.34</v>
      </c>
      <c r="G13" s="393">
        <v>232.14</v>
      </c>
      <c r="H13" s="333">
        <v>74.2</v>
      </c>
      <c r="I13" s="619" t="s">
        <v>3157</v>
      </c>
      <c r="J13" s="615"/>
      <c r="K13" s="615"/>
      <c r="L13" s="615"/>
      <c r="M13" s="615"/>
      <c r="N13" s="615"/>
      <c r="O13" s="615"/>
      <c r="P13" s="615"/>
      <c r="Q13" s="615"/>
      <c r="R13" s="615"/>
      <c r="S13" s="615"/>
      <c r="T13" s="615"/>
      <c r="U13" s="615"/>
      <c r="V13" s="615"/>
      <c r="W13" s="615"/>
      <c r="X13" s="615"/>
      <c r="Y13" s="615"/>
      <c r="Z13" s="615"/>
      <c r="AA13" s="615"/>
    </row>
    <row r="14">
      <c r="A14" s="631">
        <v>44935.0</v>
      </c>
      <c r="B14" s="617">
        <v>44858.0</v>
      </c>
      <c r="C14" s="621" t="s">
        <v>3164</v>
      </c>
      <c r="D14" s="357" t="s">
        <v>3165</v>
      </c>
      <c r="E14" s="356" t="s">
        <v>3166</v>
      </c>
      <c r="F14" s="351">
        <v>309.23</v>
      </c>
      <c r="G14" s="351">
        <v>234.33</v>
      </c>
      <c r="H14" s="393">
        <v>74.9</v>
      </c>
      <c r="I14" s="643" t="s">
        <v>3167</v>
      </c>
      <c r="J14" s="615"/>
      <c r="K14" s="615"/>
      <c r="L14" s="615"/>
      <c r="M14" s="615"/>
      <c r="N14" s="615"/>
      <c r="O14" s="615"/>
      <c r="P14" s="615"/>
      <c r="Q14" s="615"/>
      <c r="R14" s="615"/>
      <c r="S14" s="615"/>
      <c r="T14" s="615"/>
      <c r="U14" s="615"/>
      <c r="V14" s="615"/>
      <c r="W14" s="615"/>
      <c r="X14" s="615"/>
      <c r="Y14" s="615"/>
      <c r="Z14" s="615"/>
      <c r="AA14" s="615"/>
    </row>
    <row r="15">
      <c r="A15" s="631">
        <v>44936.0</v>
      </c>
      <c r="B15" s="635">
        <v>44889.0</v>
      </c>
      <c r="C15" s="621" t="s">
        <v>3168</v>
      </c>
      <c r="D15" s="619" t="s">
        <v>3169</v>
      </c>
      <c r="E15" s="619" t="s">
        <v>3171</v>
      </c>
      <c r="F15" s="333">
        <v>277.66</v>
      </c>
      <c r="G15" s="618">
        <v>251.32</v>
      </c>
      <c r="H15" s="393">
        <v>26.34</v>
      </c>
      <c r="I15" s="619" t="s">
        <v>3174</v>
      </c>
      <c r="J15" s="635"/>
      <c r="K15" s="635"/>
      <c r="L15" s="635"/>
      <c r="M15" s="635"/>
      <c r="N15" s="635"/>
      <c r="O15" s="635"/>
      <c r="P15" s="635"/>
      <c r="Q15" s="635"/>
      <c r="R15" s="635"/>
      <c r="S15" s="635"/>
      <c r="T15" s="635"/>
      <c r="U15" s="635"/>
      <c r="V15" s="635"/>
      <c r="W15" s="635"/>
      <c r="X15" s="635"/>
      <c r="Y15" s="635"/>
      <c r="Z15" s="635"/>
      <c r="AA15" s="615"/>
    </row>
    <row r="16">
      <c r="A16" s="631">
        <v>44936.0</v>
      </c>
      <c r="B16" s="550">
        <v>44889.0</v>
      </c>
      <c r="C16" s="621" t="s">
        <v>3175</v>
      </c>
      <c r="D16" s="619" t="s">
        <v>3176</v>
      </c>
      <c r="E16" s="619" t="s">
        <v>3177</v>
      </c>
      <c r="F16" s="618">
        <v>299.52</v>
      </c>
      <c r="G16" s="333">
        <v>248.91</v>
      </c>
      <c r="H16" s="638">
        <v>50.61</v>
      </c>
      <c r="I16" s="619" t="s">
        <v>3178</v>
      </c>
      <c r="J16" s="635"/>
      <c r="K16" s="635"/>
      <c r="L16" s="635"/>
      <c r="M16" s="635"/>
      <c r="N16" s="635"/>
      <c r="O16" s="635"/>
      <c r="P16" s="635"/>
      <c r="Q16" s="635"/>
      <c r="R16" s="635"/>
      <c r="S16" s="635"/>
      <c r="T16" s="635"/>
      <c r="U16" s="635"/>
      <c r="V16" s="635"/>
      <c r="W16" s="635"/>
      <c r="X16" s="635"/>
      <c r="Y16" s="635"/>
      <c r="Z16" s="635"/>
      <c r="AA16" s="615"/>
    </row>
    <row r="17">
      <c r="A17" s="631">
        <v>44936.0</v>
      </c>
      <c r="B17" s="635">
        <v>44881.0</v>
      </c>
      <c r="C17" s="621" t="s">
        <v>3185</v>
      </c>
      <c r="D17" s="619" t="s">
        <v>3186</v>
      </c>
      <c r="E17" s="619" t="s">
        <v>3187</v>
      </c>
      <c r="F17" s="638">
        <v>329.66</v>
      </c>
      <c r="G17" s="638">
        <v>329.66</v>
      </c>
      <c r="H17" s="618">
        <v>0.0</v>
      </c>
      <c r="I17" s="619" t="s">
        <v>3188</v>
      </c>
      <c r="J17" s="635"/>
      <c r="K17" s="635"/>
      <c r="L17" s="635"/>
      <c r="M17" s="635"/>
      <c r="N17" s="635"/>
      <c r="O17" s="635"/>
      <c r="P17" s="635"/>
      <c r="Q17" s="635"/>
      <c r="R17" s="635"/>
      <c r="S17" s="635"/>
      <c r="T17" s="635"/>
      <c r="U17" s="635"/>
      <c r="V17" s="635"/>
      <c r="W17" s="635"/>
      <c r="X17" s="635"/>
      <c r="Y17" s="635"/>
      <c r="Z17" s="635"/>
      <c r="AA17" s="615"/>
    </row>
    <row r="18">
      <c r="A18" s="631">
        <v>44936.0</v>
      </c>
      <c r="B18" s="617">
        <v>44862.0</v>
      </c>
      <c r="C18" s="621" t="s">
        <v>3192</v>
      </c>
      <c r="D18" s="619" t="s">
        <v>3193</v>
      </c>
      <c r="E18" s="619" t="s">
        <v>3194</v>
      </c>
      <c r="F18" s="618">
        <v>310.68</v>
      </c>
      <c r="G18" s="618"/>
      <c r="H18" s="618">
        <v>75.25</v>
      </c>
      <c r="I18" s="619" t="s">
        <v>3195</v>
      </c>
      <c r="J18" s="635"/>
      <c r="K18" s="635"/>
      <c r="L18" s="635"/>
      <c r="M18" s="635"/>
      <c r="N18" s="635"/>
      <c r="O18" s="635"/>
      <c r="P18" s="635"/>
      <c r="Q18" s="635"/>
      <c r="R18" s="635"/>
      <c r="S18" s="635"/>
      <c r="T18" s="635"/>
      <c r="U18" s="635"/>
      <c r="V18" s="635"/>
      <c r="W18" s="635"/>
      <c r="X18" s="635"/>
      <c r="Y18" s="635"/>
      <c r="Z18" s="635"/>
      <c r="AA18" s="615"/>
    </row>
    <row r="19">
      <c r="A19" s="631">
        <v>44937.0</v>
      </c>
      <c r="B19" s="635">
        <v>44891.0</v>
      </c>
      <c r="C19" s="1" t="s">
        <v>3200</v>
      </c>
      <c r="D19" s="619" t="s">
        <v>3201</v>
      </c>
      <c r="E19" s="619" t="s">
        <v>3204</v>
      </c>
      <c r="F19" s="618">
        <v>266.06</v>
      </c>
      <c r="G19" s="618">
        <v>242.74</v>
      </c>
      <c r="H19" s="618">
        <v>23.32</v>
      </c>
      <c r="I19" s="619" t="s">
        <v>3205</v>
      </c>
      <c r="J19" s="635"/>
      <c r="K19" s="635"/>
      <c r="L19" s="635"/>
      <c r="M19" s="635"/>
      <c r="N19" s="635"/>
      <c r="O19" s="635"/>
      <c r="P19" s="635"/>
      <c r="Q19" s="635"/>
      <c r="R19" s="635"/>
      <c r="S19" s="635"/>
      <c r="T19" s="635"/>
      <c r="U19" s="635"/>
      <c r="V19" s="635"/>
      <c r="W19" s="635"/>
      <c r="X19" s="635"/>
      <c r="Y19" s="635"/>
      <c r="Z19" s="635"/>
      <c r="AA19" s="615"/>
    </row>
    <row r="20">
      <c r="A20" s="631">
        <v>44938.0</v>
      </c>
      <c r="B20" s="635">
        <v>44937.0</v>
      </c>
      <c r="C20" s="621" t="s">
        <v>3207</v>
      </c>
      <c r="D20" s="619" t="s">
        <v>3209</v>
      </c>
      <c r="E20" s="619" t="s">
        <v>3211</v>
      </c>
      <c r="F20" s="618">
        <v>1390.0</v>
      </c>
      <c r="G20" s="618">
        <v>1320.0</v>
      </c>
      <c r="H20" s="618">
        <v>70.0</v>
      </c>
      <c r="I20" s="619" t="s">
        <v>3212</v>
      </c>
      <c r="J20" s="635"/>
      <c r="K20" s="635"/>
      <c r="L20" s="635"/>
      <c r="M20" s="635"/>
      <c r="N20" s="635"/>
      <c r="O20" s="635"/>
      <c r="P20" s="635"/>
      <c r="Q20" s="635"/>
      <c r="R20" s="635"/>
      <c r="S20" s="635"/>
      <c r="T20" s="635"/>
      <c r="U20" s="635"/>
      <c r="V20" s="635"/>
      <c r="W20" s="635"/>
      <c r="X20" s="635"/>
      <c r="Y20" s="635"/>
      <c r="Z20" s="635"/>
      <c r="AA20" s="615"/>
    </row>
    <row r="21">
      <c r="A21" s="631">
        <v>44938.0</v>
      </c>
      <c r="B21" s="648">
        <v>44933.0</v>
      </c>
      <c r="C21" s="649" t="s">
        <v>3218</v>
      </c>
      <c r="D21" s="357" t="s">
        <v>3220</v>
      </c>
      <c r="E21" s="356" t="s">
        <v>3221</v>
      </c>
      <c r="F21" s="351">
        <v>252.48</v>
      </c>
      <c r="G21" s="351">
        <v>409.26</v>
      </c>
      <c r="H21" s="351">
        <v>156.78</v>
      </c>
      <c r="I21" s="619" t="s">
        <v>3222</v>
      </c>
      <c r="J21" s="615"/>
      <c r="K21" s="615"/>
      <c r="L21" s="615"/>
      <c r="M21" s="615"/>
      <c r="N21" s="615"/>
      <c r="O21" s="615"/>
      <c r="P21" s="615"/>
      <c r="Q21" s="615"/>
      <c r="R21" s="615"/>
      <c r="S21" s="615"/>
      <c r="T21" s="615"/>
      <c r="U21" s="615"/>
      <c r="V21" s="615"/>
      <c r="W21" s="615"/>
      <c r="X21" s="615"/>
      <c r="Y21" s="615"/>
      <c r="Z21" s="615"/>
      <c r="AA21" s="615"/>
    </row>
    <row r="22">
      <c r="A22" s="631">
        <v>44938.0</v>
      </c>
      <c r="B22" s="617">
        <v>44864.0</v>
      </c>
      <c r="C22" s="621" t="s">
        <v>3223</v>
      </c>
      <c r="D22" s="619" t="s">
        <v>3224</v>
      </c>
      <c r="E22" s="395" t="s">
        <v>3225</v>
      </c>
      <c r="F22" s="351">
        <v>297.78</v>
      </c>
      <c r="G22" s="351">
        <v>222.7</v>
      </c>
      <c r="H22" s="351">
        <v>75.08</v>
      </c>
      <c r="I22" s="619"/>
      <c r="J22" s="615"/>
      <c r="K22" s="615"/>
      <c r="L22" s="615"/>
      <c r="M22" s="615"/>
      <c r="N22" s="615"/>
      <c r="O22" s="615"/>
      <c r="P22" s="615"/>
      <c r="Q22" s="615"/>
      <c r="R22" s="615"/>
      <c r="S22" s="615"/>
      <c r="T22" s="615"/>
      <c r="U22" s="615"/>
      <c r="V22" s="615"/>
      <c r="W22" s="615"/>
      <c r="X22" s="615"/>
      <c r="Y22" s="615"/>
      <c r="Z22" s="615"/>
      <c r="AA22" s="615"/>
    </row>
    <row r="23">
      <c r="A23" s="631">
        <v>44939.0</v>
      </c>
      <c r="B23" s="617">
        <v>44881.0</v>
      </c>
      <c r="C23" s="621" t="s">
        <v>2827</v>
      </c>
      <c r="D23" s="619" t="s">
        <v>3230</v>
      </c>
      <c r="E23" s="619" t="s">
        <v>2829</v>
      </c>
      <c r="F23" s="618">
        <v>316.94</v>
      </c>
      <c r="G23" s="351">
        <v>242.74</v>
      </c>
      <c r="H23" s="618">
        <v>74.2</v>
      </c>
      <c r="I23" s="619" t="s">
        <v>3232</v>
      </c>
      <c r="J23" s="615"/>
      <c r="K23" s="615"/>
      <c r="L23" s="615"/>
      <c r="M23" s="615"/>
      <c r="N23" s="615"/>
      <c r="O23" s="615"/>
      <c r="P23" s="615"/>
      <c r="Q23" s="615"/>
      <c r="R23" s="615"/>
      <c r="S23" s="615"/>
      <c r="T23" s="615"/>
      <c r="U23" s="615"/>
      <c r="V23" s="615"/>
      <c r="W23" s="615"/>
      <c r="X23" s="615"/>
      <c r="Y23" s="615"/>
      <c r="Z23" s="615"/>
      <c r="AA23" s="615"/>
    </row>
    <row r="24">
      <c r="A24" s="631">
        <v>44939.0</v>
      </c>
      <c r="B24" s="617">
        <v>44867.0</v>
      </c>
      <c r="C24" s="621" t="s">
        <v>3236</v>
      </c>
      <c r="D24" s="619" t="s">
        <v>3237</v>
      </c>
      <c r="E24" s="619" t="s">
        <v>3239</v>
      </c>
      <c r="F24" s="618">
        <v>289.0</v>
      </c>
      <c r="G24" s="618">
        <v>289.0</v>
      </c>
      <c r="H24" s="618">
        <v>0.0</v>
      </c>
      <c r="I24" s="619" t="s">
        <v>3188</v>
      </c>
      <c r="J24" s="615"/>
      <c r="K24" s="615"/>
      <c r="L24" s="615"/>
      <c r="M24" s="615"/>
      <c r="N24" s="615"/>
      <c r="O24" s="615"/>
      <c r="P24" s="615"/>
      <c r="Q24" s="615"/>
      <c r="R24" s="615"/>
      <c r="S24" s="615"/>
      <c r="T24" s="615"/>
      <c r="U24" s="615"/>
      <c r="V24" s="615"/>
      <c r="W24" s="615"/>
      <c r="X24" s="615"/>
      <c r="Y24" s="615"/>
      <c r="Z24" s="615"/>
      <c r="AA24" s="615"/>
    </row>
    <row r="25">
      <c r="A25" s="631">
        <v>44939.0</v>
      </c>
      <c r="B25" s="617">
        <v>44880.0</v>
      </c>
      <c r="C25" s="621" t="s">
        <v>1155</v>
      </c>
      <c r="D25" s="619" t="s">
        <v>1156</v>
      </c>
      <c r="E25" s="619" t="s">
        <v>1158</v>
      </c>
      <c r="F25" s="351">
        <v>342.62</v>
      </c>
      <c r="G25" s="618">
        <f>F25-25.6</f>
        <v>317.02</v>
      </c>
      <c r="H25" s="656">
        <v>25.6</v>
      </c>
      <c r="I25" s="619" t="s">
        <v>3244</v>
      </c>
      <c r="J25" s="615"/>
      <c r="K25" s="615"/>
      <c r="L25" s="615"/>
      <c r="M25" s="615"/>
      <c r="N25" s="615"/>
      <c r="O25" s="615"/>
      <c r="P25" s="615"/>
      <c r="Q25" s="615"/>
      <c r="R25" s="615"/>
      <c r="S25" s="615"/>
      <c r="T25" s="615"/>
      <c r="U25" s="615"/>
      <c r="V25" s="615"/>
      <c r="W25" s="615"/>
      <c r="X25" s="615"/>
      <c r="Y25" s="615"/>
      <c r="Z25" s="615"/>
      <c r="AA25" s="615"/>
    </row>
    <row r="26">
      <c r="A26" s="631">
        <v>44939.0</v>
      </c>
      <c r="B26" s="617">
        <v>44938.0</v>
      </c>
      <c r="C26" s="621" t="s">
        <v>3248</v>
      </c>
      <c r="D26" s="619" t="s">
        <v>3249</v>
      </c>
      <c r="E26" s="619" t="s">
        <v>3250</v>
      </c>
      <c r="F26" s="638">
        <v>359.34</v>
      </c>
      <c r="G26" s="618">
        <v>285.14</v>
      </c>
      <c r="H26" s="618">
        <v>74.2</v>
      </c>
      <c r="I26" s="619" t="s">
        <v>3252</v>
      </c>
      <c r="J26" s="615"/>
      <c r="K26" s="615"/>
      <c r="L26" s="615"/>
      <c r="M26" s="615"/>
      <c r="N26" s="615"/>
      <c r="O26" s="615"/>
      <c r="P26" s="615"/>
      <c r="Q26" s="615"/>
      <c r="R26" s="615"/>
      <c r="S26" s="615"/>
      <c r="T26" s="615"/>
      <c r="U26" s="615"/>
      <c r="V26" s="615"/>
      <c r="W26" s="615"/>
      <c r="X26" s="615"/>
      <c r="Y26" s="615"/>
      <c r="Z26" s="615"/>
      <c r="AA26" s="615"/>
    </row>
    <row r="27">
      <c r="A27" s="631">
        <v>44940.0</v>
      </c>
      <c r="B27" s="635">
        <v>44878.0</v>
      </c>
      <c r="C27" s="621" t="s">
        <v>715</v>
      </c>
      <c r="D27" s="619" t="s">
        <v>716</v>
      </c>
      <c r="E27" s="619" t="s">
        <v>717</v>
      </c>
      <c r="F27" s="618">
        <v>268.18</v>
      </c>
      <c r="G27" s="638">
        <v>242.74</v>
      </c>
      <c r="H27" s="618">
        <v>25.44</v>
      </c>
      <c r="I27" s="619" t="s">
        <v>3256</v>
      </c>
      <c r="J27" s="615"/>
      <c r="K27" s="615"/>
      <c r="L27" s="615"/>
      <c r="M27" s="615"/>
      <c r="N27" s="615"/>
      <c r="O27" s="615"/>
      <c r="P27" s="615"/>
      <c r="Q27" s="615"/>
      <c r="R27" s="615"/>
      <c r="S27" s="615"/>
      <c r="T27" s="615"/>
      <c r="U27" s="615"/>
      <c r="V27" s="615"/>
      <c r="W27" s="615"/>
      <c r="X27" s="615"/>
      <c r="Y27" s="615"/>
      <c r="Z27" s="615"/>
      <c r="AA27" s="615"/>
    </row>
    <row r="28">
      <c r="A28" s="631">
        <v>44940.0</v>
      </c>
      <c r="B28" s="635">
        <v>44867.0</v>
      </c>
      <c r="C28" s="621" t="s">
        <v>3258</v>
      </c>
      <c r="D28" s="619" t="s">
        <v>3259</v>
      </c>
      <c r="E28" s="619" t="s">
        <v>3261</v>
      </c>
      <c r="F28" s="618">
        <v>80.0</v>
      </c>
      <c r="G28" s="638">
        <v>62.2</v>
      </c>
      <c r="H28" s="618">
        <v>17.8</v>
      </c>
      <c r="I28" s="619" t="s">
        <v>3263</v>
      </c>
      <c r="J28" s="615"/>
      <c r="K28" s="615"/>
      <c r="L28" s="615"/>
      <c r="M28" s="615"/>
      <c r="N28" s="615"/>
      <c r="O28" s="615"/>
      <c r="P28" s="615"/>
      <c r="Q28" s="615"/>
      <c r="R28" s="615"/>
      <c r="S28" s="615"/>
      <c r="T28" s="615"/>
      <c r="U28" s="615"/>
      <c r="V28" s="615"/>
      <c r="W28" s="615"/>
      <c r="X28" s="615"/>
      <c r="Y28" s="615"/>
      <c r="Z28" s="615"/>
      <c r="AA28" s="615"/>
    </row>
    <row r="29">
      <c r="A29" s="631">
        <v>44940.0</v>
      </c>
      <c r="B29" s="635">
        <v>44156.0</v>
      </c>
      <c r="C29" s="658" t="s">
        <v>1715</v>
      </c>
      <c r="D29" s="357" t="s">
        <v>1716</v>
      </c>
      <c r="E29" s="619" t="s">
        <v>1717</v>
      </c>
      <c r="F29" s="618">
        <v>270.7</v>
      </c>
      <c r="G29" s="659">
        <f>F29-H29</f>
        <v>245.02</v>
      </c>
      <c r="H29" s="618">
        <v>25.68</v>
      </c>
      <c r="I29" s="619" t="s">
        <v>3269</v>
      </c>
      <c r="J29" s="615"/>
      <c r="K29" s="615"/>
      <c r="L29" s="615"/>
      <c r="M29" s="615"/>
      <c r="N29" s="615"/>
      <c r="O29" s="615"/>
      <c r="P29" s="615"/>
      <c r="Q29" s="615"/>
      <c r="R29" s="615"/>
      <c r="S29" s="615"/>
      <c r="T29" s="615"/>
      <c r="U29" s="615"/>
      <c r="V29" s="615"/>
      <c r="W29" s="615"/>
      <c r="X29" s="615"/>
      <c r="Y29" s="615"/>
      <c r="Z29" s="615"/>
      <c r="AA29" s="615"/>
    </row>
    <row r="30">
      <c r="A30" s="631">
        <v>44940.0</v>
      </c>
      <c r="B30" s="635">
        <v>44860.0</v>
      </c>
      <c r="C30" s="621" t="s">
        <v>3271</v>
      </c>
      <c r="D30" s="619" t="s">
        <v>3272</v>
      </c>
      <c r="E30" s="619" t="s">
        <v>3273</v>
      </c>
      <c r="F30" s="618">
        <v>308.15</v>
      </c>
      <c r="G30" s="618">
        <v>308.15</v>
      </c>
      <c r="H30" s="660">
        <v>0.0</v>
      </c>
      <c r="I30" s="619" t="s">
        <v>3188</v>
      </c>
      <c r="J30" s="615"/>
      <c r="K30" s="615"/>
      <c r="L30" s="615"/>
      <c r="M30" s="615"/>
      <c r="N30" s="615"/>
      <c r="O30" s="615"/>
      <c r="P30" s="615"/>
      <c r="Q30" s="615"/>
      <c r="R30" s="615"/>
      <c r="S30" s="615"/>
      <c r="T30" s="615"/>
      <c r="U30" s="615"/>
      <c r="V30" s="615"/>
      <c r="W30" s="615"/>
      <c r="X30" s="615"/>
      <c r="Y30" s="615"/>
      <c r="Z30" s="615"/>
      <c r="AA30" s="615"/>
    </row>
    <row r="31">
      <c r="A31" s="631">
        <v>44940.0</v>
      </c>
      <c r="B31" s="635">
        <v>44891.0</v>
      </c>
      <c r="C31" s="621" t="s">
        <v>3279</v>
      </c>
      <c r="D31" s="1" t="s">
        <v>3281</v>
      </c>
      <c r="E31" s="619" t="s">
        <v>3282</v>
      </c>
      <c r="F31" s="618">
        <v>219.84</v>
      </c>
      <c r="G31" s="618">
        <v>189.84</v>
      </c>
      <c r="H31" s="621">
        <v>30.0</v>
      </c>
      <c r="I31" s="619" t="s">
        <v>3283</v>
      </c>
      <c r="J31" s="615"/>
      <c r="K31" s="615"/>
      <c r="L31" s="615"/>
      <c r="M31" s="615"/>
      <c r="N31" s="615"/>
      <c r="O31" s="615"/>
      <c r="P31" s="615"/>
      <c r="Q31" s="615"/>
      <c r="R31" s="615"/>
      <c r="S31" s="615"/>
      <c r="T31" s="615"/>
      <c r="U31" s="615"/>
      <c r="V31" s="615"/>
      <c r="W31" s="615"/>
      <c r="X31" s="615"/>
      <c r="Y31" s="615"/>
      <c r="Z31" s="615"/>
      <c r="AA31" s="615"/>
    </row>
    <row r="32">
      <c r="A32" s="631">
        <v>44940.0</v>
      </c>
      <c r="B32" s="635">
        <v>44875.0</v>
      </c>
      <c r="C32" s="621" t="s">
        <v>2894</v>
      </c>
      <c r="D32" s="619" t="s">
        <v>2895</v>
      </c>
      <c r="E32" s="619" t="s">
        <v>2896</v>
      </c>
      <c r="F32" s="351">
        <v>247.61</v>
      </c>
      <c r="G32" s="351">
        <v>247.61</v>
      </c>
      <c r="H32" s="656">
        <v>0.0</v>
      </c>
      <c r="I32" s="619" t="s">
        <v>3188</v>
      </c>
      <c r="J32" s="615"/>
      <c r="K32" s="615"/>
      <c r="L32" s="615"/>
      <c r="M32" s="615"/>
      <c r="N32" s="615"/>
      <c r="O32" s="615"/>
      <c r="P32" s="615"/>
      <c r="Q32" s="615"/>
      <c r="R32" s="615"/>
      <c r="S32" s="615"/>
      <c r="T32" s="615"/>
      <c r="U32" s="615"/>
      <c r="V32" s="615"/>
      <c r="W32" s="615"/>
      <c r="X32" s="615"/>
      <c r="Y32" s="615"/>
      <c r="Z32" s="615"/>
      <c r="AA32" s="615"/>
    </row>
    <row r="33">
      <c r="A33" s="631">
        <v>44941.0</v>
      </c>
      <c r="B33" s="635">
        <v>44941.0</v>
      </c>
      <c r="C33" s="621" t="s">
        <v>3284</v>
      </c>
      <c r="D33" s="619" t="s">
        <v>3286</v>
      </c>
      <c r="E33" s="619" t="s">
        <v>3287</v>
      </c>
      <c r="F33" s="618">
        <v>942.86</v>
      </c>
      <c r="G33" s="618">
        <v>651.67</v>
      </c>
      <c r="H33" s="618">
        <v>291.19</v>
      </c>
      <c r="I33" s="619" t="s">
        <v>3290</v>
      </c>
      <c r="J33" s="615"/>
      <c r="K33" s="615"/>
      <c r="L33" s="615"/>
      <c r="M33" s="615"/>
      <c r="N33" s="615"/>
      <c r="O33" s="615"/>
      <c r="P33" s="615"/>
      <c r="Q33" s="615"/>
      <c r="R33" s="615"/>
      <c r="S33" s="615"/>
      <c r="T33" s="615"/>
      <c r="U33" s="615"/>
      <c r="V33" s="615"/>
      <c r="W33" s="615"/>
      <c r="X33" s="615"/>
      <c r="Y33" s="615"/>
      <c r="Z33" s="615"/>
      <c r="AA33" s="615"/>
    </row>
    <row r="34">
      <c r="A34" s="631">
        <v>44577.0</v>
      </c>
      <c r="B34" s="635">
        <v>44893.0</v>
      </c>
      <c r="C34" s="621" t="s">
        <v>3291</v>
      </c>
      <c r="D34" s="619" t="s">
        <v>3292</v>
      </c>
      <c r="E34" s="619" t="s">
        <v>3293</v>
      </c>
      <c r="F34" s="618">
        <v>268.18</v>
      </c>
      <c r="G34" s="618">
        <v>268.18</v>
      </c>
      <c r="H34" s="618">
        <v>0.0</v>
      </c>
      <c r="I34" s="619" t="s">
        <v>3188</v>
      </c>
      <c r="J34" s="615"/>
      <c r="K34" s="615"/>
      <c r="L34" s="615"/>
      <c r="M34" s="615"/>
      <c r="N34" s="615"/>
      <c r="O34" s="615"/>
      <c r="P34" s="615"/>
      <c r="Q34" s="615"/>
      <c r="R34" s="615"/>
      <c r="S34" s="615"/>
      <c r="T34" s="615"/>
      <c r="U34" s="615"/>
      <c r="V34" s="615"/>
      <c r="W34" s="615"/>
      <c r="X34" s="615"/>
      <c r="Y34" s="615"/>
      <c r="Z34" s="615"/>
      <c r="AA34" s="615"/>
    </row>
    <row r="35">
      <c r="A35" s="631">
        <v>44577.0</v>
      </c>
      <c r="B35" s="635">
        <v>44773.0</v>
      </c>
      <c r="C35" s="621" t="s">
        <v>3295</v>
      </c>
      <c r="D35" s="619" t="s">
        <v>3296</v>
      </c>
      <c r="E35" s="619" t="s">
        <v>3298</v>
      </c>
      <c r="F35" s="618">
        <v>18.0</v>
      </c>
      <c r="G35" s="618">
        <v>18.0</v>
      </c>
      <c r="H35" s="618">
        <v>0.0</v>
      </c>
      <c r="I35" s="619" t="s">
        <v>3300</v>
      </c>
      <c r="J35" s="615"/>
      <c r="K35" s="615"/>
      <c r="L35" s="615"/>
      <c r="M35" s="615"/>
      <c r="N35" s="615"/>
      <c r="O35" s="615"/>
      <c r="P35" s="615"/>
      <c r="Q35" s="615"/>
      <c r="R35" s="615"/>
      <c r="S35" s="615"/>
      <c r="T35" s="615"/>
      <c r="U35" s="615"/>
      <c r="V35" s="615"/>
      <c r="W35" s="615"/>
      <c r="X35" s="615"/>
      <c r="Y35" s="615"/>
      <c r="Z35" s="615"/>
      <c r="AA35" s="615"/>
    </row>
    <row r="36">
      <c r="A36" s="631">
        <v>44578.0</v>
      </c>
      <c r="B36" s="635">
        <v>44935.0</v>
      </c>
      <c r="C36" s="621" t="s">
        <v>3301</v>
      </c>
      <c r="D36" s="619" t="s">
        <v>3302</v>
      </c>
      <c r="E36" s="619" t="s">
        <v>3303</v>
      </c>
      <c r="F36" s="618">
        <v>345.0</v>
      </c>
      <c r="G36" s="618">
        <v>345.0</v>
      </c>
      <c r="H36" s="618">
        <v>0.0</v>
      </c>
      <c r="I36" s="619" t="s">
        <v>3304</v>
      </c>
      <c r="J36" s="615"/>
      <c r="K36" s="615"/>
      <c r="L36" s="615"/>
      <c r="M36" s="615"/>
      <c r="N36" s="615"/>
      <c r="O36" s="615"/>
      <c r="P36" s="615"/>
      <c r="Q36" s="615"/>
      <c r="R36" s="615"/>
      <c r="S36" s="615"/>
      <c r="T36" s="615"/>
      <c r="U36" s="615"/>
      <c r="V36" s="615"/>
      <c r="W36" s="615"/>
      <c r="X36" s="615"/>
      <c r="Y36" s="615"/>
      <c r="Z36" s="615"/>
      <c r="AA36" s="615"/>
    </row>
    <row r="37">
      <c r="A37" s="631">
        <v>44578.0</v>
      </c>
      <c r="B37" s="635">
        <v>44677.0</v>
      </c>
      <c r="C37" s="621" t="s">
        <v>3308</v>
      </c>
      <c r="D37" s="619" t="s">
        <v>3309</v>
      </c>
      <c r="E37" s="619" t="s">
        <v>3310</v>
      </c>
      <c r="F37" s="618">
        <v>315.0</v>
      </c>
      <c r="G37" s="618">
        <v>297.0</v>
      </c>
      <c r="H37" s="618">
        <v>18.0</v>
      </c>
      <c r="I37" s="619" t="s">
        <v>3312</v>
      </c>
      <c r="J37" s="615"/>
      <c r="K37" s="615"/>
      <c r="L37" s="615"/>
      <c r="M37" s="615"/>
      <c r="N37" s="615"/>
      <c r="O37" s="615"/>
      <c r="P37" s="615"/>
      <c r="Q37" s="615"/>
      <c r="R37" s="615"/>
      <c r="S37" s="615"/>
      <c r="T37" s="615"/>
      <c r="U37" s="615"/>
      <c r="V37" s="615"/>
      <c r="W37" s="615"/>
      <c r="X37" s="615"/>
      <c r="Y37" s="615"/>
      <c r="Z37" s="615"/>
      <c r="AA37" s="615"/>
    </row>
    <row r="38">
      <c r="A38" s="631">
        <v>44578.0</v>
      </c>
      <c r="B38" s="635">
        <v>44937.0</v>
      </c>
      <c r="C38" s="621" t="s">
        <v>3315</v>
      </c>
      <c r="D38" s="619" t="s">
        <v>3316</v>
      </c>
      <c r="E38" s="619" t="s">
        <v>3317</v>
      </c>
      <c r="F38" s="333">
        <v>212.93</v>
      </c>
      <c r="G38" s="333">
        <v>250.38</v>
      </c>
      <c r="H38" s="618">
        <v>37.45</v>
      </c>
      <c r="I38" s="619" t="s">
        <v>3318</v>
      </c>
      <c r="J38" s="615"/>
      <c r="K38" s="615"/>
      <c r="L38" s="615"/>
      <c r="M38" s="615"/>
      <c r="N38" s="615"/>
      <c r="O38" s="615"/>
      <c r="P38" s="615"/>
      <c r="Q38" s="615"/>
      <c r="R38" s="615"/>
      <c r="S38" s="615"/>
      <c r="T38" s="615"/>
      <c r="U38" s="615"/>
      <c r="V38" s="615"/>
      <c r="W38" s="615"/>
      <c r="X38" s="615"/>
      <c r="Y38" s="615"/>
      <c r="Z38" s="615"/>
      <c r="AA38" s="615"/>
    </row>
    <row r="39">
      <c r="A39" s="631">
        <v>44944.0</v>
      </c>
      <c r="B39" s="635">
        <v>44942.0</v>
      </c>
      <c r="C39" s="621" t="s">
        <v>3319</v>
      </c>
      <c r="D39" s="619" t="s">
        <v>3320</v>
      </c>
      <c r="E39" s="619" t="s">
        <v>3321</v>
      </c>
      <c r="F39" s="618">
        <v>430.0</v>
      </c>
      <c r="G39" s="638">
        <v>360.0</v>
      </c>
      <c r="H39" s="618">
        <v>70.0</v>
      </c>
      <c r="I39" s="619" t="s">
        <v>3322</v>
      </c>
      <c r="J39" s="615"/>
      <c r="K39" s="615"/>
      <c r="L39" s="615"/>
      <c r="M39" s="615"/>
      <c r="N39" s="615"/>
      <c r="O39" s="615"/>
      <c r="P39" s="615"/>
      <c r="Q39" s="615"/>
      <c r="R39" s="615"/>
      <c r="S39" s="615"/>
      <c r="T39" s="615"/>
      <c r="U39" s="615"/>
      <c r="V39" s="615"/>
      <c r="W39" s="615"/>
      <c r="X39" s="615"/>
      <c r="Y39" s="615"/>
      <c r="Z39" s="615"/>
      <c r="AA39" s="615"/>
    </row>
    <row r="40">
      <c r="A40" s="631">
        <v>44944.0</v>
      </c>
      <c r="B40" s="635">
        <v>44654.0</v>
      </c>
      <c r="C40" s="621" t="s">
        <v>3324</v>
      </c>
      <c r="D40" s="619" t="s">
        <v>3326</v>
      </c>
      <c r="E40" s="619" t="s">
        <v>3327</v>
      </c>
      <c r="F40" s="618">
        <v>309.0</v>
      </c>
      <c r="G40" s="638">
        <v>291.0</v>
      </c>
      <c r="H40" s="618">
        <v>18.0</v>
      </c>
      <c r="I40" s="619" t="s">
        <v>3329</v>
      </c>
      <c r="J40" s="615"/>
      <c r="K40" s="615"/>
      <c r="L40" s="615"/>
      <c r="M40" s="615"/>
      <c r="N40" s="615"/>
      <c r="O40" s="615"/>
      <c r="P40" s="615"/>
      <c r="Q40" s="615"/>
      <c r="R40" s="615"/>
      <c r="S40" s="615"/>
      <c r="T40" s="615"/>
      <c r="U40" s="615"/>
      <c r="V40" s="615"/>
      <c r="W40" s="615"/>
      <c r="X40" s="615"/>
      <c r="Y40" s="615"/>
      <c r="Z40" s="615"/>
      <c r="AA40" s="615"/>
    </row>
    <row r="41">
      <c r="A41" s="631">
        <v>44944.0</v>
      </c>
      <c r="B41" s="635">
        <v>44869.0</v>
      </c>
      <c r="C41" s="621" t="s">
        <v>3330</v>
      </c>
      <c r="D41" s="619" t="s">
        <v>3331</v>
      </c>
      <c r="E41" s="619" t="s">
        <v>3332</v>
      </c>
      <c r="F41" s="638">
        <v>308.51</v>
      </c>
      <c r="G41" s="638">
        <v>308.51</v>
      </c>
      <c r="H41" s="618">
        <v>0.0</v>
      </c>
      <c r="I41" s="619" t="s">
        <v>3333</v>
      </c>
      <c r="J41" s="615"/>
      <c r="K41" s="615"/>
      <c r="L41" s="615"/>
      <c r="M41" s="615"/>
      <c r="N41" s="615"/>
      <c r="O41" s="615"/>
      <c r="P41" s="615"/>
      <c r="Q41" s="615"/>
      <c r="R41" s="615"/>
      <c r="S41" s="615"/>
      <c r="T41" s="615"/>
      <c r="U41" s="615"/>
      <c r="V41" s="615"/>
      <c r="W41" s="615"/>
      <c r="X41" s="615"/>
      <c r="Y41" s="615"/>
      <c r="Z41" s="615"/>
      <c r="AA41" s="615"/>
    </row>
    <row r="42">
      <c r="A42" s="631">
        <v>44944.0</v>
      </c>
      <c r="B42" s="617">
        <v>44884.0</v>
      </c>
      <c r="C42" s="621" t="s">
        <v>1457</v>
      </c>
      <c r="D42" s="619" t="s">
        <v>1460</v>
      </c>
      <c r="E42" s="619" t="s">
        <v>1461</v>
      </c>
      <c r="F42" s="638">
        <v>247.32</v>
      </c>
      <c r="G42" s="638">
        <v>247.32</v>
      </c>
      <c r="H42" s="618">
        <v>0.0</v>
      </c>
      <c r="I42" s="619" t="s">
        <v>3333</v>
      </c>
      <c r="J42" s="615"/>
      <c r="K42" s="615"/>
      <c r="L42" s="615"/>
      <c r="M42" s="615"/>
      <c r="N42" s="615"/>
      <c r="O42" s="615"/>
      <c r="P42" s="615"/>
      <c r="Q42" s="615"/>
      <c r="R42" s="615"/>
      <c r="S42" s="615"/>
      <c r="T42" s="615"/>
      <c r="U42" s="615"/>
      <c r="V42" s="615"/>
      <c r="W42" s="615"/>
      <c r="X42" s="615"/>
      <c r="Y42" s="615"/>
      <c r="Z42" s="615"/>
      <c r="AA42" s="615"/>
    </row>
    <row r="43">
      <c r="A43" s="631">
        <v>44944.0</v>
      </c>
      <c r="B43" s="635">
        <v>44890.0</v>
      </c>
      <c r="C43" s="621" t="s">
        <v>1466</v>
      </c>
      <c r="D43" s="619" t="s">
        <v>1467</v>
      </c>
      <c r="E43" s="619" t="s">
        <v>1468</v>
      </c>
      <c r="F43" s="620">
        <v>247.66</v>
      </c>
      <c r="G43" s="620">
        <v>247.66</v>
      </c>
      <c r="H43" s="618">
        <v>0.0</v>
      </c>
      <c r="I43" s="619" t="s">
        <v>3333</v>
      </c>
      <c r="J43" s="615"/>
      <c r="K43" s="615"/>
      <c r="L43" s="615"/>
      <c r="M43" s="615"/>
      <c r="N43" s="615"/>
      <c r="O43" s="615"/>
      <c r="P43" s="615"/>
      <c r="Q43" s="615"/>
      <c r="R43" s="615"/>
      <c r="S43" s="615"/>
      <c r="T43" s="615"/>
      <c r="U43" s="615"/>
      <c r="V43" s="615"/>
      <c r="W43" s="615"/>
      <c r="X43" s="615"/>
      <c r="Y43" s="615"/>
      <c r="Z43" s="615"/>
      <c r="AA43" s="615"/>
    </row>
    <row r="44">
      <c r="A44" s="631">
        <v>44944.0</v>
      </c>
      <c r="B44" s="635">
        <v>44868.0</v>
      </c>
      <c r="C44" s="621" t="s">
        <v>3337</v>
      </c>
      <c r="D44" s="619" t="s">
        <v>1474</v>
      </c>
      <c r="E44" s="619" t="s">
        <v>1475</v>
      </c>
      <c r="F44" s="620">
        <v>358.45</v>
      </c>
      <c r="G44" s="618">
        <v>334.91</v>
      </c>
      <c r="H44" s="618">
        <v>23.54</v>
      </c>
      <c r="I44" s="619" t="s">
        <v>3338</v>
      </c>
      <c r="J44" s="615"/>
      <c r="K44" s="615"/>
      <c r="L44" s="615"/>
      <c r="M44" s="615"/>
      <c r="N44" s="615"/>
      <c r="O44" s="615"/>
      <c r="P44" s="615"/>
      <c r="Q44" s="615"/>
      <c r="R44" s="615"/>
      <c r="S44" s="615"/>
      <c r="T44" s="615"/>
      <c r="U44" s="615"/>
      <c r="V44" s="615"/>
      <c r="W44" s="615"/>
      <c r="X44" s="615"/>
      <c r="Y44" s="615"/>
      <c r="Z44" s="615"/>
      <c r="AA44" s="615"/>
    </row>
    <row r="45">
      <c r="A45" s="631">
        <v>44944.0</v>
      </c>
      <c r="B45" s="635">
        <v>44879.0</v>
      </c>
      <c r="C45" s="621" t="s">
        <v>1479</v>
      </c>
      <c r="D45" s="619" t="s">
        <v>1480</v>
      </c>
      <c r="E45" s="619" t="s">
        <v>1481</v>
      </c>
      <c r="F45" s="638">
        <v>315.14</v>
      </c>
      <c r="G45" s="618">
        <v>240.94</v>
      </c>
      <c r="H45" s="618">
        <v>74.2</v>
      </c>
      <c r="I45" s="619" t="s">
        <v>3339</v>
      </c>
      <c r="J45" s="615"/>
      <c r="K45" s="615"/>
      <c r="L45" s="615"/>
      <c r="M45" s="615"/>
      <c r="N45" s="615"/>
      <c r="O45" s="615"/>
      <c r="P45" s="615"/>
      <c r="Q45" s="615"/>
      <c r="R45" s="615"/>
      <c r="S45" s="615"/>
      <c r="T45" s="615"/>
      <c r="U45" s="615"/>
      <c r="V45" s="615"/>
      <c r="W45" s="615"/>
      <c r="X45" s="615"/>
      <c r="Y45" s="615"/>
      <c r="Z45" s="615"/>
      <c r="AA45" s="615"/>
    </row>
    <row r="46">
      <c r="A46" s="631">
        <v>44944.0</v>
      </c>
      <c r="B46" s="617">
        <v>44889.0</v>
      </c>
      <c r="C46" s="626" t="s">
        <v>1553</v>
      </c>
      <c r="D46" s="667" t="s">
        <v>1554</v>
      </c>
      <c r="E46" s="667" t="s">
        <v>1555</v>
      </c>
      <c r="F46" s="638">
        <v>345.72</v>
      </c>
      <c r="G46" s="638">
        <v>319.86</v>
      </c>
      <c r="H46" s="618">
        <v>25.86</v>
      </c>
      <c r="I46" s="619" t="s">
        <v>3340</v>
      </c>
      <c r="J46" s="615"/>
      <c r="K46" s="615"/>
      <c r="L46" s="615"/>
      <c r="M46" s="615"/>
      <c r="N46" s="615"/>
      <c r="O46" s="615"/>
      <c r="P46" s="615"/>
      <c r="Q46" s="615"/>
      <c r="R46" s="615"/>
      <c r="S46" s="615"/>
      <c r="T46" s="615"/>
      <c r="U46" s="615"/>
      <c r="V46" s="615"/>
      <c r="W46" s="615"/>
      <c r="X46" s="615"/>
      <c r="Y46" s="615"/>
      <c r="Z46" s="615"/>
      <c r="AA46" s="615"/>
    </row>
    <row r="47">
      <c r="A47" s="631">
        <v>44944.0</v>
      </c>
      <c r="B47" s="635">
        <v>44874.0</v>
      </c>
      <c r="C47" s="626" t="s">
        <v>1488</v>
      </c>
      <c r="D47" s="667" t="s">
        <v>1489</v>
      </c>
      <c r="E47" s="667" t="s">
        <v>1490</v>
      </c>
      <c r="F47" s="148">
        <v>344.4</v>
      </c>
      <c r="G47" s="660">
        <v>318.81</v>
      </c>
      <c r="H47" s="638">
        <v>25.59</v>
      </c>
      <c r="I47" s="668" t="s">
        <v>3344</v>
      </c>
      <c r="J47" s="615"/>
      <c r="K47" s="615"/>
      <c r="L47" s="615"/>
      <c r="M47" s="615"/>
      <c r="N47" s="615"/>
      <c r="O47" s="615"/>
      <c r="P47" s="615"/>
      <c r="Q47" s="615"/>
      <c r="R47" s="615"/>
      <c r="S47" s="615"/>
      <c r="T47" s="615"/>
      <c r="U47" s="615"/>
      <c r="V47" s="615"/>
      <c r="W47" s="615"/>
      <c r="X47" s="615"/>
      <c r="Y47" s="615"/>
      <c r="Z47" s="615"/>
      <c r="AA47" s="615"/>
    </row>
    <row r="48">
      <c r="A48" s="631">
        <v>44944.0</v>
      </c>
      <c r="B48" s="617">
        <v>44941.0</v>
      </c>
      <c r="C48" s="626" t="s">
        <v>1491</v>
      </c>
      <c r="D48" s="667" t="s">
        <v>1492</v>
      </c>
      <c r="E48" s="667" t="s">
        <v>1493</v>
      </c>
      <c r="F48" s="148">
        <v>419.54</v>
      </c>
      <c r="G48" s="620">
        <v>344.81</v>
      </c>
      <c r="H48" s="638">
        <v>74.73</v>
      </c>
      <c r="I48" s="668" t="s">
        <v>3322</v>
      </c>
      <c r="J48" s="615"/>
      <c r="K48" s="615"/>
      <c r="L48" s="615"/>
      <c r="M48" s="615"/>
      <c r="N48" s="615"/>
      <c r="O48" s="615"/>
      <c r="P48" s="615"/>
      <c r="Q48" s="615"/>
      <c r="R48" s="615"/>
      <c r="S48" s="615"/>
      <c r="T48" s="615"/>
      <c r="U48" s="615"/>
      <c r="V48" s="615"/>
      <c r="W48" s="615"/>
      <c r="X48" s="615"/>
      <c r="Y48" s="615"/>
      <c r="Z48" s="615"/>
      <c r="AA48" s="615"/>
    </row>
    <row r="49">
      <c r="A49" s="631">
        <v>44944.0</v>
      </c>
      <c r="B49" s="617">
        <v>44677.0</v>
      </c>
      <c r="C49" s="626" t="s">
        <v>1510</v>
      </c>
      <c r="D49" s="667" t="s">
        <v>1511</v>
      </c>
      <c r="E49" s="667" t="s">
        <v>1512</v>
      </c>
      <c r="F49" s="638">
        <v>316.68</v>
      </c>
      <c r="G49" s="660">
        <v>222.85</v>
      </c>
      <c r="H49" s="638">
        <v>93.83</v>
      </c>
      <c r="I49" s="668" t="s">
        <v>3345</v>
      </c>
      <c r="J49" s="615"/>
      <c r="K49" s="615"/>
      <c r="L49" s="615"/>
      <c r="M49" s="615"/>
      <c r="N49" s="615"/>
      <c r="O49" s="615"/>
      <c r="P49" s="615"/>
      <c r="Q49" s="615"/>
      <c r="R49" s="615"/>
      <c r="S49" s="615"/>
      <c r="T49" s="615"/>
      <c r="U49" s="615"/>
      <c r="V49" s="615"/>
      <c r="W49" s="615"/>
      <c r="X49" s="615"/>
      <c r="Y49" s="615"/>
      <c r="Z49" s="615"/>
      <c r="AA49" s="615"/>
    </row>
    <row r="50">
      <c r="A50" s="631">
        <v>44945.0</v>
      </c>
      <c r="B50" s="617">
        <v>44877.0</v>
      </c>
      <c r="C50" s="626" t="s">
        <v>3346</v>
      </c>
      <c r="D50" s="667" t="s">
        <v>3347</v>
      </c>
      <c r="E50" s="667" t="s">
        <v>3348</v>
      </c>
      <c r="F50" s="638">
        <v>373.47</v>
      </c>
      <c r="G50" s="660">
        <v>323.67</v>
      </c>
      <c r="H50" s="638">
        <v>49.8</v>
      </c>
      <c r="I50" s="619" t="s">
        <v>3349</v>
      </c>
      <c r="J50" s="615"/>
      <c r="K50" s="615"/>
      <c r="L50" s="615"/>
      <c r="M50" s="615"/>
      <c r="N50" s="615"/>
      <c r="O50" s="615"/>
      <c r="P50" s="615"/>
      <c r="Q50" s="615"/>
      <c r="R50" s="615"/>
      <c r="S50" s="615"/>
      <c r="T50" s="615"/>
      <c r="U50" s="615"/>
      <c r="V50" s="615"/>
      <c r="W50" s="615"/>
      <c r="X50" s="615"/>
      <c r="Y50" s="615"/>
      <c r="Z50" s="615"/>
      <c r="AA50" s="615"/>
    </row>
    <row r="51">
      <c r="A51" s="631">
        <v>44945.0</v>
      </c>
      <c r="B51" s="85">
        <v>44882.0</v>
      </c>
      <c r="C51" s="89" t="s">
        <v>3353</v>
      </c>
      <c r="D51" s="85">
        <v>44882.0</v>
      </c>
      <c r="E51" s="667" t="s">
        <v>3354</v>
      </c>
      <c r="F51" s="638">
        <v>293.0</v>
      </c>
      <c r="G51" s="148">
        <v>143.0</v>
      </c>
      <c r="H51" s="638">
        <v>150.0</v>
      </c>
      <c r="I51" s="668" t="s">
        <v>3355</v>
      </c>
      <c r="J51" s="615"/>
      <c r="K51" s="615"/>
      <c r="L51" s="615"/>
      <c r="M51" s="615"/>
      <c r="N51" s="615"/>
      <c r="O51" s="615"/>
      <c r="P51" s="615"/>
      <c r="Q51" s="615"/>
      <c r="R51" s="615"/>
      <c r="S51" s="615"/>
      <c r="T51" s="615"/>
      <c r="U51" s="615"/>
      <c r="V51" s="615"/>
      <c r="W51" s="615"/>
      <c r="X51" s="615"/>
      <c r="Y51" s="615"/>
      <c r="Z51" s="615"/>
      <c r="AA51" s="615"/>
    </row>
    <row r="52">
      <c r="A52" s="669">
        <v>44945.0</v>
      </c>
      <c r="B52" s="670">
        <v>44934.0</v>
      </c>
      <c r="C52" s="626" t="s">
        <v>3356</v>
      </c>
      <c r="D52" s="667" t="s">
        <v>3357</v>
      </c>
      <c r="E52" s="667" t="s">
        <v>3358</v>
      </c>
      <c r="F52" s="333">
        <v>62.0</v>
      </c>
      <c r="G52" s="333">
        <v>38.0</v>
      </c>
      <c r="H52" s="638">
        <v>24.0</v>
      </c>
      <c r="I52" s="668" t="s">
        <v>3359</v>
      </c>
      <c r="J52" s="615"/>
      <c r="K52" s="615"/>
      <c r="L52" s="615"/>
      <c r="M52" s="615"/>
      <c r="N52" s="615"/>
      <c r="O52" s="615"/>
      <c r="P52" s="615"/>
      <c r="Q52" s="615"/>
      <c r="R52" s="615"/>
      <c r="S52" s="615"/>
      <c r="T52" s="615"/>
      <c r="U52" s="615"/>
      <c r="V52" s="615"/>
      <c r="W52" s="615"/>
      <c r="X52" s="615"/>
      <c r="Y52" s="615"/>
      <c r="Z52" s="615"/>
      <c r="AA52" s="615"/>
    </row>
    <row r="53">
      <c r="A53" s="669">
        <v>44945.0</v>
      </c>
      <c r="B53" s="670">
        <v>44860.0</v>
      </c>
      <c r="C53" s="89" t="s">
        <v>1549</v>
      </c>
      <c r="D53" s="667" t="s">
        <v>1550</v>
      </c>
      <c r="E53" s="667" t="s">
        <v>1551</v>
      </c>
      <c r="F53" s="638">
        <v>355.94</v>
      </c>
      <c r="G53" s="638">
        <v>332.56</v>
      </c>
      <c r="H53" s="638">
        <v>23.38</v>
      </c>
      <c r="I53" s="668" t="s">
        <v>3205</v>
      </c>
      <c r="J53" s="615"/>
      <c r="K53" s="615"/>
      <c r="L53" s="615"/>
      <c r="M53" s="615"/>
      <c r="N53" s="615"/>
      <c r="O53" s="615"/>
      <c r="P53" s="615"/>
      <c r="Q53" s="615"/>
      <c r="R53" s="615"/>
      <c r="S53" s="615"/>
      <c r="T53" s="615"/>
      <c r="U53" s="615"/>
      <c r="V53" s="615"/>
      <c r="W53" s="615"/>
      <c r="X53" s="615"/>
      <c r="Y53" s="615"/>
      <c r="Z53" s="615"/>
      <c r="AA53" s="615"/>
    </row>
    <row r="54">
      <c r="A54" s="669">
        <v>44945.0</v>
      </c>
      <c r="B54" s="670">
        <v>44602.0</v>
      </c>
      <c r="C54" s="626" t="s">
        <v>1556</v>
      </c>
      <c r="D54" s="667" t="s">
        <v>1557</v>
      </c>
      <c r="E54" s="667" t="s">
        <v>1558</v>
      </c>
      <c r="F54" s="638">
        <v>309.0</v>
      </c>
      <c r="G54" s="638">
        <v>291.0</v>
      </c>
      <c r="H54" s="638">
        <v>18.0</v>
      </c>
      <c r="I54" s="619" t="s">
        <v>3363</v>
      </c>
      <c r="J54" s="615"/>
      <c r="K54" s="615"/>
      <c r="L54" s="615"/>
      <c r="M54" s="615"/>
      <c r="N54" s="615"/>
      <c r="O54" s="615"/>
      <c r="P54" s="615"/>
      <c r="Q54" s="615"/>
      <c r="R54" s="615"/>
      <c r="S54" s="615"/>
      <c r="T54" s="615"/>
      <c r="U54" s="615"/>
      <c r="V54" s="615"/>
      <c r="W54" s="615"/>
      <c r="X54" s="615"/>
      <c r="Y54" s="615"/>
      <c r="Z54" s="615"/>
      <c r="AA54" s="615"/>
    </row>
    <row r="55">
      <c r="A55" s="669">
        <v>44945.0</v>
      </c>
      <c r="B55" s="670">
        <v>44712.0</v>
      </c>
      <c r="C55" s="672" t="s">
        <v>1566</v>
      </c>
      <c r="D55" s="673" t="s">
        <v>1567</v>
      </c>
      <c r="E55" s="89" t="s">
        <v>1568</v>
      </c>
      <c r="F55" s="638">
        <v>469.0</v>
      </c>
      <c r="G55" s="638">
        <v>433.0</v>
      </c>
      <c r="H55" s="638">
        <v>36.0</v>
      </c>
      <c r="I55" s="668" t="s">
        <v>3364</v>
      </c>
      <c r="J55" s="615"/>
      <c r="K55" s="615"/>
      <c r="L55" s="615"/>
      <c r="M55" s="615"/>
      <c r="N55" s="615"/>
      <c r="O55" s="615"/>
      <c r="P55" s="615"/>
      <c r="Q55" s="615"/>
      <c r="R55" s="615"/>
      <c r="S55" s="615"/>
      <c r="T55" s="615"/>
      <c r="U55" s="615"/>
      <c r="V55" s="615"/>
      <c r="W55" s="615"/>
      <c r="X55" s="615"/>
      <c r="Y55" s="615"/>
      <c r="Z55" s="615"/>
      <c r="AA55" s="615"/>
    </row>
    <row r="56">
      <c r="A56" s="669">
        <v>44946.0</v>
      </c>
      <c r="B56" s="674">
        <v>44459.0</v>
      </c>
      <c r="C56" s="672" t="s">
        <v>1615</v>
      </c>
      <c r="D56" s="673" t="s">
        <v>1616</v>
      </c>
      <c r="E56" s="673" t="s">
        <v>1617</v>
      </c>
      <c r="F56" s="638">
        <v>279.0</v>
      </c>
      <c r="G56" s="638">
        <v>261.0</v>
      </c>
      <c r="H56" s="660">
        <v>18.0</v>
      </c>
      <c r="I56" s="668" t="s">
        <v>3364</v>
      </c>
      <c r="J56" s="615"/>
      <c r="K56" s="615"/>
      <c r="L56" s="615"/>
      <c r="M56" s="615"/>
      <c r="N56" s="615"/>
      <c r="O56" s="615"/>
      <c r="P56" s="615"/>
      <c r="Q56" s="615"/>
      <c r="R56" s="615"/>
      <c r="S56" s="615"/>
      <c r="T56" s="615"/>
      <c r="U56" s="615"/>
      <c r="V56" s="615"/>
      <c r="W56" s="615"/>
      <c r="X56" s="615"/>
      <c r="Y56" s="615"/>
      <c r="Z56" s="615"/>
      <c r="AA56" s="615"/>
    </row>
    <row r="57">
      <c r="A57" s="675">
        <v>44946.0</v>
      </c>
      <c r="B57" s="670">
        <v>44876.0</v>
      </c>
      <c r="C57" s="676" t="s">
        <v>1622</v>
      </c>
      <c r="D57" s="677" t="s">
        <v>1623</v>
      </c>
      <c r="E57" s="677" t="s">
        <v>1624</v>
      </c>
      <c r="F57" s="638">
        <v>266.38</v>
      </c>
      <c r="G57" s="638">
        <v>240.94</v>
      </c>
      <c r="H57" s="638">
        <v>25.44</v>
      </c>
      <c r="I57" s="668" t="s">
        <v>3344</v>
      </c>
      <c r="J57" s="615"/>
      <c r="K57" s="615"/>
      <c r="L57" s="615"/>
      <c r="M57" s="615"/>
      <c r="N57" s="615"/>
      <c r="O57" s="615"/>
      <c r="P57" s="615"/>
      <c r="Q57" s="615"/>
      <c r="R57" s="615"/>
      <c r="S57" s="615"/>
      <c r="T57" s="615"/>
      <c r="U57" s="615"/>
      <c r="V57" s="615"/>
      <c r="W57" s="615"/>
      <c r="X57" s="615"/>
      <c r="Y57" s="615"/>
      <c r="Z57" s="615"/>
      <c r="AA57" s="615"/>
    </row>
    <row r="58">
      <c r="A58" s="669">
        <v>44948.0</v>
      </c>
      <c r="B58" s="670">
        <v>44947.0</v>
      </c>
      <c r="C58" s="676" t="s">
        <v>3368</v>
      </c>
      <c r="D58" s="667" t="s">
        <v>3369</v>
      </c>
      <c r="E58" s="667" t="s">
        <v>3370</v>
      </c>
      <c r="F58" s="638">
        <v>584.06</v>
      </c>
      <c r="G58" s="638">
        <v>584.06</v>
      </c>
      <c r="H58" s="678">
        <v>0.0</v>
      </c>
      <c r="I58" s="668" t="s">
        <v>3371</v>
      </c>
      <c r="J58" s="615"/>
      <c r="K58" s="615"/>
      <c r="L58" s="615"/>
      <c r="M58" s="615"/>
      <c r="N58" s="615"/>
      <c r="O58" s="615"/>
      <c r="P58" s="615"/>
      <c r="Q58" s="615"/>
      <c r="R58" s="615"/>
      <c r="S58" s="615"/>
      <c r="T58" s="615"/>
      <c r="U58" s="615"/>
      <c r="V58" s="615"/>
      <c r="W58" s="615"/>
      <c r="X58" s="615"/>
      <c r="Y58" s="615"/>
      <c r="Z58" s="615"/>
      <c r="AA58" s="615"/>
    </row>
    <row r="59">
      <c r="A59" s="669">
        <v>44949.0</v>
      </c>
      <c r="B59" s="623">
        <v>44948.0</v>
      </c>
      <c r="C59" s="288" t="s">
        <v>3372</v>
      </c>
      <c r="D59" s="667" t="s">
        <v>3373</v>
      </c>
      <c r="E59" s="667" t="s">
        <v>3374</v>
      </c>
      <c r="F59" s="638">
        <v>394.83</v>
      </c>
      <c r="G59" s="638">
        <v>319.93</v>
      </c>
      <c r="H59" s="638">
        <v>74.9</v>
      </c>
      <c r="I59" s="668" t="s">
        <v>3322</v>
      </c>
      <c r="J59" s="615"/>
      <c r="K59" s="615"/>
      <c r="L59" s="615"/>
      <c r="M59" s="615"/>
      <c r="N59" s="615"/>
      <c r="O59" s="615"/>
      <c r="P59" s="615"/>
      <c r="Q59" s="615"/>
      <c r="R59" s="615"/>
      <c r="S59" s="615"/>
      <c r="T59" s="615"/>
      <c r="U59" s="615"/>
      <c r="V59" s="615"/>
      <c r="W59" s="615"/>
      <c r="X59" s="615"/>
      <c r="Y59" s="615"/>
      <c r="Z59" s="615"/>
      <c r="AA59" s="615"/>
    </row>
    <row r="60">
      <c r="A60" s="669">
        <v>44949.0</v>
      </c>
      <c r="B60" s="670">
        <v>44918.0</v>
      </c>
      <c r="C60" s="626" t="s">
        <v>3375</v>
      </c>
      <c r="D60" s="667" t="s">
        <v>3376</v>
      </c>
      <c r="E60" s="667" t="s">
        <v>3377</v>
      </c>
      <c r="F60" s="638">
        <v>146.0</v>
      </c>
      <c r="G60" s="638">
        <v>76.0</v>
      </c>
      <c r="H60" s="638">
        <v>70.0</v>
      </c>
      <c r="I60" s="668" t="s">
        <v>3322</v>
      </c>
      <c r="J60" s="615"/>
      <c r="K60" s="615"/>
      <c r="L60" s="615"/>
      <c r="M60" s="615"/>
      <c r="N60" s="615"/>
      <c r="O60" s="615"/>
      <c r="P60" s="615"/>
      <c r="Q60" s="615"/>
      <c r="R60" s="615"/>
      <c r="S60" s="615"/>
      <c r="T60" s="615"/>
      <c r="U60" s="615"/>
      <c r="V60" s="615"/>
      <c r="W60" s="615"/>
      <c r="X60" s="615"/>
      <c r="Y60" s="615"/>
      <c r="Z60" s="615"/>
      <c r="AA60" s="615"/>
    </row>
    <row r="61">
      <c r="A61" s="669">
        <v>44951.0</v>
      </c>
      <c r="B61" s="670">
        <v>44890.0</v>
      </c>
      <c r="C61" s="626" t="s">
        <v>3381</v>
      </c>
      <c r="D61" s="667" t="s">
        <v>3382</v>
      </c>
      <c r="E61" s="667" t="s">
        <v>3383</v>
      </c>
      <c r="F61" s="638">
        <v>289.05</v>
      </c>
      <c r="G61" s="638">
        <v>247.91</v>
      </c>
      <c r="H61" s="638">
        <v>41.14</v>
      </c>
      <c r="I61" s="619" t="s">
        <v>3384</v>
      </c>
      <c r="J61" s="615"/>
      <c r="K61" s="615"/>
      <c r="L61" s="615"/>
      <c r="M61" s="615"/>
      <c r="N61" s="615"/>
      <c r="O61" s="615"/>
      <c r="P61" s="615"/>
      <c r="Q61" s="615"/>
      <c r="R61" s="615"/>
      <c r="S61" s="615"/>
      <c r="T61" s="615"/>
      <c r="U61" s="615"/>
      <c r="V61" s="615"/>
      <c r="W61" s="615"/>
      <c r="X61" s="615"/>
      <c r="Y61" s="615"/>
      <c r="Z61" s="615"/>
      <c r="AA61" s="615"/>
    </row>
    <row r="62">
      <c r="A62" s="669">
        <v>44951.0</v>
      </c>
      <c r="B62" s="670">
        <v>44888.0</v>
      </c>
      <c r="C62" s="626" t="s">
        <v>3385</v>
      </c>
      <c r="D62" s="667" t="s">
        <v>3386</v>
      </c>
      <c r="E62" s="673" t="s">
        <v>3387</v>
      </c>
      <c r="F62" s="638">
        <v>425.68</v>
      </c>
      <c r="G62" s="638">
        <v>349.37</v>
      </c>
      <c r="H62" s="638">
        <v>76.31</v>
      </c>
      <c r="I62" s="668" t="s">
        <v>3322</v>
      </c>
      <c r="J62" s="615"/>
      <c r="K62" s="615"/>
      <c r="L62" s="615"/>
      <c r="M62" s="615"/>
      <c r="N62" s="615"/>
      <c r="O62" s="615"/>
      <c r="P62" s="615"/>
      <c r="Q62" s="615"/>
      <c r="R62" s="615"/>
      <c r="S62" s="615"/>
      <c r="T62" s="615"/>
      <c r="U62" s="615"/>
      <c r="V62" s="615"/>
      <c r="W62" s="615"/>
      <c r="X62" s="615"/>
      <c r="Y62" s="615"/>
      <c r="Z62" s="615"/>
      <c r="AA62" s="615"/>
    </row>
    <row r="63">
      <c r="A63" s="669">
        <v>44951.0</v>
      </c>
      <c r="B63" s="670">
        <v>44925.0</v>
      </c>
      <c r="C63" s="626" t="s">
        <v>3388</v>
      </c>
      <c r="D63" s="667" t="s">
        <v>3389</v>
      </c>
      <c r="E63" s="667" t="s">
        <v>3390</v>
      </c>
      <c r="F63" s="638">
        <v>70.13</v>
      </c>
      <c r="G63" s="638">
        <v>44.63</v>
      </c>
      <c r="H63" s="638">
        <v>25.5</v>
      </c>
      <c r="I63" s="668" t="s">
        <v>3329</v>
      </c>
      <c r="J63" s="615"/>
      <c r="K63" s="615"/>
      <c r="L63" s="615"/>
      <c r="M63" s="615"/>
      <c r="N63" s="615"/>
      <c r="O63" s="615"/>
      <c r="P63" s="615"/>
      <c r="Q63" s="615"/>
      <c r="R63" s="615"/>
      <c r="S63" s="615"/>
      <c r="T63" s="615"/>
      <c r="U63" s="615"/>
      <c r="V63" s="615"/>
      <c r="W63" s="615"/>
      <c r="X63" s="615"/>
      <c r="Y63" s="615"/>
      <c r="Z63" s="615"/>
      <c r="AA63" s="615"/>
    </row>
    <row r="64">
      <c r="A64" s="669">
        <v>44951.0</v>
      </c>
      <c r="B64" s="670">
        <v>44951.0</v>
      </c>
      <c r="C64" s="626" t="s">
        <v>3391</v>
      </c>
      <c r="D64" s="667" t="s">
        <v>3393</v>
      </c>
      <c r="E64" s="667" t="s">
        <v>3394</v>
      </c>
      <c r="F64" s="638">
        <v>399.45</v>
      </c>
      <c r="G64" s="638">
        <v>323.67</v>
      </c>
      <c r="H64" s="638">
        <v>75.78</v>
      </c>
      <c r="I64" s="668" t="s">
        <v>3322</v>
      </c>
      <c r="J64" s="615"/>
      <c r="K64" s="615"/>
      <c r="L64" s="615"/>
      <c r="M64" s="615"/>
      <c r="N64" s="615"/>
      <c r="O64" s="615"/>
      <c r="P64" s="615"/>
      <c r="Q64" s="615"/>
      <c r="R64" s="615"/>
      <c r="S64" s="615"/>
      <c r="T64" s="615"/>
      <c r="U64" s="615"/>
      <c r="V64" s="615"/>
      <c r="W64" s="615"/>
      <c r="X64" s="615"/>
      <c r="Y64" s="615"/>
      <c r="Z64" s="615"/>
      <c r="AA64" s="615"/>
    </row>
    <row r="65">
      <c r="A65" s="669">
        <v>44951.0</v>
      </c>
      <c r="B65" s="670">
        <v>44949.0</v>
      </c>
      <c r="C65" s="626" t="s">
        <v>3397</v>
      </c>
      <c r="D65" s="667" t="s">
        <v>3398</v>
      </c>
      <c r="E65" s="667" t="s">
        <v>3399</v>
      </c>
      <c r="F65" s="638">
        <v>597.0</v>
      </c>
      <c r="G65" s="638">
        <v>328.0</v>
      </c>
      <c r="H65" s="638">
        <v>269.0</v>
      </c>
      <c r="I65" s="668" t="s">
        <v>3400</v>
      </c>
      <c r="J65" s="615"/>
      <c r="K65" s="615"/>
      <c r="L65" s="615"/>
      <c r="M65" s="615"/>
      <c r="N65" s="615"/>
      <c r="O65" s="615"/>
      <c r="P65" s="615"/>
      <c r="Q65" s="615"/>
      <c r="R65" s="615"/>
      <c r="S65" s="615"/>
      <c r="T65" s="615"/>
      <c r="U65" s="615"/>
      <c r="V65" s="615"/>
      <c r="W65" s="615"/>
      <c r="X65" s="615"/>
      <c r="Y65" s="615"/>
      <c r="Z65" s="615"/>
      <c r="AA65" s="615"/>
    </row>
    <row r="66">
      <c r="A66" s="669">
        <v>44953.0</v>
      </c>
      <c r="B66" s="670">
        <v>44937.0</v>
      </c>
      <c r="C66" s="626" t="s">
        <v>3401</v>
      </c>
      <c r="D66" s="667" t="s">
        <v>3402</v>
      </c>
      <c r="E66" s="667" t="s">
        <v>3403</v>
      </c>
      <c r="F66" s="638">
        <v>39.68</v>
      </c>
      <c r="G66" s="638">
        <v>24.84</v>
      </c>
      <c r="H66" s="638">
        <v>14.84</v>
      </c>
      <c r="I66" s="668" t="s">
        <v>3404</v>
      </c>
      <c r="J66" s="615"/>
      <c r="K66" s="615"/>
      <c r="L66" s="615"/>
      <c r="M66" s="615"/>
      <c r="N66" s="615"/>
      <c r="O66" s="615"/>
      <c r="P66" s="615"/>
      <c r="Q66" s="615"/>
      <c r="R66" s="615"/>
      <c r="S66" s="615"/>
      <c r="T66" s="615"/>
      <c r="U66" s="615"/>
      <c r="V66" s="615"/>
      <c r="W66" s="615"/>
      <c r="X66" s="615"/>
      <c r="Y66" s="615"/>
      <c r="Z66" s="615"/>
      <c r="AA66" s="615"/>
    </row>
    <row r="67">
      <c r="A67" s="669">
        <v>44955.0</v>
      </c>
      <c r="B67" s="670">
        <v>44921.0</v>
      </c>
      <c r="C67" s="626" t="s">
        <v>3405</v>
      </c>
      <c r="D67" s="667" t="s">
        <v>3406</v>
      </c>
      <c r="E67" s="667" t="s">
        <v>3407</v>
      </c>
      <c r="F67" s="638">
        <v>34.0</v>
      </c>
      <c r="G67" s="638">
        <v>34.0</v>
      </c>
      <c r="H67" s="678">
        <v>0.0</v>
      </c>
      <c r="I67" s="668" t="s">
        <v>3408</v>
      </c>
      <c r="J67" s="615"/>
      <c r="K67" s="615"/>
      <c r="L67" s="615"/>
      <c r="M67" s="615"/>
      <c r="N67" s="615"/>
      <c r="O67" s="615"/>
      <c r="P67" s="615"/>
      <c r="Q67" s="615"/>
      <c r="R67" s="615"/>
      <c r="S67" s="615"/>
      <c r="T67" s="615"/>
      <c r="U67" s="615"/>
      <c r="V67" s="615"/>
      <c r="W67" s="615"/>
      <c r="X67" s="615"/>
      <c r="Y67" s="615"/>
      <c r="Z67" s="615"/>
      <c r="AA67" s="615"/>
    </row>
    <row r="68">
      <c r="A68" s="669">
        <v>44957.0</v>
      </c>
      <c r="B68" s="670">
        <v>44956.0</v>
      </c>
      <c r="C68" s="626" t="s">
        <v>3412</v>
      </c>
      <c r="D68" s="667" t="s">
        <v>3413</v>
      </c>
      <c r="E68" s="667" t="s">
        <v>3414</v>
      </c>
      <c r="F68" s="638">
        <v>451.83</v>
      </c>
      <c r="G68" s="638">
        <v>375.62</v>
      </c>
      <c r="H68" s="638">
        <v>76.21</v>
      </c>
      <c r="I68" s="668" t="s">
        <v>3322</v>
      </c>
      <c r="J68" s="615"/>
      <c r="K68" s="615"/>
      <c r="L68" s="615"/>
      <c r="M68" s="615"/>
      <c r="N68" s="615"/>
      <c r="O68" s="615"/>
      <c r="P68" s="615"/>
      <c r="Q68" s="615"/>
      <c r="R68" s="615"/>
      <c r="S68" s="615"/>
      <c r="T68" s="615"/>
      <c r="U68" s="615"/>
      <c r="V68" s="615"/>
      <c r="W68" s="615"/>
      <c r="X68" s="615"/>
      <c r="Y68" s="615"/>
      <c r="Z68" s="615"/>
      <c r="AA68" s="615"/>
    </row>
    <row r="69">
      <c r="A69" s="675"/>
      <c r="B69" s="615"/>
      <c r="C69" s="676"/>
      <c r="D69" s="677"/>
      <c r="E69" s="677"/>
      <c r="F69" s="615"/>
      <c r="G69" s="615"/>
      <c r="H69" s="615"/>
      <c r="I69" s="679"/>
      <c r="J69" s="615"/>
      <c r="K69" s="615"/>
      <c r="L69" s="615"/>
      <c r="M69" s="615"/>
      <c r="N69" s="615"/>
      <c r="O69" s="615"/>
      <c r="P69" s="615"/>
      <c r="Q69" s="615"/>
      <c r="R69" s="615"/>
      <c r="S69" s="615"/>
      <c r="T69" s="615"/>
      <c r="U69" s="615"/>
      <c r="V69" s="615"/>
      <c r="W69" s="615"/>
      <c r="X69" s="615"/>
      <c r="Y69" s="615"/>
      <c r="Z69" s="615"/>
      <c r="AA69" s="615"/>
    </row>
    <row r="70">
      <c r="A70" s="675"/>
      <c r="B70" s="615"/>
      <c r="C70" s="676"/>
      <c r="D70" s="677"/>
      <c r="E70" s="677"/>
      <c r="F70" s="615"/>
      <c r="G70" s="615"/>
      <c r="H70" s="615"/>
      <c r="I70" s="679"/>
      <c r="J70" s="615"/>
      <c r="K70" s="615"/>
      <c r="L70" s="615"/>
      <c r="M70" s="615"/>
      <c r="N70" s="615"/>
      <c r="O70" s="615"/>
      <c r="P70" s="615"/>
      <c r="Q70" s="615"/>
      <c r="R70" s="615"/>
      <c r="S70" s="615"/>
      <c r="T70" s="615"/>
      <c r="U70" s="615"/>
      <c r="V70" s="615"/>
      <c r="W70" s="615"/>
      <c r="X70" s="615"/>
      <c r="Y70" s="615"/>
      <c r="Z70" s="615"/>
      <c r="AA70" s="615"/>
    </row>
    <row r="71">
      <c r="A71" s="675"/>
      <c r="B71" s="615"/>
      <c r="C71" s="676"/>
      <c r="D71" s="677"/>
      <c r="E71" s="677"/>
      <c r="F71" s="615"/>
      <c r="G71" s="615"/>
      <c r="H71" s="615"/>
      <c r="I71" s="679"/>
      <c r="J71" s="615"/>
      <c r="K71" s="615"/>
      <c r="L71" s="615"/>
      <c r="M71" s="615"/>
      <c r="N71" s="615"/>
      <c r="O71" s="615"/>
      <c r="P71" s="615"/>
      <c r="Q71" s="615"/>
      <c r="R71" s="615"/>
      <c r="S71" s="615"/>
      <c r="T71" s="615"/>
      <c r="U71" s="615"/>
      <c r="V71" s="615"/>
      <c r="W71" s="615"/>
      <c r="X71" s="615"/>
      <c r="Y71" s="615"/>
      <c r="Z71" s="615"/>
      <c r="AA71" s="615"/>
    </row>
    <row r="72">
      <c r="A72" s="675"/>
      <c r="B72" s="615"/>
      <c r="C72" s="676"/>
      <c r="D72" s="677"/>
      <c r="E72" s="677"/>
      <c r="F72" s="615"/>
      <c r="G72" s="615"/>
      <c r="H72" s="615"/>
      <c r="I72" s="679"/>
      <c r="J72" s="615"/>
      <c r="K72" s="615"/>
      <c r="L72" s="615"/>
      <c r="M72" s="615"/>
      <c r="N72" s="615"/>
      <c r="O72" s="615"/>
      <c r="P72" s="615"/>
      <c r="Q72" s="615"/>
      <c r="R72" s="615"/>
      <c r="S72" s="615"/>
      <c r="T72" s="615"/>
      <c r="U72" s="615"/>
      <c r="V72" s="615"/>
      <c r="W72" s="615"/>
      <c r="X72" s="615"/>
      <c r="Y72" s="615"/>
      <c r="Z72" s="615"/>
      <c r="AA72" s="615"/>
    </row>
    <row r="73">
      <c r="A73" s="675"/>
      <c r="B73" s="615"/>
      <c r="C73" s="676"/>
      <c r="D73" s="677"/>
      <c r="E73" s="677"/>
      <c r="F73" s="615"/>
      <c r="G73" s="615"/>
      <c r="H73" s="615"/>
      <c r="I73" s="679"/>
      <c r="J73" s="615"/>
      <c r="K73" s="615"/>
      <c r="L73" s="615"/>
      <c r="M73" s="615"/>
      <c r="N73" s="615"/>
      <c r="O73" s="615"/>
      <c r="P73" s="615"/>
      <c r="Q73" s="615"/>
      <c r="R73" s="615"/>
      <c r="S73" s="615"/>
      <c r="T73" s="615"/>
      <c r="U73" s="615"/>
      <c r="V73" s="615"/>
      <c r="W73" s="615"/>
      <c r="X73" s="615"/>
      <c r="Y73" s="615"/>
      <c r="Z73" s="615"/>
      <c r="AA73" s="615"/>
    </row>
    <row r="74">
      <c r="A74" s="675"/>
      <c r="B74" s="615"/>
      <c r="C74" s="676"/>
      <c r="D74" s="677"/>
      <c r="E74" s="677"/>
      <c r="F74" s="615"/>
      <c r="G74" s="615"/>
      <c r="H74" s="615"/>
      <c r="I74" s="679"/>
      <c r="J74" s="615"/>
      <c r="K74" s="615"/>
      <c r="L74" s="615"/>
      <c r="M74" s="615"/>
      <c r="N74" s="615"/>
      <c r="O74" s="615"/>
      <c r="P74" s="615"/>
      <c r="Q74" s="615"/>
      <c r="R74" s="615"/>
      <c r="S74" s="615"/>
      <c r="T74" s="615"/>
      <c r="U74" s="615"/>
      <c r="V74" s="615"/>
      <c r="W74" s="615"/>
      <c r="X74" s="615"/>
      <c r="Y74" s="615"/>
      <c r="Z74" s="615"/>
      <c r="AA74" s="615"/>
    </row>
    <row r="75">
      <c r="A75" s="675"/>
      <c r="B75" s="615"/>
      <c r="C75" s="676"/>
      <c r="D75" s="677"/>
      <c r="E75" s="677"/>
      <c r="F75" s="615"/>
      <c r="G75" s="615"/>
      <c r="H75" s="615"/>
      <c r="I75" s="679"/>
      <c r="J75" s="615"/>
      <c r="K75" s="615"/>
      <c r="L75" s="615"/>
      <c r="M75" s="615"/>
      <c r="N75" s="615"/>
      <c r="O75" s="615"/>
      <c r="P75" s="615"/>
      <c r="Q75" s="615"/>
      <c r="R75" s="615"/>
      <c r="S75" s="615"/>
      <c r="T75" s="615"/>
      <c r="U75" s="615"/>
      <c r="V75" s="615"/>
      <c r="W75" s="615"/>
      <c r="X75" s="615"/>
      <c r="Y75" s="615"/>
      <c r="Z75" s="615"/>
      <c r="AA75" s="615"/>
    </row>
    <row r="76">
      <c r="A76" s="675"/>
      <c r="B76" s="615"/>
      <c r="C76" s="676"/>
      <c r="D76" s="677"/>
      <c r="E76" s="677"/>
      <c r="F76" s="615"/>
      <c r="G76" s="615"/>
      <c r="H76" s="615"/>
      <c r="I76" s="679"/>
      <c r="J76" s="615"/>
      <c r="K76" s="615"/>
      <c r="L76" s="615"/>
      <c r="M76" s="615"/>
      <c r="N76" s="615"/>
      <c r="O76" s="615"/>
      <c r="P76" s="615"/>
      <c r="Q76" s="615"/>
      <c r="R76" s="615"/>
      <c r="S76" s="615"/>
      <c r="T76" s="615"/>
      <c r="U76" s="615"/>
      <c r="V76" s="615"/>
      <c r="W76" s="615"/>
      <c r="X76" s="615"/>
      <c r="Y76" s="615"/>
      <c r="Z76" s="615"/>
      <c r="AA76" s="615"/>
    </row>
    <row r="77">
      <c r="A77" s="675"/>
      <c r="B77" s="615"/>
      <c r="C77" s="676"/>
      <c r="D77" s="677"/>
      <c r="E77" s="677"/>
      <c r="F77" s="615"/>
      <c r="G77" s="615"/>
      <c r="H77" s="615"/>
      <c r="I77" s="679"/>
      <c r="J77" s="615"/>
      <c r="K77" s="615"/>
      <c r="L77" s="615"/>
      <c r="M77" s="615"/>
      <c r="N77" s="615"/>
      <c r="O77" s="615"/>
      <c r="P77" s="615"/>
      <c r="Q77" s="615"/>
      <c r="R77" s="615"/>
      <c r="S77" s="615"/>
      <c r="T77" s="615"/>
      <c r="U77" s="615"/>
      <c r="V77" s="615"/>
      <c r="W77" s="615"/>
      <c r="X77" s="615"/>
      <c r="Y77" s="615"/>
      <c r="Z77" s="615"/>
      <c r="AA77" s="615"/>
    </row>
    <row r="78">
      <c r="A78" s="675"/>
      <c r="B78" s="615"/>
      <c r="C78" s="676"/>
      <c r="D78" s="677"/>
      <c r="E78" s="677"/>
      <c r="F78" s="615"/>
      <c r="G78" s="615"/>
      <c r="H78" s="615"/>
      <c r="I78" s="679"/>
      <c r="J78" s="615"/>
      <c r="K78" s="615"/>
      <c r="L78" s="615"/>
      <c r="M78" s="615"/>
      <c r="N78" s="615"/>
      <c r="O78" s="615"/>
      <c r="P78" s="615"/>
      <c r="Q78" s="615"/>
      <c r="R78" s="615"/>
      <c r="S78" s="615"/>
      <c r="T78" s="615"/>
      <c r="U78" s="615"/>
      <c r="V78" s="615"/>
      <c r="W78" s="615"/>
      <c r="X78" s="615"/>
      <c r="Y78" s="615"/>
      <c r="Z78" s="615"/>
      <c r="AA78" s="615"/>
    </row>
    <row r="79">
      <c r="A79" s="675"/>
      <c r="B79" s="615"/>
      <c r="C79" s="676"/>
      <c r="D79" s="677"/>
      <c r="E79" s="677"/>
      <c r="F79" s="615"/>
      <c r="G79" s="615"/>
      <c r="H79" s="615"/>
      <c r="I79" s="679"/>
      <c r="J79" s="615"/>
      <c r="K79" s="615"/>
      <c r="L79" s="615"/>
      <c r="M79" s="615"/>
      <c r="N79" s="615"/>
      <c r="O79" s="615"/>
      <c r="P79" s="615"/>
      <c r="Q79" s="615"/>
      <c r="R79" s="615"/>
      <c r="S79" s="615"/>
      <c r="T79" s="615"/>
      <c r="U79" s="615"/>
      <c r="V79" s="615"/>
      <c r="W79" s="615"/>
      <c r="X79" s="615"/>
      <c r="Y79" s="615"/>
      <c r="Z79" s="615"/>
      <c r="AA79" s="615"/>
    </row>
    <row r="80">
      <c r="A80" s="675"/>
      <c r="B80" s="615"/>
      <c r="C80" s="676"/>
      <c r="D80" s="677"/>
      <c r="E80" s="677"/>
      <c r="F80" s="615"/>
      <c r="G80" s="615"/>
      <c r="H80" s="615"/>
      <c r="I80" s="679"/>
      <c r="J80" s="615"/>
      <c r="K80" s="615"/>
      <c r="L80" s="615"/>
      <c r="M80" s="615"/>
      <c r="N80" s="615"/>
      <c r="O80" s="615"/>
      <c r="P80" s="615"/>
      <c r="Q80" s="615"/>
      <c r="R80" s="615"/>
      <c r="S80" s="615"/>
      <c r="T80" s="615"/>
      <c r="U80" s="615"/>
      <c r="V80" s="615"/>
      <c r="W80" s="615"/>
      <c r="X80" s="615"/>
      <c r="Y80" s="615"/>
      <c r="Z80" s="615"/>
      <c r="AA80" s="615"/>
    </row>
    <row r="81">
      <c r="A81" s="675"/>
      <c r="B81" s="615"/>
      <c r="C81" s="676"/>
      <c r="D81" s="677"/>
      <c r="E81" s="677"/>
      <c r="F81" s="615"/>
      <c r="G81" s="615"/>
      <c r="H81" s="615"/>
      <c r="I81" s="679"/>
      <c r="J81" s="615"/>
      <c r="K81" s="615"/>
      <c r="L81" s="615"/>
      <c r="M81" s="615"/>
      <c r="N81" s="615"/>
      <c r="O81" s="615"/>
      <c r="P81" s="615"/>
      <c r="Q81" s="615"/>
      <c r="R81" s="615"/>
      <c r="S81" s="615"/>
      <c r="T81" s="615"/>
      <c r="U81" s="615"/>
      <c r="V81" s="615"/>
      <c r="W81" s="615"/>
      <c r="X81" s="615"/>
      <c r="Y81" s="615"/>
      <c r="Z81" s="615"/>
      <c r="AA81" s="615"/>
    </row>
    <row r="82">
      <c r="A82" s="675"/>
      <c r="B82" s="615"/>
      <c r="C82" s="676"/>
      <c r="D82" s="677"/>
      <c r="E82" s="677"/>
      <c r="F82" s="615"/>
      <c r="G82" s="615"/>
      <c r="H82" s="615"/>
      <c r="I82" s="679"/>
      <c r="J82" s="615"/>
      <c r="K82" s="615"/>
      <c r="L82" s="615"/>
      <c r="M82" s="615"/>
      <c r="N82" s="615"/>
      <c r="O82" s="615"/>
      <c r="P82" s="615"/>
      <c r="Q82" s="615"/>
      <c r="R82" s="615"/>
      <c r="S82" s="615"/>
      <c r="T82" s="615"/>
      <c r="U82" s="615"/>
      <c r="V82" s="615"/>
      <c r="W82" s="615"/>
      <c r="X82" s="615"/>
      <c r="Y82" s="615"/>
      <c r="Z82" s="615"/>
      <c r="AA82" s="615"/>
    </row>
    <row r="83">
      <c r="A83" s="675"/>
      <c r="B83" s="615"/>
      <c r="C83" s="676"/>
      <c r="D83" s="677"/>
      <c r="E83" s="677"/>
      <c r="F83" s="615"/>
      <c r="G83" s="615"/>
      <c r="H83" s="615"/>
      <c r="I83" s="679"/>
      <c r="J83" s="615"/>
      <c r="K83" s="615"/>
      <c r="L83" s="615"/>
      <c r="M83" s="615"/>
      <c r="N83" s="615"/>
      <c r="O83" s="615"/>
      <c r="P83" s="615"/>
      <c r="Q83" s="615"/>
      <c r="R83" s="615"/>
      <c r="S83" s="615"/>
      <c r="T83" s="615"/>
      <c r="U83" s="615"/>
      <c r="V83" s="615"/>
      <c r="W83" s="615"/>
      <c r="X83" s="615"/>
      <c r="Y83" s="615"/>
      <c r="Z83" s="615"/>
      <c r="AA83" s="615"/>
    </row>
    <row r="84">
      <c r="A84" s="675"/>
      <c r="B84" s="615"/>
      <c r="C84" s="676"/>
      <c r="D84" s="677"/>
      <c r="E84" s="677"/>
      <c r="F84" s="615"/>
      <c r="G84" s="615"/>
      <c r="H84" s="615"/>
      <c r="I84" s="679"/>
      <c r="J84" s="615"/>
      <c r="K84" s="615"/>
      <c r="L84" s="615"/>
      <c r="M84" s="615"/>
      <c r="N84" s="615"/>
      <c r="O84" s="615"/>
      <c r="P84" s="615"/>
      <c r="Q84" s="615"/>
      <c r="R84" s="615"/>
      <c r="S84" s="615"/>
      <c r="T84" s="615"/>
      <c r="U84" s="615"/>
      <c r="V84" s="615"/>
      <c r="W84" s="615"/>
      <c r="X84" s="615"/>
      <c r="Y84" s="615"/>
      <c r="Z84" s="615"/>
      <c r="AA84" s="615"/>
    </row>
    <row r="85">
      <c r="A85" s="675"/>
      <c r="B85" s="615"/>
      <c r="C85" s="676"/>
      <c r="D85" s="677"/>
      <c r="E85" s="677"/>
      <c r="F85" s="615"/>
      <c r="G85" s="615"/>
      <c r="H85" s="615"/>
      <c r="I85" s="679"/>
      <c r="J85" s="615"/>
      <c r="K85" s="615"/>
      <c r="L85" s="615"/>
      <c r="M85" s="615"/>
      <c r="N85" s="615"/>
      <c r="O85" s="615"/>
      <c r="P85" s="615"/>
      <c r="Q85" s="615"/>
      <c r="R85" s="615"/>
      <c r="S85" s="615"/>
      <c r="T85" s="615"/>
      <c r="U85" s="615"/>
      <c r="V85" s="615"/>
      <c r="W85" s="615"/>
      <c r="X85" s="615"/>
      <c r="Y85" s="615"/>
      <c r="Z85" s="615"/>
      <c r="AA85" s="615"/>
    </row>
    <row r="86">
      <c r="A86" s="675"/>
      <c r="B86" s="615"/>
      <c r="C86" s="676"/>
      <c r="D86" s="677"/>
      <c r="E86" s="677"/>
      <c r="F86" s="615"/>
      <c r="G86" s="615"/>
      <c r="H86" s="615"/>
      <c r="I86" s="679"/>
      <c r="J86" s="615"/>
      <c r="K86" s="615"/>
      <c r="L86" s="615"/>
      <c r="M86" s="615"/>
      <c r="N86" s="615"/>
      <c r="O86" s="615"/>
      <c r="P86" s="615"/>
      <c r="Q86" s="615"/>
      <c r="R86" s="615"/>
      <c r="S86" s="615"/>
      <c r="T86" s="615"/>
      <c r="U86" s="615"/>
      <c r="V86" s="615"/>
      <c r="W86" s="615"/>
      <c r="X86" s="615"/>
      <c r="Y86" s="615"/>
      <c r="Z86" s="615"/>
      <c r="AA86" s="615"/>
    </row>
    <row r="87">
      <c r="A87" s="675"/>
      <c r="B87" s="615"/>
      <c r="C87" s="676"/>
      <c r="D87" s="677"/>
      <c r="E87" s="677"/>
      <c r="F87" s="615"/>
      <c r="G87" s="615"/>
      <c r="H87" s="615"/>
      <c r="I87" s="679"/>
      <c r="J87" s="615"/>
      <c r="K87" s="615"/>
      <c r="L87" s="615"/>
      <c r="M87" s="615"/>
      <c r="N87" s="615"/>
      <c r="O87" s="615"/>
      <c r="P87" s="615"/>
      <c r="Q87" s="615"/>
      <c r="R87" s="615"/>
      <c r="S87" s="615"/>
      <c r="T87" s="615"/>
      <c r="U87" s="615"/>
      <c r="V87" s="615"/>
      <c r="W87" s="615"/>
      <c r="X87" s="615"/>
      <c r="Y87" s="615"/>
      <c r="Z87" s="615"/>
      <c r="AA87" s="615"/>
    </row>
    <row r="88">
      <c r="A88" s="675"/>
      <c r="B88" s="615"/>
      <c r="C88" s="676"/>
      <c r="D88" s="677"/>
      <c r="E88" s="677"/>
      <c r="F88" s="615"/>
      <c r="G88" s="615"/>
      <c r="H88" s="615"/>
      <c r="I88" s="679"/>
      <c r="J88" s="615"/>
      <c r="K88" s="615"/>
      <c r="L88" s="615"/>
      <c r="M88" s="615"/>
      <c r="N88" s="615"/>
      <c r="O88" s="615"/>
      <c r="P88" s="615"/>
      <c r="Q88" s="615"/>
      <c r="R88" s="615"/>
      <c r="S88" s="615"/>
      <c r="T88" s="615"/>
      <c r="U88" s="615"/>
      <c r="V88" s="615"/>
      <c r="W88" s="615"/>
      <c r="X88" s="615"/>
      <c r="Y88" s="615"/>
      <c r="Z88" s="615"/>
      <c r="AA88" s="615"/>
    </row>
    <row r="89">
      <c r="A89" s="675"/>
      <c r="B89" s="615"/>
      <c r="C89" s="676"/>
      <c r="D89" s="677"/>
      <c r="E89" s="677"/>
      <c r="F89" s="615"/>
      <c r="G89" s="615"/>
      <c r="H89" s="615"/>
      <c r="I89" s="679"/>
      <c r="J89" s="615"/>
      <c r="K89" s="615"/>
      <c r="L89" s="615"/>
      <c r="M89" s="615"/>
      <c r="N89" s="615"/>
      <c r="O89" s="615"/>
      <c r="P89" s="615"/>
      <c r="Q89" s="615"/>
      <c r="R89" s="615"/>
      <c r="S89" s="615"/>
      <c r="T89" s="615"/>
      <c r="U89" s="615"/>
      <c r="V89" s="615"/>
      <c r="W89" s="615"/>
      <c r="X89" s="615"/>
      <c r="Y89" s="615"/>
      <c r="Z89" s="615"/>
      <c r="AA89" s="615"/>
    </row>
    <row r="90">
      <c r="A90" s="675"/>
      <c r="B90" s="615"/>
      <c r="C90" s="676"/>
      <c r="D90" s="677"/>
      <c r="E90" s="677"/>
      <c r="F90" s="615"/>
      <c r="G90" s="615"/>
      <c r="H90" s="615"/>
      <c r="I90" s="679"/>
      <c r="J90" s="615"/>
      <c r="K90" s="615"/>
      <c r="L90" s="615"/>
      <c r="M90" s="615"/>
      <c r="N90" s="615"/>
      <c r="O90" s="615"/>
      <c r="P90" s="615"/>
      <c r="Q90" s="615"/>
      <c r="R90" s="615"/>
      <c r="S90" s="615"/>
      <c r="T90" s="615"/>
      <c r="U90" s="615"/>
      <c r="V90" s="615"/>
      <c r="W90" s="615"/>
      <c r="X90" s="615"/>
      <c r="Y90" s="615"/>
      <c r="Z90" s="615"/>
      <c r="AA90" s="615"/>
    </row>
    <row r="91">
      <c r="A91" s="675"/>
      <c r="B91" s="615"/>
      <c r="C91" s="676"/>
      <c r="D91" s="677"/>
      <c r="E91" s="677"/>
      <c r="F91" s="615"/>
      <c r="G91" s="615"/>
      <c r="H91" s="615"/>
      <c r="I91" s="679"/>
      <c r="J91" s="615"/>
      <c r="K91" s="615"/>
      <c r="L91" s="615"/>
      <c r="M91" s="615"/>
      <c r="N91" s="615"/>
      <c r="O91" s="615"/>
      <c r="P91" s="615"/>
      <c r="Q91" s="615"/>
      <c r="R91" s="615"/>
      <c r="S91" s="615"/>
      <c r="T91" s="615"/>
      <c r="U91" s="615"/>
      <c r="V91" s="615"/>
      <c r="W91" s="615"/>
      <c r="X91" s="615"/>
      <c r="Y91" s="615"/>
      <c r="Z91" s="615"/>
      <c r="AA91" s="615"/>
    </row>
    <row r="92">
      <c r="A92" s="675"/>
      <c r="B92" s="615"/>
      <c r="C92" s="676"/>
      <c r="D92" s="677"/>
      <c r="E92" s="677"/>
      <c r="F92" s="615"/>
      <c r="G92" s="615"/>
      <c r="H92" s="615"/>
      <c r="I92" s="679"/>
      <c r="J92" s="615"/>
      <c r="K92" s="615"/>
      <c r="L92" s="615"/>
      <c r="M92" s="615"/>
      <c r="N92" s="615"/>
      <c r="O92" s="615"/>
      <c r="P92" s="615"/>
      <c r="Q92" s="615"/>
      <c r="R92" s="615"/>
      <c r="S92" s="615"/>
      <c r="T92" s="615"/>
      <c r="U92" s="615"/>
      <c r="V92" s="615"/>
      <c r="W92" s="615"/>
      <c r="X92" s="615"/>
      <c r="Y92" s="615"/>
      <c r="Z92" s="615"/>
      <c r="AA92" s="615"/>
    </row>
    <row r="93">
      <c r="A93" s="675"/>
      <c r="B93" s="615"/>
      <c r="C93" s="676"/>
      <c r="D93" s="677"/>
      <c r="E93" s="677"/>
      <c r="F93" s="615"/>
      <c r="G93" s="615"/>
      <c r="H93" s="615"/>
      <c r="I93" s="679"/>
      <c r="J93" s="615"/>
      <c r="K93" s="615"/>
      <c r="L93" s="615"/>
      <c r="M93" s="615"/>
      <c r="N93" s="615"/>
      <c r="O93" s="615"/>
      <c r="P93" s="615"/>
      <c r="Q93" s="615"/>
      <c r="R93" s="615"/>
      <c r="S93" s="615"/>
      <c r="T93" s="615"/>
      <c r="U93" s="615"/>
      <c r="V93" s="615"/>
      <c r="W93" s="615"/>
      <c r="X93" s="615"/>
      <c r="Y93" s="615"/>
      <c r="Z93" s="615"/>
      <c r="AA93" s="615"/>
    </row>
    <row r="94">
      <c r="A94" s="675"/>
      <c r="B94" s="615"/>
      <c r="C94" s="676"/>
      <c r="D94" s="677"/>
      <c r="E94" s="677"/>
      <c r="F94" s="615"/>
      <c r="G94" s="615"/>
      <c r="H94" s="615"/>
      <c r="I94" s="679"/>
      <c r="J94" s="615"/>
      <c r="K94" s="615"/>
      <c r="L94" s="615"/>
      <c r="M94" s="615"/>
      <c r="N94" s="615"/>
      <c r="O94" s="615"/>
      <c r="P94" s="615"/>
      <c r="Q94" s="615"/>
      <c r="R94" s="615"/>
      <c r="S94" s="615"/>
      <c r="T94" s="615"/>
      <c r="U94" s="615"/>
      <c r="V94" s="615"/>
      <c r="W94" s="615"/>
      <c r="X94" s="615"/>
      <c r="Y94" s="615"/>
      <c r="Z94" s="615"/>
      <c r="AA94" s="615"/>
    </row>
    <row r="95">
      <c r="A95" s="675"/>
      <c r="B95" s="615"/>
      <c r="C95" s="676"/>
      <c r="D95" s="677"/>
      <c r="E95" s="677"/>
      <c r="F95" s="615"/>
      <c r="G95" s="615"/>
      <c r="H95" s="615"/>
      <c r="I95" s="679"/>
      <c r="J95" s="615"/>
      <c r="K95" s="615"/>
      <c r="L95" s="615"/>
      <c r="M95" s="615"/>
      <c r="N95" s="615"/>
      <c r="O95" s="615"/>
      <c r="P95" s="615"/>
      <c r="Q95" s="615"/>
      <c r="R95" s="615"/>
      <c r="S95" s="615"/>
      <c r="T95" s="615"/>
      <c r="U95" s="615"/>
      <c r="V95" s="615"/>
      <c r="W95" s="615"/>
      <c r="X95" s="615"/>
      <c r="Y95" s="615"/>
      <c r="Z95" s="615"/>
      <c r="AA95" s="615"/>
    </row>
    <row r="96">
      <c r="A96" s="675"/>
      <c r="B96" s="615"/>
      <c r="C96" s="676"/>
      <c r="D96" s="677"/>
      <c r="E96" s="677"/>
      <c r="F96" s="615"/>
      <c r="G96" s="615"/>
      <c r="H96" s="615"/>
      <c r="I96" s="679"/>
      <c r="J96" s="615"/>
      <c r="K96" s="615"/>
      <c r="L96" s="615"/>
      <c r="M96" s="615"/>
      <c r="N96" s="615"/>
      <c r="O96" s="615"/>
      <c r="P96" s="615"/>
      <c r="Q96" s="615"/>
      <c r="R96" s="615"/>
      <c r="S96" s="615"/>
      <c r="T96" s="615"/>
      <c r="U96" s="615"/>
      <c r="V96" s="615"/>
      <c r="W96" s="615"/>
      <c r="X96" s="615"/>
      <c r="Y96" s="615"/>
      <c r="Z96" s="615"/>
      <c r="AA96" s="615"/>
    </row>
    <row r="97">
      <c r="A97" s="675"/>
      <c r="B97" s="615"/>
      <c r="C97" s="676"/>
      <c r="D97" s="677"/>
      <c r="E97" s="677"/>
      <c r="F97" s="615"/>
      <c r="G97" s="615"/>
      <c r="H97" s="615"/>
      <c r="I97" s="679"/>
      <c r="J97" s="615"/>
      <c r="K97" s="615"/>
      <c r="L97" s="615"/>
      <c r="M97" s="615"/>
      <c r="N97" s="615"/>
      <c r="O97" s="615"/>
      <c r="P97" s="615"/>
      <c r="Q97" s="615"/>
      <c r="R97" s="615"/>
      <c r="S97" s="615"/>
      <c r="T97" s="615"/>
      <c r="U97" s="615"/>
      <c r="V97" s="615"/>
      <c r="W97" s="615"/>
      <c r="X97" s="615"/>
      <c r="Y97" s="615"/>
      <c r="Z97" s="615"/>
      <c r="AA97" s="615"/>
    </row>
    <row r="98">
      <c r="A98" s="675"/>
      <c r="B98" s="615"/>
      <c r="C98" s="676"/>
      <c r="D98" s="677"/>
      <c r="E98" s="677"/>
      <c r="F98" s="615"/>
      <c r="G98" s="615"/>
      <c r="H98" s="615"/>
      <c r="I98" s="679"/>
      <c r="J98" s="615"/>
      <c r="K98" s="615"/>
      <c r="L98" s="615"/>
      <c r="M98" s="615"/>
      <c r="N98" s="615"/>
      <c r="O98" s="615"/>
      <c r="P98" s="615"/>
      <c r="Q98" s="615"/>
      <c r="R98" s="615"/>
      <c r="S98" s="615"/>
      <c r="T98" s="615"/>
      <c r="U98" s="615"/>
      <c r="V98" s="615"/>
      <c r="W98" s="615"/>
      <c r="X98" s="615"/>
      <c r="Y98" s="615"/>
      <c r="Z98" s="615"/>
      <c r="AA98" s="615"/>
    </row>
    <row r="99">
      <c r="A99" s="675"/>
      <c r="B99" s="615"/>
      <c r="C99" s="676"/>
      <c r="D99" s="677"/>
      <c r="E99" s="677"/>
      <c r="F99" s="615"/>
      <c r="G99" s="615"/>
      <c r="H99" s="615"/>
      <c r="I99" s="679"/>
      <c r="J99" s="615"/>
      <c r="K99" s="615"/>
      <c r="L99" s="615"/>
      <c r="M99" s="615"/>
      <c r="N99" s="615"/>
      <c r="O99" s="615"/>
      <c r="P99" s="615"/>
      <c r="Q99" s="615"/>
      <c r="R99" s="615"/>
      <c r="S99" s="615"/>
      <c r="T99" s="615"/>
      <c r="U99" s="615"/>
      <c r="V99" s="615"/>
      <c r="W99" s="615"/>
      <c r="X99" s="615"/>
      <c r="Y99" s="615"/>
      <c r="Z99" s="615"/>
      <c r="AA99" s="615"/>
    </row>
    <row r="100">
      <c r="A100" s="675"/>
      <c r="B100" s="615"/>
      <c r="C100" s="676"/>
      <c r="D100" s="677"/>
      <c r="E100" s="677"/>
      <c r="F100" s="615"/>
      <c r="G100" s="615"/>
      <c r="H100" s="615"/>
      <c r="I100" s="679"/>
      <c r="J100" s="615"/>
      <c r="K100" s="615"/>
      <c r="L100" s="615"/>
      <c r="M100" s="615"/>
      <c r="N100" s="615"/>
      <c r="O100" s="615"/>
      <c r="P100" s="615"/>
      <c r="Q100" s="615"/>
      <c r="R100" s="615"/>
      <c r="S100" s="615"/>
      <c r="T100" s="615"/>
      <c r="U100" s="615"/>
      <c r="V100" s="615"/>
      <c r="W100" s="615"/>
      <c r="X100" s="615"/>
      <c r="Y100" s="615"/>
      <c r="Z100" s="615"/>
      <c r="AA100" s="615"/>
    </row>
    <row r="101">
      <c r="A101" s="675"/>
      <c r="B101" s="615"/>
      <c r="C101" s="676"/>
      <c r="D101" s="677"/>
      <c r="E101" s="677"/>
      <c r="F101" s="615"/>
      <c r="G101" s="615"/>
      <c r="H101" s="615"/>
      <c r="I101" s="679"/>
      <c r="J101" s="615"/>
      <c r="K101" s="615"/>
      <c r="L101" s="615"/>
      <c r="M101" s="615"/>
      <c r="N101" s="615"/>
      <c r="O101" s="615"/>
      <c r="P101" s="615"/>
      <c r="Q101" s="615"/>
      <c r="R101" s="615"/>
      <c r="S101" s="615"/>
      <c r="T101" s="615"/>
      <c r="U101" s="615"/>
      <c r="V101" s="615"/>
      <c r="W101" s="615"/>
      <c r="X101" s="615"/>
      <c r="Y101" s="615"/>
      <c r="Z101" s="615"/>
      <c r="AA101" s="615"/>
    </row>
    <row r="102">
      <c r="A102" s="675"/>
      <c r="B102" s="615"/>
      <c r="C102" s="676"/>
      <c r="D102" s="677"/>
      <c r="E102" s="677"/>
      <c r="F102" s="615"/>
      <c r="G102" s="615"/>
      <c r="H102" s="615"/>
      <c r="I102" s="679"/>
      <c r="J102" s="615"/>
      <c r="K102" s="615"/>
      <c r="L102" s="615"/>
      <c r="M102" s="615"/>
      <c r="N102" s="615"/>
      <c r="O102" s="615"/>
      <c r="P102" s="615"/>
      <c r="Q102" s="615"/>
      <c r="R102" s="615"/>
      <c r="S102" s="615"/>
      <c r="T102" s="615"/>
      <c r="U102" s="615"/>
      <c r="V102" s="615"/>
      <c r="W102" s="615"/>
      <c r="X102" s="615"/>
      <c r="Y102" s="615"/>
      <c r="Z102" s="615"/>
      <c r="AA102" s="615"/>
    </row>
    <row r="103">
      <c r="A103" s="675"/>
      <c r="B103" s="615"/>
      <c r="C103" s="676"/>
      <c r="D103" s="677"/>
      <c r="E103" s="677"/>
      <c r="F103" s="615"/>
      <c r="G103" s="615"/>
      <c r="H103" s="615"/>
      <c r="I103" s="679"/>
      <c r="J103" s="615"/>
      <c r="K103" s="615"/>
      <c r="L103" s="615"/>
      <c r="M103" s="615"/>
      <c r="N103" s="615"/>
      <c r="O103" s="615"/>
      <c r="P103" s="615"/>
      <c r="Q103" s="615"/>
      <c r="R103" s="615"/>
      <c r="S103" s="615"/>
      <c r="T103" s="615"/>
      <c r="U103" s="615"/>
      <c r="V103" s="615"/>
      <c r="W103" s="615"/>
      <c r="X103" s="615"/>
      <c r="Y103" s="615"/>
      <c r="Z103" s="615"/>
      <c r="AA103" s="615"/>
    </row>
    <row r="104">
      <c r="A104" s="675"/>
      <c r="B104" s="615"/>
      <c r="C104" s="676"/>
      <c r="D104" s="677"/>
      <c r="E104" s="677"/>
      <c r="F104" s="615"/>
      <c r="G104" s="615"/>
      <c r="H104" s="615"/>
      <c r="I104" s="679"/>
      <c r="J104" s="615"/>
      <c r="K104" s="615"/>
      <c r="L104" s="615"/>
      <c r="M104" s="615"/>
      <c r="N104" s="615"/>
      <c r="O104" s="615"/>
      <c r="P104" s="615"/>
      <c r="Q104" s="615"/>
      <c r="R104" s="615"/>
      <c r="S104" s="615"/>
      <c r="T104" s="615"/>
      <c r="U104" s="615"/>
      <c r="V104" s="615"/>
      <c r="W104" s="615"/>
      <c r="X104" s="615"/>
      <c r="Y104" s="615"/>
      <c r="Z104" s="615"/>
      <c r="AA104" s="615"/>
    </row>
    <row r="105">
      <c r="A105" s="675"/>
      <c r="B105" s="615"/>
      <c r="C105" s="676"/>
      <c r="D105" s="677"/>
      <c r="E105" s="677"/>
      <c r="F105" s="615"/>
      <c r="G105" s="615"/>
      <c r="H105" s="615"/>
      <c r="I105" s="679"/>
      <c r="J105" s="615"/>
      <c r="K105" s="615"/>
      <c r="L105" s="615"/>
      <c r="M105" s="615"/>
      <c r="N105" s="615"/>
      <c r="O105" s="615"/>
      <c r="P105" s="615"/>
      <c r="Q105" s="615"/>
      <c r="R105" s="615"/>
      <c r="S105" s="615"/>
      <c r="T105" s="615"/>
      <c r="U105" s="615"/>
      <c r="V105" s="615"/>
      <c r="W105" s="615"/>
      <c r="X105" s="615"/>
      <c r="Y105" s="615"/>
      <c r="Z105" s="615"/>
      <c r="AA105" s="615"/>
    </row>
    <row r="106">
      <c r="A106" s="675"/>
      <c r="B106" s="615"/>
      <c r="C106" s="676"/>
      <c r="D106" s="677"/>
      <c r="E106" s="677"/>
      <c r="F106" s="615"/>
      <c r="G106" s="615"/>
      <c r="H106" s="615"/>
      <c r="I106" s="679"/>
      <c r="J106" s="615"/>
      <c r="K106" s="615"/>
      <c r="L106" s="615"/>
      <c r="M106" s="615"/>
      <c r="N106" s="615"/>
      <c r="O106" s="615"/>
      <c r="P106" s="615"/>
      <c r="Q106" s="615"/>
      <c r="R106" s="615"/>
      <c r="S106" s="615"/>
      <c r="T106" s="615"/>
      <c r="U106" s="615"/>
      <c r="V106" s="615"/>
      <c r="W106" s="615"/>
      <c r="X106" s="615"/>
      <c r="Y106" s="615"/>
      <c r="Z106" s="615"/>
      <c r="AA106" s="615"/>
    </row>
    <row r="107">
      <c r="A107" s="675"/>
      <c r="B107" s="615"/>
      <c r="C107" s="676"/>
      <c r="D107" s="677"/>
      <c r="E107" s="677"/>
      <c r="F107" s="615"/>
      <c r="G107" s="615"/>
      <c r="H107" s="615"/>
      <c r="I107" s="679"/>
      <c r="J107" s="615"/>
      <c r="K107" s="615"/>
      <c r="L107" s="615"/>
      <c r="M107" s="615"/>
      <c r="N107" s="615"/>
      <c r="O107" s="615"/>
      <c r="P107" s="615"/>
      <c r="Q107" s="615"/>
      <c r="R107" s="615"/>
      <c r="S107" s="615"/>
      <c r="T107" s="615"/>
      <c r="U107" s="615"/>
      <c r="V107" s="615"/>
      <c r="W107" s="615"/>
      <c r="X107" s="615"/>
      <c r="Y107" s="615"/>
      <c r="Z107" s="615"/>
      <c r="AA107" s="615"/>
    </row>
    <row r="108">
      <c r="A108" s="675"/>
      <c r="B108" s="615"/>
      <c r="C108" s="676"/>
      <c r="D108" s="677"/>
      <c r="E108" s="677"/>
      <c r="F108" s="615"/>
      <c r="G108" s="615"/>
      <c r="H108" s="615"/>
      <c r="I108" s="679"/>
      <c r="J108" s="615"/>
      <c r="K108" s="615"/>
      <c r="L108" s="615"/>
      <c r="M108" s="615"/>
      <c r="N108" s="615"/>
      <c r="O108" s="615"/>
      <c r="P108" s="615"/>
      <c r="Q108" s="615"/>
      <c r="R108" s="615"/>
      <c r="S108" s="615"/>
      <c r="T108" s="615"/>
      <c r="U108" s="615"/>
      <c r="V108" s="615"/>
      <c r="W108" s="615"/>
      <c r="X108" s="615"/>
      <c r="Y108" s="615"/>
      <c r="Z108" s="615"/>
      <c r="AA108" s="615"/>
    </row>
    <row r="109">
      <c r="A109" s="675"/>
      <c r="B109" s="615"/>
      <c r="C109" s="676"/>
      <c r="D109" s="677"/>
      <c r="E109" s="677"/>
      <c r="F109" s="615"/>
      <c r="G109" s="615"/>
      <c r="H109" s="615"/>
      <c r="I109" s="679"/>
      <c r="J109" s="615"/>
      <c r="K109" s="615"/>
      <c r="L109" s="615"/>
      <c r="M109" s="615"/>
      <c r="N109" s="615"/>
      <c r="O109" s="615"/>
      <c r="P109" s="615"/>
      <c r="Q109" s="615"/>
      <c r="R109" s="615"/>
      <c r="S109" s="615"/>
      <c r="T109" s="615"/>
      <c r="U109" s="615"/>
      <c r="V109" s="615"/>
      <c r="W109" s="615"/>
      <c r="X109" s="615"/>
      <c r="Y109" s="615"/>
      <c r="Z109" s="615"/>
      <c r="AA109" s="615"/>
    </row>
    <row r="110">
      <c r="A110" s="675"/>
      <c r="B110" s="615"/>
      <c r="C110" s="676"/>
      <c r="D110" s="677"/>
      <c r="E110" s="677"/>
      <c r="F110" s="615"/>
      <c r="G110" s="615"/>
      <c r="H110" s="615"/>
      <c r="I110" s="679"/>
      <c r="J110" s="615"/>
      <c r="K110" s="615"/>
      <c r="L110" s="615"/>
      <c r="M110" s="615"/>
      <c r="N110" s="615"/>
      <c r="O110" s="615"/>
      <c r="P110" s="615"/>
      <c r="Q110" s="615"/>
      <c r="R110" s="615"/>
      <c r="S110" s="615"/>
      <c r="T110" s="615"/>
      <c r="U110" s="615"/>
      <c r="V110" s="615"/>
      <c r="W110" s="615"/>
      <c r="X110" s="615"/>
      <c r="Y110" s="615"/>
      <c r="Z110" s="615"/>
      <c r="AA110" s="615"/>
    </row>
    <row r="111">
      <c r="A111" s="675"/>
      <c r="B111" s="615"/>
      <c r="C111" s="676"/>
      <c r="D111" s="677"/>
      <c r="E111" s="677"/>
      <c r="F111" s="615"/>
      <c r="G111" s="615"/>
      <c r="H111" s="615"/>
      <c r="I111" s="679"/>
      <c r="J111" s="615"/>
      <c r="K111" s="615"/>
      <c r="L111" s="615"/>
      <c r="M111" s="615"/>
      <c r="N111" s="615"/>
      <c r="O111" s="615"/>
      <c r="P111" s="615"/>
      <c r="Q111" s="615"/>
      <c r="R111" s="615"/>
      <c r="S111" s="615"/>
      <c r="T111" s="615"/>
      <c r="U111" s="615"/>
      <c r="V111" s="615"/>
      <c r="W111" s="615"/>
      <c r="X111" s="615"/>
      <c r="Y111" s="615"/>
      <c r="Z111" s="615"/>
      <c r="AA111" s="615"/>
    </row>
    <row r="112">
      <c r="A112" s="675"/>
      <c r="B112" s="615"/>
      <c r="C112" s="676"/>
      <c r="D112" s="677"/>
      <c r="E112" s="677"/>
      <c r="F112" s="615"/>
      <c r="G112" s="615"/>
      <c r="H112" s="615"/>
      <c r="I112" s="679"/>
      <c r="J112" s="615"/>
      <c r="K112" s="615"/>
      <c r="L112" s="615"/>
      <c r="M112" s="615"/>
      <c r="N112" s="615"/>
      <c r="O112" s="615"/>
      <c r="P112" s="615"/>
      <c r="Q112" s="615"/>
      <c r="R112" s="615"/>
      <c r="S112" s="615"/>
      <c r="T112" s="615"/>
      <c r="U112" s="615"/>
      <c r="V112" s="615"/>
      <c r="W112" s="615"/>
      <c r="X112" s="615"/>
      <c r="Y112" s="615"/>
      <c r="Z112" s="615"/>
      <c r="AA112" s="615"/>
    </row>
    <row r="113">
      <c r="A113" s="675"/>
      <c r="B113" s="615"/>
      <c r="C113" s="676"/>
      <c r="D113" s="677"/>
      <c r="E113" s="677"/>
      <c r="F113" s="615"/>
      <c r="G113" s="615"/>
      <c r="H113" s="615"/>
      <c r="I113" s="679"/>
      <c r="J113" s="615"/>
      <c r="K113" s="615"/>
      <c r="L113" s="615"/>
      <c r="M113" s="615"/>
      <c r="N113" s="615"/>
      <c r="O113" s="615"/>
      <c r="P113" s="615"/>
      <c r="Q113" s="615"/>
      <c r="R113" s="615"/>
      <c r="S113" s="615"/>
      <c r="T113" s="615"/>
      <c r="U113" s="615"/>
      <c r="V113" s="615"/>
      <c r="W113" s="615"/>
      <c r="X113" s="615"/>
      <c r="Y113" s="615"/>
      <c r="Z113" s="615"/>
      <c r="AA113" s="615"/>
    </row>
    <row r="114">
      <c r="A114" s="675"/>
      <c r="B114" s="615"/>
      <c r="C114" s="676"/>
      <c r="D114" s="677"/>
      <c r="E114" s="677"/>
      <c r="F114" s="615"/>
      <c r="G114" s="615"/>
      <c r="H114" s="615"/>
      <c r="I114" s="679"/>
      <c r="J114" s="615"/>
      <c r="K114" s="615"/>
      <c r="L114" s="615"/>
      <c r="M114" s="615"/>
      <c r="N114" s="615"/>
      <c r="O114" s="615"/>
      <c r="P114" s="615"/>
      <c r="Q114" s="615"/>
      <c r="R114" s="615"/>
      <c r="S114" s="615"/>
      <c r="T114" s="615"/>
      <c r="U114" s="615"/>
      <c r="V114" s="615"/>
      <c r="W114" s="615"/>
      <c r="X114" s="615"/>
      <c r="Y114" s="615"/>
      <c r="Z114" s="615"/>
      <c r="AA114" s="615"/>
    </row>
    <row r="115">
      <c r="A115" s="675"/>
      <c r="B115" s="615"/>
      <c r="C115" s="676"/>
      <c r="D115" s="677"/>
      <c r="E115" s="677"/>
      <c r="F115" s="615"/>
      <c r="G115" s="615"/>
      <c r="H115" s="615"/>
      <c r="I115" s="679"/>
      <c r="J115" s="615"/>
      <c r="K115" s="615"/>
      <c r="L115" s="615"/>
      <c r="M115" s="615"/>
      <c r="N115" s="615"/>
      <c r="O115" s="615"/>
      <c r="P115" s="615"/>
      <c r="Q115" s="615"/>
      <c r="R115" s="615"/>
      <c r="S115" s="615"/>
      <c r="T115" s="615"/>
      <c r="U115" s="615"/>
      <c r="V115" s="615"/>
      <c r="W115" s="615"/>
      <c r="X115" s="615"/>
      <c r="Y115" s="615"/>
      <c r="Z115" s="615"/>
      <c r="AA115" s="615"/>
    </row>
    <row r="116">
      <c r="A116" s="675"/>
      <c r="B116" s="615"/>
      <c r="C116" s="676"/>
      <c r="D116" s="677"/>
      <c r="E116" s="677"/>
      <c r="F116" s="615"/>
      <c r="G116" s="615"/>
      <c r="H116" s="615"/>
      <c r="I116" s="679"/>
      <c r="J116" s="615"/>
      <c r="K116" s="615"/>
      <c r="L116" s="615"/>
      <c r="M116" s="615"/>
      <c r="N116" s="615"/>
      <c r="O116" s="615"/>
      <c r="P116" s="615"/>
      <c r="Q116" s="615"/>
      <c r="R116" s="615"/>
      <c r="S116" s="615"/>
      <c r="T116" s="615"/>
      <c r="U116" s="615"/>
      <c r="V116" s="615"/>
      <c r="W116" s="615"/>
      <c r="X116" s="615"/>
      <c r="Y116" s="615"/>
      <c r="Z116" s="615"/>
      <c r="AA116" s="615"/>
    </row>
    <row r="117">
      <c r="A117" s="675"/>
      <c r="B117" s="615"/>
      <c r="C117" s="676"/>
      <c r="D117" s="677"/>
      <c r="E117" s="677"/>
      <c r="F117" s="615"/>
      <c r="G117" s="615"/>
      <c r="H117" s="615"/>
      <c r="I117" s="679"/>
      <c r="J117" s="615"/>
      <c r="K117" s="615"/>
      <c r="L117" s="615"/>
      <c r="M117" s="615"/>
      <c r="N117" s="615"/>
      <c r="O117" s="615"/>
      <c r="P117" s="615"/>
      <c r="Q117" s="615"/>
      <c r="R117" s="615"/>
      <c r="S117" s="615"/>
      <c r="T117" s="615"/>
      <c r="U117" s="615"/>
      <c r="V117" s="615"/>
      <c r="W117" s="615"/>
      <c r="X117" s="615"/>
      <c r="Y117" s="615"/>
      <c r="Z117" s="615"/>
      <c r="AA117" s="615"/>
    </row>
    <row r="118">
      <c r="A118" s="675"/>
      <c r="B118" s="615"/>
      <c r="C118" s="676"/>
      <c r="D118" s="677"/>
      <c r="E118" s="677"/>
      <c r="F118" s="615"/>
      <c r="G118" s="615"/>
      <c r="H118" s="615"/>
      <c r="I118" s="679"/>
      <c r="J118" s="615"/>
      <c r="K118" s="615"/>
      <c r="L118" s="615"/>
      <c r="M118" s="615"/>
      <c r="N118" s="615"/>
      <c r="O118" s="615"/>
      <c r="P118" s="615"/>
      <c r="Q118" s="615"/>
      <c r="R118" s="615"/>
      <c r="S118" s="615"/>
      <c r="T118" s="615"/>
      <c r="U118" s="615"/>
      <c r="V118" s="615"/>
      <c r="W118" s="615"/>
      <c r="X118" s="615"/>
      <c r="Y118" s="615"/>
      <c r="Z118" s="615"/>
      <c r="AA118" s="615"/>
    </row>
    <row r="119">
      <c r="A119" s="675"/>
      <c r="B119" s="615"/>
      <c r="C119" s="676"/>
      <c r="D119" s="677"/>
      <c r="E119" s="677"/>
      <c r="F119" s="615"/>
      <c r="G119" s="615"/>
      <c r="H119" s="615"/>
      <c r="I119" s="679"/>
      <c r="J119" s="615"/>
      <c r="K119" s="615"/>
      <c r="L119" s="615"/>
      <c r="M119" s="615"/>
      <c r="N119" s="615"/>
      <c r="O119" s="615"/>
      <c r="P119" s="615"/>
      <c r="Q119" s="615"/>
      <c r="R119" s="615"/>
      <c r="S119" s="615"/>
      <c r="T119" s="615"/>
      <c r="U119" s="615"/>
      <c r="V119" s="615"/>
      <c r="W119" s="615"/>
      <c r="X119" s="615"/>
      <c r="Y119" s="615"/>
      <c r="Z119" s="615"/>
      <c r="AA119" s="615"/>
    </row>
    <row r="120">
      <c r="A120" s="675"/>
      <c r="B120" s="615"/>
      <c r="C120" s="676"/>
      <c r="D120" s="677"/>
      <c r="E120" s="677"/>
      <c r="F120" s="615"/>
      <c r="G120" s="615"/>
      <c r="H120" s="615"/>
      <c r="I120" s="679"/>
      <c r="J120" s="615"/>
      <c r="K120" s="615"/>
      <c r="L120" s="615"/>
      <c r="M120" s="615"/>
      <c r="N120" s="615"/>
      <c r="O120" s="615"/>
      <c r="P120" s="615"/>
      <c r="Q120" s="615"/>
      <c r="R120" s="615"/>
      <c r="S120" s="615"/>
      <c r="T120" s="615"/>
      <c r="U120" s="615"/>
      <c r="V120" s="615"/>
      <c r="W120" s="615"/>
      <c r="X120" s="615"/>
      <c r="Y120" s="615"/>
      <c r="Z120" s="615"/>
      <c r="AA120" s="615"/>
    </row>
    <row r="121">
      <c r="A121" s="675"/>
      <c r="B121" s="615"/>
      <c r="C121" s="676"/>
      <c r="D121" s="677"/>
      <c r="E121" s="677"/>
      <c r="F121" s="615"/>
      <c r="G121" s="615"/>
      <c r="H121" s="615"/>
      <c r="I121" s="679"/>
      <c r="J121" s="615"/>
      <c r="K121" s="615"/>
      <c r="L121" s="615"/>
      <c r="M121" s="615"/>
      <c r="N121" s="615"/>
      <c r="O121" s="615"/>
      <c r="P121" s="615"/>
      <c r="Q121" s="615"/>
      <c r="R121" s="615"/>
      <c r="S121" s="615"/>
      <c r="T121" s="615"/>
      <c r="U121" s="615"/>
      <c r="V121" s="615"/>
      <c r="W121" s="615"/>
      <c r="X121" s="615"/>
      <c r="Y121" s="615"/>
      <c r="Z121" s="615"/>
      <c r="AA121" s="615"/>
    </row>
    <row r="122">
      <c r="A122" s="675"/>
      <c r="B122" s="615"/>
      <c r="C122" s="676"/>
      <c r="D122" s="677"/>
      <c r="E122" s="677"/>
      <c r="F122" s="615"/>
      <c r="G122" s="615"/>
      <c r="H122" s="615"/>
      <c r="I122" s="679"/>
      <c r="J122" s="615"/>
      <c r="K122" s="615"/>
      <c r="L122" s="615"/>
      <c r="M122" s="615"/>
      <c r="N122" s="615"/>
      <c r="O122" s="615"/>
      <c r="P122" s="615"/>
      <c r="Q122" s="615"/>
      <c r="R122" s="615"/>
      <c r="S122" s="615"/>
      <c r="T122" s="615"/>
      <c r="U122" s="615"/>
      <c r="V122" s="615"/>
      <c r="W122" s="615"/>
      <c r="X122" s="615"/>
      <c r="Y122" s="615"/>
      <c r="Z122" s="615"/>
      <c r="AA122" s="615"/>
    </row>
    <row r="123">
      <c r="A123" s="675"/>
      <c r="B123" s="615"/>
      <c r="C123" s="676"/>
      <c r="D123" s="677"/>
      <c r="E123" s="677"/>
      <c r="F123" s="615"/>
      <c r="G123" s="615"/>
      <c r="H123" s="615"/>
      <c r="I123" s="679"/>
      <c r="J123" s="615"/>
      <c r="K123" s="615"/>
      <c r="L123" s="615"/>
      <c r="M123" s="615"/>
      <c r="N123" s="615"/>
      <c r="O123" s="615"/>
      <c r="P123" s="615"/>
      <c r="Q123" s="615"/>
      <c r="R123" s="615"/>
      <c r="S123" s="615"/>
      <c r="T123" s="615"/>
      <c r="U123" s="615"/>
      <c r="V123" s="615"/>
      <c r="W123" s="615"/>
      <c r="X123" s="615"/>
      <c r="Y123" s="615"/>
      <c r="Z123" s="615"/>
      <c r="AA123" s="615"/>
    </row>
    <row r="124">
      <c r="A124" s="675"/>
      <c r="B124" s="615"/>
      <c r="C124" s="676"/>
      <c r="D124" s="677"/>
      <c r="E124" s="677"/>
      <c r="F124" s="615"/>
      <c r="G124" s="615"/>
      <c r="H124" s="615"/>
      <c r="I124" s="679"/>
      <c r="J124" s="615"/>
      <c r="K124" s="615"/>
      <c r="L124" s="615"/>
      <c r="M124" s="615"/>
      <c r="N124" s="615"/>
      <c r="O124" s="615"/>
      <c r="P124" s="615"/>
      <c r="Q124" s="615"/>
      <c r="R124" s="615"/>
      <c r="S124" s="615"/>
      <c r="T124" s="615"/>
      <c r="U124" s="615"/>
      <c r="V124" s="615"/>
      <c r="W124" s="615"/>
      <c r="X124" s="615"/>
      <c r="Y124" s="615"/>
      <c r="Z124" s="615"/>
      <c r="AA124" s="615"/>
    </row>
    <row r="125">
      <c r="A125" s="675"/>
      <c r="B125" s="615"/>
      <c r="C125" s="676"/>
      <c r="D125" s="677"/>
      <c r="E125" s="677"/>
      <c r="F125" s="615"/>
      <c r="G125" s="615"/>
      <c r="H125" s="615"/>
      <c r="I125" s="679"/>
      <c r="J125" s="615"/>
      <c r="K125" s="615"/>
      <c r="L125" s="615"/>
      <c r="M125" s="615"/>
      <c r="N125" s="615"/>
      <c r="O125" s="615"/>
      <c r="P125" s="615"/>
      <c r="Q125" s="615"/>
      <c r="R125" s="615"/>
      <c r="S125" s="615"/>
      <c r="T125" s="615"/>
      <c r="U125" s="615"/>
      <c r="V125" s="615"/>
      <c r="W125" s="615"/>
      <c r="X125" s="615"/>
      <c r="Y125" s="615"/>
      <c r="Z125" s="615"/>
      <c r="AA125" s="615"/>
    </row>
    <row r="126">
      <c r="A126" s="675"/>
      <c r="B126" s="615"/>
      <c r="C126" s="676"/>
      <c r="D126" s="677"/>
      <c r="E126" s="677"/>
      <c r="F126" s="615"/>
      <c r="G126" s="615"/>
      <c r="H126" s="615"/>
      <c r="I126" s="679"/>
      <c r="J126" s="615"/>
      <c r="K126" s="615"/>
      <c r="L126" s="615"/>
      <c r="M126" s="615"/>
      <c r="N126" s="615"/>
      <c r="O126" s="615"/>
      <c r="P126" s="615"/>
      <c r="Q126" s="615"/>
      <c r="R126" s="615"/>
      <c r="S126" s="615"/>
      <c r="T126" s="615"/>
      <c r="U126" s="615"/>
      <c r="V126" s="615"/>
      <c r="W126" s="615"/>
      <c r="X126" s="615"/>
      <c r="Y126" s="615"/>
      <c r="Z126" s="615"/>
      <c r="AA126" s="615"/>
    </row>
    <row r="127">
      <c r="A127" s="675"/>
      <c r="B127" s="615"/>
      <c r="C127" s="676"/>
      <c r="D127" s="677"/>
      <c r="E127" s="677"/>
      <c r="F127" s="615"/>
      <c r="G127" s="615"/>
      <c r="H127" s="615"/>
      <c r="I127" s="679"/>
      <c r="J127" s="615"/>
      <c r="K127" s="615"/>
      <c r="L127" s="615"/>
      <c r="M127" s="615"/>
      <c r="N127" s="615"/>
      <c r="O127" s="615"/>
      <c r="P127" s="615"/>
      <c r="Q127" s="615"/>
      <c r="R127" s="615"/>
      <c r="S127" s="615"/>
      <c r="T127" s="615"/>
      <c r="U127" s="615"/>
      <c r="V127" s="615"/>
      <c r="W127" s="615"/>
      <c r="X127" s="615"/>
      <c r="Y127" s="615"/>
      <c r="Z127" s="615"/>
      <c r="AA127" s="615"/>
    </row>
    <row r="128">
      <c r="A128" s="675"/>
      <c r="B128" s="615"/>
      <c r="C128" s="676"/>
      <c r="D128" s="677"/>
      <c r="E128" s="677"/>
      <c r="F128" s="615"/>
      <c r="G128" s="615"/>
      <c r="H128" s="615"/>
      <c r="I128" s="679"/>
      <c r="J128" s="615"/>
      <c r="K128" s="615"/>
      <c r="L128" s="615"/>
      <c r="M128" s="615"/>
      <c r="N128" s="615"/>
      <c r="O128" s="615"/>
      <c r="P128" s="615"/>
      <c r="Q128" s="615"/>
      <c r="R128" s="615"/>
      <c r="S128" s="615"/>
      <c r="T128" s="615"/>
      <c r="U128" s="615"/>
      <c r="V128" s="615"/>
      <c r="W128" s="615"/>
      <c r="X128" s="615"/>
      <c r="Y128" s="615"/>
      <c r="Z128" s="615"/>
      <c r="AA128" s="615"/>
    </row>
    <row r="129">
      <c r="A129" s="675"/>
      <c r="B129" s="615"/>
      <c r="C129" s="676"/>
      <c r="D129" s="677"/>
      <c r="E129" s="677"/>
      <c r="F129" s="615"/>
      <c r="G129" s="615"/>
      <c r="H129" s="615"/>
      <c r="I129" s="679"/>
      <c r="J129" s="615"/>
      <c r="K129" s="615"/>
      <c r="L129" s="615"/>
      <c r="M129" s="615"/>
      <c r="N129" s="615"/>
      <c r="O129" s="615"/>
      <c r="P129" s="615"/>
      <c r="Q129" s="615"/>
      <c r="R129" s="615"/>
      <c r="S129" s="615"/>
      <c r="T129" s="615"/>
      <c r="U129" s="615"/>
      <c r="V129" s="615"/>
      <c r="W129" s="615"/>
      <c r="X129" s="615"/>
      <c r="Y129" s="615"/>
      <c r="Z129" s="615"/>
      <c r="AA129" s="615"/>
    </row>
    <row r="130">
      <c r="A130" s="675"/>
      <c r="B130" s="615"/>
      <c r="C130" s="676"/>
      <c r="D130" s="677"/>
      <c r="E130" s="677"/>
      <c r="F130" s="615"/>
      <c r="G130" s="615"/>
      <c r="H130" s="615"/>
      <c r="I130" s="679"/>
      <c r="J130" s="615"/>
      <c r="K130" s="615"/>
      <c r="L130" s="615"/>
      <c r="M130" s="615"/>
      <c r="N130" s="615"/>
      <c r="O130" s="615"/>
      <c r="P130" s="615"/>
      <c r="Q130" s="615"/>
      <c r="R130" s="615"/>
      <c r="S130" s="615"/>
      <c r="T130" s="615"/>
      <c r="U130" s="615"/>
      <c r="V130" s="615"/>
      <c r="W130" s="615"/>
      <c r="X130" s="615"/>
      <c r="Y130" s="615"/>
      <c r="Z130" s="615"/>
      <c r="AA130" s="615"/>
    </row>
    <row r="131">
      <c r="A131" s="675"/>
      <c r="B131" s="615"/>
      <c r="C131" s="676"/>
      <c r="D131" s="677"/>
      <c r="E131" s="677"/>
      <c r="F131" s="615"/>
      <c r="G131" s="615"/>
      <c r="H131" s="615"/>
      <c r="I131" s="679"/>
      <c r="J131" s="615"/>
      <c r="K131" s="615"/>
      <c r="L131" s="615"/>
      <c r="M131" s="615"/>
      <c r="N131" s="615"/>
      <c r="O131" s="615"/>
      <c r="P131" s="615"/>
      <c r="Q131" s="615"/>
      <c r="R131" s="615"/>
      <c r="S131" s="615"/>
      <c r="T131" s="615"/>
      <c r="U131" s="615"/>
      <c r="V131" s="615"/>
      <c r="W131" s="615"/>
      <c r="X131" s="615"/>
      <c r="Y131" s="615"/>
      <c r="Z131" s="615"/>
      <c r="AA131" s="615"/>
    </row>
    <row r="132">
      <c r="A132" s="675"/>
      <c r="B132" s="615"/>
      <c r="C132" s="676"/>
      <c r="D132" s="677"/>
      <c r="E132" s="677"/>
      <c r="F132" s="615"/>
      <c r="G132" s="615"/>
      <c r="H132" s="615"/>
      <c r="I132" s="679"/>
      <c r="J132" s="615"/>
      <c r="K132" s="615"/>
      <c r="L132" s="615"/>
      <c r="M132" s="615"/>
      <c r="N132" s="615"/>
      <c r="O132" s="615"/>
      <c r="P132" s="615"/>
      <c r="Q132" s="615"/>
      <c r="R132" s="615"/>
      <c r="S132" s="615"/>
      <c r="T132" s="615"/>
      <c r="U132" s="615"/>
      <c r="V132" s="615"/>
      <c r="W132" s="615"/>
      <c r="X132" s="615"/>
      <c r="Y132" s="615"/>
      <c r="Z132" s="615"/>
      <c r="AA132" s="615"/>
    </row>
    <row r="133">
      <c r="A133" s="675"/>
      <c r="B133" s="615"/>
      <c r="C133" s="676"/>
      <c r="D133" s="677"/>
      <c r="E133" s="677"/>
      <c r="F133" s="615"/>
      <c r="G133" s="615"/>
      <c r="H133" s="615"/>
      <c r="I133" s="679"/>
      <c r="J133" s="615"/>
      <c r="K133" s="615"/>
      <c r="L133" s="615"/>
      <c r="M133" s="615"/>
      <c r="N133" s="615"/>
      <c r="O133" s="615"/>
      <c r="P133" s="615"/>
      <c r="Q133" s="615"/>
      <c r="R133" s="615"/>
      <c r="S133" s="615"/>
      <c r="T133" s="615"/>
      <c r="U133" s="615"/>
      <c r="V133" s="615"/>
      <c r="W133" s="615"/>
      <c r="X133" s="615"/>
      <c r="Y133" s="615"/>
      <c r="Z133" s="615"/>
      <c r="AA133" s="615"/>
    </row>
    <row r="134">
      <c r="A134" s="675"/>
      <c r="B134" s="615"/>
      <c r="C134" s="676"/>
      <c r="D134" s="677"/>
      <c r="E134" s="677"/>
      <c r="F134" s="615"/>
      <c r="G134" s="615"/>
      <c r="H134" s="615"/>
      <c r="I134" s="679"/>
      <c r="J134" s="615"/>
      <c r="K134" s="615"/>
      <c r="L134" s="615"/>
      <c r="M134" s="615"/>
      <c r="N134" s="615"/>
      <c r="O134" s="615"/>
      <c r="P134" s="615"/>
      <c r="Q134" s="615"/>
      <c r="R134" s="615"/>
      <c r="S134" s="615"/>
      <c r="T134" s="615"/>
      <c r="U134" s="615"/>
      <c r="V134" s="615"/>
      <c r="W134" s="615"/>
      <c r="X134" s="615"/>
      <c r="Y134" s="615"/>
      <c r="Z134" s="615"/>
      <c r="AA134" s="615"/>
    </row>
    <row r="135">
      <c r="A135" s="675"/>
      <c r="B135" s="615"/>
      <c r="C135" s="676"/>
      <c r="D135" s="677"/>
      <c r="E135" s="677"/>
      <c r="F135" s="615"/>
      <c r="G135" s="615"/>
      <c r="H135" s="615"/>
      <c r="I135" s="679"/>
      <c r="J135" s="615"/>
      <c r="K135" s="615"/>
      <c r="L135" s="615"/>
      <c r="M135" s="615"/>
      <c r="N135" s="615"/>
      <c r="O135" s="615"/>
      <c r="P135" s="615"/>
      <c r="Q135" s="615"/>
      <c r="R135" s="615"/>
      <c r="S135" s="615"/>
      <c r="T135" s="615"/>
      <c r="U135" s="615"/>
      <c r="V135" s="615"/>
      <c r="W135" s="615"/>
      <c r="X135" s="615"/>
      <c r="Y135" s="615"/>
      <c r="Z135" s="615"/>
      <c r="AA135" s="615"/>
    </row>
    <row r="136">
      <c r="A136" s="675"/>
      <c r="B136" s="615"/>
      <c r="C136" s="676"/>
      <c r="D136" s="677"/>
      <c r="E136" s="677"/>
      <c r="F136" s="615"/>
      <c r="G136" s="615"/>
      <c r="H136" s="615"/>
      <c r="I136" s="679"/>
      <c r="J136" s="615"/>
      <c r="K136" s="615"/>
      <c r="L136" s="615"/>
      <c r="M136" s="615"/>
      <c r="N136" s="615"/>
      <c r="O136" s="615"/>
      <c r="P136" s="615"/>
      <c r="Q136" s="615"/>
      <c r="R136" s="615"/>
      <c r="S136" s="615"/>
      <c r="T136" s="615"/>
      <c r="U136" s="615"/>
      <c r="V136" s="615"/>
      <c r="W136" s="615"/>
      <c r="X136" s="615"/>
      <c r="Y136" s="615"/>
      <c r="Z136" s="615"/>
      <c r="AA136" s="615"/>
    </row>
    <row r="137">
      <c r="A137" s="675"/>
      <c r="B137" s="615"/>
      <c r="C137" s="676"/>
      <c r="D137" s="677"/>
      <c r="E137" s="677"/>
      <c r="F137" s="615"/>
      <c r="G137" s="615"/>
      <c r="H137" s="615"/>
      <c r="I137" s="679"/>
      <c r="J137" s="615"/>
      <c r="K137" s="615"/>
      <c r="L137" s="615"/>
      <c r="M137" s="615"/>
      <c r="N137" s="615"/>
      <c r="O137" s="615"/>
      <c r="P137" s="615"/>
      <c r="Q137" s="615"/>
      <c r="R137" s="615"/>
      <c r="S137" s="615"/>
      <c r="T137" s="615"/>
      <c r="U137" s="615"/>
      <c r="V137" s="615"/>
      <c r="W137" s="615"/>
      <c r="X137" s="615"/>
      <c r="Y137" s="615"/>
      <c r="Z137" s="615"/>
      <c r="AA137" s="615"/>
    </row>
    <row r="138">
      <c r="A138" s="675"/>
      <c r="B138" s="615"/>
      <c r="C138" s="676"/>
      <c r="D138" s="677"/>
      <c r="E138" s="677"/>
      <c r="F138" s="615"/>
      <c r="G138" s="615"/>
      <c r="H138" s="615"/>
      <c r="I138" s="679"/>
      <c r="J138" s="615"/>
      <c r="K138" s="615"/>
      <c r="L138" s="615"/>
      <c r="M138" s="615"/>
      <c r="N138" s="615"/>
      <c r="O138" s="615"/>
      <c r="P138" s="615"/>
      <c r="Q138" s="615"/>
      <c r="R138" s="615"/>
      <c r="S138" s="615"/>
      <c r="T138" s="615"/>
      <c r="U138" s="615"/>
      <c r="V138" s="615"/>
      <c r="W138" s="615"/>
      <c r="X138" s="615"/>
      <c r="Y138" s="615"/>
      <c r="Z138" s="615"/>
      <c r="AA138" s="615"/>
    </row>
    <row r="139">
      <c r="A139" s="675"/>
      <c r="B139" s="615"/>
      <c r="C139" s="676"/>
      <c r="D139" s="677"/>
      <c r="E139" s="677"/>
      <c r="F139" s="615"/>
      <c r="G139" s="615"/>
      <c r="H139" s="615"/>
      <c r="I139" s="679"/>
      <c r="J139" s="615"/>
      <c r="K139" s="615"/>
      <c r="L139" s="615"/>
      <c r="M139" s="615"/>
      <c r="N139" s="615"/>
      <c r="O139" s="615"/>
      <c r="P139" s="615"/>
      <c r="Q139" s="615"/>
      <c r="R139" s="615"/>
      <c r="S139" s="615"/>
      <c r="T139" s="615"/>
      <c r="U139" s="615"/>
      <c r="V139" s="615"/>
      <c r="W139" s="615"/>
      <c r="X139" s="615"/>
      <c r="Y139" s="615"/>
      <c r="Z139" s="615"/>
      <c r="AA139" s="615"/>
    </row>
    <row r="140">
      <c r="A140" s="675"/>
      <c r="B140" s="615"/>
      <c r="C140" s="676"/>
      <c r="D140" s="677"/>
      <c r="E140" s="677"/>
      <c r="F140" s="615"/>
      <c r="G140" s="615"/>
      <c r="H140" s="615"/>
      <c r="I140" s="679"/>
      <c r="J140" s="615"/>
      <c r="K140" s="615"/>
      <c r="L140" s="615"/>
      <c r="M140" s="615"/>
      <c r="N140" s="615"/>
      <c r="O140" s="615"/>
      <c r="P140" s="615"/>
      <c r="Q140" s="615"/>
      <c r="R140" s="615"/>
      <c r="S140" s="615"/>
      <c r="T140" s="615"/>
      <c r="U140" s="615"/>
      <c r="V140" s="615"/>
      <c r="W140" s="615"/>
      <c r="X140" s="615"/>
      <c r="Y140" s="615"/>
      <c r="Z140" s="615"/>
      <c r="AA140" s="615"/>
    </row>
    <row r="141">
      <c r="A141" s="675"/>
      <c r="B141" s="615"/>
      <c r="C141" s="676"/>
      <c r="D141" s="677"/>
      <c r="E141" s="677"/>
      <c r="F141" s="615"/>
      <c r="G141" s="615"/>
      <c r="H141" s="615"/>
      <c r="I141" s="679"/>
      <c r="J141" s="615"/>
      <c r="K141" s="615"/>
      <c r="L141" s="615"/>
      <c r="M141" s="615"/>
      <c r="N141" s="615"/>
      <c r="O141" s="615"/>
      <c r="P141" s="615"/>
      <c r="Q141" s="615"/>
      <c r="R141" s="615"/>
      <c r="S141" s="615"/>
      <c r="T141" s="615"/>
      <c r="U141" s="615"/>
      <c r="V141" s="615"/>
      <c r="W141" s="615"/>
      <c r="X141" s="615"/>
      <c r="Y141" s="615"/>
      <c r="Z141" s="615"/>
      <c r="AA141" s="615"/>
    </row>
    <row r="142">
      <c r="A142" s="675"/>
      <c r="B142" s="615"/>
      <c r="C142" s="676"/>
      <c r="D142" s="677"/>
      <c r="E142" s="677"/>
      <c r="F142" s="615"/>
      <c r="G142" s="615"/>
      <c r="H142" s="615"/>
      <c r="I142" s="679"/>
      <c r="J142" s="615"/>
      <c r="K142" s="615"/>
      <c r="L142" s="615"/>
      <c r="M142" s="615"/>
      <c r="N142" s="615"/>
      <c r="O142" s="615"/>
      <c r="P142" s="615"/>
      <c r="Q142" s="615"/>
      <c r="R142" s="615"/>
      <c r="S142" s="615"/>
      <c r="T142" s="615"/>
      <c r="U142" s="615"/>
      <c r="V142" s="615"/>
      <c r="W142" s="615"/>
      <c r="X142" s="615"/>
      <c r="Y142" s="615"/>
      <c r="Z142" s="615"/>
      <c r="AA142" s="615"/>
    </row>
    <row r="143">
      <c r="A143" s="675"/>
      <c r="B143" s="615"/>
      <c r="C143" s="676"/>
      <c r="D143" s="677"/>
      <c r="E143" s="677"/>
      <c r="F143" s="615"/>
      <c r="G143" s="615"/>
      <c r="H143" s="615"/>
      <c r="I143" s="679"/>
      <c r="J143" s="615"/>
      <c r="K143" s="615"/>
      <c r="L143" s="615"/>
      <c r="M143" s="615"/>
      <c r="N143" s="615"/>
      <c r="O143" s="615"/>
      <c r="P143" s="615"/>
      <c r="Q143" s="615"/>
      <c r="R143" s="615"/>
      <c r="S143" s="615"/>
      <c r="T143" s="615"/>
      <c r="U143" s="615"/>
      <c r="V143" s="615"/>
      <c r="W143" s="615"/>
      <c r="X143" s="615"/>
      <c r="Y143" s="615"/>
      <c r="Z143" s="615"/>
      <c r="AA143" s="615"/>
    </row>
    <row r="144">
      <c r="A144" s="675"/>
      <c r="B144" s="615"/>
      <c r="C144" s="676"/>
      <c r="D144" s="677"/>
      <c r="E144" s="677"/>
      <c r="F144" s="615"/>
      <c r="G144" s="615"/>
      <c r="H144" s="615"/>
      <c r="I144" s="679"/>
      <c r="J144" s="615"/>
      <c r="K144" s="615"/>
      <c r="L144" s="615"/>
      <c r="M144" s="615"/>
      <c r="N144" s="615"/>
      <c r="O144" s="615"/>
      <c r="P144" s="615"/>
      <c r="Q144" s="615"/>
      <c r="R144" s="615"/>
      <c r="S144" s="615"/>
      <c r="T144" s="615"/>
      <c r="U144" s="615"/>
      <c r="V144" s="615"/>
      <c r="W144" s="615"/>
      <c r="X144" s="615"/>
      <c r="Y144" s="615"/>
      <c r="Z144" s="615"/>
      <c r="AA144" s="615"/>
    </row>
    <row r="145">
      <c r="A145" s="675"/>
      <c r="B145" s="615"/>
      <c r="C145" s="676"/>
      <c r="D145" s="677"/>
      <c r="E145" s="677"/>
      <c r="F145" s="615"/>
      <c r="G145" s="615"/>
      <c r="H145" s="615"/>
      <c r="I145" s="679"/>
      <c r="J145" s="615"/>
      <c r="K145" s="615"/>
      <c r="L145" s="615"/>
      <c r="M145" s="615"/>
      <c r="N145" s="615"/>
      <c r="O145" s="615"/>
      <c r="P145" s="615"/>
      <c r="Q145" s="615"/>
      <c r="R145" s="615"/>
      <c r="S145" s="615"/>
      <c r="T145" s="615"/>
      <c r="U145" s="615"/>
      <c r="V145" s="615"/>
      <c r="W145" s="615"/>
      <c r="X145" s="615"/>
      <c r="Y145" s="615"/>
      <c r="Z145" s="615"/>
      <c r="AA145" s="615"/>
    </row>
    <row r="146">
      <c r="A146" s="675"/>
      <c r="B146" s="615"/>
      <c r="C146" s="676"/>
      <c r="D146" s="677"/>
      <c r="E146" s="677"/>
      <c r="F146" s="615"/>
      <c r="G146" s="615"/>
      <c r="H146" s="615"/>
      <c r="I146" s="679"/>
      <c r="J146" s="615"/>
      <c r="K146" s="615"/>
      <c r="L146" s="615"/>
      <c r="M146" s="615"/>
      <c r="N146" s="615"/>
      <c r="O146" s="615"/>
      <c r="P146" s="615"/>
      <c r="Q146" s="615"/>
      <c r="R146" s="615"/>
      <c r="S146" s="615"/>
      <c r="T146" s="615"/>
      <c r="U146" s="615"/>
      <c r="V146" s="615"/>
      <c r="W146" s="615"/>
      <c r="X146" s="615"/>
      <c r="Y146" s="615"/>
      <c r="Z146" s="615"/>
      <c r="AA146" s="615"/>
    </row>
    <row r="147">
      <c r="A147" s="675"/>
      <c r="B147" s="615"/>
      <c r="C147" s="676"/>
      <c r="D147" s="677"/>
      <c r="E147" s="677"/>
      <c r="F147" s="615"/>
      <c r="G147" s="615"/>
      <c r="H147" s="615"/>
      <c r="I147" s="679"/>
      <c r="J147" s="615"/>
      <c r="K147" s="615"/>
      <c r="L147" s="615"/>
      <c r="M147" s="615"/>
      <c r="N147" s="615"/>
      <c r="O147" s="615"/>
      <c r="P147" s="615"/>
      <c r="Q147" s="615"/>
      <c r="R147" s="615"/>
      <c r="S147" s="615"/>
      <c r="T147" s="615"/>
      <c r="U147" s="615"/>
      <c r="V147" s="615"/>
      <c r="W147" s="615"/>
      <c r="X147" s="615"/>
      <c r="Y147" s="615"/>
      <c r="Z147" s="615"/>
      <c r="AA147" s="615"/>
    </row>
    <row r="148">
      <c r="A148" s="675"/>
      <c r="B148" s="615"/>
      <c r="C148" s="676"/>
      <c r="D148" s="677"/>
      <c r="E148" s="677"/>
      <c r="F148" s="615"/>
      <c r="G148" s="615"/>
      <c r="H148" s="615"/>
      <c r="I148" s="679"/>
      <c r="J148" s="615"/>
      <c r="K148" s="615"/>
      <c r="L148" s="615"/>
      <c r="M148" s="615"/>
      <c r="N148" s="615"/>
      <c r="O148" s="615"/>
      <c r="P148" s="615"/>
      <c r="Q148" s="615"/>
      <c r="R148" s="615"/>
      <c r="S148" s="615"/>
      <c r="T148" s="615"/>
      <c r="U148" s="615"/>
      <c r="V148" s="615"/>
      <c r="W148" s="615"/>
      <c r="X148" s="615"/>
      <c r="Y148" s="615"/>
      <c r="Z148" s="615"/>
      <c r="AA148" s="615"/>
    </row>
    <row r="149">
      <c r="A149" s="675"/>
      <c r="B149" s="615"/>
      <c r="C149" s="676"/>
      <c r="D149" s="677"/>
      <c r="E149" s="677"/>
      <c r="F149" s="615"/>
      <c r="G149" s="615"/>
      <c r="H149" s="615"/>
      <c r="I149" s="679"/>
      <c r="J149" s="615"/>
      <c r="K149" s="615"/>
      <c r="L149" s="615"/>
      <c r="M149" s="615"/>
      <c r="N149" s="615"/>
      <c r="O149" s="615"/>
      <c r="P149" s="615"/>
      <c r="Q149" s="615"/>
      <c r="R149" s="615"/>
      <c r="S149" s="615"/>
      <c r="T149" s="615"/>
      <c r="U149" s="615"/>
      <c r="V149" s="615"/>
      <c r="W149" s="615"/>
      <c r="X149" s="615"/>
      <c r="Y149" s="615"/>
      <c r="Z149" s="615"/>
      <c r="AA149" s="615"/>
    </row>
    <row r="150">
      <c r="A150" s="675"/>
      <c r="B150" s="615"/>
      <c r="C150" s="676"/>
      <c r="D150" s="677"/>
      <c r="E150" s="677"/>
      <c r="F150" s="615"/>
      <c r="G150" s="615"/>
      <c r="H150" s="615"/>
      <c r="I150" s="679"/>
      <c r="J150" s="615"/>
      <c r="K150" s="615"/>
      <c r="L150" s="615"/>
      <c r="M150" s="615"/>
      <c r="N150" s="615"/>
      <c r="O150" s="615"/>
      <c r="P150" s="615"/>
      <c r="Q150" s="615"/>
      <c r="R150" s="615"/>
      <c r="S150" s="615"/>
      <c r="T150" s="615"/>
      <c r="U150" s="615"/>
      <c r="V150" s="615"/>
      <c r="W150" s="615"/>
      <c r="X150" s="615"/>
      <c r="Y150" s="615"/>
      <c r="Z150" s="615"/>
      <c r="AA150" s="615"/>
    </row>
    <row r="151">
      <c r="A151" s="675"/>
      <c r="B151" s="615"/>
      <c r="C151" s="676"/>
      <c r="D151" s="677"/>
      <c r="E151" s="677"/>
      <c r="F151" s="615"/>
      <c r="G151" s="615"/>
      <c r="H151" s="615"/>
      <c r="I151" s="679"/>
      <c r="J151" s="615"/>
      <c r="K151" s="615"/>
      <c r="L151" s="615"/>
      <c r="M151" s="615"/>
      <c r="N151" s="615"/>
      <c r="O151" s="615"/>
      <c r="P151" s="615"/>
      <c r="Q151" s="615"/>
      <c r="R151" s="615"/>
      <c r="S151" s="615"/>
      <c r="T151" s="615"/>
      <c r="U151" s="615"/>
      <c r="V151" s="615"/>
      <c r="W151" s="615"/>
      <c r="X151" s="615"/>
      <c r="Y151" s="615"/>
      <c r="Z151" s="615"/>
      <c r="AA151" s="615"/>
    </row>
    <row r="152">
      <c r="A152" s="675"/>
      <c r="B152" s="615"/>
      <c r="C152" s="676"/>
      <c r="D152" s="677"/>
      <c r="E152" s="677"/>
      <c r="F152" s="615"/>
      <c r="G152" s="615"/>
      <c r="H152" s="615"/>
      <c r="I152" s="679"/>
      <c r="J152" s="615"/>
      <c r="K152" s="615"/>
      <c r="L152" s="615"/>
      <c r="M152" s="615"/>
      <c r="N152" s="615"/>
      <c r="O152" s="615"/>
      <c r="P152" s="615"/>
      <c r="Q152" s="615"/>
      <c r="R152" s="615"/>
      <c r="S152" s="615"/>
      <c r="T152" s="615"/>
      <c r="U152" s="615"/>
      <c r="V152" s="615"/>
      <c r="W152" s="615"/>
      <c r="X152" s="615"/>
      <c r="Y152" s="615"/>
      <c r="Z152" s="615"/>
      <c r="AA152" s="615"/>
    </row>
    <row r="153">
      <c r="A153" s="675"/>
      <c r="B153" s="615"/>
      <c r="C153" s="676"/>
      <c r="D153" s="677"/>
      <c r="E153" s="677"/>
      <c r="F153" s="615"/>
      <c r="G153" s="615"/>
      <c r="H153" s="615"/>
      <c r="I153" s="679"/>
      <c r="J153" s="615"/>
      <c r="K153" s="615"/>
      <c r="L153" s="615"/>
      <c r="M153" s="615"/>
      <c r="N153" s="615"/>
      <c r="O153" s="615"/>
      <c r="P153" s="615"/>
      <c r="Q153" s="615"/>
      <c r="R153" s="615"/>
      <c r="S153" s="615"/>
      <c r="T153" s="615"/>
      <c r="U153" s="615"/>
      <c r="V153" s="615"/>
      <c r="W153" s="615"/>
      <c r="X153" s="615"/>
      <c r="Y153" s="615"/>
      <c r="Z153" s="615"/>
      <c r="AA153" s="615"/>
    </row>
    <row r="154">
      <c r="A154" s="675"/>
      <c r="B154" s="615"/>
      <c r="C154" s="676"/>
      <c r="D154" s="677"/>
      <c r="E154" s="677"/>
      <c r="F154" s="615"/>
      <c r="G154" s="615"/>
      <c r="H154" s="615"/>
      <c r="I154" s="679"/>
      <c r="J154" s="615"/>
      <c r="K154" s="615"/>
      <c r="L154" s="615"/>
      <c r="M154" s="615"/>
      <c r="N154" s="615"/>
      <c r="O154" s="615"/>
      <c r="P154" s="615"/>
      <c r="Q154" s="615"/>
      <c r="R154" s="615"/>
      <c r="S154" s="615"/>
      <c r="T154" s="615"/>
      <c r="U154" s="615"/>
      <c r="V154" s="615"/>
      <c r="W154" s="615"/>
      <c r="X154" s="615"/>
      <c r="Y154" s="615"/>
      <c r="Z154" s="615"/>
      <c r="AA154" s="615"/>
    </row>
    <row r="155">
      <c r="A155" s="675"/>
      <c r="B155" s="615"/>
      <c r="C155" s="676"/>
      <c r="D155" s="677"/>
      <c r="E155" s="677"/>
      <c r="F155" s="615"/>
      <c r="G155" s="615"/>
      <c r="H155" s="615"/>
      <c r="I155" s="679"/>
      <c r="J155" s="615"/>
      <c r="K155" s="615"/>
      <c r="L155" s="615"/>
      <c r="M155" s="615"/>
      <c r="N155" s="615"/>
      <c r="O155" s="615"/>
      <c r="P155" s="615"/>
      <c r="Q155" s="615"/>
      <c r="R155" s="615"/>
      <c r="S155" s="615"/>
      <c r="T155" s="615"/>
      <c r="U155" s="615"/>
      <c r="V155" s="615"/>
      <c r="W155" s="615"/>
      <c r="X155" s="615"/>
      <c r="Y155" s="615"/>
      <c r="Z155" s="615"/>
      <c r="AA155" s="615"/>
    </row>
    <row r="156">
      <c r="A156" s="675"/>
      <c r="B156" s="615"/>
      <c r="C156" s="676"/>
      <c r="D156" s="677"/>
      <c r="E156" s="677"/>
      <c r="F156" s="615"/>
      <c r="G156" s="615"/>
      <c r="H156" s="615"/>
      <c r="I156" s="679"/>
      <c r="J156" s="615"/>
      <c r="K156" s="615"/>
      <c r="L156" s="615"/>
      <c r="M156" s="615"/>
      <c r="N156" s="615"/>
      <c r="O156" s="615"/>
      <c r="P156" s="615"/>
      <c r="Q156" s="615"/>
      <c r="R156" s="615"/>
      <c r="S156" s="615"/>
      <c r="T156" s="615"/>
      <c r="U156" s="615"/>
      <c r="V156" s="615"/>
      <c r="W156" s="615"/>
      <c r="X156" s="615"/>
      <c r="Y156" s="615"/>
      <c r="Z156" s="615"/>
      <c r="AA156" s="615"/>
    </row>
    <row r="157">
      <c r="A157" s="675"/>
      <c r="B157" s="615"/>
      <c r="C157" s="676"/>
      <c r="D157" s="677"/>
      <c r="E157" s="677"/>
      <c r="F157" s="615"/>
      <c r="G157" s="615"/>
      <c r="H157" s="615"/>
      <c r="I157" s="679"/>
      <c r="J157" s="615"/>
      <c r="K157" s="615"/>
      <c r="L157" s="615"/>
      <c r="M157" s="615"/>
      <c r="N157" s="615"/>
      <c r="O157" s="615"/>
      <c r="P157" s="615"/>
      <c r="Q157" s="615"/>
      <c r="R157" s="615"/>
      <c r="S157" s="615"/>
      <c r="T157" s="615"/>
      <c r="U157" s="615"/>
      <c r="V157" s="615"/>
      <c r="W157" s="615"/>
      <c r="X157" s="615"/>
      <c r="Y157" s="615"/>
      <c r="Z157" s="615"/>
      <c r="AA157" s="615"/>
    </row>
    <row r="158">
      <c r="A158" s="675"/>
      <c r="B158" s="615"/>
      <c r="C158" s="676"/>
      <c r="D158" s="677"/>
      <c r="E158" s="677"/>
      <c r="F158" s="615"/>
      <c r="G158" s="615"/>
      <c r="H158" s="615"/>
      <c r="I158" s="679"/>
      <c r="J158" s="615"/>
      <c r="K158" s="615"/>
      <c r="L158" s="615"/>
      <c r="M158" s="615"/>
      <c r="N158" s="615"/>
      <c r="O158" s="615"/>
      <c r="P158" s="615"/>
      <c r="Q158" s="615"/>
      <c r="R158" s="615"/>
      <c r="S158" s="615"/>
      <c r="T158" s="615"/>
      <c r="U158" s="615"/>
      <c r="V158" s="615"/>
      <c r="W158" s="615"/>
      <c r="X158" s="615"/>
      <c r="Y158" s="615"/>
      <c r="Z158" s="615"/>
      <c r="AA158" s="615"/>
    </row>
    <row r="159">
      <c r="A159" s="675"/>
      <c r="B159" s="615"/>
      <c r="C159" s="676"/>
      <c r="D159" s="677"/>
      <c r="E159" s="677"/>
      <c r="F159" s="615"/>
      <c r="G159" s="615"/>
      <c r="H159" s="615"/>
      <c r="I159" s="679"/>
      <c r="J159" s="615"/>
      <c r="K159" s="615"/>
      <c r="L159" s="615"/>
      <c r="M159" s="615"/>
      <c r="N159" s="615"/>
      <c r="O159" s="615"/>
      <c r="P159" s="615"/>
      <c r="Q159" s="615"/>
      <c r="R159" s="615"/>
      <c r="S159" s="615"/>
      <c r="T159" s="615"/>
      <c r="U159" s="615"/>
      <c r="V159" s="615"/>
      <c r="W159" s="615"/>
      <c r="X159" s="615"/>
      <c r="Y159" s="615"/>
      <c r="Z159" s="615"/>
      <c r="AA159" s="615"/>
    </row>
    <row r="160">
      <c r="A160" s="675"/>
      <c r="B160" s="615"/>
      <c r="C160" s="676"/>
      <c r="D160" s="677"/>
      <c r="E160" s="677"/>
      <c r="F160" s="615"/>
      <c r="G160" s="615"/>
      <c r="H160" s="615"/>
      <c r="I160" s="679"/>
      <c r="J160" s="615"/>
      <c r="K160" s="615"/>
      <c r="L160" s="615"/>
      <c r="M160" s="615"/>
      <c r="N160" s="615"/>
      <c r="O160" s="615"/>
      <c r="P160" s="615"/>
      <c r="Q160" s="615"/>
      <c r="R160" s="615"/>
      <c r="S160" s="615"/>
      <c r="T160" s="615"/>
      <c r="U160" s="615"/>
      <c r="V160" s="615"/>
      <c r="W160" s="615"/>
      <c r="X160" s="615"/>
      <c r="Y160" s="615"/>
      <c r="Z160" s="615"/>
      <c r="AA160" s="615"/>
    </row>
    <row r="161">
      <c r="A161" s="675"/>
      <c r="B161" s="615"/>
      <c r="C161" s="676"/>
      <c r="D161" s="677"/>
      <c r="E161" s="677"/>
      <c r="F161" s="615"/>
      <c r="G161" s="615"/>
      <c r="H161" s="615"/>
      <c r="I161" s="679"/>
      <c r="J161" s="615"/>
      <c r="K161" s="615"/>
      <c r="L161" s="615"/>
      <c r="M161" s="615"/>
      <c r="N161" s="615"/>
      <c r="O161" s="615"/>
      <c r="P161" s="615"/>
      <c r="Q161" s="615"/>
      <c r="R161" s="615"/>
      <c r="S161" s="615"/>
      <c r="T161" s="615"/>
      <c r="U161" s="615"/>
      <c r="V161" s="615"/>
      <c r="W161" s="615"/>
      <c r="X161" s="615"/>
      <c r="Y161" s="615"/>
      <c r="Z161" s="615"/>
      <c r="AA161" s="615"/>
    </row>
    <row r="162">
      <c r="A162" s="675"/>
      <c r="B162" s="615"/>
      <c r="C162" s="676"/>
      <c r="D162" s="677"/>
      <c r="E162" s="677"/>
      <c r="F162" s="615"/>
      <c r="G162" s="615"/>
      <c r="H162" s="615"/>
      <c r="I162" s="679"/>
      <c r="J162" s="615"/>
      <c r="K162" s="615"/>
      <c r="L162" s="615"/>
      <c r="M162" s="615"/>
      <c r="N162" s="615"/>
      <c r="O162" s="615"/>
      <c r="P162" s="615"/>
      <c r="Q162" s="615"/>
      <c r="R162" s="615"/>
      <c r="S162" s="615"/>
      <c r="T162" s="615"/>
      <c r="U162" s="615"/>
      <c r="V162" s="615"/>
      <c r="W162" s="615"/>
      <c r="X162" s="615"/>
      <c r="Y162" s="615"/>
      <c r="Z162" s="615"/>
      <c r="AA162" s="615"/>
    </row>
    <row r="163">
      <c r="A163" s="675"/>
      <c r="B163" s="615"/>
      <c r="C163" s="676"/>
      <c r="D163" s="677"/>
      <c r="E163" s="677"/>
      <c r="F163" s="615"/>
      <c r="G163" s="615"/>
      <c r="H163" s="615"/>
      <c r="I163" s="679"/>
      <c r="J163" s="615"/>
      <c r="K163" s="615"/>
      <c r="L163" s="615"/>
      <c r="M163" s="615"/>
      <c r="N163" s="615"/>
      <c r="O163" s="615"/>
      <c r="P163" s="615"/>
      <c r="Q163" s="615"/>
      <c r="R163" s="615"/>
      <c r="S163" s="615"/>
      <c r="T163" s="615"/>
      <c r="U163" s="615"/>
      <c r="V163" s="615"/>
      <c r="W163" s="615"/>
      <c r="X163" s="615"/>
      <c r="Y163" s="615"/>
      <c r="Z163" s="615"/>
      <c r="AA163" s="615"/>
    </row>
    <row r="164">
      <c r="A164" s="675"/>
      <c r="B164" s="615"/>
      <c r="C164" s="676"/>
      <c r="D164" s="677"/>
      <c r="E164" s="677"/>
      <c r="F164" s="615"/>
      <c r="G164" s="615"/>
      <c r="H164" s="615"/>
      <c r="I164" s="679"/>
      <c r="J164" s="615"/>
      <c r="K164" s="615"/>
      <c r="L164" s="615"/>
      <c r="M164" s="615"/>
      <c r="N164" s="615"/>
      <c r="O164" s="615"/>
      <c r="P164" s="615"/>
      <c r="Q164" s="615"/>
      <c r="R164" s="615"/>
      <c r="S164" s="615"/>
      <c r="T164" s="615"/>
      <c r="U164" s="615"/>
      <c r="V164" s="615"/>
      <c r="W164" s="615"/>
      <c r="X164" s="615"/>
      <c r="Y164" s="615"/>
      <c r="Z164" s="615"/>
      <c r="AA164" s="615"/>
    </row>
    <row r="165">
      <c r="A165" s="675"/>
      <c r="B165" s="615"/>
      <c r="C165" s="676"/>
      <c r="D165" s="677"/>
      <c r="E165" s="677"/>
      <c r="F165" s="615"/>
      <c r="G165" s="615"/>
      <c r="H165" s="615"/>
      <c r="I165" s="679"/>
      <c r="J165" s="615"/>
      <c r="K165" s="615"/>
      <c r="L165" s="615"/>
      <c r="M165" s="615"/>
      <c r="N165" s="615"/>
      <c r="O165" s="615"/>
      <c r="P165" s="615"/>
      <c r="Q165" s="615"/>
      <c r="R165" s="615"/>
      <c r="S165" s="615"/>
      <c r="T165" s="615"/>
      <c r="U165" s="615"/>
      <c r="V165" s="615"/>
      <c r="W165" s="615"/>
      <c r="X165" s="615"/>
      <c r="Y165" s="615"/>
      <c r="Z165" s="615"/>
      <c r="AA165" s="615"/>
    </row>
    <row r="166">
      <c r="A166" s="675"/>
      <c r="B166" s="615"/>
      <c r="C166" s="676"/>
      <c r="D166" s="677"/>
      <c r="E166" s="677"/>
      <c r="F166" s="615"/>
      <c r="G166" s="615"/>
      <c r="H166" s="615"/>
      <c r="I166" s="679"/>
      <c r="J166" s="615"/>
      <c r="K166" s="615"/>
      <c r="L166" s="615"/>
      <c r="M166" s="615"/>
      <c r="N166" s="615"/>
      <c r="O166" s="615"/>
      <c r="P166" s="615"/>
      <c r="Q166" s="615"/>
      <c r="R166" s="615"/>
      <c r="S166" s="615"/>
      <c r="T166" s="615"/>
      <c r="U166" s="615"/>
      <c r="V166" s="615"/>
      <c r="W166" s="615"/>
      <c r="X166" s="615"/>
      <c r="Y166" s="615"/>
      <c r="Z166" s="615"/>
      <c r="AA166" s="615"/>
    </row>
    <row r="167">
      <c r="A167" s="675"/>
      <c r="B167" s="615"/>
      <c r="C167" s="676"/>
      <c r="D167" s="677"/>
      <c r="E167" s="677"/>
      <c r="F167" s="615"/>
      <c r="G167" s="615"/>
      <c r="H167" s="615"/>
      <c r="I167" s="679"/>
      <c r="J167" s="615"/>
      <c r="K167" s="615"/>
      <c r="L167" s="615"/>
      <c r="M167" s="615"/>
      <c r="N167" s="615"/>
      <c r="O167" s="615"/>
      <c r="P167" s="615"/>
      <c r="Q167" s="615"/>
      <c r="R167" s="615"/>
      <c r="S167" s="615"/>
      <c r="T167" s="615"/>
      <c r="U167" s="615"/>
      <c r="V167" s="615"/>
      <c r="W167" s="615"/>
      <c r="X167" s="615"/>
      <c r="Y167" s="615"/>
      <c r="Z167" s="615"/>
      <c r="AA167" s="615"/>
    </row>
    <row r="168">
      <c r="A168" s="675"/>
      <c r="B168" s="615"/>
      <c r="C168" s="676"/>
      <c r="D168" s="677"/>
      <c r="E168" s="677"/>
      <c r="F168" s="615"/>
      <c r="G168" s="615"/>
      <c r="H168" s="615"/>
      <c r="I168" s="679"/>
      <c r="J168" s="615"/>
      <c r="K168" s="615"/>
      <c r="L168" s="615"/>
      <c r="M168" s="615"/>
      <c r="N168" s="615"/>
      <c r="O168" s="615"/>
      <c r="P168" s="615"/>
      <c r="Q168" s="615"/>
      <c r="R168" s="615"/>
      <c r="S168" s="615"/>
      <c r="T168" s="615"/>
      <c r="U168" s="615"/>
      <c r="V168" s="615"/>
      <c r="W168" s="615"/>
      <c r="X168" s="615"/>
      <c r="Y168" s="615"/>
      <c r="Z168" s="615"/>
      <c r="AA168" s="615"/>
    </row>
    <row r="169">
      <c r="A169" s="675"/>
      <c r="B169" s="615"/>
      <c r="C169" s="676"/>
      <c r="D169" s="677"/>
      <c r="E169" s="677"/>
      <c r="F169" s="615"/>
      <c r="G169" s="615"/>
      <c r="H169" s="615"/>
      <c r="I169" s="679"/>
      <c r="J169" s="615"/>
      <c r="K169" s="615"/>
      <c r="L169" s="615"/>
      <c r="M169" s="615"/>
      <c r="N169" s="615"/>
      <c r="O169" s="615"/>
      <c r="P169" s="615"/>
      <c r="Q169" s="615"/>
      <c r="R169" s="615"/>
      <c r="S169" s="615"/>
      <c r="T169" s="615"/>
      <c r="U169" s="615"/>
      <c r="V169" s="615"/>
      <c r="W169" s="615"/>
      <c r="X169" s="615"/>
      <c r="Y169" s="615"/>
      <c r="Z169" s="615"/>
      <c r="AA169" s="615"/>
    </row>
    <row r="170">
      <c r="A170" s="675"/>
      <c r="B170" s="615"/>
      <c r="C170" s="676"/>
      <c r="D170" s="677"/>
      <c r="E170" s="677"/>
      <c r="F170" s="615"/>
      <c r="G170" s="615"/>
      <c r="H170" s="615"/>
      <c r="I170" s="679"/>
      <c r="J170" s="615"/>
      <c r="K170" s="615"/>
      <c r="L170" s="615"/>
      <c r="M170" s="615"/>
      <c r="N170" s="615"/>
      <c r="O170" s="615"/>
      <c r="P170" s="615"/>
      <c r="Q170" s="615"/>
      <c r="R170" s="615"/>
      <c r="S170" s="615"/>
      <c r="T170" s="615"/>
      <c r="U170" s="615"/>
      <c r="V170" s="615"/>
      <c r="W170" s="615"/>
      <c r="X170" s="615"/>
      <c r="Y170" s="615"/>
      <c r="Z170" s="615"/>
      <c r="AA170" s="615"/>
    </row>
    <row r="171">
      <c r="A171" s="675"/>
      <c r="B171" s="615"/>
      <c r="C171" s="676"/>
      <c r="D171" s="677"/>
      <c r="E171" s="677"/>
      <c r="F171" s="615"/>
      <c r="G171" s="615"/>
      <c r="H171" s="615"/>
      <c r="I171" s="679"/>
      <c r="J171" s="615"/>
      <c r="K171" s="615"/>
      <c r="L171" s="615"/>
      <c r="M171" s="615"/>
      <c r="N171" s="615"/>
      <c r="O171" s="615"/>
      <c r="P171" s="615"/>
      <c r="Q171" s="615"/>
      <c r="R171" s="615"/>
      <c r="S171" s="615"/>
      <c r="T171" s="615"/>
      <c r="U171" s="615"/>
      <c r="V171" s="615"/>
      <c r="W171" s="615"/>
      <c r="X171" s="615"/>
      <c r="Y171" s="615"/>
      <c r="Z171" s="615"/>
      <c r="AA171" s="615"/>
    </row>
    <row r="172">
      <c r="A172" s="675"/>
      <c r="B172" s="615"/>
      <c r="C172" s="676"/>
      <c r="D172" s="677"/>
      <c r="E172" s="677"/>
      <c r="F172" s="615"/>
      <c r="G172" s="615"/>
      <c r="H172" s="615"/>
      <c r="I172" s="679"/>
      <c r="J172" s="615"/>
      <c r="K172" s="615"/>
      <c r="L172" s="615"/>
      <c r="M172" s="615"/>
      <c r="N172" s="615"/>
      <c r="O172" s="615"/>
      <c r="P172" s="615"/>
      <c r="Q172" s="615"/>
      <c r="R172" s="615"/>
      <c r="S172" s="615"/>
      <c r="T172" s="615"/>
      <c r="U172" s="615"/>
      <c r="V172" s="615"/>
      <c r="W172" s="615"/>
      <c r="X172" s="615"/>
      <c r="Y172" s="615"/>
      <c r="Z172" s="615"/>
      <c r="AA172" s="615"/>
    </row>
    <row r="173">
      <c r="A173" s="675"/>
      <c r="B173" s="615"/>
      <c r="C173" s="676"/>
      <c r="D173" s="677"/>
      <c r="E173" s="677"/>
      <c r="F173" s="615"/>
      <c r="G173" s="615"/>
      <c r="H173" s="615"/>
      <c r="I173" s="679"/>
      <c r="J173" s="615"/>
      <c r="K173" s="615"/>
      <c r="L173" s="615"/>
      <c r="M173" s="615"/>
      <c r="N173" s="615"/>
      <c r="O173" s="615"/>
      <c r="P173" s="615"/>
      <c r="Q173" s="615"/>
      <c r="R173" s="615"/>
      <c r="S173" s="615"/>
      <c r="T173" s="615"/>
      <c r="U173" s="615"/>
      <c r="V173" s="615"/>
      <c r="W173" s="615"/>
      <c r="X173" s="615"/>
      <c r="Y173" s="615"/>
      <c r="Z173" s="615"/>
      <c r="AA173" s="615"/>
    </row>
    <row r="174">
      <c r="A174" s="675"/>
      <c r="B174" s="615"/>
      <c r="C174" s="676"/>
      <c r="D174" s="677"/>
      <c r="E174" s="677"/>
      <c r="F174" s="615"/>
      <c r="G174" s="615"/>
      <c r="H174" s="615"/>
      <c r="I174" s="679"/>
      <c r="J174" s="615"/>
      <c r="K174" s="615"/>
      <c r="L174" s="615"/>
      <c r="M174" s="615"/>
      <c r="N174" s="615"/>
      <c r="O174" s="615"/>
      <c r="P174" s="615"/>
      <c r="Q174" s="615"/>
      <c r="R174" s="615"/>
      <c r="S174" s="615"/>
      <c r="T174" s="615"/>
      <c r="U174" s="615"/>
      <c r="V174" s="615"/>
      <c r="W174" s="615"/>
      <c r="X174" s="615"/>
      <c r="Y174" s="615"/>
      <c r="Z174" s="615"/>
      <c r="AA174" s="615"/>
    </row>
    <row r="175">
      <c r="A175" s="675"/>
      <c r="B175" s="615"/>
      <c r="C175" s="676"/>
      <c r="D175" s="677"/>
      <c r="E175" s="677"/>
      <c r="F175" s="615"/>
      <c r="G175" s="615"/>
      <c r="H175" s="615"/>
      <c r="I175" s="679"/>
      <c r="J175" s="615"/>
      <c r="K175" s="615"/>
      <c r="L175" s="615"/>
      <c r="M175" s="615"/>
      <c r="N175" s="615"/>
      <c r="O175" s="615"/>
      <c r="P175" s="615"/>
      <c r="Q175" s="615"/>
      <c r="R175" s="615"/>
      <c r="S175" s="615"/>
      <c r="T175" s="615"/>
      <c r="U175" s="615"/>
      <c r="V175" s="615"/>
      <c r="W175" s="615"/>
      <c r="X175" s="615"/>
      <c r="Y175" s="615"/>
      <c r="Z175" s="615"/>
      <c r="AA175" s="615"/>
    </row>
    <row r="176">
      <c r="A176" s="675"/>
      <c r="B176" s="615"/>
      <c r="C176" s="676"/>
      <c r="D176" s="677"/>
      <c r="E176" s="677"/>
      <c r="F176" s="615"/>
      <c r="G176" s="615"/>
      <c r="H176" s="615"/>
      <c r="I176" s="679"/>
      <c r="J176" s="615"/>
      <c r="K176" s="615"/>
      <c r="L176" s="615"/>
      <c r="M176" s="615"/>
      <c r="N176" s="615"/>
      <c r="O176" s="615"/>
      <c r="P176" s="615"/>
      <c r="Q176" s="615"/>
      <c r="R176" s="615"/>
      <c r="S176" s="615"/>
      <c r="T176" s="615"/>
      <c r="U176" s="615"/>
      <c r="V176" s="615"/>
      <c r="W176" s="615"/>
      <c r="X176" s="615"/>
      <c r="Y176" s="615"/>
      <c r="Z176" s="615"/>
      <c r="AA176" s="615"/>
    </row>
    <row r="177">
      <c r="A177" s="675"/>
      <c r="B177" s="615"/>
      <c r="C177" s="676"/>
      <c r="D177" s="677"/>
      <c r="E177" s="677"/>
      <c r="F177" s="615"/>
      <c r="G177" s="615"/>
      <c r="H177" s="615"/>
      <c r="I177" s="679"/>
      <c r="J177" s="615"/>
      <c r="K177" s="615"/>
      <c r="L177" s="615"/>
      <c r="M177" s="615"/>
      <c r="N177" s="615"/>
      <c r="O177" s="615"/>
      <c r="P177" s="615"/>
      <c r="Q177" s="615"/>
      <c r="R177" s="615"/>
      <c r="S177" s="615"/>
      <c r="T177" s="615"/>
      <c r="U177" s="615"/>
      <c r="V177" s="615"/>
      <c r="W177" s="615"/>
      <c r="X177" s="615"/>
      <c r="Y177" s="615"/>
      <c r="Z177" s="615"/>
      <c r="AA177" s="615"/>
    </row>
    <row r="178">
      <c r="A178" s="675"/>
      <c r="B178" s="615"/>
      <c r="C178" s="676"/>
      <c r="D178" s="677"/>
      <c r="E178" s="677"/>
      <c r="F178" s="615"/>
      <c r="G178" s="615"/>
      <c r="H178" s="615"/>
      <c r="I178" s="679"/>
      <c r="J178" s="615"/>
      <c r="K178" s="615"/>
      <c r="L178" s="615"/>
      <c r="M178" s="615"/>
      <c r="N178" s="615"/>
      <c r="O178" s="615"/>
      <c r="P178" s="615"/>
      <c r="Q178" s="615"/>
      <c r="R178" s="615"/>
      <c r="S178" s="615"/>
      <c r="T178" s="615"/>
      <c r="U178" s="615"/>
      <c r="V178" s="615"/>
      <c r="W178" s="615"/>
      <c r="X178" s="615"/>
      <c r="Y178" s="615"/>
      <c r="Z178" s="615"/>
      <c r="AA178" s="615"/>
    </row>
    <row r="179">
      <c r="A179" s="675"/>
      <c r="B179" s="615"/>
      <c r="C179" s="676"/>
      <c r="D179" s="677"/>
      <c r="E179" s="677"/>
      <c r="F179" s="615"/>
      <c r="G179" s="615"/>
      <c r="H179" s="615"/>
      <c r="I179" s="679"/>
      <c r="J179" s="615"/>
      <c r="K179" s="615"/>
      <c r="L179" s="615"/>
      <c r="M179" s="615"/>
      <c r="N179" s="615"/>
      <c r="O179" s="615"/>
      <c r="P179" s="615"/>
      <c r="Q179" s="615"/>
      <c r="R179" s="615"/>
      <c r="S179" s="615"/>
      <c r="T179" s="615"/>
      <c r="U179" s="615"/>
      <c r="V179" s="615"/>
      <c r="W179" s="615"/>
      <c r="X179" s="615"/>
      <c r="Y179" s="615"/>
      <c r="Z179" s="615"/>
      <c r="AA179" s="615"/>
    </row>
    <row r="180">
      <c r="A180" s="675"/>
      <c r="B180" s="615"/>
      <c r="C180" s="676"/>
      <c r="D180" s="677"/>
      <c r="E180" s="677"/>
      <c r="F180" s="615"/>
      <c r="G180" s="615"/>
      <c r="H180" s="615"/>
      <c r="I180" s="679"/>
      <c r="J180" s="615"/>
      <c r="K180" s="615"/>
      <c r="L180" s="615"/>
      <c r="M180" s="615"/>
      <c r="N180" s="615"/>
      <c r="O180" s="615"/>
      <c r="P180" s="615"/>
      <c r="Q180" s="615"/>
      <c r="R180" s="615"/>
      <c r="S180" s="615"/>
      <c r="T180" s="615"/>
      <c r="U180" s="615"/>
      <c r="V180" s="615"/>
      <c r="W180" s="615"/>
      <c r="X180" s="615"/>
      <c r="Y180" s="615"/>
      <c r="Z180" s="615"/>
      <c r="AA180" s="615"/>
    </row>
    <row r="181">
      <c r="A181" s="675"/>
      <c r="B181" s="615"/>
      <c r="C181" s="676"/>
      <c r="D181" s="677"/>
      <c r="E181" s="677"/>
      <c r="F181" s="615"/>
      <c r="G181" s="615"/>
      <c r="H181" s="615"/>
      <c r="I181" s="679"/>
      <c r="J181" s="615"/>
      <c r="K181" s="615"/>
      <c r="L181" s="615"/>
      <c r="M181" s="615"/>
      <c r="N181" s="615"/>
      <c r="O181" s="615"/>
      <c r="P181" s="615"/>
      <c r="Q181" s="615"/>
      <c r="R181" s="615"/>
      <c r="S181" s="615"/>
      <c r="T181" s="615"/>
      <c r="U181" s="615"/>
      <c r="V181" s="615"/>
      <c r="W181" s="615"/>
      <c r="X181" s="615"/>
      <c r="Y181" s="615"/>
      <c r="Z181" s="615"/>
      <c r="AA181" s="615"/>
    </row>
    <row r="182">
      <c r="A182" s="675"/>
      <c r="B182" s="615"/>
      <c r="C182" s="676"/>
      <c r="D182" s="677"/>
      <c r="E182" s="677"/>
      <c r="F182" s="615"/>
      <c r="G182" s="615"/>
      <c r="H182" s="615"/>
      <c r="I182" s="679"/>
      <c r="J182" s="615"/>
      <c r="K182" s="615"/>
      <c r="L182" s="615"/>
      <c r="M182" s="615"/>
      <c r="N182" s="615"/>
      <c r="O182" s="615"/>
      <c r="P182" s="615"/>
      <c r="Q182" s="615"/>
      <c r="R182" s="615"/>
      <c r="S182" s="615"/>
      <c r="T182" s="615"/>
      <c r="U182" s="615"/>
      <c r="V182" s="615"/>
      <c r="W182" s="615"/>
      <c r="X182" s="615"/>
      <c r="Y182" s="615"/>
      <c r="Z182" s="615"/>
      <c r="AA182" s="615"/>
    </row>
    <row r="183">
      <c r="A183" s="675"/>
      <c r="B183" s="615"/>
      <c r="C183" s="676"/>
      <c r="D183" s="677"/>
      <c r="E183" s="677"/>
      <c r="F183" s="615"/>
      <c r="G183" s="615"/>
      <c r="H183" s="615"/>
      <c r="I183" s="679"/>
      <c r="J183" s="615"/>
      <c r="K183" s="615"/>
      <c r="L183" s="615"/>
      <c r="M183" s="615"/>
      <c r="N183" s="615"/>
      <c r="O183" s="615"/>
      <c r="P183" s="615"/>
      <c r="Q183" s="615"/>
      <c r="R183" s="615"/>
      <c r="S183" s="615"/>
      <c r="T183" s="615"/>
      <c r="U183" s="615"/>
      <c r="V183" s="615"/>
      <c r="W183" s="615"/>
      <c r="X183" s="615"/>
      <c r="Y183" s="615"/>
      <c r="Z183" s="615"/>
      <c r="AA183" s="615"/>
    </row>
    <row r="184">
      <c r="A184" s="675"/>
      <c r="B184" s="615"/>
      <c r="C184" s="676"/>
      <c r="D184" s="677"/>
      <c r="E184" s="677"/>
      <c r="F184" s="615"/>
      <c r="G184" s="615"/>
      <c r="H184" s="615"/>
      <c r="I184" s="679"/>
      <c r="J184" s="615"/>
      <c r="K184" s="615"/>
      <c r="L184" s="615"/>
      <c r="M184" s="615"/>
      <c r="N184" s="615"/>
      <c r="O184" s="615"/>
      <c r="P184" s="615"/>
      <c r="Q184" s="615"/>
      <c r="R184" s="615"/>
      <c r="S184" s="615"/>
      <c r="T184" s="615"/>
      <c r="U184" s="615"/>
      <c r="V184" s="615"/>
      <c r="W184" s="615"/>
      <c r="X184" s="615"/>
      <c r="Y184" s="615"/>
      <c r="Z184" s="615"/>
      <c r="AA184" s="615"/>
    </row>
    <row r="185">
      <c r="A185" s="675"/>
      <c r="B185" s="615"/>
      <c r="C185" s="676"/>
      <c r="D185" s="677"/>
      <c r="E185" s="677"/>
      <c r="F185" s="615"/>
      <c r="G185" s="615"/>
      <c r="H185" s="615"/>
      <c r="I185" s="679"/>
      <c r="J185" s="615"/>
      <c r="K185" s="615"/>
      <c r="L185" s="615"/>
      <c r="M185" s="615"/>
      <c r="N185" s="615"/>
      <c r="O185" s="615"/>
      <c r="P185" s="615"/>
      <c r="Q185" s="615"/>
      <c r="R185" s="615"/>
      <c r="S185" s="615"/>
      <c r="T185" s="615"/>
      <c r="U185" s="615"/>
      <c r="V185" s="615"/>
      <c r="W185" s="615"/>
      <c r="X185" s="615"/>
      <c r="Y185" s="615"/>
      <c r="Z185" s="615"/>
      <c r="AA185" s="615"/>
    </row>
    <row r="186">
      <c r="A186" s="675"/>
      <c r="B186" s="615"/>
      <c r="C186" s="676"/>
      <c r="D186" s="677"/>
      <c r="E186" s="677"/>
      <c r="F186" s="615"/>
      <c r="G186" s="615"/>
      <c r="H186" s="615"/>
      <c r="I186" s="679"/>
      <c r="J186" s="615"/>
      <c r="K186" s="615"/>
      <c r="L186" s="615"/>
      <c r="M186" s="615"/>
      <c r="N186" s="615"/>
      <c r="O186" s="615"/>
      <c r="P186" s="615"/>
      <c r="Q186" s="615"/>
      <c r="R186" s="615"/>
      <c r="S186" s="615"/>
      <c r="T186" s="615"/>
      <c r="U186" s="615"/>
      <c r="V186" s="615"/>
      <c r="W186" s="615"/>
      <c r="X186" s="615"/>
      <c r="Y186" s="615"/>
      <c r="Z186" s="615"/>
      <c r="AA186" s="615"/>
    </row>
    <row r="187">
      <c r="A187" s="675"/>
      <c r="B187" s="615"/>
      <c r="C187" s="676"/>
      <c r="D187" s="677"/>
      <c r="E187" s="677"/>
      <c r="F187" s="615"/>
      <c r="G187" s="615"/>
      <c r="H187" s="615"/>
      <c r="I187" s="679"/>
      <c r="J187" s="615"/>
      <c r="K187" s="615"/>
      <c r="L187" s="615"/>
      <c r="M187" s="615"/>
      <c r="N187" s="615"/>
      <c r="O187" s="615"/>
      <c r="P187" s="615"/>
      <c r="Q187" s="615"/>
      <c r="R187" s="615"/>
      <c r="S187" s="615"/>
      <c r="T187" s="615"/>
      <c r="U187" s="615"/>
      <c r="V187" s="615"/>
      <c r="W187" s="615"/>
      <c r="X187" s="615"/>
      <c r="Y187" s="615"/>
      <c r="Z187" s="615"/>
      <c r="AA187" s="615"/>
    </row>
    <row r="188">
      <c r="A188" s="675"/>
      <c r="B188" s="615"/>
      <c r="C188" s="676"/>
      <c r="D188" s="677"/>
      <c r="E188" s="677"/>
      <c r="F188" s="615"/>
      <c r="G188" s="615"/>
      <c r="H188" s="615"/>
      <c r="I188" s="679"/>
      <c r="J188" s="615"/>
      <c r="K188" s="615"/>
      <c r="L188" s="615"/>
      <c r="M188" s="615"/>
      <c r="N188" s="615"/>
      <c r="O188" s="615"/>
      <c r="P188" s="615"/>
      <c r="Q188" s="615"/>
      <c r="R188" s="615"/>
      <c r="S188" s="615"/>
      <c r="T188" s="615"/>
      <c r="U188" s="615"/>
      <c r="V188" s="615"/>
      <c r="W188" s="615"/>
      <c r="X188" s="615"/>
      <c r="Y188" s="615"/>
      <c r="Z188" s="615"/>
      <c r="AA188" s="615"/>
    </row>
    <row r="189">
      <c r="A189" s="675"/>
      <c r="B189" s="615"/>
      <c r="C189" s="676"/>
      <c r="D189" s="677"/>
      <c r="E189" s="677"/>
      <c r="F189" s="615"/>
      <c r="G189" s="615"/>
      <c r="H189" s="615"/>
      <c r="I189" s="679"/>
      <c r="J189" s="615"/>
      <c r="K189" s="615"/>
      <c r="L189" s="615"/>
      <c r="M189" s="615"/>
      <c r="N189" s="615"/>
      <c r="O189" s="615"/>
      <c r="P189" s="615"/>
      <c r="Q189" s="615"/>
      <c r="R189" s="615"/>
      <c r="S189" s="615"/>
      <c r="T189" s="615"/>
      <c r="U189" s="615"/>
      <c r="V189" s="615"/>
      <c r="W189" s="615"/>
      <c r="X189" s="615"/>
      <c r="Y189" s="615"/>
      <c r="Z189" s="615"/>
      <c r="AA189" s="615"/>
    </row>
    <row r="190">
      <c r="A190" s="675"/>
      <c r="B190" s="615"/>
      <c r="C190" s="676"/>
      <c r="D190" s="677"/>
      <c r="E190" s="677"/>
      <c r="F190" s="615"/>
      <c r="G190" s="615"/>
      <c r="H190" s="615"/>
      <c r="I190" s="679"/>
      <c r="J190" s="615"/>
      <c r="K190" s="615"/>
      <c r="L190" s="615"/>
      <c r="M190" s="615"/>
      <c r="N190" s="615"/>
      <c r="O190" s="615"/>
      <c r="P190" s="615"/>
      <c r="Q190" s="615"/>
      <c r="R190" s="615"/>
      <c r="S190" s="615"/>
      <c r="T190" s="615"/>
      <c r="U190" s="615"/>
      <c r="V190" s="615"/>
      <c r="W190" s="615"/>
      <c r="X190" s="615"/>
      <c r="Y190" s="615"/>
      <c r="Z190" s="615"/>
      <c r="AA190" s="615"/>
    </row>
    <row r="191">
      <c r="A191" s="675"/>
      <c r="B191" s="615"/>
      <c r="C191" s="676"/>
      <c r="D191" s="677"/>
      <c r="E191" s="677"/>
      <c r="F191" s="615"/>
      <c r="G191" s="615"/>
      <c r="H191" s="615"/>
      <c r="I191" s="679"/>
      <c r="J191" s="615"/>
      <c r="K191" s="615"/>
      <c r="L191" s="615"/>
      <c r="M191" s="615"/>
      <c r="N191" s="615"/>
      <c r="O191" s="615"/>
      <c r="P191" s="615"/>
      <c r="Q191" s="615"/>
      <c r="R191" s="615"/>
      <c r="S191" s="615"/>
      <c r="T191" s="615"/>
      <c r="U191" s="615"/>
      <c r="V191" s="615"/>
      <c r="W191" s="615"/>
      <c r="X191" s="615"/>
      <c r="Y191" s="615"/>
      <c r="Z191" s="615"/>
      <c r="AA191" s="615"/>
    </row>
    <row r="192">
      <c r="A192" s="675"/>
      <c r="B192" s="615"/>
      <c r="C192" s="676"/>
      <c r="D192" s="677"/>
      <c r="E192" s="677"/>
      <c r="F192" s="615"/>
      <c r="G192" s="615"/>
      <c r="H192" s="615"/>
      <c r="I192" s="679"/>
      <c r="J192" s="615"/>
      <c r="K192" s="615"/>
      <c r="L192" s="615"/>
      <c r="M192" s="615"/>
      <c r="N192" s="615"/>
      <c r="O192" s="615"/>
      <c r="P192" s="615"/>
      <c r="Q192" s="615"/>
      <c r="R192" s="615"/>
      <c r="S192" s="615"/>
      <c r="T192" s="615"/>
      <c r="U192" s="615"/>
      <c r="V192" s="615"/>
      <c r="W192" s="615"/>
      <c r="X192" s="615"/>
      <c r="Y192" s="615"/>
      <c r="Z192" s="615"/>
      <c r="AA192" s="615"/>
    </row>
    <row r="193">
      <c r="A193" s="675"/>
      <c r="B193" s="615"/>
      <c r="C193" s="676"/>
      <c r="D193" s="677"/>
      <c r="E193" s="677"/>
      <c r="F193" s="615"/>
      <c r="G193" s="615"/>
      <c r="H193" s="615"/>
      <c r="I193" s="679"/>
      <c r="J193" s="615"/>
      <c r="K193" s="615"/>
      <c r="L193" s="615"/>
      <c r="M193" s="615"/>
      <c r="N193" s="615"/>
      <c r="O193" s="615"/>
      <c r="P193" s="615"/>
      <c r="Q193" s="615"/>
      <c r="R193" s="615"/>
      <c r="S193" s="615"/>
      <c r="T193" s="615"/>
      <c r="U193" s="615"/>
      <c r="V193" s="615"/>
      <c r="W193" s="615"/>
      <c r="X193" s="615"/>
      <c r="Y193" s="615"/>
      <c r="Z193" s="615"/>
      <c r="AA193" s="615"/>
    </row>
    <row r="194">
      <c r="A194" s="675"/>
      <c r="B194" s="615"/>
      <c r="C194" s="676"/>
      <c r="D194" s="677"/>
      <c r="E194" s="677"/>
      <c r="F194" s="615"/>
      <c r="G194" s="615"/>
      <c r="H194" s="615"/>
      <c r="I194" s="679"/>
      <c r="J194" s="615"/>
      <c r="K194" s="615"/>
      <c r="L194" s="615"/>
      <c r="M194" s="615"/>
      <c r="N194" s="615"/>
      <c r="O194" s="615"/>
      <c r="P194" s="615"/>
      <c r="Q194" s="615"/>
      <c r="R194" s="615"/>
      <c r="S194" s="615"/>
      <c r="T194" s="615"/>
      <c r="U194" s="615"/>
      <c r="V194" s="615"/>
      <c r="W194" s="615"/>
      <c r="X194" s="615"/>
      <c r="Y194" s="615"/>
      <c r="Z194" s="615"/>
      <c r="AA194" s="615"/>
    </row>
    <row r="195">
      <c r="A195" s="675"/>
      <c r="B195" s="615"/>
      <c r="C195" s="676"/>
      <c r="D195" s="677"/>
      <c r="E195" s="677"/>
      <c r="F195" s="615"/>
      <c r="G195" s="615"/>
      <c r="H195" s="615"/>
      <c r="I195" s="679"/>
      <c r="J195" s="615"/>
      <c r="K195" s="615"/>
      <c r="L195" s="615"/>
      <c r="M195" s="615"/>
      <c r="N195" s="615"/>
      <c r="O195" s="615"/>
      <c r="P195" s="615"/>
      <c r="Q195" s="615"/>
      <c r="R195" s="615"/>
      <c r="S195" s="615"/>
      <c r="T195" s="615"/>
      <c r="U195" s="615"/>
      <c r="V195" s="615"/>
      <c r="W195" s="615"/>
      <c r="X195" s="615"/>
      <c r="Y195" s="615"/>
      <c r="Z195" s="615"/>
      <c r="AA195" s="615"/>
    </row>
    <row r="196">
      <c r="A196" s="675"/>
      <c r="B196" s="615"/>
      <c r="C196" s="676"/>
      <c r="D196" s="677"/>
      <c r="E196" s="677"/>
      <c r="F196" s="615"/>
      <c r="G196" s="615"/>
      <c r="H196" s="615"/>
      <c r="I196" s="679"/>
      <c r="J196" s="615"/>
      <c r="K196" s="615"/>
      <c r="L196" s="615"/>
      <c r="M196" s="615"/>
      <c r="N196" s="615"/>
      <c r="O196" s="615"/>
      <c r="P196" s="615"/>
      <c r="Q196" s="615"/>
      <c r="R196" s="615"/>
      <c r="S196" s="615"/>
      <c r="T196" s="615"/>
      <c r="U196" s="615"/>
      <c r="V196" s="615"/>
      <c r="W196" s="615"/>
      <c r="X196" s="615"/>
      <c r="Y196" s="615"/>
      <c r="Z196" s="615"/>
      <c r="AA196" s="615"/>
    </row>
    <row r="197">
      <c r="A197" s="675"/>
      <c r="B197" s="615"/>
      <c r="C197" s="676"/>
      <c r="D197" s="677"/>
      <c r="E197" s="677"/>
      <c r="F197" s="615"/>
      <c r="G197" s="615"/>
      <c r="H197" s="615"/>
      <c r="I197" s="679"/>
      <c r="J197" s="615"/>
      <c r="K197" s="615"/>
      <c r="L197" s="615"/>
      <c r="M197" s="615"/>
      <c r="N197" s="615"/>
      <c r="O197" s="615"/>
      <c r="P197" s="615"/>
      <c r="Q197" s="615"/>
      <c r="R197" s="615"/>
      <c r="S197" s="615"/>
      <c r="T197" s="615"/>
      <c r="U197" s="615"/>
      <c r="V197" s="615"/>
      <c r="W197" s="615"/>
      <c r="X197" s="615"/>
      <c r="Y197" s="615"/>
      <c r="Z197" s="615"/>
      <c r="AA197" s="615"/>
    </row>
    <row r="198">
      <c r="A198" s="675"/>
      <c r="B198" s="615"/>
      <c r="C198" s="676"/>
      <c r="D198" s="677"/>
      <c r="E198" s="677"/>
      <c r="F198" s="615"/>
      <c r="G198" s="615"/>
      <c r="H198" s="615"/>
      <c r="I198" s="679"/>
      <c r="J198" s="615"/>
      <c r="K198" s="615"/>
      <c r="L198" s="615"/>
      <c r="M198" s="615"/>
      <c r="N198" s="615"/>
      <c r="O198" s="615"/>
      <c r="P198" s="615"/>
      <c r="Q198" s="615"/>
      <c r="R198" s="615"/>
      <c r="S198" s="615"/>
      <c r="T198" s="615"/>
      <c r="U198" s="615"/>
      <c r="V198" s="615"/>
      <c r="W198" s="615"/>
      <c r="X198" s="615"/>
      <c r="Y198" s="615"/>
      <c r="Z198" s="615"/>
      <c r="AA198" s="615"/>
    </row>
    <row r="199">
      <c r="A199" s="675"/>
      <c r="B199" s="615"/>
      <c r="C199" s="676"/>
      <c r="D199" s="677"/>
      <c r="E199" s="677"/>
      <c r="F199" s="615"/>
      <c r="G199" s="615"/>
      <c r="H199" s="615"/>
      <c r="I199" s="679"/>
      <c r="J199" s="615"/>
      <c r="K199" s="615"/>
      <c r="L199" s="615"/>
      <c r="M199" s="615"/>
      <c r="N199" s="615"/>
      <c r="O199" s="615"/>
      <c r="P199" s="615"/>
      <c r="Q199" s="615"/>
      <c r="R199" s="615"/>
      <c r="S199" s="615"/>
      <c r="T199" s="615"/>
      <c r="U199" s="615"/>
      <c r="V199" s="615"/>
      <c r="W199" s="615"/>
      <c r="X199" s="615"/>
      <c r="Y199" s="615"/>
      <c r="Z199" s="615"/>
      <c r="AA199" s="615"/>
    </row>
    <row r="200">
      <c r="A200" s="675"/>
      <c r="B200" s="615"/>
      <c r="C200" s="676"/>
      <c r="D200" s="677"/>
      <c r="E200" s="677"/>
      <c r="F200" s="615"/>
      <c r="G200" s="615"/>
      <c r="H200" s="615"/>
      <c r="I200" s="679"/>
      <c r="J200" s="615"/>
      <c r="K200" s="615"/>
      <c r="L200" s="615"/>
      <c r="M200" s="615"/>
      <c r="N200" s="615"/>
      <c r="O200" s="615"/>
      <c r="P200" s="615"/>
      <c r="Q200" s="615"/>
      <c r="R200" s="615"/>
      <c r="S200" s="615"/>
      <c r="T200" s="615"/>
      <c r="U200" s="615"/>
      <c r="V200" s="615"/>
      <c r="W200" s="615"/>
      <c r="X200" s="615"/>
      <c r="Y200" s="615"/>
      <c r="Z200" s="615"/>
      <c r="AA200" s="615"/>
    </row>
    <row r="201">
      <c r="A201" s="675"/>
      <c r="B201" s="615"/>
      <c r="C201" s="676"/>
      <c r="D201" s="677"/>
      <c r="E201" s="677"/>
      <c r="F201" s="615"/>
      <c r="G201" s="615"/>
      <c r="H201" s="615"/>
      <c r="I201" s="679"/>
      <c r="J201" s="615"/>
      <c r="K201" s="615"/>
      <c r="L201" s="615"/>
      <c r="M201" s="615"/>
      <c r="N201" s="615"/>
      <c r="O201" s="615"/>
      <c r="P201" s="615"/>
      <c r="Q201" s="615"/>
      <c r="R201" s="615"/>
      <c r="S201" s="615"/>
      <c r="T201" s="615"/>
      <c r="U201" s="615"/>
      <c r="V201" s="615"/>
      <c r="W201" s="615"/>
      <c r="X201" s="615"/>
      <c r="Y201" s="615"/>
      <c r="Z201" s="615"/>
      <c r="AA201" s="615"/>
    </row>
    <row r="202">
      <c r="A202" s="675"/>
      <c r="B202" s="615"/>
      <c r="C202" s="676"/>
      <c r="D202" s="677"/>
      <c r="E202" s="677"/>
      <c r="F202" s="615"/>
      <c r="G202" s="615"/>
      <c r="H202" s="615"/>
      <c r="I202" s="679"/>
      <c r="J202" s="615"/>
      <c r="K202" s="615"/>
      <c r="L202" s="615"/>
      <c r="M202" s="615"/>
      <c r="N202" s="615"/>
      <c r="O202" s="615"/>
      <c r="P202" s="615"/>
      <c r="Q202" s="615"/>
      <c r="R202" s="615"/>
      <c r="S202" s="615"/>
      <c r="T202" s="615"/>
      <c r="U202" s="615"/>
      <c r="V202" s="615"/>
      <c r="W202" s="615"/>
      <c r="X202" s="615"/>
      <c r="Y202" s="615"/>
      <c r="Z202" s="615"/>
      <c r="AA202" s="615"/>
    </row>
    <row r="203">
      <c r="A203" s="675"/>
      <c r="B203" s="615"/>
      <c r="C203" s="676"/>
      <c r="D203" s="677"/>
      <c r="E203" s="677"/>
      <c r="F203" s="615"/>
      <c r="G203" s="615"/>
      <c r="H203" s="615"/>
      <c r="I203" s="679"/>
      <c r="J203" s="615"/>
      <c r="K203" s="615"/>
      <c r="L203" s="615"/>
      <c r="M203" s="615"/>
      <c r="N203" s="615"/>
      <c r="O203" s="615"/>
      <c r="P203" s="615"/>
      <c r="Q203" s="615"/>
      <c r="R203" s="615"/>
      <c r="S203" s="615"/>
      <c r="T203" s="615"/>
      <c r="U203" s="615"/>
      <c r="V203" s="615"/>
      <c r="W203" s="615"/>
      <c r="X203" s="615"/>
      <c r="Y203" s="615"/>
      <c r="Z203" s="615"/>
      <c r="AA203" s="615"/>
    </row>
    <row r="204">
      <c r="A204" s="675"/>
      <c r="B204" s="615"/>
      <c r="C204" s="676"/>
      <c r="D204" s="677"/>
      <c r="E204" s="677"/>
      <c r="F204" s="615"/>
      <c r="G204" s="615"/>
      <c r="H204" s="615"/>
      <c r="I204" s="679"/>
      <c r="J204" s="615"/>
      <c r="K204" s="615"/>
      <c r="L204" s="615"/>
      <c r="M204" s="615"/>
      <c r="N204" s="615"/>
      <c r="O204" s="615"/>
      <c r="P204" s="615"/>
      <c r="Q204" s="615"/>
      <c r="R204" s="615"/>
      <c r="S204" s="615"/>
      <c r="T204" s="615"/>
      <c r="U204" s="615"/>
      <c r="V204" s="615"/>
      <c r="W204" s="615"/>
      <c r="X204" s="615"/>
      <c r="Y204" s="615"/>
      <c r="Z204" s="615"/>
      <c r="AA204" s="615"/>
    </row>
    <row r="205">
      <c r="A205" s="675"/>
      <c r="B205" s="615"/>
      <c r="C205" s="676"/>
      <c r="D205" s="677"/>
      <c r="E205" s="677"/>
      <c r="F205" s="615"/>
      <c r="G205" s="615"/>
      <c r="H205" s="615"/>
      <c r="I205" s="679"/>
      <c r="J205" s="615"/>
      <c r="K205" s="615"/>
      <c r="L205" s="615"/>
      <c r="M205" s="615"/>
      <c r="N205" s="615"/>
      <c r="O205" s="615"/>
      <c r="P205" s="615"/>
      <c r="Q205" s="615"/>
      <c r="R205" s="615"/>
      <c r="S205" s="615"/>
      <c r="T205" s="615"/>
      <c r="U205" s="615"/>
      <c r="V205" s="615"/>
      <c r="W205" s="615"/>
      <c r="X205" s="615"/>
      <c r="Y205" s="615"/>
      <c r="Z205" s="615"/>
      <c r="AA205" s="615"/>
    </row>
    <row r="206">
      <c r="A206" s="675"/>
      <c r="B206" s="615"/>
      <c r="C206" s="676"/>
      <c r="D206" s="677"/>
      <c r="E206" s="677"/>
      <c r="F206" s="615"/>
      <c r="G206" s="615"/>
      <c r="H206" s="615"/>
      <c r="I206" s="679"/>
      <c r="J206" s="615"/>
      <c r="K206" s="615"/>
      <c r="L206" s="615"/>
      <c r="M206" s="615"/>
      <c r="N206" s="615"/>
      <c r="O206" s="615"/>
      <c r="P206" s="615"/>
      <c r="Q206" s="615"/>
      <c r="R206" s="615"/>
      <c r="S206" s="615"/>
      <c r="T206" s="615"/>
      <c r="U206" s="615"/>
      <c r="V206" s="615"/>
      <c r="W206" s="615"/>
      <c r="X206" s="615"/>
      <c r="Y206" s="615"/>
      <c r="Z206" s="615"/>
      <c r="AA206" s="615"/>
    </row>
    <row r="207">
      <c r="A207" s="675"/>
      <c r="B207" s="615"/>
      <c r="C207" s="676"/>
      <c r="D207" s="677"/>
      <c r="E207" s="677"/>
      <c r="F207" s="615"/>
      <c r="G207" s="615"/>
      <c r="H207" s="615"/>
      <c r="I207" s="679"/>
      <c r="J207" s="615"/>
      <c r="K207" s="615"/>
      <c r="L207" s="615"/>
      <c r="M207" s="615"/>
      <c r="N207" s="615"/>
      <c r="O207" s="615"/>
      <c r="P207" s="615"/>
      <c r="Q207" s="615"/>
      <c r="R207" s="615"/>
      <c r="S207" s="615"/>
      <c r="T207" s="615"/>
      <c r="U207" s="615"/>
      <c r="V207" s="615"/>
      <c r="W207" s="615"/>
      <c r="X207" s="615"/>
      <c r="Y207" s="615"/>
      <c r="Z207" s="615"/>
      <c r="AA207" s="615"/>
    </row>
    <row r="208">
      <c r="A208" s="675"/>
      <c r="B208" s="615"/>
      <c r="C208" s="676"/>
      <c r="D208" s="677"/>
      <c r="E208" s="677"/>
      <c r="F208" s="615"/>
      <c r="G208" s="615"/>
      <c r="H208" s="615"/>
      <c r="I208" s="679"/>
      <c r="J208" s="615"/>
      <c r="K208" s="615"/>
      <c r="L208" s="615"/>
      <c r="M208" s="615"/>
      <c r="N208" s="615"/>
      <c r="O208" s="615"/>
      <c r="P208" s="615"/>
      <c r="Q208" s="615"/>
      <c r="R208" s="615"/>
      <c r="S208" s="615"/>
      <c r="T208" s="615"/>
      <c r="U208" s="615"/>
      <c r="V208" s="615"/>
      <c r="W208" s="615"/>
      <c r="X208" s="615"/>
      <c r="Y208" s="615"/>
      <c r="Z208" s="615"/>
      <c r="AA208" s="615"/>
    </row>
    <row r="209">
      <c r="A209" s="675"/>
      <c r="B209" s="615"/>
      <c r="C209" s="676"/>
      <c r="D209" s="677"/>
      <c r="E209" s="677"/>
      <c r="F209" s="615"/>
      <c r="G209" s="615"/>
      <c r="H209" s="615"/>
      <c r="I209" s="679"/>
      <c r="J209" s="615"/>
      <c r="K209" s="615"/>
      <c r="L209" s="615"/>
      <c r="M209" s="615"/>
      <c r="N209" s="615"/>
      <c r="O209" s="615"/>
      <c r="P209" s="615"/>
      <c r="Q209" s="615"/>
      <c r="R209" s="615"/>
      <c r="S209" s="615"/>
      <c r="T209" s="615"/>
      <c r="U209" s="615"/>
      <c r="V209" s="615"/>
      <c r="W209" s="615"/>
      <c r="X209" s="615"/>
      <c r="Y209" s="615"/>
      <c r="Z209" s="615"/>
      <c r="AA209" s="615"/>
    </row>
    <row r="210">
      <c r="A210" s="675"/>
      <c r="B210" s="615"/>
      <c r="C210" s="676"/>
      <c r="D210" s="677"/>
      <c r="E210" s="677"/>
      <c r="F210" s="615"/>
      <c r="G210" s="615"/>
      <c r="H210" s="615"/>
      <c r="I210" s="679"/>
      <c r="J210" s="615"/>
      <c r="K210" s="615"/>
      <c r="L210" s="615"/>
      <c r="M210" s="615"/>
      <c r="N210" s="615"/>
      <c r="O210" s="615"/>
      <c r="P210" s="615"/>
      <c r="Q210" s="615"/>
      <c r="R210" s="615"/>
      <c r="S210" s="615"/>
      <c r="T210" s="615"/>
      <c r="U210" s="615"/>
      <c r="V210" s="615"/>
      <c r="W210" s="615"/>
      <c r="X210" s="615"/>
      <c r="Y210" s="615"/>
      <c r="Z210" s="615"/>
      <c r="AA210" s="615"/>
    </row>
    <row r="211">
      <c r="A211" s="675"/>
      <c r="B211" s="615"/>
      <c r="C211" s="676"/>
      <c r="D211" s="677"/>
      <c r="E211" s="677"/>
      <c r="F211" s="615"/>
      <c r="G211" s="615"/>
      <c r="H211" s="615"/>
      <c r="I211" s="679"/>
      <c r="J211" s="615"/>
      <c r="K211" s="615"/>
      <c r="L211" s="615"/>
      <c r="M211" s="615"/>
      <c r="N211" s="615"/>
      <c r="O211" s="615"/>
      <c r="P211" s="615"/>
      <c r="Q211" s="615"/>
      <c r="R211" s="615"/>
      <c r="S211" s="615"/>
      <c r="T211" s="615"/>
      <c r="U211" s="615"/>
      <c r="V211" s="615"/>
      <c r="W211" s="615"/>
      <c r="X211" s="615"/>
      <c r="Y211" s="615"/>
      <c r="Z211" s="615"/>
      <c r="AA211" s="615"/>
    </row>
    <row r="212">
      <c r="A212" s="675"/>
      <c r="B212" s="615"/>
      <c r="C212" s="676"/>
      <c r="D212" s="677"/>
      <c r="E212" s="677"/>
      <c r="F212" s="615"/>
      <c r="G212" s="615"/>
      <c r="H212" s="615"/>
      <c r="I212" s="679"/>
      <c r="J212" s="615"/>
      <c r="K212" s="615"/>
      <c r="L212" s="615"/>
      <c r="M212" s="615"/>
      <c r="N212" s="615"/>
      <c r="O212" s="615"/>
      <c r="P212" s="615"/>
      <c r="Q212" s="615"/>
      <c r="R212" s="615"/>
      <c r="S212" s="615"/>
      <c r="T212" s="615"/>
      <c r="U212" s="615"/>
      <c r="V212" s="615"/>
      <c r="W212" s="615"/>
      <c r="X212" s="615"/>
      <c r="Y212" s="615"/>
      <c r="Z212" s="615"/>
      <c r="AA212" s="615"/>
    </row>
    <row r="213">
      <c r="A213" s="675"/>
      <c r="B213" s="615"/>
      <c r="C213" s="676"/>
      <c r="D213" s="677"/>
      <c r="E213" s="677"/>
      <c r="F213" s="615"/>
      <c r="G213" s="615"/>
      <c r="H213" s="615"/>
      <c r="I213" s="679"/>
      <c r="J213" s="615"/>
      <c r="K213" s="615"/>
      <c r="L213" s="615"/>
      <c r="M213" s="615"/>
      <c r="N213" s="615"/>
      <c r="O213" s="615"/>
      <c r="P213" s="615"/>
      <c r="Q213" s="615"/>
      <c r="R213" s="615"/>
      <c r="S213" s="615"/>
      <c r="T213" s="615"/>
      <c r="U213" s="615"/>
      <c r="V213" s="615"/>
      <c r="W213" s="615"/>
      <c r="X213" s="615"/>
      <c r="Y213" s="615"/>
      <c r="Z213" s="615"/>
      <c r="AA213" s="615"/>
    </row>
    <row r="214">
      <c r="A214" s="675"/>
      <c r="B214" s="615"/>
      <c r="C214" s="676"/>
      <c r="D214" s="677"/>
      <c r="E214" s="677"/>
      <c r="F214" s="615"/>
      <c r="G214" s="615"/>
      <c r="H214" s="615"/>
      <c r="I214" s="679"/>
      <c r="J214" s="615"/>
      <c r="K214" s="615"/>
      <c r="L214" s="615"/>
      <c r="M214" s="615"/>
      <c r="N214" s="615"/>
      <c r="O214" s="615"/>
      <c r="P214" s="615"/>
      <c r="Q214" s="615"/>
      <c r="R214" s="615"/>
      <c r="S214" s="615"/>
      <c r="T214" s="615"/>
      <c r="U214" s="615"/>
      <c r="V214" s="615"/>
      <c r="W214" s="615"/>
      <c r="X214" s="615"/>
      <c r="Y214" s="615"/>
      <c r="Z214" s="615"/>
      <c r="AA214" s="615"/>
    </row>
    <row r="215">
      <c r="A215" s="675"/>
      <c r="B215" s="615"/>
      <c r="C215" s="676"/>
      <c r="D215" s="677"/>
      <c r="E215" s="677"/>
      <c r="F215" s="615"/>
      <c r="G215" s="615"/>
      <c r="H215" s="615"/>
      <c r="I215" s="679"/>
      <c r="J215" s="615"/>
      <c r="K215" s="615"/>
      <c r="L215" s="615"/>
      <c r="M215" s="615"/>
      <c r="N215" s="615"/>
      <c r="O215" s="615"/>
      <c r="P215" s="615"/>
      <c r="Q215" s="615"/>
      <c r="R215" s="615"/>
      <c r="S215" s="615"/>
      <c r="T215" s="615"/>
      <c r="U215" s="615"/>
      <c r="V215" s="615"/>
      <c r="W215" s="615"/>
      <c r="X215" s="615"/>
      <c r="Y215" s="615"/>
      <c r="Z215" s="615"/>
      <c r="AA215" s="615"/>
    </row>
    <row r="216">
      <c r="A216" s="675"/>
      <c r="B216" s="615"/>
      <c r="C216" s="676"/>
      <c r="D216" s="677"/>
      <c r="E216" s="677"/>
      <c r="F216" s="615"/>
      <c r="G216" s="615"/>
      <c r="H216" s="615"/>
      <c r="I216" s="679"/>
      <c r="J216" s="615"/>
      <c r="K216" s="615"/>
      <c r="L216" s="615"/>
      <c r="M216" s="615"/>
      <c r="N216" s="615"/>
      <c r="O216" s="615"/>
      <c r="P216" s="615"/>
      <c r="Q216" s="615"/>
      <c r="R216" s="615"/>
      <c r="S216" s="615"/>
      <c r="T216" s="615"/>
      <c r="U216" s="615"/>
      <c r="V216" s="615"/>
      <c r="W216" s="615"/>
      <c r="X216" s="615"/>
      <c r="Y216" s="615"/>
      <c r="Z216" s="615"/>
      <c r="AA216" s="615"/>
    </row>
    <row r="217">
      <c r="A217" s="675"/>
      <c r="B217" s="615"/>
      <c r="C217" s="676"/>
      <c r="D217" s="677"/>
      <c r="E217" s="677"/>
      <c r="F217" s="615"/>
      <c r="G217" s="615"/>
      <c r="H217" s="615"/>
      <c r="I217" s="679"/>
      <c r="J217" s="615"/>
      <c r="K217" s="615"/>
      <c r="L217" s="615"/>
      <c r="M217" s="615"/>
      <c r="N217" s="615"/>
      <c r="O217" s="615"/>
      <c r="P217" s="615"/>
      <c r="Q217" s="615"/>
      <c r="R217" s="615"/>
      <c r="S217" s="615"/>
      <c r="T217" s="615"/>
      <c r="U217" s="615"/>
      <c r="V217" s="615"/>
      <c r="W217" s="615"/>
      <c r="X217" s="615"/>
      <c r="Y217" s="615"/>
      <c r="Z217" s="615"/>
      <c r="AA217" s="615"/>
    </row>
    <row r="218">
      <c r="A218" s="675"/>
      <c r="B218" s="615"/>
      <c r="C218" s="676"/>
      <c r="D218" s="677"/>
      <c r="E218" s="677"/>
      <c r="F218" s="615"/>
      <c r="G218" s="615"/>
      <c r="H218" s="615"/>
      <c r="I218" s="679"/>
      <c r="J218" s="615"/>
      <c r="K218" s="615"/>
      <c r="L218" s="615"/>
      <c r="M218" s="615"/>
      <c r="N218" s="615"/>
      <c r="O218" s="615"/>
      <c r="P218" s="615"/>
      <c r="Q218" s="615"/>
      <c r="R218" s="615"/>
      <c r="S218" s="615"/>
      <c r="T218" s="615"/>
      <c r="U218" s="615"/>
      <c r="V218" s="615"/>
      <c r="W218" s="615"/>
      <c r="X218" s="615"/>
      <c r="Y218" s="615"/>
      <c r="Z218" s="615"/>
      <c r="AA218" s="615"/>
    </row>
    <row r="219">
      <c r="A219" s="675"/>
      <c r="B219" s="615"/>
      <c r="C219" s="676"/>
      <c r="D219" s="677"/>
      <c r="E219" s="677"/>
      <c r="F219" s="615"/>
      <c r="G219" s="615"/>
      <c r="H219" s="615"/>
      <c r="I219" s="679"/>
      <c r="J219" s="615"/>
      <c r="K219" s="615"/>
      <c r="L219" s="615"/>
      <c r="M219" s="615"/>
      <c r="N219" s="615"/>
      <c r="O219" s="615"/>
      <c r="P219" s="615"/>
      <c r="Q219" s="615"/>
      <c r="R219" s="615"/>
      <c r="S219" s="615"/>
      <c r="T219" s="615"/>
      <c r="U219" s="615"/>
      <c r="V219" s="615"/>
      <c r="W219" s="615"/>
      <c r="X219" s="615"/>
      <c r="Y219" s="615"/>
      <c r="Z219" s="615"/>
      <c r="AA219" s="615"/>
    </row>
    <row r="220">
      <c r="A220" s="675"/>
      <c r="B220" s="615"/>
      <c r="C220" s="676"/>
      <c r="D220" s="677"/>
      <c r="E220" s="677"/>
      <c r="F220" s="615"/>
      <c r="G220" s="615"/>
      <c r="H220" s="615"/>
      <c r="I220" s="679"/>
      <c r="J220" s="615"/>
      <c r="K220" s="615"/>
      <c r="L220" s="615"/>
      <c r="M220" s="615"/>
      <c r="N220" s="615"/>
      <c r="O220" s="615"/>
      <c r="P220" s="615"/>
      <c r="Q220" s="615"/>
      <c r="R220" s="615"/>
      <c r="S220" s="615"/>
      <c r="T220" s="615"/>
      <c r="U220" s="615"/>
      <c r="V220" s="615"/>
      <c r="W220" s="615"/>
      <c r="X220" s="615"/>
      <c r="Y220" s="615"/>
      <c r="Z220" s="615"/>
      <c r="AA220" s="615"/>
    </row>
    <row r="221">
      <c r="A221" s="675"/>
      <c r="B221" s="615"/>
      <c r="C221" s="676"/>
      <c r="D221" s="677"/>
      <c r="E221" s="677"/>
      <c r="F221" s="615"/>
      <c r="G221" s="615"/>
      <c r="H221" s="615"/>
      <c r="I221" s="679"/>
      <c r="J221" s="615"/>
      <c r="K221" s="615"/>
      <c r="L221" s="615"/>
      <c r="M221" s="615"/>
      <c r="N221" s="615"/>
      <c r="O221" s="615"/>
      <c r="P221" s="615"/>
      <c r="Q221" s="615"/>
      <c r="R221" s="615"/>
      <c r="S221" s="615"/>
      <c r="T221" s="615"/>
      <c r="U221" s="615"/>
      <c r="V221" s="615"/>
      <c r="W221" s="615"/>
      <c r="X221" s="615"/>
      <c r="Y221" s="615"/>
      <c r="Z221" s="615"/>
      <c r="AA221" s="615"/>
    </row>
    <row r="222">
      <c r="A222" s="675"/>
      <c r="B222" s="615"/>
      <c r="C222" s="676"/>
      <c r="D222" s="677"/>
      <c r="E222" s="677"/>
      <c r="F222" s="615"/>
      <c r="G222" s="615"/>
      <c r="H222" s="615"/>
      <c r="I222" s="679"/>
      <c r="J222" s="615"/>
      <c r="K222" s="615"/>
      <c r="L222" s="615"/>
      <c r="M222" s="615"/>
      <c r="N222" s="615"/>
      <c r="O222" s="615"/>
      <c r="P222" s="615"/>
      <c r="Q222" s="615"/>
      <c r="R222" s="615"/>
      <c r="S222" s="615"/>
      <c r="T222" s="615"/>
      <c r="U222" s="615"/>
      <c r="V222" s="615"/>
      <c r="W222" s="615"/>
      <c r="X222" s="615"/>
      <c r="Y222" s="615"/>
      <c r="Z222" s="615"/>
      <c r="AA222" s="615"/>
    </row>
    <row r="223">
      <c r="A223" s="675"/>
      <c r="B223" s="615"/>
      <c r="C223" s="676"/>
      <c r="D223" s="677"/>
      <c r="E223" s="677"/>
      <c r="F223" s="615"/>
      <c r="G223" s="615"/>
      <c r="H223" s="615"/>
      <c r="I223" s="679"/>
      <c r="J223" s="615"/>
      <c r="K223" s="615"/>
      <c r="L223" s="615"/>
      <c r="M223" s="615"/>
      <c r="N223" s="615"/>
      <c r="O223" s="615"/>
      <c r="P223" s="615"/>
      <c r="Q223" s="615"/>
      <c r="R223" s="615"/>
      <c r="S223" s="615"/>
      <c r="T223" s="615"/>
      <c r="U223" s="615"/>
      <c r="V223" s="615"/>
      <c r="W223" s="615"/>
      <c r="X223" s="615"/>
      <c r="Y223" s="615"/>
      <c r="Z223" s="615"/>
      <c r="AA223" s="615"/>
    </row>
    <row r="224">
      <c r="A224" s="675"/>
      <c r="B224" s="615"/>
      <c r="C224" s="676"/>
      <c r="D224" s="677"/>
      <c r="E224" s="677"/>
      <c r="F224" s="615"/>
      <c r="G224" s="615"/>
      <c r="H224" s="615"/>
      <c r="I224" s="679"/>
      <c r="J224" s="615"/>
      <c r="K224" s="615"/>
      <c r="L224" s="615"/>
      <c r="M224" s="615"/>
      <c r="N224" s="615"/>
      <c r="O224" s="615"/>
      <c r="P224" s="615"/>
      <c r="Q224" s="615"/>
      <c r="R224" s="615"/>
      <c r="S224" s="615"/>
      <c r="T224" s="615"/>
      <c r="U224" s="615"/>
      <c r="V224" s="615"/>
      <c r="W224" s="615"/>
      <c r="X224" s="615"/>
      <c r="Y224" s="615"/>
      <c r="Z224" s="615"/>
      <c r="AA224" s="615"/>
    </row>
    <row r="225">
      <c r="A225" s="675"/>
      <c r="B225" s="615"/>
      <c r="C225" s="676"/>
      <c r="D225" s="677"/>
      <c r="E225" s="677"/>
      <c r="F225" s="615"/>
      <c r="G225" s="615"/>
      <c r="H225" s="615"/>
      <c r="I225" s="679"/>
      <c r="J225" s="615"/>
      <c r="K225" s="615"/>
      <c r="L225" s="615"/>
      <c r="M225" s="615"/>
      <c r="N225" s="615"/>
      <c r="O225" s="615"/>
      <c r="P225" s="615"/>
      <c r="Q225" s="615"/>
      <c r="R225" s="615"/>
      <c r="S225" s="615"/>
      <c r="T225" s="615"/>
      <c r="U225" s="615"/>
      <c r="V225" s="615"/>
      <c r="W225" s="615"/>
      <c r="X225" s="615"/>
      <c r="Y225" s="615"/>
      <c r="Z225" s="615"/>
      <c r="AA225" s="615"/>
    </row>
    <row r="226">
      <c r="A226" s="675"/>
      <c r="B226" s="615"/>
      <c r="C226" s="676"/>
      <c r="D226" s="677"/>
      <c r="E226" s="677"/>
      <c r="F226" s="615"/>
      <c r="G226" s="615"/>
      <c r="H226" s="615"/>
      <c r="I226" s="679"/>
      <c r="J226" s="615"/>
      <c r="K226" s="615"/>
      <c r="L226" s="615"/>
      <c r="M226" s="615"/>
      <c r="N226" s="615"/>
      <c r="O226" s="615"/>
      <c r="P226" s="615"/>
      <c r="Q226" s="615"/>
      <c r="R226" s="615"/>
      <c r="S226" s="615"/>
      <c r="T226" s="615"/>
      <c r="U226" s="615"/>
      <c r="V226" s="615"/>
      <c r="W226" s="615"/>
      <c r="X226" s="615"/>
      <c r="Y226" s="615"/>
      <c r="Z226" s="615"/>
      <c r="AA226" s="615"/>
    </row>
    <row r="227">
      <c r="A227" s="675"/>
      <c r="B227" s="615"/>
      <c r="C227" s="676"/>
      <c r="D227" s="677"/>
      <c r="E227" s="677"/>
      <c r="F227" s="615"/>
      <c r="G227" s="615"/>
      <c r="H227" s="615"/>
      <c r="I227" s="679"/>
      <c r="J227" s="615"/>
      <c r="K227" s="615"/>
      <c r="L227" s="615"/>
      <c r="M227" s="615"/>
      <c r="N227" s="615"/>
      <c r="O227" s="615"/>
      <c r="P227" s="615"/>
      <c r="Q227" s="615"/>
      <c r="R227" s="615"/>
      <c r="S227" s="615"/>
      <c r="T227" s="615"/>
      <c r="U227" s="615"/>
      <c r="V227" s="615"/>
      <c r="W227" s="615"/>
      <c r="X227" s="615"/>
      <c r="Y227" s="615"/>
      <c r="Z227" s="615"/>
      <c r="AA227" s="615"/>
    </row>
    <row r="228">
      <c r="A228" s="675"/>
      <c r="B228" s="615"/>
      <c r="C228" s="676"/>
      <c r="D228" s="677"/>
      <c r="E228" s="677"/>
      <c r="F228" s="615"/>
      <c r="G228" s="615"/>
      <c r="H228" s="615"/>
      <c r="I228" s="679"/>
      <c r="J228" s="615"/>
      <c r="K228" s="615"/>
      <c r="L228" s="615"/>
      <c r="M228" s="615"/>
      <c r="N228" s="615"/>
      <c r="O228" s="615"/>
      <c r="P228" s="615"/>
      <c r="Q228" s="615"/>
      <c r="R228" s="615"/>
      <c r="S228" s="615"/>
      <c r="T228" s="615"/>
      <c r="U228" s="615"/>
      <c r="V228" s="615"/>
      <c r="W228" s="615"/>
      <c r="X228" s="615"/>
      <c r="Y228" s="615"/>
      <c r="Z228" s="615"/>
      <c r="AA228" s="615"/>
    </row>
    <row r="229">
      <c r="A229" s="675"/>
      <c r="B229" s="615"/>
      <c r="C229" s="676"/>
      <c r="D229" s="677"/>
      <c r="E229" s="677"/>
      <c r="F229" s="615"/>
      <c r="G229" s="615"/>
      <c r="H229" s="615"/>
      <c r="I229" s="679"/>
      <c r="J229" s="615"/>
      <c r="K229" s="615"/>
      <c r="L229" s="615"/>
      <c r="M229" s="615"/>
      <c r="N229" s="615"/>
      <c r="O229" s="615"/>
      <c r="P229" s="615"/>
      <c r="Q229" s="615"/>
      <c r="R229" s="615"/>
      <c r="S229" s="615"/>
      <c r="T229" s="615"/>
      <c r="U229" s="615"/>
      <c r="V229" s="615"/>
      <c r="W229" s="615"/>
      <c r="X229" s="615"/>
      <c r="Y229" s="615"/>
      <c r="Z229" s="615"/>
      <c r="AA229" s="615"/>
    </row>
    <row r="230">
      <c r="A230" s="675"/>
      <c r="B230" s="615"/>
      <c r="C230" s="676"/>
      <c r="D230" s="677"/>
      <c r="E230" s="677"/>
      <c r="F230" s="615"/>
      <c r="G230" s="615"/>
      <c r="H230" s="615"/>
      <c r="I230" s="679"/>
      <c r="J230" s="615"/>
      <c r="K230" s="615"/>
      <c r="L230" s="615"/>
      <c r="M230" s="615"/>
      <c r="N230" s="615"/>
      <c r="O230" s="615"/>
      <c r="P230" s="615"/>
      <c r="Q230" s="615"/>
      <c r="R230" s="615"/>
      <c r="S230" s="615"/>
      <c r="T230" s="615"/>
      <c r="U230" s="615"/>
      <c r="V230" s="615"/>
      <c r="W230" s="615"/>
      <c r="X230" s="615"/>
      <c r="Y230" s="615"/>
      <c r="Z230" s="615"/>
      <c r="AA230" s="615"/>
    </row>
    <row r="231">
      <c r="A231" s="675"/>
      <c r="B231" s="615"/>
      <c r="C231" s="676"/>
      <c r="D231" s="677"/>
      <c r="E231" s="677"/>
      <c r="F231" s="615"/>
      <c r="G231" s="615"/>
      <c r="H231" s="615"/>
      <c r="I231" s="679"/>
      <c r="J231" s="615"/>
      <c r="K231" s="615"/>
      <c r="L231" s="615"/>
      <c r="M231" s="615"/>
      <c r="N231" s="615"/>
      <c r="O231" s="615"/>
      <c r="P231" s="615"/>
      <c r="Q231" s="615"/>
      <c r="R231" s="615"/>
      <c r="S231" s="615"/>
      <c r="T231" s="615"/>
      <c r="U231" s="615"/>
      <c r="V231" s="615"/>
      <c r="W231" s="615"/>
      <c r="X231" s="615"/>
      <c r="Y231" s="615"/>
      <c r="Z231" s="615"/>
      <c r="AA231" s="615"/>
    </row>
    <row r="232">
      <c r="A232" s="675"/>
      <c r="B232" s="615"/>
      <c r="C232" s="676"/>
      <c r="D232" s="677"/>
      <c r="E232" s="677"/>
      <c r="F232" s="615"/>
      <c r="G232" s="615"/>
      <c r="H232" s="615"/>
      <c r="I232" s="679"/>
      <c r="J232" s="615"/>
      <c r="K232" s="615"/>
      <c r="L232" s="615"/>
      <c r="M232" s="615"/>
      <c r="N232" s="615"/>
      <c r="O232" s="615"/>
      <c r="P232" s="615"/>
      <c r="Q232" s="615"/>
      <c r="R232" s="615"/>
      <c r="S232" s="615"/>
      <c r="T232" s="615"/>
      <c r="U232" s="615"/>
      <c r="V232" s="615"/>
      <c r="W232" s="615"/>
      <c r="X232" s="615"/>
      <c r="Y232" s="615"/>
      <c r="Z232" s="615"/>
      <c r="AA232" s="615"/>
    </row>
    <row r="233">
      <c r="A233" s="675"/>
      <c r="B233" s="615"/>
      <c r="C233" s="676"/>
      <c r="D233" s="677"/>
      <c r="E233" s="677"/>
      <c r="F233" s="615"/>
      <c r="G233" s="615"/>
      <c r="H233" s="615"/>
      <c r="I233" s="679"/>
      <c r="J233" s="615"/>
      <c r="K233" s="615"/>
      <c r="L233" s="615"/>
      <c r="M233" s="615"/>
      <c r="N233" s="615"/>
      <c r="O233" s="615"/>
      <c r="P233" s="615"/>
      <c r="Q233" s="615"/>
      <c r="R233" s="615"/>
      <c r="S233" s="615"/>
      <c r="T233" s="615"/>
      <c r="U233" s="615"/>
      <c r="V233" s="615"/>
      <c r="W233" s="615"/>
      <c r="X233" s="615"/>
      <c r="Y233" s="615"/>
      <c r="Z233" s="615"/>
      <c r="AA233" s="615"/>
    </row>
    <row r="234">
      <c r="A234" s="675"/>
      <c r="B234" s="615"/>
      <c r="C234" s="676"/>
      <c r="D234" s="677"/>
      <c r="E234" s="677"/>
      <c r="F234" s="615"/>
      <c r="G234" s="615"/>
      <c r="H234" s="615"/>
      <c r="I234" s="679"/>
      <c r="J234" s="615"/>
      <c r="K234" s="615"/>
      <c r="L234" s="615"/>
      <c r="M234" s="615"/>
      <c r="N234" s="615"/>
      <c r="O234" s="615"/>
      <c r="P234" s="615"/>
      <c r="Q234" s="615"/>
      <c r="R234" s="615"/>
      <c r="S234" s="615"/>
      <c r="T234" s="615"/>
      <c r="U234" s="615"/>
      <c r="V234" s="615"/>
      <c r="W234" s="615"/>
      <c r="X234" s="615"/>
      <c r="Y234" s="615"/>
      <c r="Z234" s="615"/>
      <c r="AA234" s="615"/>
    </row>
    <row r="235">
      <c r="A235" s="675"/>
      <c r="B235" s="615"/>
      <c r="C235" s="676"/>
      <c r="D235" s="677"/>
      <c r="E235" s="677"/>
      <c r="F235" s="615"/>
      <c r="G235" s="615"/>
      <c r="H235" s="615"/>
      <c r="I235" s="679"/>
      <c r="J235" s="615"/>
      <c r="K235" s="615"/>
      <c r="L235" s="615"/>
      <c r="M235" s="615"/>
      <c r="N235" s="615"/>
      <c r="O235" s="615"/>
      <c r="P235" s="615"/>
      <c r="Q235" s="615"/>
      <c r="R235" s="615"/>
      <c r="S235" s="615"/>
      <c r="T235" s="615"/>
      <c r="U235" s="615"/>
      <c r="V235" s="615"/>
      <c r="W235" s="615"/>
      <c r="X235" s="615"/>
      <c r="Y235" s="615"/>
      <c r="Z235" s="615"/>
      <c r="AA235" s="615"/>
    </row>
    <row r="236">
      <c r="A236" s="675"/>
      <c r="B236" s="615"/>
      <c r="C236" s="676"/>
      <c r="D236" s="677"/>
      <c r="E236" s="677"/>
      <c r="F236" s="615"/>
      <c r="G236" s="615"/>
      <c r="H236" s="615"/>
      <c r="I236" s="679"/>
      <c r="J236" s="615"/>
      <c r="K236" s="615"/>
      <c r="L236" s="615"/>
      <c r="M236" s="615"/>
      <c r="N236" s="615"/>
      <c r="O236" s="615"/>
      <c r="P236" s="615"/>
      <c r="Q236" s="615"/>
      <c r="R236" s="615"/>
      <c r="S236" s="615"/>
      <c r="T236" s="615"/>
      <c r="U236" s="615"/>
      <c r="V236" s="615"/>
      <c r="W236" s="615"/>
      <c r="X236" s="615"/>
      <c r="Y236" s="615"/>
      <c r="Z236" s="615"/>
      <c r="AA236" s="615"/>
    </row>
    <row r="237">
      <c r="A237" s="675"/>
      <c r="B237" s="615"/>
      <c r="C237" s="676"/>
      <c r="D237" s="677"/>
      <c r="E237" s="677"/>
      <c r="F237" s="615"/>
      <c r="G237" s="615"/>
      <c r="H237" s="615"/>
      <c r="I237" s="679"/>
      <c r="J237" s="615"/>
      <c r="K237" s="615"/>
      <c r="L237" s="615"/>
      <c r="M237" s="615"/>
      <c r="N237" s="615"/>
      <c r="O237" s="615"/>
      <c r="P237" s="615"/>
      <c r="Q237" s="615"/>
      <c r="R237" s="615"/>
      <c r="S237" s="615"/>
      <c r="T237" s="615"/>
      <c r="U237" s="615"/>
      <c r="V237" s="615"/>
      <c r="W237" s="615"/>
      <c r="X237" s="615"/>
      <c r="Y237" s="615"/>
      <c r="Z237" s="615"/>
      <c r="AA237" s="615"/>
    </row>
    <row r="238">
      <c r="A238" s="675"/>
      <c r="B238" s="615"/>
      <c r="C238" s="676"/>
      <c r="D238" s="677"/>
      <c r="E238" s="677"/>
      <c r="F238" s="615"/>
      <c r="G238" s="615"/>
      <c r="H238" s="615"/>
      <c r="I238" s="679"/>
      <c r="J238" s="615"/>
      <c r="K238" s="615"/>
      <c r="L238" s="615"/>
      <c r="M238" s="615"/>
      <c r="N238" s="615"/>
      <c r="O238" s="615"/>
      <c r="P238" s="615"/>
      <c r="Q238" s="615"/>
      <c r="R238" s="615"/>
      <c r="S238" s="615"/>
      <c r="T238" s="615"/>
      <c r="U238" s="615"/>
      <c r="V238" s="615"/>
      <c r="W238" s="615"/>
      <c r="X238" s="615"/>
      <c r="Y238" s="615"/>
      <c r="Z238" s="615"/>
      <c r="AA238" s="615"/>
    </row>
    <row r="239">
      <c r="A239" s="675"/>
      <c r="B239" s="615"/>
      <c r="C239" s="676"/>
      <c r="D239" s="677"/>
      <c r="E239" s="677"/>
      <c r="F239" s="615"/>
      <c r="G239" s="615"/>
      <c r="H239" s="615"/>
      <c r="I239" s="679"/>
      <c r="J239" s="615"/>
      <c r="K239" s="615"/>
      <c r="L239" s="615"/>
      <c r="M239" s="615"/>
      <c r="N239" s="615"/>
      <c r="O239" s="615"/>
      <c r="P239" s="615"/>
      <c r="Q239" s="615"/>
      <c r="R239" s="615"/>
      <c r="S239" s="615"/>
      <c r="T239" s="615"/>
      <c r="U239" s="615"/>
      <c r="V239" s="615"/>
      <c r="W239" s="615"/>
      <c r="X239" s="615"/>
      <c r="Y239" s="615"/>
      <c r="Z239" s="615"/>
      <c r="AA239" s="615"/>
    </row>
    <row r="240">
      <c r="A240" s="675"/>
      <c r="B240" s="615"/>
      <c r="C240" s="676"/>
      <c r="D240" s="677"/>
      <c r="E240" s="677"/>
      <c r="F240" s="615"/>
      <c r="G240" s="615"/>
      <c r="H240" s="615"/>
      <c r="I240" s="679"/>
      <c r="J240" s="615"/>
      <c r="K240" s="615"/>
      <c r="L240" s="615"/>
      <c r="M240" s="615"/>
      <c r="N240" s="615"/>
      <c r="O240" s="615"/>
      <c r="P240" s="615"/>
      <c r="Q240" s="615"/>
      <c r="R240" s="615"/>
      <c r="S240" s="615"/>
      <c r="T240" s="615"/>
      <c r="U240" s="615"/>
      <c r="V240" s="615"/>
      <c r="W240" s="615"/>
      <c r="X240" s="615"/>
      <c r="Y240" s="615"/>
      <c r="Z240" s="615"/>
      <c r="AA240" s="615"/>
    </row>
    <row r="241">
      <c r="A241" s="675"/>
      <c r="B241" s="615"/>
      <c r="C241" s="676"/>
      <c r="D241" s="677"/>
      <c r="E241" s="677"/>
      <c r="F241" s="615"/>
      <c r="G241" s="615"/>
      <c r="H241" s="615"/>
      <c r="I241" s="679"/>
      <c r="J241" s="615"/>
      <c r="K241" s="615"/>
      <c r="L241" s="615"/>
      <c r="M241" s="615"/>
      <c r="N241" s="615"/>
      <c r="O241" s="615"/>
      <c r="P241" s="615"/>
      <c r="Q241" s="615"/>
      <c r="R241" s="615"/>
      <c r="S241" s="615"/>
      <c r="T241" s="615"/>
      <c r="U241" s="615"/>
      <c r="V241" s="615"/>
      <c r="W241" s="615"/>
      <c r="X241" s="615"/>
      <c r="Y241" s="615"/>
      <c r="Z241" s="615"/>
      <c r="AA241" s="615"/>
    </row>
    <row r="242">
      <c r="A242" s="675"/>
      <c r="B242" s="615"/>
      <c r="C242" s="676"/>
      <c r="D242" s="677"/>
      <c r="E242" s="677"/>
      <c r="F242" s="615"/>
      <c r="G242" s="615"/>
      <c r="H242" s="615"/>
      <c r="I242" s="679"/>
      <c r="J242" s="615"/>
      <c r="K242" s="615"/>
      <c r="L242" s="615"/>
      <c r="M242" s="615"/>
      <c r="N242" s="615"/>
      <c r="O242" s="615"/>
      <c r="P242" s="615"/>
      <c r="Q242" s="615"/>
      <c r="R242" s="615"/>
      <c r="S242" s="615"/>
      <c r="T242" s="615"/>
      <c r="U242" s="615"/>
      <c r="V242" s="615"/>
      <c r="W242" s="615"/>
      <c r="X242" s="615"/>
      <c r="Y242" s="615"/>
      <c r="Z242" s="615"/>
      <c r="AA242" s="615"/>
    </row>
    <row r="243">
      <c r="A243" s="675"/>
      <c r="B243" s="615"/>
      <c r="C243" s="676"/>
      <c r="D243" s="677"/>
      <c r="E243" s="677"/>
      <c r="F243" s="615"/>
      <c r="G243" s="615"/>
      <c r="H243" s="615"/>
      <c r="I243" s="679"/>
      <c r="J243" s="615"/>
      <c r="K243" s="615"/>
      <c r="L243" s="615"/>
      <c r="M243" s="615"/>
      <c r="N243" s="615"/>
      <c r="O243" s="615"/>
      <c r="P243" s="615"/>
      <c r="Q243" s="615"/>
      <c r="R243" s="615"/>
      <c r="S243" s="615"/>
      <c r="T243" s="615"/>
      <c r="U243" s="615"/>
      <c r="V243" s="615"/>
      <c r="W243" s="615"/>
      <c r="X243" s="615"/>
      <c r="Y243" s="615"/>
      <c r="Z243" s="615"/>
      <c r="AA243" s="615"/>
    </row>
    <row r="244">
      <c r="A244" s="675"/>
      <c r="B244" s="615"/>
      <c r="C244" s="676"/>
      <c r="D244" s="677"/>
      <c r="E244" s="677"/>
      <c r="F244" s="615"/>
      <c r="G244" s="615"/>
      <c r="H244" s="615"/>
      <c r="I244" s="679"/>
      <c r="J244" s="615"/>
      <c r="K244" s="615"/>
      <c r="L244" s="615"/>
      <c r="M244" s="615"/>
      <c r="N244" s="615"/>
      <c r="O244" s="615"/>
      <c r="P244" s="615"/>
      <c r="Q244" s="615"/>
      <c r="R244" s="615"/>
      <c r="S244" s="615"/>
      <c r="T244" s="615"/>
      <c r="U244" s="615"/>
      <c r="V244" s="615"/>
      <c r="W244" s="615"/>
      <c r="X244" s="615"/>
      <c r="Y244" s="615"/>
      <c r="Z244" s="615"/>
      <c r="AA244" s="615"/>
    </row>
    <row r="245">
      <c r="A245" s="675"/>
      <c r="B245" s="615"/>
      <c r="C245" s="676"/>
      <c r="D245" s="677"/>
      <c r="E245" s="677"/>
      <c r="F245" s="615"/>
      <c r="G245" s="615"/>
      <c r="H245" s="615"/>
      <c r="I245" s="679"/>
      <c r="J245" s="615"/>
      <c r="K245" s="615"/>
      <c r="L245" s="615"/>
      <c r="M245" s="615"/>
      <c r="N245" s="615"/>
      <c r="O245" s="615"/>
      <c r="P245" s="615"/>
      <c r="Q245" s="615"/>
      <c r="R245" s="615"/>
      <c r="S245" s="615"/>
      <c r="T245" s="615"/>
      <c r="U245" s="615"/>
      <c r="V245" s="615"/>
      <c r="W245" s="615"/>
      <c r="X245" s="615"/>
      <c r="Y245" s="615"/>
      <c r="Z245" s="615"/>
      <c r="AA245" s="615"/>
    </row>
    <row r="246">
      <c r="A246" s="675"/>
      <c r="B246" s="615"/>
      <c r="C246" s="676"/>
      <c r="D246" s="677"/>
      <c r="E246" s="677"/>
      <c r="F246" s="615"/>
      <c r="G246" s="615"/>
      <c r="H246" s="615"/>
      <c r="I246" s="679"/>
      <c r="J246" s="615"/>
      <c r="K246" s="615"/>
      <c r="L246" s="615"/>
      <c r="M246" s="615"/>
      <c r="N246" s="615"/>
      <c r="O246" s="615"/>
      <c r="P246" s="615"/>
      <c r="Q246" s="615"/>
      <c r="R246" s="615"/>
      <c r="S246" s="615"/>
      <c r="T246" s="615"/>
      <c r="U246" s="615"/>
      <c r="V246" s="615"/>
      <c r="W246" s="615"/>
      <c r="X246" s="615"/>
      <c r="Y246" s="615"/>
      <c r="Z246" s="615"/>
      <c r="AA246" s="615"/>
    </row>
    <row r="247">
      <c r="A247" s="675"/>
      <c r="B247" s="615"/>
      <c r="C247" s="676"/>
      <c r="D247" s="677"/>
      <c r="E247" s="677"/>
      <c r="F247" s="615"/>
      <c r="G247" s="615"/>
      <c r="H247" s="615"/>
      <c r="I247" s="679"/>
      <c r="J247" s="615"/>
      <c r="K247" s="615"/>
      <c r="L247" s="615"/>
      <c r="M247" s="615"/>
      <c r="N247" s="615"/>
      <c r="O247" s="615"/>
      <c r="P247" s="615"/>
      <c r="Q247" s="615"/>
      <c r="R247" s="615"/>
      <c r="S247" s="615"/>
      <c r="T247" s="615"/>
      <c r="U247" s="615"/>
      <c r="V247" s="615"/>
      <c r="W247" s="615"/>
      <c r="X247" s="615"/>
      <c r="Y247" s="615"/>
      <c r="Z247" s="615"/>
      <c r="AA247" s="615"/>
    </row>
    <row r="248">
      <c r="A248" s="675"/>
      <c r="B248" s="615"/>
      <c r="C248" s="676"/>
      <c r="D248" s="677"/>
      <c r="E248" s="677"/>
      <c r="F248" s="615"/>
      <c r="G248" s="615"/>
      <c r="H248" s="615"/>
      <c r="I248" s="679"/>
      <c r="J248" s="615"/>
      <c r="K248" s="615"/>
      <c r="L248" s="615"/>
      <c r="M248" s="615"/>
      <c r="N248" s="615"/>
      <c r="O248" s="615"/>
      <c r="P248" s="615"/>
      <c r="Q248" s="615"/>
      <c r="R248" s="615"/>
      <c r="S248" s="615"/>
      <c r="T248" s="615"/>
      <c r="U248" s="615"/>
      <c r="V248" s="615"/>
      <c r="W248" s="615"/>
      <c r="X248" s="615"/>
      <c r="Y248" s="615"/>
      <c r="Z248" s="615"/>
      <c r="AA248" s="615"/>
    </row>
    <row r="249">
      <c r="A249" s="675"/>
      <c r="B249" s="615"/>
      <c r="C249" s="676"/>
      <c r="D249" s="677"/>
      <c r="E249" s="677"/>
      <c r="F249" s="615"/>
      <c r="G249" s="615"/>
      <c r="H249" s="615"/>
      <c r="I249" s="679"/>
      <c r="J249" s="615"/>
      <c r="K249" s="615"/>
      <c r="L249" s="615"/>
      <c r="M249" s="615"/>
      <c r="N249" s="615"/>
      <c r="O249" s="615"/>
      <c r="P249" s="615"/>
      <c r="Q249" s="615"/>
      <c r="R249" s="615"/>
      <c r="S249" s="615"/>
      <c r="T249" s="615"/>
      <c r="U249" s="615"/>
      <c r="V249" s="615"/>
      <c r="W249" s="615"/>
      <c r="X249" s="615"/>
      <c r="Y249" s="615"/>
      <c r="Z249" s="615"/>
      <c r="AA249" s="615"/>
    </row>
    <row r="250">
      <c r="A250" s="675"/>
      <c r="B250" s="615"/>
      <c r="C250" s="676"/>
      <c r="D250" s="677"/>
      <c r="E250" s="677"/>
      <c r="F250" s="615"/>
      <c r="G250" s="615"/>
      <c r="H250" s="615"/>
      <c r="I250" s="679"/>
      <c r="J250" s="615"/>
      <c r="K250" s="615"/>
      <c r="L250" s="615"/>
      <c r="M250" s="615"/>
      <c r="N250" s="615"/>
      <c r="O250" s="615"/>
      <c r="P250" s="615"/>
      <c r="Q250" s="615"/>
      <c r="R250" s="615"/>
      <c r="S250" s="615"/>
      <c r="T250" s="615"/>
      <c r="U250" s="615"/>
      <c r="V250" s="615"/>
      <c r="W250" s="615"/>
      <c r="X250" s="615"/>
      <c r="Y250" s="615"/>
      <c r="Z250" s="615"/>
      <c r="AA250" s="615"/>
    </row>
    <row r="251">
      <c r="A251" s="675"/>
      <c r="B251" s="615"/>
      <c r="C251" s="676"/>
      <c r="D251" s="677"/>
      <c r="E251" s="677"/>
      <c r="F251" s="615"/>
      <c r="G251" s="615"/>
      <c r="H251" s="615"/>
      <c r="I251" s="679"/>
      <c r="J251" s="615"/>
      <c r="K251" s="615"/>
      <c r="L251" s="615"/>
      <c r="M251" s="615"/>
      <c r="N251" s="615"/>
      <c r="O251" s="615"/>
      <c r="P251" s="615"/>
      <c r="Q251" s="615"/>
      <c r="R251" s="615"/>
      <c r="S251" s="615"/>
      <c r="T251" s="615"/>
      <c r="U251" s="615"/>
      <c r="V251" s="615"/>
      <c r="W251" s="615"/>
      <c r="X251" s="615"/>
      <c r="Y251" s="615"/>
      <c r="Z251" s="615"/>
      <c r="AA251" s="615"/>
    </row>
    <row r="252">
      <c r="A252" s="675"/>
      <c r="B252" s="615"/>
      <c r="C252" s="676"/>
      <c r="D252" s="677"/>
      <c r="E252" s="677"/>
      <c r="F252" s="615"/>
      <c r="G252" s="615"/>
      <c r="H252" s="615"/>
      <c r="I252" s="679"/>
      <c r="J252" s="615"/>
      <c r="K252" s="615"/>
      <c r="L252" s="615"/>
      <c r="M252" s="615"/>
      <c r="N252" s="615"/>
      <c r="O252" s="615"/>
      <c r="P252" s="615"/>
      <c r="Q252" s="615"/>
      <c r="R252" s="615"/>
      <c r="S252" s="615"/>
      <c r="T252" s="615"/>
      <c r="U252" s="615"/>
      <c r="V252" s="615"/>
      <c r="W252" s="615"/>
      <c r="X252" s="615"/>
      <c r="Y252" s="615"/>
      <c r="Z252" s="615"/>
      <c r="AA252" s="615"/>
    </row>
    <row r="253">
      <c r="A253" s="675"/>
      <c r="B253" s="615"/>
      <c r="C253" s="676"/>
      <c r="D253" s="677"/>
      <c r="E253" s="677"/>
      <c r="F253" s="615"/>
      <c r="G253" s="615"/>
      <c r="H253" s="615"/>
      <c r="I253" s="679"/>
      <c r="J253" s="615"/>
      <c r="K253" s="615"/>
      <c r="L253" s="615"/>
      <c r="M253" s="615"/>
      <c r="N253" s="615"/>
      <c r="O253" s="615"/>
      <c r="P253" s="615"/>
      <c r="Q253" s="615"/>
      <c r="R253" s="615"/>
      <c r="S253" s="615"/>
      <c r="T253" s="615"/>
      <c r="U253" s="615"/>
      <c r="V253" s="615"/>
      <c r="W253" s="615"/>
      <c r="X253" s="615"/>
      <c r="Y253" s="615"/>
      <c r="Z253" s="615"/>
      <c r="AA253" s="615"/>
    </row>
    <row r="254">
      <c r="A254" s="675"/>
      <c r="B254" s="615"/>
      <c r="C254" s="676"/>
      <c r="D254" s="677"/>
      <c r="E254" s="677"/>
      <c r="F254" s="615"/>
      <c r="G254" s="615"/>
      <c r="H254" s="615"/>
      <c r="I254" s="679"/>
      <c r="J254" s="615"/>
      <c r="K254" s="615"/>
      <c r="L254" s="615"/>
      <c r="M254" s="615"/>
      <c r="N254" s="615"/>
      <c r="O254" s="615"/>
      <c r="P254" s="615"/>
      <c r="Q254" s="615"/>
      <c r="R254" s="615"/>
      <c r="S254" s="615"/>
      <c r="T254" s="615"/>
      <c r="U254" s="615"/>
      <c r="V254" s="615"/>
      <c r="W254" s="615"/>
      <c r="X254" s="615"/>
      <c r="Y254" s="615"/>
      <c r="Z254" s="615"/>
      <c r="AA254" s="615"/>
    </row>
    <row r="255">
      <c r="A255" s="675"/>
      <c r="B255" s="615"/>
      <c r="C255" s="676"/>
      <c r="D255" s="677"/>
      <c r="E255" s="677"/>
      <c r="F255" s="615"/>
      <c r="G255" s="615"/>
      <c r="H255" s="615"/>
      <c r="I255" s="679"/>
      <c r="J255" s="615"/>
      <c r="K255" s="615"/>
      <c r="L255" s="615"/>
      <c r="M255" s="615"/>
      <c r="N255" s="615"/>
      <c r="O255" s="615"/>
      <c r="P255" s="615"/>
      <c r="Q255" s="615"/>
      <c r="R255" s="615"/>
      <c r="S255" s="615"/>
      <c r="T255" s="615"/>
      <c r="U255" s="615"/>
      <c r="V255" s="615"/>
      <c r="W255" s="615"/>
      <c r="X255" s="615"/>
      <c r="Y255" s="615"/>
      <c r="Z255" s="615"/>
      <c r="AA255" s="615"/>
    </row>
    <row r="256">
      <c r="A256" s="675"/>
      <c r="B256" s="615"/>
      <c r="C256" s="676"/>
      <c r="D256" s="677"/>
      <c r="E256" s="677"/>
      <c r="F256" s="615"/>
      <c r="G256" s="615"/>
      <c r="H256" s="615"/>
      <c r="I256" s="679"/>
      <c r="J256" s="615"/>
      <c r="K256" s="615"/>
      <c r="L256" s="615"/>
      <c r="M256" s="615"/>
      <c r="N256" s="615"/>
      <c r="O256" s="615"/>
      <c r="P256" s="615"/>
      <c r="Q256" s="615"/>
      <c r="R256" s="615"/>
      <c r="S256" s="615"/>
      <c r="T256" s="615"/>
      <c r="U256" s="615"/>
      <c r="V256" s="615"/>
      <c r="W256" s="615"/>
      <c r="X256" s="615"/>
      <c r="Y256" s="615"/>
      <c r="Z256" s="615"/>
      <c r="AA256" s="615"/>
    </row>
    <row r="257">
      <c r="A257" s="675"/>
      <c r="B257" s="615"/>
      <c r="C257" s="676"/>
      <c r="D257" s="677"/>
      <c r="E257" s="677"/>
      <c r="F257" s="615"/>
      <c r="G257" s="615"/>
      <c r="H257" s="615"/>
      <c r="I257" s="679"/>
      <c r="J257" s="615"/>
      <c r="K257" s="615"/>
      <c r="L257" s="615"/>
      <c r="M257" s="615"/>
      <c r="N257" s="615"/>
      <c r="O257" s="615"/>
      <c r="P257" s="615"/>
      <c r="Q257" s="615"/>
      <c r="R257" s="615"/>
      <c r="S257" s="615"/>
      <c r="T257" s="615"/>
      <c r="U257" s="615"/>
      <c r="V257" s="615"/>
      <c r="W257" s="615"/>
      <c r="X257" s="615"/>
      <c r="Y257" s="615"/>
      <c r="Z257" s="615"/>
      <c r="AA257" s="615"/>
    </row>
    <row r="258">
      <c r="A258" s="675"/>
      <c r="B258" s="615"/>
      <c r="C258" s="676"/>
      <c r="D258" s="677"/>
      <c r="E258" s="677"/>
      <c r="F258" s="615"/>
      <c r="G258" s="615"/>
      <c r="H258" s="615"/>
      <c r="I258" s="679"/>
      <c r="J258" s="615"/>
      <c r="K258" s="615"/>
      <c r="L258" s="615"/>
      <c r="M258" s="615"/>
      <c r="N258" s="615"/>
      <c r="O258" s="615"/>
      <c r="P258" s="615"/>
      <c r="Q258" s="615"/>
      <c r="R258" s="615"/>
      <c r="S258" s="615"/>
      <c r="T258" s="615"/>
      <c r="U258" s="615"/>
      <c r="V258" s="615"/>
      <c r="W258" s="615"/>
      <c r="X258" s="615"/>
      <c r="Y258" s="615"/>
      <c r="Z258" s="615"/>
      <c r="AA258" s="615"/>
    </row>
    <row r="259">
      <c r="A259" s="675"/>
      <c r="B259" s="615"/>
      <c r="C259" s="676"/>
      <c r="D259" s="677"/>
      <c r="E259" s="677"/>
      <c r="F259" s="615"/>
      <c r="G259" s="615"/>
      <c r="H259" s="615"/>
      <c r="I259" s="679"/>
      <c r="J259" s="615"/>
      <c r="K259" s="615"/>
      <c r="L259" s="615"/>
      <c r="M259" s="615"/>
      <c r="N259" s="615"/>
      <c r="O259" s="615"/>
      <c r="P259" s="615"/>
      <c r="Q259" s="615"/>
      <c r="R259" s="615"/>
      <c r="S259" s="615"/>
      <c r="T259" s="615"/>
      <c r="U259" s="615"/>
      <c r="V259" s="615"/>
      <c r="W259" s="615"/>
      <c r="X259" s="615"/>
      <c r="Y259" s="615"/>
      <c r="Z259" s="615"/>
      <c r="AA259" s="615"/>
    </row>
    <row r="260">
      <c r="A260" s="675"/>
      <c r="B260" s="615"/>
      <c r="C260" s="676"/>
      <c r="D260" s="677"/>
      <c r="E260" s="677"/>
      <c r="F260" s="615"/>
      <c r="G260" s="615"/>
      <c r="H260" s="615"/>
      <c r="I260" s="679"/>
      <c r="J260" s="615"/>
      <c r="K260" s="615"/>
      <c r="L260" s="615"/>
      <c r="M260" s="615"/>
      <c r="N260" s="615"/>
      <c r="O260" s="615"/>
      <c r="P260" s="615"/>
      <c r="Q260" s="615"/>
      <c r="R260" s="615"/>
      <c r="S260" s="615"/>
      <c r="T260" s="615"/>
      <c r="U260" s="615"/>
      <c r="V260" s="615"/>
      <c r="W260" s="615"/>
      <c r="X260" s="615"/>
      <c r="Y260" s="615"/>
      <c r="Z260" s="615"/>
      <c r="AA260" s="615"/>
    </row>
    <row r="261">
      <c r="A261" s="675"/>
      <c r="B261" s="615"/>
      <c r="C261" s="676"/>
      <c r="D261" s="677"/>
      <c r="E261" s="677"/>
      <c r="F261" s="615"/>
      <c r="G261" s="615"/>
      <c r="H261" s="615"/>
      <c r="I261" s="679"/>
      <c r="J261" s="615"/>
      <c r="K261" s="615"/>
      <c r="L261" s="615"/>
      <c r="M261" s="615"/>
      <c r="N261" s="615"/>
      <c r="O261" s="615"/>
      <c r="P261" s="615"/>
      <c r="Q261" s="615"/>
      <c r="R261" s="615"/>
      <c r="S261" s="615"/>
      <c r="T261" s="615"/>
      <c r="U261" s="615"/>
      <c r="V261" s="615"/>
      <c r="W261" s="615"/>
      <c r="X261" s="615"/>
      <c r="Y261" s="615"/>
      <c r="Z261" s="615"/>
      <c r="AA261" s="615"/>
    </row>
    <row r="262">
      <c r="A262" s="675"/>
      <c r="B262" s="615"/>
      <c r="C262" s="676"/>
      <c r="D262" s="677"/>
      <c r="E262" s="677"/>
      <c r="F262" s="615"/>
      <c r="G262" s="615"/>
      <c r="H262" s="615"/>
      <c r="I262" s="679"/>
      <c r="J262" s="615"/>
      <c r="K262" s="615"/>
      <c r="L262" s="615"/>
      <c r="M262" s="615"/>
      <c r="N262" s="615"/>
      <c r="O262" s="615"/>
      <c r="P262" s="615"/>
      <c r="Q262" s="615"/>
      <c r="R262" s="615"/>
      <c r="S262" s="615"/>
      <c r="T262" s="615"/>
      <c r="U262" s="615"/>
      <c r="V262" s="615"/>
      <c r="W262" s="615"/>
      <c r="X262" s="615"/>
      <c r="Y262" s="615"/>
      <c r="Z262" s="615"/>
      <c r="AA262" s="615"/>
    </row>
    <row r="263">
      <c r="A263" s="675"/>
      <c r="B263" s="615"/>
      <c r="C263" s="676"/>
      <c r="D263" s="677"/>
      <c r="E263" s="677"/>
      <c r="F263" s="615"/>
      <c r="G263" s="615"/>
      <c r="H263" s="615"/>
      <c r="I263" s="679"/>
      <c r="J263" s="615"/>
      <c r="K263" s="615"/>
      <c r="L263" s="615"/>
      <c r="M263" s="615"/>
      <c r="N263" s="615"/>
      <c r="O263" s="615"/>
      <c r="P263" s="615"/>
      <c r="Q263" s="615"/>
      <c r="R263" s="615"/>
      <c r="S263" s="615"/>
      <c r="T263" s="615"/>
      <c r="U263" s="615"/>
      <c r="V263" s="615"/>
      <c r="W263" s="615"/>
      <c r="X263" s="615"/>
      <c r="Y263" s="615"/>
      <c r="Z263" s="615"/>
      <c r="AA263" s="615"/>
    </row>
    <row r="264">
      <c r="A264" s="675"/>
      <c r="B264" s="615"/>
      <c r="C264" s="676"/>
      <c r="D264" s="677"/>
      <c r="E264" s="677"/>
      <c r="F264" s="615"/>
      <c r="G264" s="615"/>
      <c r="H264" s="615"/>
      <c r="I264" s="679"/>
      <c r="J264" s="615"/>
      <c r="K264" s="615"/>
      <c r="L264" s="615"/>
      <c r="M264" s="615"/>
      <c r="N264" s="615"/>
      <c r="O264" s="615"/>
      <c r="P264" s="615"/>
      <c r="Q264" s="615"/>
      <c r="R264" s="615"/>
      <c r="S264" s="615"/>
      <c r="T264" s="615"/>
      <c r="U264" s="615"/>
      <c r="V264" s="615"/>
      <c r="W264" s="615"/>
      <c r="X264" s="615"/>
      <c r="Y264" s="615"/>
      <c r="Z264" s="615"/>
      <c r="AA264" s="615"/>
    </row>
    <row r="265">
      <c r="A265" s="675"/>
      <c r="B265" s="615"/>
      <c r="C265" s="676"/>
      <c r="D265" s="677"/>
      <c r="E265" s="677"/>
      <c r="F265" s="615"/>
      <c r="G265" s="615"/>
      <c r="H265" s="615"/>
      <c r="I265" s="679"/>
      <c r="J265" s="615"/>
      <c r="K265" s="615"/>
      <c r="L265" s="615"/>
      <c r="M265" s="615"/>
      <c r="N265" s="615"/>
      <c r="O265" s="615"/>
      <c r="P265" s="615"/>
      <c r="Q265" s="615"/>
      <c r="R265" s="615"/>
      <c r="S265" s="615"/>
      <c r="T265" s="615"/>
      <c r="U265" s="615"/>
      <c r="V265" s="615"/>
      <c r="W265" s="615"/>
      <c r="X265" s="615"/>
      <c r="Y265" s="615"/>
      <c r="Z265" s="615"/>
      <c r="AA265" s="615"/>
    </row>
    <row r="266">
      <c r="A266" s="675"/>
      <c r="B266" s="615"/>
      <c r="C266" s="676"/>
      <c r="D266" s="677"/>
      <c r="E266" s="677"/>
      <c r="F266" s="615"/>
      <c r="G266" s="615"/>
      <c r="H266" s="615"/>
      <c r="I266" s="679"/>
      <c r="J266" s="615"/>
      <c r="K266" s="615"/>
      <c r="L266" s="615"/>
      <c r="M266" s="615"/>
      <c r="N266" s="615"/>
      <c r="O266" s="615"/>
      <c r="P266" s="615"/>
      <c r="Q266" s="615"/>
      <c r="R266" s="615"/>
      <c r="S266" s="615"/>
      <c r="T266" s="615"/>
      <c r="U266" s="615"/>
      <c r="V266" s="615"/>
      <c r="W266" s="615"/>
      <c r="X266" s="615"/>
      <c r="Y266" s="615"/>
      <c r="Z266" s="615"/>
      <c r="AA266" s="615"/>
    </row>
    <row r="267">
      <c r="A267" s="675"/>
      <c r="B267" s="615"/>
      <c r="C267" s="676"/>
      <c r="D267" s="677"/>
      <c r="E267" s="677"/>
      <c r="F267" s="615"/>
      <c r="G267" s="615"/>
      <c r="H267" s="615"/>
      <c r="I267" s="679"/>
      <c r="J267" s="615"/>
      <c r="K267" s="615"/>
      <c r="L267" s="615"/>
      <c r="M267" s="615"/>
      <c r="N267" s="615"/>
      <c r="O267" s="615"/>
      <c r="P267" s="615"/>
      <c r="Q267" s="615"/>
      <c r="R267" s="615"/>
      <c r="S267" s="615"/>
      <c r="T267" s="615"/>
      <c r="U267" s="615"/>
      <c r="V267" s="615"/>
      <c r="W267" s="615"/>
      <c r="X267" s="615"/>
      <c r="Y267" s="615"/>
      <c r="Z267" s="615"/>
      <c r="AA267" s="615"/>
    </row>
    <row r="268">
      <c r="A268" s="675"/>
      <c r="B268" s="615"/>
      <c r="C268" s="676"/>
      <c r="D268" s="677"/>
      <c r="E268" s="677"/>
      <c r="F268" s="615"/>
      <c r="G268" s="615"/>
      <c r="H268" s="615"/>
      <c r="I268" s="679"/>
      <c r="J268" s="615"/>
      <c r="K268" s="615"/>
      <c r="L268" s="615"/>
      <c r="M268" s="615"/>
      <c r="N268" s="615"/>
      <c r="O268" s="615"/>
      <c r="P268" s="615"/>
      <c r="Q268" s="615"/>
      <c r="R268" s="615"/>
      <c r="S268" s="615"/>
      <c r="T268" s="615"/>
      <c r="U268" s="615"/>
      <c r="V268" s="615"/>
      <c r="W268" s="615"/>
      <c r="X268" s="615"/>
      <c r="Y268" s="615"/>
      <c r="Z268" s="615"/>
      <c r="AA268" s="615"/>
    </row>
    <row r="269">
      <c r="A269" s="675"/>
      <c r="B269" s="615"/>
      <c r="C269" s="676"/>
      <c r="D269" s="677"/>
      <c r="E269" s="677"/>
      <c r="F269" s="615"/>
      <c r="G269" s="615"/>
      <c r="H269" s="615"/>
      <c r="I269" s="679"/>
      <c r="J269" s="615"/>
      <c r="K269" s="615"/>
      <c r="L269" s="615"/>
      <c r="M269" s="615"/>
      <c r="N269" s="615"/>
      <c r="O269" s="615"/>
      <c r="P269" s="615"/>
      <c r="Q269" s="615"/>
      <c r="R269" s="615"/>
      <c r="S269" s="615"/>
      <c r="T269" s="615"/>
      <c r="U269" s="615"/>
      <c r="V269" s="615"/>
      <c r="W269" s="615"/>
      <c r="X269" s="615"/>
      <c r="Y269" s="615"/>
      <c r="Z269" s="615"/>
      <c r="AA269" s="615"/>
    </row>
    <row r="270">
      <c r="A270" s="675"/>
      <c r="B270" s="615"/>
      <c r="C270" s="676"/>
      <c r="D270" s="677"/>
      <c r="E270" s="677"/>
      <c r="F270" s="615"/>
      <c r="G270" s="615"/>
      <c r="H270" s="615"/>
      <c r="I270" s="679"/>
      <c r="J270" s="615"/>
      <c r="K270" s="615"/>
      <c r="L270" s="615"/>
      <c r="M270" s="615"/>
      <c r="N270" s="615"/>
      <c r="O270" s="615"/>
      <c r="P270" s="615"/>
      <c r="Q270" s="615"/>
      <c r="R270" s="615"/>
      <c r="S270" s="615"/>
      <c r="T270" s="615"/>
      <c r="U270" s="615"/>
      <c r="V270" s="615"/>
      <c r="W270" s="615"/>
      <c r="X270" s="615"/>
      <c r="Y270" s="615"/>
      <c r="Z270" s="615"/>
      <c r="AA270" s="615"/>
    </row>
    <row r="271">
      <c r="A271" s="675"/>
      <c r="B271" s="615"/>
      <c r="C271" s="676"/>
      <c r="D271" s="677"/>
      <c r="E271" s="677"/>
      <c r="F271" s="615"/>
      <c r="G271" s="615"/>
      <c r="H271" s="615"/>
      <c r="I271" s="679"/>
      <c r="J271" s="615"/>
      <c r="K271" s="615"/>
      <c r="L271" s="615"/>
      <c r="M271" s="615"/>
      <c r="N271" s="615"/>
      <c r="O271" s="615"/>
      <c r="P271" s="615"/>
      <c r="Q271" s="615"/>
      <c r="R271" s="615"/>
      <c r="S271" s="615"/>
      <c r="T271" s="615"/>
      <c r="U271" s="615"/>
      <c r="V271" s="615"/>
      <c r="W271" s="615"/>
      <c r="X271" s="615"/>
      <c r="Y271" s="615"/>
      <c r="Z271" s="615"/>
      <c r="AA271" s="615"/>
    </row>
    <row r="272">
      <c r="A272" s="675"/>
      <c r="B272" s="615"/>
      <c r="C272" s="676"/>
      <c r="D272" s="677"/>
      <c r="E272" s="677"/>
      <c r="F272" s="615"/>
      <c r="G272" s="615"/>
      <c r="H272" s="615"/>
      <c r="I272" s="679"/>
      <c r="J272" s="615"/>
      <c r="K272" s="615"/>
      <c r="L272" s="615"/>
      <c r="M272" s="615"/>
      <c r="N272" s="615"/>
      <c r="O272" s="615"/>
      <c r="P272" s="615"/>
      <c r="Q272" s="615"/>
      <c r="R272" s="615"/>
      <c r="S272" s="615"/>
      <c r="T272" s="615"/>
      <c r="U272" s="615"/>
      <c r="V272" s="615"/>
      <c r="W272" s="615"/>
      <c r="X272" s="615"/>
      <c r="Y272" s="615"/>
      <c r="Z272" s="615"/>
      <c r="AA272" s="615"/>
    </row>
    <row r="273">
      <c r="A273" s="675"/>
      <c r="B273" s="615"/>
      <c r="C273" s="676"/>
      <c r="D273" s="677"/>
      <c r="E273" s="677"/>
      <c r="F273" s="615"/>
      <c r="G273" s="615"/>
      <c r="H273" s="615"/>
      <c r="I273" s="679"/>
      <c r="J273" s="615"/>
      <c r="K273" s="615"/>
      <c r="L273" s="615"/>
      <c r="M273" s="615"/>
      <c r="N273" s="615"/>
      <c r="O273" s="615"/>
      <c r="P273" s="615"/>
      <c r="Q273" s="615"/>
      <c r="R273" s="615"/>
      <c r="S273" s="615"/>
      <c r="T273" s="615"/>
      <c r="U273" s="615"/>
      <c r="V273" s="615"/>
      <c r="W273" s="615"/>
      <c r="X273" s="615"/>
      <c r="Y273" s="615"/>
      <c r="Z273" s="615"/>
      <c r="AA273" s="615"/>
    </row>
    <row r="274">
      <c r="A274" s="675"/>
      <c r="B274" s="615"/>
      <c r="C274" s="676"/>
      <c r="D274" s="677"/>
      <c r="E274" s="677"/>
      <c r="F274" s="615"/>
      <c r="G274" s="615"/>
      <c r="H274" s="615"/>
      <c r="I274" s="679"/>
      <c r="J274" s="615"/>
      <c r="K274" s="615"/>
      <c r="L274" s="615"/>
      <c r="M274" s="615"/>
      <c r="N274" s="615"/>
      <c r="O274" s="615"/>
      <c r="P274" s="615"/>
      <c r="Q274" s="615"/>
      <c r="R274" s="615"/>
      <c r="S274" s="615"/>
      <c r="T274" s="615"/>
      <c r="U274" s="615"/>
      <c r="V274" s="615"/>
      <c r="W274" s="615"/>
      <c r="X274" s="615"/>
      <c r="Y274" s="615"/>
      <c r="Z274" s="615"/>
      <c r="AA274" s="615"/>
    </row>
    <row r="275">
      <c r="A275" s="675"/>
      <c r="B275" s="615"/>
      <c r="C275" s="676"/>
      <c r="D275" s="677"/>
      <c r="E275" s="677"/>
      <c r="F275" s="615"/>
      <c r="G275" s="615"/>
      <c r="H275" s="615"/>
      <c r="I275" s="679"/>
      <c r="J275" s="615"/>
      <c r="K275" s="615"/>
      <c r="L275" s="615"/>
      <c r="M275" s="615"/>
      <c r="N275" s="615"/>
      <c r="O275" s="615"/>
      <c r="P275" s="615"/>
      <c r="Q275" s="615"/>
      <c r="R275" s="615"/>
      <c r="S275" s="615"/>
      <c r="T275" s="615"/>
      <c r="U275" s="615"/>
      <c r="V275" s="615"/>
      <c r="W275" s="615"/>
      <c r="X275" s="615"/>
      <c r="Y275" s="615"/>
      <c r="Z275" s="615"/>
      <c r="AA275" s="615"/>
    </row>
    <row r="276">
      <c r="A276" s="675"/>
      <c r="B276" s="615"/>
      <c r="C276" s="676"/>
      <c r="D276" s="677"/>
      <c r="E276" s="677"/>
      <c r="F276" s="615"/>
      <c r="G276" s="615"/>
      <c r="H276" s="615"/>
      <c r="I276" s="679"/>
      <c r="J276" s="615"/>
      <c r="K276" s="615"/>
      <c r="L276" s="615"/>
      <c r="M276" s="615"/>
      <c r="N276" s="615"/>
      <c r="O276" s="615"/>
      <c r="P276" s="615"/>
      <c r="Q276" s="615"/>
      <c r="R276" s="615"/>
      <c r="S276" s="615"/>
      <c r="T276" s="615"/>
      <c r="U276" s="615"/>
      <c r="V276" s="615"/>
      <c r="W276" s="615"/>
      <c r="X276" s="615"/>
      <c r="Y276" s="615"/>
      <c r="Z276" s="615"/>
      <c r="AA276" s="615"/>
    </row>
    <row r="277">
      <c r="A277" s="675"/>
      <c r="B277" s="615"/>
      <c r="C277" s="676"/>
      <c r="D277" s="677"/>
      <c r="E277" s="677"/>
      <c r="F277" s="615"/>
      <c r="G277" s="615"/>
      <c r="H277" s="615"/>
      <c r="I277" s="679"/>
      <c r="J277" s="615"/>
      <c r="K277" s="615"/>
      <c r="L277" s="615"/>
      <c r="M277" s="615"/>
      <c r="N277" s="615"/>
      <c r="O277" s="615"/>
      <c r="P277" s="615"/>
      <c r="Q277" s="615"/>
      <c r="R277" s="615"/>
      <c r="S277" s="615"/>
      <c r="T277" s="615"/>
      <c r="U277" s="615"/>
      <c r="V277" s="615"/>
      <c r="W277" s="615"/>
      <c r="X277" s="615"/>
      <c r="Y277" s="615"/>
      <c r="Z277" s="615"/>
      <c r="AA277" s="615"/>
    </row>
    <row r="278">
      <c r="A278" s="675"/>
      <c r="B278" s="615"/>
      <c r="C278" s="676"/>
      <c r="D278" s="677"/>
      <c r="E278" s="677"/>
      <c r="F278" s="615"/>
      <c r="G278" s="615"/>
      <c r="H278" s="615"/>
      <c r="I278" s="679"/>
      <c r="J278" s="615"/>
      <c r="K278" s="615"/>
      <c r="L278" s="615"/>
      <c r="M278" s="615"/>
      <c r="N278" s="615"/>
      <c r="O278" s="615"/>
      <c r="P278" s="615"/>
      <c r="Q278" s="615"/>
      <c r="R278" s="615"/>
      <c r="S278" s="615"/>
      <c r="T278" s="615"/>
      <c r="U278" s="615"/>
      <c r="V278" s="615"/>
      <c r="W278" s="615"/>
      <c r="X278" s="615"/>
      <c r="Y278" s="615"/>
      <c r="Z278" s="615"/>
      <c r="AA278" s="615"/>
    </row>
    <row r="279">
      <c r="A279" s="675"/>
      <c r="B279" s="615"/>
      <c r="C279" s="676"/>
      <c r="D279" s="677"/>
      <c r="E279" s="677"/>
      <c r="F279" s="615"/>
      <c r="G279" s="615"/>
      <c r="H279" s="615"/>
      <c r="I279" s="679"/>
      <c r="J279" s="615"/>
      <c r="K279" s="615"/>
      <c r="L279" s="615"/>
      <c r="M279" s="615"/>
      <c r="N279" s="615"/>
      <c r="O279" s="615"/>
      <c r="P279" s="615"/>
      <c r="Q279" s="615"/>
      <c r="R279" s="615"/>
      <c r="S279" s="615"/>
      <c r="T279" s="615"/>
      <c r="U279" s="615"/>
      <c r="V279" s="615"/>
      <c r="W279" s="615"/>
      <c r="X279" s="615"/>
      <c r="Y279" s="615"/>
      <c r="Z279" s="615"/>
      <c r="AA279" s="615"/>
    </row>
    <row r="280">
      <c r="A280" s="675"/>
      <c r="B280" s="615"/>
      <c r="C280" s="676"/>
      <c r="D280" s="677"/>
      <c r="E280" s="677"/>
      <c r="F280" s="615"/>
      <c r="G280" s="615"/>
      <c r="H280" s="615"/>
      <c r="I280" s="679"/>
      <c r="J280" s="615"/>
      <c r="K280" s="615"/>
      <c r="L280" s="615"/>
      <c r="M280" s="615"/>
      <c r="N280" s="615"/>
      <c r="O280" s="615"/>
      <c r="P280" s="615"/>
      <c r="Q280" s="615"/>
      <c r="R280" s="615"/>
      <c r="S280" s="615"/>
      <c r="T280" s="615"/>
      <c r="U280" s="615"/>
      <c r="V280" s="615"/>
      <c r="W280" s="615"/>
      <c r="X280" s="615"/>
      <c r="Y280" s="615"/>
      <c r="Z280" s="615"/>
      <c r="AA280" s="615"/>
    </row>
    <row r="281">
      <c r="A281" s="675"/>
      <c r="B281" s="615"/>
      <c r="C281" s="676"/>
      <c r="D281" s="677"/>
      <c r="E281" s="677"/>
      <c r="F281" s="615"/>
      <c r="G281" s="615"/>
      <c r="H281" s="615"/>
      <c r="I281" s="679"/>
      <c r="J281" s="615"/>
      <c r="K281" s="615"/>
      <c r="L281" s="615"/>
      <c r="M281" s="615"/>
      <c r="N281" s="615"/>
      <c r="O281" s="615"/>
      <c r="P281" s="615"/>
      <c r="Q281" s="615"/>
      <c r="R281" s="615"/>
      <c r="S281" s="615"/>
      <c r="T281" s="615"/>
      <c r="U281" s="615"/>
      <c r="V281" s="615"/>
      <c r="W281" s="615"/>
      <c r="X281" s="615"/>
      <c r="Y281" s="615"/>
      <c r="Z281" s="615"/>
      <c r="AA281" s="615"/>
    </row>
    <row r="282">
      <c r="A282" s="675"/>
      <c r="B282" s="615"/>
      <c r="C282" s="676"/>
      <c r="D282" s="677"/>
      <c r="E282" s="677"/>
      <c r="F282" s="615"/>
      <c r="G282" s="615"/>
      <c r="H282" s="615"/>
      <c r="I282" s="679"/>
      <c r="J282" s="615"/>
      <c r="K282" s="615"/>
      <c r="L282" s="615"/>
      <c r="M282" s="615"/>
      <c r="N282" s="615"/>
      <c r="O282" s="615"/>
      <c r="P282" s="615"/>
      <c r="Q282" s="615"/>
      <c r="R282" s="615"/>
      <c r="S282" s="615"/>
      <c r="T282" s="615"/>
      <c r="U282" s="615"/>
      <c r="V282" s="615"/>
      <c r="W282" s="615"/>
      <c r="X282" s="615"/>
      <c r="Y282" s="615"/>
      <c r="Z282" s="615"/>
      <c r="AA282" s="615"/>
    </row>
    <row r="283">
      <c r="A283" s="675"/>
      <c r="B283" s="615"/>
      <c r="C283" s="676"/>
      <c r="D283" s="677"/>
      <c r="E283" s="677"/>
      <c r="F283" s="615"/>
      <c r="G283" s="615"/>
      <c r="H283" s="615"/>
      <c r="I283" s="679"/>
      <c r="J283" s="615"/>
      <c r="K283" s="615"/>
      <c r="L283" s="615"/>
      <c r="M283" s="615"/>
      <c r="N283" s="615"/>
      <c r="O283" s="615"/>
      <c r="P283" s="615"/>
      <c r="Q283" s="615"/>
      <c r="R283" s="615"/>
      <c r="S283" s="615"/>
      <c r="T283" s="615"/>
      <c r="U283" s="615"/>
      <c r="V283" s="615"/>
      <c r="W283" s="615"/>
      <c r="X283" s="615"/>
      <c r="Y283" s="615"/>
      <c r="Z283" s="615"/>
      <c r="AA283" s="615"/>
    </row>
    <row r="284">
      <c r="A284" s="675"/>
      <c r="B284" s="615"/>
      <c r="C284" s="676"/>
      <c r="D284" s="677"/>
      <c r="E284" s="677"/>
      <c r="F284" s="615"/>
      <c r="G284" s="615"/>
      <c r="H284" s="615"/>
      <c r="I284" s="679"/>
      <c r="J284" s="615"/>
      <c r="K284" s="615"/>
      <c r="L284" s="615"/>
      <c r="M284" s="615"/>
      <c r="N284" s="615"/>
      <c r="O284" s="615"/>
      <c r="P284" s="615"/>
      <c r="Q284" s="615"/>
      <c r="R284" s="615"/>
      <c r="S284" s="615"/>
      <c r="T284" s="615"/>
      <c r="U284" s="615"/>
      <c r="V284" s="615"/>
      <c r="W284" s="615"/>
      <c r="X284" s="615"/>
      <c r="Y284" s="615"/>
      <c r="Z284" s="615"/>
      <c r="AA284" s="615"/>
    </row>
    <row r="285">
      <c r="A285" s="675"/>
      <c r="B285" s="615"/>
      <c r="C285" s="676"/>
      <c r="D285" s="677"/>
      <c r="E285" s="677"/>
      <c r="F285" s="615"/>
      <c r="G285" s="615"/>
      <c r="H285" s="615"/>
      <c r="I285" s="679"/>
      <c r="J285" s="615"/>
      <c r="K285" s="615"/>
      <c r="L285" s="615"/>
      <c r="M285" s="615"/>
      <c r="N285" s="615"/>
      <c r="O285" s="615"/>
      <c r="P285" s="615"/>
      <c r="Q285" s="615"/>
      <c r="R285" s="615"/>
      <c r="S285" s="615"/>
      <c r="T285" s="615"/>
      <c r="U285" s="615"/>
      <c r="V285" s="615"/>
      <c r="W285" s="615"/>
      <c r="X285" s="615"/>
      <c r="Y285" s="615"/>
      <c r="Z285" s="615"/>
      <c r="AA285" s="615"/>
    </row>
    <row r="286">
      <c r="A286" s="675"/>
      <c r="B286" s="615"/>
      <c r="C286" s="676"/>
      <c r="D286" s="677"/>
      <c r="E286" s="677"/>
      <c r="F286" s="615"/>
      <c r="G286" s="615"/>
      <c r="H286" s="615"/>
      <c r="I286" s="679"/>
      <c r="J286" s="615"/>
      <c r="K286" s="615"/>
      <c r="L286" s="615"/>
      <c r="M286" s="615"/>
      <c r="N286" s="615"/>
      <c r="O286" s="615"/>
      <c r="P286" s="615"/>
      <c r="Q286" s="615"/>
      <c r="R286" s="615"/>
      <c r="S286" s="615"/>
      <c r="T286" s="615"/>
      <c r="U286" s="615"/>
      <c r="V286" s="615"/>
      <c r="W286" s="615"/>
      <c r="X286" s="615"/>
      <c r="Y286" s="615"/>
      <c r="Z286" s="615"/>
      <c r="AA286" s="615"/>
    </row>
    <row r="287">
      <c r="A287" s="675"/>
      <c r="B287" s="615"/>
      <c r="C287" s="676"/>
      <c r="D287" s="677"/>
      <c r="E287" s="677"/>
      <c r="F287" s="615"/>
      <c r="G287" s="615"/>
      <c r="H287" s="615"/>
      <c r="I287" s="679"/>
      <c r="J287" s="615"/>
      <c r="K287" s="615"/>
      <c r="L287" s="615"/>
      <c r="M287" s="615"/>
      <c r="N287" s="615"/>
      <c r="O287" s="615"/>
      <c r="P287" s="615"/>
      <c r="Q287" s="615"/>
      <c r="R287" s="615"/>
      <c r="S287" s="615"/>
      <c r="T287" s="615"/>
      <c r="U287" s="615"/>
      <c r="V287" s="615"/>
      <c r="W287" s="615"/>
      <c r="X287" s="615"/>
      <c r="Y287" s="615"/>
      <c r="Z287" s="615"/>
      <c r="AA287" s="615"/>
    </row>
    <row r="288">
      <c r="A288" s="675"/>
      <c r="B288" s="615"/>
      <c r="C288" s="676"/>
      <c r="D288" s="677"/>
      <c r="E288" s="677"/>
      <c r="F288" s="615"/>
      <c r="G288" s="615"/>
      <c r="H288" s="615"/>
      <c r="I288" s="679"/>
      <c r="J288" s="615"/>
      <c r="K288" s="615"/>
      <c r="L288" s="615"/>
      <c r="M288" s="615"/>
      <c r="N288" s="615"/>
      <c r="O288" s="615"/>
      <c r="P288" s="615"/>
      <c r="Q288" s="615"/>
      <c r="R288" s="615"/>
      <c r="S288" s="615"/>
      <c r="T288" s="615"/>
      <c r="U288" s="615"/>
      <c r="V288" s="615"/>
      <c r="W288" s="615"/>
      <c r="X288" s="615"/>
      <c r="Y288" s="615"/>
      <c r="Z288" s="615"/>
      <c r="AA288" s="615"/>
    </row>
    <row r="289">
      <c r="A289" s="675"/>
      <c r="B289" s="615"/>
      <c r="C289" s="676"/>
      <c r="D289" s="677"/>
      <c r="E289" s="677"/>
      <c r="F289" s="615"/>
      <c r="G289" s="615"/>
      <c r="H289" s="615"/>
      <c r="I289" s="679"/>
      <c r="J289" s="615"/>
      <c r="K289" s="615"/>
      <c r="L289" s="615"/>
      <c r="M289" s="615"/>
      <c r="N289" s="615"/>
      <c r="O289" s="615"/>
      <c r="P289" s="615"/>
      <c r="Q289" s="615"/>
      <c r="R289" s="615"/>
      <c r="S289" s="615"/>
      <c r="T289" s="615"/>
      <c r="U289" s="615"/>
      <c r="V289" s="615"/>
      <c r="W289" s="615"/>
      <c r="X289" s="615"/>
      <c r="Y289" s="615"/>
      <c r="Z289" s="615"/>
      <c r="AA289" s="615"/>
    </row>
    <row r="290">
      <c r="A290" s="675"/>
      <c r="B290" s="615"/>
      <c r="C290" s="676"/>
      <c r="D290" s="677"/>
      <c r="E290" s="677"/>
      <c r="F290" s="615"/>
      <c r="G290" s="615"/>
      <c r="H290" s="615"/>
      <c r="I290" s="679"/>
      <c r="J290" s="615"/>
      <c r="K290" s="615"/>
      <c r="L290" s="615"/>
      <c r="M290" s="615"/>
      <c r="N290" s="615"/>
      <c r="O290" s="615"/>
      <c r="P290" s="615"/>
      <c r="Q290" s="615"/>
      <c r="R290" s="615"/>
      <c r="S290" s="615"/>
      <c r="T290" s="615"/>
      <c r="U290" s="615"/>
      <c r="V290" s="615"/>
      <c r="W290" s="615"/>
      <c r="X290" s="615"/>
      <c r="Y290" s="615"/>
      <c r="Z290" s="615"/>
      <c r="AA290" s="615"/>
    </row>
    <row r="291">
      <c r="A291" s="675"/>
      <c r="B291" s="615"/>
      <c r="C291" s="676"/>
      <c r="D291" s="677"/>
      <c r="E291" s="677"/>
      <c r="F291" s="615"/>
      <c r="G291" s="615"/>
      <c r="H291" s="615"/>
      <c r="I291" s="679"/>
      <c r="J291" s="615"/>
      <c r="K291" s="615"/>
      <c r="L291" s="615"/>
      <c r="M291" s="615"/>
      <c r="N291" s="615"/>
      <c r="O291" s="615"/>
      <c r="P291" s="615"/>
      <c r="Q291" s="615"/>
      <c r="R291" s="615"/>
      <c r="S291" s="615"/>
      <c r="T291" s="615"/>
      <c r="U291" s="615"/>
      <c r="V291" s="615"/>
      <c r="W291" s="615"/>
      <c r="X291" s="615"/>
      <c r="Y291" s="615"/>
      <c r="Z291" s="615"/>
      <c r="AA291" s="615"/>
    </row>
    <row r="292">
      <c r="A292" s="675"/>
      <c r="B292" s="615"/>
      <c r="C292" s="676"/>
      <c r="D292" s="677"/>
      <c r="E292" s="677"/>
      <c r="F292" s="615"/>
      <c r="G292" s="615"/>
      <c r="H292" s="615"/>
      <c r="I292" s="679"/>
      <c r="J292" s="615"/>
      <c r="K292" s="615"/>
      <c r="L292" s="615"/>
      <c r="M292" s="615"/>
      <c r="N292" s="615"/>
      <c r="O292" s="615"/>
      <c r="P292" s="615"/>
      <c r="Q292" s="615"/>
      <c r="R292" s="615"/>
      <c r="S292" s="615"/>
      <c r="T292" s="615"/>
      <c r="U292" s="615"/>
      <c r="V292" s="615"/>
      <c r="W292" s="615"/>
      <c r="X292" s="615"/>
      <c r="Y292" s="615"/>
      <c r="Z292" s="615"/>
      <c r="AA292" s="615"/>
    </row>
    <row r="293">
      <c r="A293" s="675"/>
      <c r="B293" s="615"/>
      <c r="C293" s="676"/>
      <c r="D293" s="677"/>
      <c r="E293" s="677"/>
      <c r="F293" s="615"/>
      <c r="G293" s="615"/>
      <c r="H293" s="615"/>
      <c r="I293" s="679"/>
      <c r="J293" s="615"/>
      <c r="K293" s="615"/>
      <c r="L293" s="615"/>
      <c r="M293" s="615"/>
      <c r="N293" s="615"/>
      <c r="O293" s="615"/>
      <c r="P293" s="615"/>
      <c r="Q293" s="615"/>
      <c r="R293" s="615"/>
      <c r="S293" s="615"/>
      <c r="T293" s="615"/>
      <c r="U293" s="615"/>
      <c r="V293" s="615"/>
      <c r="W293" s="615"/>
      <c r="X293" s="615"/>
      <c r="Y293" s="615"/>
      <c r="Z293" s="615"/>
      <c r="AA293" s="615"/>
    </row>
    <row r="294">
      <c r="A294" s="675"/>
      <c r="B294" s="615"/>
      <c r="C294" s="676"/>
      <c r="D294" s="677"/>
      <c r="E294" s="677"/>
      <c r="F294" s="615"/>
      <c r="G294" s="615"/>
      <c r="H294" s="615"/>
      <c r="I294" s="679"/>
      <c r="J294" s="615"/>
      <c r="K294" s="615"/>
      <c r="L294" s="615"/>
      <c r="M294" s="615"/>
      <c r="N294" s="615"/>
      <c r="O294" s="615"/>
      <c r="P294" s="615"/>
      <c r="Q294" s="615"/>
      <c r="R294" s="615"/>
      <c r="S294" s="615"/>
      <c r="T294" s="615"/>
      <c r="U294" s="615"/>
      <c r="V294" s="615"/>
      <c r="W294" s="615"/>
      <c r="X294" s="615"/>
      <c r="Y294" s="615"/>
      <c r="Z294" s="615"/>
      <c r="AA294" s="615"/>
    </row>
    <row r="295">
      <c r="A295" s="675"/>
      <c r="B295" s="615"/>
      <c r="C295" s="676"/>
      <c r="D295" s="677"/>
      <c r="E295" s="677"/>
      <c r="F295" s="615"/>
      <c r="G295" s="615"/>
      <c r="H295" s="615"/>
      <c r="I295" s="679"/>
      <c r="J295" s="615"/>
      <c r="K295" s="615"/>
      <c r="L295" s="615"/>
      <c r="M295" s="615"/>
      <c r="N295" s="615"/>
      <c r="O295" s="615"/>
      <c r="P295" s="615"/>
      <c r="Q295" s="615"/>
      <c r="R295" s="615"/>
      <c r="S295" s="615"/>
      <c r="T295" s="615"/>
      <c r="U295" s="615"/>
      <c r="V295" s="615"/>
      <c r="W295" s="615"/>
      <c r="X295" s="615"/>
      <c r="Y295" s="615"/>
      <c r="Z295" s="615"/>
      <c r="AA295" s="615"/>
    </row>
    <row r="296">
      <c r="A296" s="675"/>
      <c r="B296" s="615"/>
      <c r="C296" s="676"/>
      <c r="D296" s="677"/>
      <c r="E296" s="677"/>
      <c r="F296" s="615"/>
      <c r="G296" s="615"/>
      <c r="H296" s="615"/>
      <c r="I296" s="679"/>
      <c r="J296" s="615"/>
      <c r="K296" s="615"/>
      <c r="L296" s="615"/>
      <c r="M296" s="615"/>
      <c r="N296" s="615"/>
      <c r="O296" s="615"/>
      <c r="P296" s="615"/>
      <c r="Q296" s="615"/>
      <c r="R296" s="615"/>
      <c r="S296" s="615"/>
      <c r="T296" s="615"/>
      <c r="U296" s="615"/>
      <c r="V296" s="615"/>
      <c r="W296" s="615"/>
      <c r="X296" s="615"/>
      <c r="Y296" s="615"/>
      <c r="Z296" s="615"/>
      <c r="AA296" s="615"/>
    </row>
    <row r="297">
      <c r="A297" s="675"/>
      <c r="B297" s="615"/>
      <c r="C297" s="676"/>
      <c r="D297" s="677"/>
      <c r="E297" s="677"/>
      <c r="F297" s="615"/>
      <c r="G297" s="615"/>
      <c r="H297" s="615"/>
      <c r="I297" s="679"/>
      <c r="J297" s="615"/>
      <c r="K297" s="615"/>
      <c r="L297" s="615"/>
      <c r="M297" s="615"/>
      <c r="N297" s="615"/>
      <c r="O297" s="615"/>
      <c r="P297" s="615"/>
      <c r="Q297" s="615"/>
      <c r="R297" s="615"/>
      <c r="S297" s="615"/>
      <c r="T297" s="615"/>
      <c r="U297" s="615"/>
      <c r="V297" s="615"/>
      <c r="W297" s="615"/>
      <c r="X297" s="615"/>
      <c r="Y297" s="615"/>
      <c r="Z297" s="615"/>
      <c r="AA297" s="615"/>
    </row>
    <row r="298">
      <c r="A298" s="675"/>
      <c r="B298" s="615"/>
      <c r="C298" s="676"/>
      <c r="D298" s="677"/>
      <c r="E298" s="677"/>
      <c r="F298" s="615"/>
      <c r="G298" s="615"/>
      <c r="H298" s="615"/>
      <c r="I298" s="679"/>
      <c r="J298" s="615"/>
      <c r="K298" s="615"/>
      <c r="L298" s="615"/>
      <c r="M298" s="615"/>
      <c r="N298" s="615"/>
      <c r="O298" s="615"/>
      <c r="P298" s="615"/>
      <c r="Q298" s="615"/>
      <c r="R298" s="615"/>
      <c r="S298" s="615"/>
      <c r="T298" s="615"/>
      <c r="U298" s="615"/>
      <c r="V298" s="615"/>
      <c r="W298" s="615"/>
      <c r="X298" s="615"/>
      <c r="Y298" s="615"/>
      <c r="Z298" s="615"/>
      <c r="AA298" s="615"/>
    </row>
    <row r="299">
      <c r="A299" s="675"/>
      <c r="B299" s="615"/>
      <c r="C299" s="676"/>
      <c r="D299" s="677"/>
      <c r="E299" s="677"/>
      <c r="F299" s="615"/>
      <c r="G299" s="615"/>
      <c r="H299" s="615"/>
      <c r="I299" s="679"/>
      <c r="J299" s="615"/>
      <c r="K299" s="615"/>
      <c r="L299" s="615"/>
      <c r="M299" s="615"/>
      <c r="N299" s="615"/>
      <c r="O299" s="615"/>
      <c r="P299" s="615"/>
      <c r="Q299" s="615"/>
      <c r="R299" s="615"/>
      <c r="S299" s="615"/>
      <c r="T299" s="615"/>
      <c r="U299" s="615"/>
      <c r="V299" s="615"/>
      <c r="W299" s="615"/>
      <c r="X299" s="615"/>
      <c r="Y299" s="615"/>
      <c r="Z299" s="615"/>
      <c r="AA299" s="615"/>
    </row>
    <row r="300">
      <c r="A300" s="675"/>
      <c r="B300" s="615"/>
      <c r="C300" s="676"/>
      <c r="D300" s="677"/>
      <c r="E300" s="677"/>
      <c r="F300" s="615"/>
      <c r="G300" s="615"/>
      <c r="H300" s="615"/>
      <c r="I300" s="679"/>
      <c r="J300" s="615"/>
      <c r="K300" s="615"/>
      <c r="L300" s="615"/>
      <c r="M300" s="615"/>
      <c r="N300" s="615"/>
      <c r="O300" s="615"/>
      <c r="P300" s="615"/>
      <c r="Q300" s="615"/>
      <c r="R300" s="615"/>
      <c r="S300" s="615"/>
      <c r="T300" s="615"/>
      <c r="U300" s="615"/>
      <c r="V300" s="615"/>
      <c r="W300" s="615"/>
      <c r="X300" s="615"/>
      <c r="Y300" s="615"/>
      <c r="Z300" s="615"/>
      <c r="AA300" s="615"/>
    </row>
    <row r="301">
      <c r="A301" s="675"/>
      <c r="B301" s="615"/>
      <c r="C301" s="676"/>
      <c r="D301" s="677"/>
      <c r="E301" s="677"/>
      <c r="F301" s="615"/>
      <c r="G301" s="615"/>
      <c r="H301" s="615"/>
      <c r="I301" s="679"/>
      <c r="J301" s="615"/>
      <c r="K301" s="615"/>
      <c r="L301" s="615"/>
      <c r="M301" s="615"/>
      <c r="N301" s="615"/>
      <c r="O301" s="615"/>
      <c r="P301" s="615"/>
      <c r="Q301" s="615"/>
      <c r="R301" s="615"/>
      <c r="S301" s="615"/>
      <c r="T301" s="615"/>
      <c r="U301" s="615"/>
      <c r="V301" s="615"/>
      <c r="W301" s="615"/>
      <c r="X301" s="615"/>
      <c r="Y301" s="615"/>
      <c r="Z301" s="615"/>
      <c r="AA301" s="615"/>
    </row>
    <row r="302">
      <c r="A302" s="675"/>
      <c r="B302" s="615"/>
      <c r="C302" s="676"/>
      <c r="D302" s="677"/>
      <c r="E302" s="677"/>
      <c r="F302" s="615"/>
      <c r="G302" s="615"/>
      <c r="H302" s="615"/>
      <c r="I302" s="679"/>
      <c r="J302" s="615"/>
      <c r="K302" s="615"/>
      <c r="L302" s="615"/>
      <c r="M302" s="615"/>
      <c r="N302" s="615"/>
      <c r="O302" s="615"/>
      <c r="P302" s="615"/>
      <c r="Q302" s="615"/>
      <c r="R302" s="615"/>
      <c r="S302" s="615"/>
      <c r="T302" s="615"/>
      <c r="U302" s="615"/>
      <c r="V302" s="615"/>
      <c r="W302" s="615"/>
      <c r="X302" s="615"/>
      <c r="Y302" s="615"/>
      <c r="Z302" s="615"/>
      <c r="AA302" s="615"/>
    </row>
    <row r="303">
      <c r="A303" s="675"/>
      <c r="B303" s="615"/>
      <c r="C303" s="676"/>
      <c r="D303" s="677"/>
      <c r="E303" s="677"/>
      <c r="F303" s="615"/>
      <c r="G303" s="615"/>
      <c r="H303" s="615"/>
      <c r="I303" s="679"/>
      <c r="J303" s="615"/>
      <c r="K303" s="615"/>
      <c r="L303" s="615"/>
      <c r="M303" s="615"/>
      <c r="N303" s="615"/>
      <c r="O303" s="615"/>
      <c r="P303" s="615"/>
      <c r="Q303" s="615"/>
      <c r="R303" s="615"/>
      <c r="S303" s="615"/>
      <c r="T303" s="615"/>
      <c r="U303" s="615"/>
      <c r="V303" s="615"/>
      <c r="W303" s="615"/>
      <c r="X303" s="615"/>
      <c r="Y303" s="615"/>
      <c r="Z303" s="615"/>
      <c r="AA303" s="615"/>
    </row>
    <row r="304">
      <c r="A304" s="675"/>
      <c r="B304" s="615"/>
      <c r="C304" s="676"/>
      <c r="D304" s="677"/>
      <c r="E304" s="677"/>
      <c r="F304" s="615"/>
      <c r="G304" s="615"/>
      <c r="H304" s="615"/>
      <c r="I304" s="679"/>
      <c r="J304" s="615"/>
      <c r="K304" s="615"/>
      <c r="L304" s="615"/>
      <c r="M304" s="615"/>
      <c r="N304" s="615"/>
      <c r="O304" s="615"/>
      <c r="P304" s="615"/>
      <c r="Q304" s="615"/>
      <c r="R304" s="615"/>
      <c r="S304" s="615"/>
      <c r="T304" s="615"/>
      <c r="U304" s="615"/>
      <c r="V304" s="615"/>
      <c r="W304" s="615"/>
      <c r="X304" s="615"/>
      <c r="Y304" s="615"/>
      <c r="Z304" s="615"/>
      <c r="AA304" s="615"/>
    </row>
    <row r="305">
      <c r="A305" s="675"/>
      <c r="B305" s="615"/>
      <c r="C305" s="676"/>
      <c r="D305" s="677"/>
      <c r="E305" s="677"/>
      <c r="F305" s="615"/>
      <c r="G305" s="615"/>
      <c r="H305" s="615"/>
      <c r="I305" s="679"/>
      <c r="J305" s="615"/>
      <c r="K305" s="615"/>
      <c r="L305" s="615"/>
      <c r="M305" s="615"/>
      <c r="N305" s="615"/>
      <c r="O305" s="615"/>
      <c r="P305" s="615"/>
      <c r="Q305" s="615"/>
      <c r="R305" s="615"/>
      <c r="S305" s="615"/>
      <c r="T305" s="615"/>
      <c r="U305" s="615"/>
      <c r="V305" s="615"/>
      <c r="W305" s="615"/>
      <c r="X305" s="615"/>
      <c r="Y305" s="615"/>
      <c r="Z305" s="615"/>
      <c r="AA305" s="615"/>
    </row>
    <row r="306">
      <c r="A306" s="675"/>
      <c r="B306" s="615"/>
      <c r="C306" s="676"/>
      <c r="D306" s="677"/>
      <c r="E306" s="677"/>
      <c r="F306" s="615"/>
      <c r="G306" s="615"/>
      <c r="H306" s="615"/>
      <c r="I306" s="679"/>
      <c r="J306" s="615"/>
      <c r="K306" s="615"/>
      <c r="L306" s="615"/>
      <c r="M306" s="615"/>
      <c r="N306" s="615"/>
      <c r="O306" s="615"/>
      <c r="P306" s="615"/>
      <c r="Q306" s="615"/>
      <c r="R306" s="615"/>
      <c r="S306" s="615"/>
      <c r="T306" s="615"/>
      <c r="U306" s="615"/>
      <c r="V306" s="615"/>
      <c r="W306" s="615"/>
      <c r="X306" s="615"/>
      <c r="Y306" s="615"/>
      <c r="Z306" s="615"/>
      <c r="AA306" s="615"/>
    </row>
    <row r="307">
      <c r="A307" s="675"/>
      <c r="B307" s="615"/>
      <c r="C307" s="676"/>
      <c r="D307" s="677"/>
      <c r="E307" s="677"/>
      <c r="F307" s="615"/>
      <c r="G307" s="615"/>
      <c r="H307" s="615"/>
      <c r="I307" s="679"/>
      <c r="J307" s="615"/>
      <c r="K307" s="615"/>
      <c r="L307" s="615"/>
      <c r="M307" s="615"/>
      <c r="N307" s="615"/>
      <c r="O307" s="615"/>
      <c r="P307" s="615"/>
      <c r="Q307" s="615"/>
      <c r="R307" s="615"/>
      <c r="S307" s="615"/>
      <c r="T307" s="615"/>
      <c r="U307" s="615"/>
      <c r="V307" s="615"/>
      <c r="W307" s="615"/>
      <c r="X307" s="615"/>
      <c r="Y307" s="615"/>
      <c r="Z307" s="615"/>
      <c r="AA307" s="615"/>
    </row>
    <row r="308">
      <c r="A308" s="675"/>
      <c r="B308" s="615"/>
      <c r="C308" s="676"/>
      <c r="D308" s="677"/>
      <c r="E308" s="677"/>
      <c r="F308" s="615"/>
      <c r="G308" s="615"/>
      <c r="H308" s="615"/>
      <c r="I308" s="679"/>
      <c r="J308" s="615"/>
      <c r="K308" s="615"/>
      <c r="L308" s="615"/>
      <c r="M308" s="615"/>
      <c r="N308" s="615"/>
      <c r="O308" s="615"/>
      <c r="P308" s="615"/>
      <c r="Q308" s="615"/>
      <c r="R308" s="615"/>
      <c r="S308" s="615"/>
      <c r="T308" s="615"/>
      <c r="U308" s="615"/>
      <c r="V308" s="615"/>
      <c r="W308" s="615"/>
      <c r="X308" s="615"/>
      <c r="Y308" s="615"/>
      <c r="Z308" s="615"/>
      <c r="AA308" s="615"/>
    </row>
    <row r="309">
      <c r="A309" s="675"/>
      <c r="B309" s="615"/>
      <c r="C309" s="676"/>
      <c r="D309" s="677"/>
      <c r="E309" s="677"/>
      <c r="F309" s="615"/>
      <c r="G309" s="615"/>
      <c r="H309" s="615"/>
      <c r="I309" s="679"/>
      <c r="J309" s="615"/>
      <c r="K309" s="615"/>
      <c r="L309" s="615"/>
      <c r="M309" s="615"/>
      <c r="N309" s="615"/>
      <c r="O309" s="615"/>
      <c r="P309" s="615"/>
      <c r="Q309" s="615"/>
      <c r="R309" s="615"/>
      <c r="S309" s="615"/>
      <c r="T309" s="615"/>
      <c r="U309" s="615"/>
      <c r="V309" s="615"/>
      <c r="W309" s="615"/>
      <c r="X309" s="615"/>
      <c r="Y309" s="615"/>
      <c r="Z309" s="615"/>
      <c r="AA309" s="615"/>
    </row>
    <row r="310">
      <c r="A310" s="675"/>
      <c r="B310" s="615"/>
      <c r="C310" s="676"/>
      <c r="D310" s="677"/>
      <c r="E310" s="677"/>
      <c r="F310" s="615"/>
      <c r="G310" s="615"/>
      <c r="H310" s="615"/>
      <c r="I310" s="679"/>
      <c r="J310" s="615"/>
      <c r="K310" s="615"/>
      <c r="L310" s="615"/>
      <c r="M310" s="615"/>
      <c r="N310" s="615"/>
      <c r="O310" s="615"/>
      <c r="P310" s="615"/>
      <c r="Q310" s="615"/>
      <c r="R310" s="615"/>
      <c r="S310" s="615"/>
      <c r="T310" s="615"/>
      <c r="U310" s="615"/>
      <c r="V310" s="615"/>
      <c r="W310" s="615"/>
      <c r="X310" s="615"/>
      <c r="Y310" s="615"/>
      <c r="Z310" s="615"/>
      <c r="AA310" s="615"/>
    </row>
    <row r="311">
      <c r="A311" s="675"/>
      <c r="B311" s="615"/>
      <c r="C311" s="676"/>
      <c r="D311" s="677"/>
      <c r="E311" s="677"/>
      <c r="F311" s="615"/>
      <c r="G311" s="615"/>
      <c r="H311" s="615"/>
      <c r="I311" s="679"/>
      <c r="J311" s="615"/>
      <c r="K311" s="615"/>
      <c r="L311" s="615"/>
      <c r="M311" s="615"/>
      <c r="N311" s="615"/>
      <c r="O311" s="615"/>
      <c r="P311" s="615"/>
      <c r="Q311" s="615"/>
      <c r="R311" s="615"/>
      <c r="S311" s="615"/>
      <c r="T311" s="615"/>
      <c r="U311" s="615"/>
      <c r="V311" s="615"/>
      <c r="W311" s="615"/>
      <c r="X311" s="615"/>
      <c r="Y311" s="615"/>
      <c r="Z311" s="615"/>
      <c r="AA311" s="615"/>
    </row>
    <row r="312">
      <c r="A312" s="675"/>
      <c r="B312" s="615"/>
      <c r="C312" s="676"/>
      <c r="D312" s="677"/>
      <c r="E312" s="677"/>
      <c r="F312" s="615"/>
      <c r="G312" s="615"/>
      <c r="H312" s="615"/>
      <c r="I312" s="679"/>
      <c r="J312" s="615"/>
      <c r="K312" s="615"/>
      <c r="L312" s="615"/>
      <c r="M312" s="615"/>
      <c r="N312" s="615"/>
      <c r="O312" s="615"/>
      <c r="P312" s="615"/>
      <c r="Q312" s="615"/>
      <c r="R312" s="615"/>
      <c r="S312" s="615"/>
      <c r="T312" s="615"/>
      <c r="U312" s="615"/>
      <c r="V312" s="615"/>
      <c r="W312" s="615"/>
      <c r="X312" s="615"/>
      <c r="Y312" s="615"/>
      <c r="Z312" s="615"/>
      <c r="AA312" s="615"/>
    </row>
    <row r="313">
      <c r="A313" s="675"/>
      <c r="B313" s="615"/>
      <c r="C313" s="676"/>
      <c r="D313" s="677"/>
      <c r="E313" s="677"/>
      <c r="F313" s="615"/>
      <c r="G313" s="615"/>
      <c r="H313" s="615"/>
      <c r="I313" s="679"/>
      <c r="J313" s="615"/>
      <c r="K313" s="615"/>
      <c r="L313" s="615"/>
      <c r="M313" s="615"/>
      <c r="N313" s="615"/>
      <c r="O313" s="615"/>
      <c r="P313" s="615"/>
      <c r="Q313" s="615"/>
      <c r="R313" s="615"/>
      <c r="S313" s="615"/>
      <c r="T313" s="615"/>
      <c r="U313" s="615"/>
      <c r="V313" s="615"/>
      <c r="W313" s="615"/>
      <c r="X313" s="615"/>
      <c r="Y313" s="615"/>
      <c r="Z313" s="615"/>
      <c r="AA313" s="615"/>
    </row>
    <row r="314">
      <c r="A314" s="675"/>
      <c r="B314" s="615"/>
      <c r="C314" s="676"/>
      <c r="D314" s="677"/>
      <c r="E314" s="677"/>
      <c r="F314" s="615"/>
      <c r="G314" s="615"/>
      <c r="H314" s="615"/>
      <c r="I314" s="679"/>
      <c r="J314" s="615"/>
      <c r="K314" s="615"/>
      <c r="L314" s="615"/>
      <c r="M314" s="615"/>
      <c r="N314" s="615"/>
      <c r="O314" s="615"/>
      <c r="P314" s="615"/>
      <c r="Q314" s="615"/>
      <c r="R314" s="615"/>
      <c r="S314" s="615"/>
      <c r="T314" s="615"/>
      <c r="U314" s="615"/>
      <c r="V314" s="615"/>
      <c r="W314" s="615"/>
      <c r="X314" s="615"/>
      <c r="Y314" s="615"/>
      <c r="Z314" s="615"/>
      <c r="AA314" s="615"/>
    </row>
    <row r="315">
      <c r="A315" s="675"/>
      <c r="B315" s="615"/>
      <c r="C315" s="676"/>
      <c r="D315" s="677"/>
      <c r="E315" s="677"/>
      <c r="F315" s="615"/>
      <c r="G315" s="615"/>
      <c r="H315" s="615"/>
      <c r="I315" s="679"/>
      <c r="J315" s="615"/>
      <c r="K315" s="615"/>
      <c r="L315" s="615"/>
      <c r="M315" s="615"/>
      <c r="N315" s="615"/>
      <c r="O315" s="615"/>
      <c r="P315" s="615"/>
      <c r="Q315" s="615"/>
      <c r="R315" s="615"/>
      <c r="S315" s="615"/>
      <c r="T315" s="615"/>
      <c r="U315" s="615"/>
      <c r="V315" s="615"/>
      <c r="W315" s="615"/>
      <c r="X315" s="615"/>
      <c r="Y315" s="615"/>
      <c r="Z315" s="615"/>
      <c r="AA315" s="615"/>
    </row>
    <row r="316">
      <c r="A316" s="675"/>
      <c r="B316" s="615"/>
      <c r="C316" s="676"/>
      <c r="D316" s="677"/>
      <c r="E316" s="677"/>
      <c r="F316" s="615"/>
      <c r="G316" s="615"/>
      <c r="H316" s="615"/>
      <c r="I316" s="679"/>
      <c r="J316" s="615"/>
      <c r="K316" s="615"/>
      <c r="L316" s="615"/>
      <c r="M316" s="615"/>
      <c r="N316" s="615"/>
      <c r="O316" s="615"/>
      <c r="P316" s="615"/>
      <c r="Q316" s="615"/>
      <c r="R316" s="615"/>
      <c r="S316" s="615"/>
      <c r="T316" s="615"/>
      <c r="U316" s="615"/>
      <c r="V316" s="615"/>
      <c r="W316" s="615"/>
      <c r="X316" s="615"/>
      <c r="Y316" s="615"/>
      <c r="Z316" s="615"/>
      <c r="AA316" s="615"/>
    </row>
    <row r="317">
      <c r="A317" s="675"/>
      <c r="B317" s="615"/>
      <c r="C317" s="676"/>
      <c r="D317" s="677"/>
      <c r="E317" s="677"/>
      <c r="F317" s="615"/>
      <c r="G317" s="615"/>
      <c r="H317" s="615"/>
      <c r="I317" s="679"/>
      <c r="J317" s="615"/>
      <c r="K317" s="615"/>
      <c r="L317" s="615"/>
      <c r="M317" s="615"/>
      <c r="N317" s="615"/>
      <c r="O317" s="615"/>
      <c r="P317" s="615"/>
      <c r="Q317" s="615"/>
      <c r="R317" s="615"/>
      <c r="S317" s="615"/>
      <c r="T317" s="615"/>
      <c r="U317" s="615"/>
      <c r="V317" s="615"/>
      <c r="W317" s="615"/>
      <c r="X317" s="615"/>
      <c r="Y317" s="615"/>
      <c r="Z317" s="615"/>
      <c r="AA317" s="615"/>
    </row>
    <row r="318">
      <c r="A318" s="675"/>
      <c r="B318" s="615"/>
      <c r="C318" s="676"/>
      <c r="D318" s="677"/>
      <c r="E318" s="677"/>
      <c r="F318" s="615"/>
      <c r="G318" s="615"/>
      <c r="H318" s="615"/>
      <c r="I318" s="679"/>
      <c r="J318" s="615"/>
      <c r="K318" s="615"/>
      <c r="L318" s="615"/>
      <c r="M318" s="615"/>
      <c r="N318" s="615"/>
      <c r="O318" s="615"/>
      <c r="P318" s="615"/>
      <c r="Q318" s="615"/>
      <c r="R318" s="615"/>
      <c r="S318" s="615"/>
      <c r="T318" s="615"/>
      <c r="U318" s="615"/>
      <c r="V318" s="615"/>
      <c r="W318" s="615"/>
      <c r="X318" s="615"/>
      <c r="Y318" s="615"/>
      <c r="Z318" s="615"/>
      <c r="AA318" s="615"/>
    </row>
    <row r="319">
      <c r="A319" s="675"/>
      <c r="B319" s="615"/>
      <c r="C319" s="676"/>
      <c r="D319" s="677"/>
      <c r="E319" s="677"/>
      <c r="F319" s="615"/>
      <c r="G319" s="615"/>
      <c r="H319" s="615"/>
      <c r="I319" s="679"/>
      <c r="J319" s="615"/>
      <c r="K319" s="615"/>
      <c r="L319" s="615"/>
      <c r="M319" s="615"/>
      <c r="N319" s="615"/>
      <c r="O319" s="615"/>
      <c r="P319" s="615"/>
      <c r="Q319" s="615"/>
      <c r="R319" s="615"/>
      <c r="S319" s="615"/>
      <c r="T319" s="615"/>
      <c r="U319" s="615"/>
      <c r="V319" s="615"/>
      <c r="W319" s="615"/>
      <c r="X319" s="615"/>
      <c r="Y319" s="615"/>
      <c r="Z319" s="615"/>
      <c r="AA319" s="615"/>
    </row>
    <row r="320">
      <c r="A320" s="675"/>
      <c r="B320" s="615"/>
      <c r="C320" s="676"/>
      <c r="D320" s="677"/>
      <c r="E320" s="677"/>
      <c r="F320" s="615"/>
      <c r="G320" s="615"/>
      <c r="H320" s="615"/>
      <c r="I320" s="679"/>
      <c r="J320" s="615"/>
      <c r="K320" s="615"/>
      <c r="L320" s="615"/>
      <c r="M320" s="615"/>
      <c r="N320" s="615"/>
      <c r="O320" s="615"/>
      <c r="P320" s="615"/>
      <c r="Q320" s="615"/>
      <c r="R320" s="615"/>
      <c r="S320" s="615"/>
      <c r="T320" s="615"/>
      <c r="U320" s="615"/>
      <c r="V320" s="615"/>
      <c r="W320" s="615"/>
      <c r="X320" s="615"/>
      <c r="Y320" s="615"/>
      <c r="Z320" s="615"/>
      <c r="AA320" s="615"/>
    </row>
    <row r="321">
      <c r="A321" s="675"/>
      <c r="B321" s="615"/>
      <c r="C321" s="676"/>
      <c r="D321" s="677"/>
      <c r="E321" s="677"/>
      <c r="F321" s="615"/>
      <c r="G321" s="615"/>
      <c r="H321" s="615"/>
      <c r="I321" s="679"/>
      <c r="J321" s="615"/>
      <c r="K321" s="615"/>
      <c r="L321" s="615"/>
      <c r="M321" s="615"/>
      <c r="N321" s="615"/>
      <c r="O321" s="615"/>
      <c r="P321" s="615"/>
      <c r="Q321" s="615"/>
      <c r="R321" s="615"/>
      <c r="S321" s="615"/>
      <c r="T321" s="615"/>
      <c r="U321" s="615"/>
      <c r="V321" s="615"/>
      <c r="W321" s="615"/>
      <c r="X321" s="615"/>
      <c r="Y321" s="615"/>
      <c r="Z321" s="615"/>
      <c r="AA321" s="615"/>
    </row>
    <row r="322">
      <c r="A322" s="675"/>
      <c r="B322" s="615"/>
      <c r="C322" s="676"/>
      <c r="D322" s="677"/>
      <c r="E322" s="677"/>
      <c r="F322" s="615"/>
      <c r="G322" s="615"/>
      <c r="H322" s="615"/>
      <c r="I322" s="679"/>
      <c r="J322" s="615"/>
      <c r="K322" s="615"/>
      <c r="L322" s="615"/>
      <c r="M322" s="615"/>
      <c r="N322" s="615"/>
      <c r="O322" s="615"/>
      <c r="P322" s="615"/>
      <c r="Q322" s="615"/>
      <c r="R322" s="615"/>
      <c r="S322" s="615"/>
      <c r="T322" s="615"/>
      <c r="U322" s="615"/>
      <c r="V322" s="615"/>
      <c r="W322" s="615"/>
      <c r="X322" s="615"/>
      <c r="Y322" s="615"/>
      <c r="Z322" s="615"/>
      <c r="AA322" s="615"/>
    </row>
    <row r="323">
      <c r="A323" s="675"/>
      <c r="B323" s="615"/>
      <c r="C323" s="676"/>
      <c r="D323" s="677"/>
      <c r="E323" s="677"/>
      <c r="F323" s="615"/>
      <c r="G323" s="615"/>
      <c r="H323" s="615"/>
      <c r="I323" s="679"/>
      <c r="J323" s="615"/>
      <c r="K323" s="615"/>
      <c r="L323" s="615"/>
      <c r="M323" s="615"/>
      <c r="N323" s="615"/>
      <c r="O323" s="615"/>
      <c r="P323" s="615"/>
      <c r="Q323" s="615"/>
      <c r="R323" s="615"/>
      <c r="S323" s="615"/>
      <c r="T323" s="615"/>
      <c r="U323" s="615"/>
      <c r="V323" s="615"/>
      <c r="W323" s="615"/>
      <c r="X323" s="615"/>
      <c r="Y323" s="615"/>
      <c r="Z323" s="615"/>
      <c r="AA323" s="615"/>
    </row>
    <row r="324">
      <c r="A324" s="675"/>
      <c r="B324" s="615"/>
      <c r="C324" s="676"/>
      <c r="D324" s="677"/>
      <c r="E324" s="677"/>
      <c r="F324" s="615"/>
      <c r="G324" s="615"/>
      <c r="H324" s="615"/>
      <c r="I324" s="679"/>
      <c r="J324" s="615"/>
      <c r="K324" s="615"/>
      <c r="L324" s="615"/>
      <c r="M324" s="615"/>
      <c r="N324" s="615"/>
      <c r="O324" s="615"/>
      <c r="P324" s="615"/>
      <c r="Q324" s="615"/>
      <c r="R324" s="615"/>
      <c r="S324" s="615"/>
      <c r="T324" s="615"/>
      <c r="U324" s="615"/>
      <c r="V324" s="615"/>
      <c r="W324" s="615"/>
      <c r="X324" s="615"/>
      <c r="Y324" s="615"/>
      <c r="Z324" s="615"/>
      <c r="AA324" s="615"/>
    </row>
    <row r="325">
      <c r="A325" s="675"/>
      <c r="B325" s="615"/>
      <c r="C325" s="676"/>
      <c r="D325" s="677"/>
      <c r="E325" s="677"/>
      <c r="F325" s="615"/>
      <c r="G325" s="615"/>
      <c r="H325" s="615"/>
      <c r="I325" s="679"/>
      <c r="J325" s="615"/>
      <c r="K325" s="615"/>
      <c r="L325" s="615"/>
      <c r="M325" s="615"/>
      <c r="N325" s="615"/>
      <c r="O325" s="615"/>
      <c r="P325" s="615"/>
      <c r="Q325" s="615"/>
      <c r="R325" s="615"/>
      <c r="S325" s="615"/>
      <c r="T325" s="615"/>
      <c r="U325" s="615"/>
      <c r="V325" s="615"/>
      <c r="W325" s="615"/>
      <c r="X325" s="615"/>
      <c r="Y325" s="615"/>
      <c r="Z325" s="615"/>
      <c r="AA325" s="615"/>
    </row>
    <row r="326">
      <c r="A326" s="675"/>
      <c r="B326" s="615"/>
      <c r="C326" s="676"/>
      <c r="D326" s="677"/>
      <c r="E326" s="677"/>
      <c r="F326" s="615"/>
      <c r="G326" s="615"/>
      <c r="H326" s="615"/>
      <c r="I326" s="679"/>
      <c r="J326" s="615"/>
      <c r="K326" s="615"/>
      <c r="L326" s="615"/>
      <c r="M326" s="615"/>
      <c r="N326" s="615"/>
      <c r="O326" s="615"/>
      <c r="P326" s="615"/>
      <c r="Q326" s="615"/>
      <c r="R326" s="615"/>
      <c r="S326" s="615"/>
      <c r="T326" s="615"/>
      <c r="U326" s="615"/>
      <c r="V326" s="615"/>
      <c r="W326" s="615"/>
      <c r="X326" s="615"/>
      <c r="Y326" s="615"/>
      <c r="Z326" s="615"/>
      <c r="AA326" s="615"/>
    </row>
    <row r="327">
      <c r="A327" s="675"/>
      <c r="B327" s="615"/>
      <c r="C327" s="676"/>
      <c r="D327" s="677"/>
      <c r="E327" s="677"/>
      <c r="F327" s="615"/>
      <c r="G327" s="615"/>
      <c r="H327" s="615"/>
      <c r="I327" s="679"/>
      <c r="J327" s="615"/>
      <c r="K327" s="615"/>
      <c r="L327" s="615"/>
      <c r="M327" s="615"/>
      <c r="N327" s="615"/>
      <c r="O327" s="615"/>
      <c r="P327" s="615"/>
      <c r="Q327" s="615"/>
      <c r="R327" s="615"/>
      <c r="S327" s="615"/>
      <c r="T327" s="615"/>
      <c r="U327" s="615"/>
      <c r="V327" s="615"/>
      <c r="W327" s="615"/>
      <c r="X327" s="615"/>
      <c r="Y327" s="615"/>
      <c r="Z327" s="615"/>
      <c r="AA327" s="615"/>
    </row>
    <row r="328">
      <c r="A328" s="675"/>
      <c r="B328" s="615"/>
      <c r="C328" s="676"/>
      <c r="D328" s="677"/>
      <c r="E328" s="677"/>
      <c r="F328" s="615"/>
      <c r="G328" s="615"/>
      <c r="H328" s="615"/>
      <c r="I328" s="679"/>
      <c r="J328" s="615"/>
      <c r="K328" s="615"/>
      <c r="L328" s="615"/>
      <c r="M328" s="615"/>
      <c r="N328" s="615"/>
      <c r="O328" s="615"/>
      <c r="P328" s="615"/>
      <c r="Q328" s="615"/>
      <c r="R328" s="615"/>
      <c r="S328" s="615"/>
      <c r="T328" s="615"/>
      <c r="U328" s="615"/>
      <c r="V328" s="615"/>
      <c r="W328" s="615"/>
      <c r="X328" s="615"/>
      <c r="Y328" s="615"/>
      <c r="Z328" s="615"/>
      <c r="AA328" s="615"/>
    </row>
    <row r="329">
      <c r="A329" s="675"/>
      <c r="B329" s="615"/>
      <c r="C329" s="676"/>
      <c r="D329" s="677"/>
      <c r="E329" s="677"/>
      <c r="F329" s="615"/>
      <c r="G329" s="615"/>
      <c r="H329" s="615"/>
      <c r="I329" s="679"/>
      <c r="J329" s="615"/>
      <c r="K329" s="615"/>
      <c r="L329" s="615"/>
      <c r="M329" s="615"/>
      <c r="N329" s="615"/>
      <c r="O329" s="615"/>
      <c r="P329" s="615"/>
      <c r="Q329" s="615"/>
      <c r="R329" s="615"/>
      <c r="S329" s="615"/>
      <c r="T329" s="615"/>
      <c r="U329" s="615"/>
      <c r="V329" s="615"/>
      <c r="W329" s="615"/>
      <c r="X329" s="615"/>
      <c r="Y329" s="615"/>
      <c r="Z329" s="615"/>
      <c r="AA329" s="615"/>
    </row>
    <row r="330">
      <c r="A330" s="675"/>
      <c r="B330" s="615"/>
      <c r="C330" s="676"/>
      <c r="D330" s="677"/>
      <c r="E330" s="677"/>
      <c r="F330" s="615"/>
      <c r="G330" s="615"/>
      <c r="H330" s="615"/>
      <c r="I330" s="679"/>
      <c r="J330" s="615"/>
      <c r="K330" s="615"/>
      <c r="L330" s="615"/>
      <c r="M330" s="615"/>
      <c r="N330" s="615"/>
      <c r="O330" s="615"/>
      <c r="P330" s="615"/>
      <c r="Q330" s="615"/>
      <c r="R330" s="615"/>
      <c r="S330" s="615"/>
      <c r="T330" s="615"/>
      <c r="U330" s="615"/>
      <c r="V330" s="615"/>
      <c r="W330" s="615"/>
      <c r="X330" s="615"/>
      <c r="Y330" s="615"/>
      <c r="Z330" s="615"/>
      <c r="AA330" s="615"/>
    </row>
    <row r="331">
      <c r="A331" s="675"/>
      <c r="B331" s="615"/>
      <c r="C331" s="676"/>
      <c r="D331" s="677"/>
      <c r="E331" s="677"/>
      <c r="F331" s="615"/>
      <c r="G331" s="615"/>
      <c r="H331" s="615"/>
      <c r="I331" s="679"/>
      <c r="J331" s="615"/>
      <c r="K331" s="615"/>
      <c r="L331" s="615"/>
      <c r="M331" s="615"/>
      <c r="N331" s="615"/>
      <c r="O331" s="615"/>
      <c r="P331" s="615"/>
      <c r="Q331" s="615"/>
      <c r="R331" s="615"/>
      <c r="S331" s="615"/>
      <c r="T331" s="615"/>
      <c r="U331" s="615"/>
      <c r="V331" s="615"/>
      <c r="W331" s="615"/>
      <c r="X331" s="615"/>
      <c r="Y331" s="615"/>
      <c r="Z331" s="615"/>
      <c r="AA331" s="615"/>
    </row>
    <row r="332">
      <c r="A332" s="675"/>
      <c r="B332" s="615"/>
      <c r="C332" s="676"/>
      <c r="D332" s="677"/>
      <c r="E332" s="677"/>
      <c r="F332" s="615"/>
      <c r="G332" s="615"/>
      <c r="H332" s="615"/>
      <c r="I332" s="679"/>
      <c r="J332" s="615"/>
      <c r="K332" s="615"/>
      <c r="L332" s="615"/>
      <c r="M332" s="615"/>
      <c r="N332" s="615"/>
      <c r="O332" s="615"/>
      <c r="P332" s="615"/>
      <c r="Q332" s="615"/>
      <c r="R332" s="615"/>
      <c r="S332" s="615"/>
      <c r="T332" s="615"/>
      <c r="U332" s="615"/>
      <c r="V332" s="615"/>
      <c r="W332" s="615"/>
      <c r="X332" s="615"/>
      <c r="Y332" s="615"/>
      <c r="Z332" s="615"/>
      <c r="AA332" s="615"/>
    </row>
    <row r="333">
      <c r="A333" s="675"/>
      <c r="B333" s="615"/>
      <c r="C333" s="676"/>
      <c r="D333" s="677"/>
      <c r="E333" s="677"/>
      <c r="F333" s="615"/>
      <c r="G333" s="615"/>
      <c r="H333" s="615"/>
      <c r="I333" s="679"/>
      <c r="J333" s="615"/>
      <c r="K333" s="615"/>
      <c r="L333" s="615"/>
      <c r="M333" s="615"/>
      <c r="N333" s="615"/>
      <c r="O333" s="615"/>
      <c r="P333" s="615"/>
      <c r="Q333" s="615"/>
      <c r="R333" s="615"/>
      <c r="S333" s="615"/>
      <c r="T333" s="615"/>
      <c r="U333" s="615"/>
      <c r="V333" s="615"/>
      <c r="W333" s="615"/>
      <c r="X333" s="615"/>
      <c r="Y333" s="615"/>
      <c r="Z333" s="615"/>
      <c r="AA333" s="615"/>
    </row>
    <row r="334">
      <c r="A334" s="675"/>
      <c r="B334" s="615"/>
      <c r="C334" s="676"/>
      <c r="D334" s="677"/>
      <c r="E334" s="677"/>
      <c r="F334" s="615"/>
      <c r="G334" s="615"/>
      <c r="H334" s="615"/>
      <c r="I334" s="679"/>
      <c r="J334" s="615"/>
      <c r="K334" s="615"/>
      <c r="L334" s="615"/>
      <c r="M334" s="615"/>
      <c r="N334" s="615"/>
      <c r="O334" s="615"/>
      <c r="P334" s="615"/>
      <c r="Q334" s="615"/>
      <c r="R334" s="615"/>
      <c r="S334" s="615"/>
      <c r="T334" s="615"/>
      <c r="U334" s="615"/>
      <c r="V334" s="615"/>
      <c r="W334" s="615"/>
      <c r="X334" s="615"/>
      <c r="Y334" s="615"/>
      <c r="Z334" s="615"/>
      <c r="AA334" s="615"/>
    </row>
    <row r="335">
      <c r="A335" s="675"/>
      <c r="B335" s="615"/>
      <c r="C335" s="676"/>
      <c r="D335" s="677"/>
      <c r="E335" s="677"/>
      <c r="F335" s="615"/>
      <c r="G335" s="615"/>
      <c r="H335" s="615"/>
      <c r="I335" s="679"/>
      <c r="J335" s="615"/>
      <c r="K335" s="615"/>
      <c r="L335" s="615"/>
      <c r="M335" s="615"/>
      <c r="N335" s="615"/>
      <c r="O335" s="615"/>
      <c r="P335" s="615"/>
      <c r="Q335" s="615"/>
      <c r="R335" s="615"/>
      <c r="S335" s="615"/>
      <c r="T335" s="615"/>
      <c r="U335" s="615"/>
      <c r="V335" s="615"/>
      <c r="W335" s="615"/>
      <c r="X335" s="615"/>
      <c r="Y335" s="615"/>
      <c r="Z335" s="615"/>
      <c r="AA335" s="615"/>
    </row>
    <row r="336">
      <c r="A336" s="675"/>
      <c r="B336" s="615"/>
      <c r="C336" s="676"/>
      <c r="D336" s="677"/>
      <c r="E336" s="677"/>
      <c r="F336" s="615"/>
      <c r="G336" s="615"/>
      <c r="H336" s="615"/>
      <c r="I336" s="679"/>
      <c r="J336" s="615"/>
      <c r="K336" s="615"/>
      <c r="L336" s="615"/>
      <c r="M336" s="615"/>
      <c r="N336" s="615"/>
      <c r="O336" s="615"/>
      <c r="P336" s="615"/>
      <c r="Q336" s="615"/>
      <c r="R336" s="615"/>
      <c r="S336" s="615"/>
      <c r="T336" s="615"/>
      <c r="U336" s="615"/>
      <c r="V336" s="615"/>
      <c r="W336" s="615"/>
      <c r="X336" s="615"/>
      <c r="Y336" s="615"/>
      <c r="Z336" s="615"/>
      <c r="AA336" s="615"/>
    </row>
    <row r="337">
      <c r="A337" s="675"/>
      <c r="B337" s="615"/>
      <c r="C337" s="676"/>
      <c r="D337" s="677"/>
      <c r="E337" s="677"/>
      <c r="F337" s="615"/>
      <c r="G337" s="615"/>
      <c r="H337" s="615"/>
      <c r="I337" s="679"/>
      <c r="J337" s="615"/>
      <c r="K337" s="615"/>
      <c r="L337" s="615"/>
      <c r="M337" s="615"/>
      <c r="N337" s="615"/>
      <c r="O337" s="615"/>
      <c r="P337" s="615"/>
      <c r="Q337" s="615"/>
      <c r="R337" s="615"/>
      <c r="S337" s="615"/>
      <c r="T337" s="615"/>
      <c r="U337" s="615"/>
      <c r="V337" s="615"/>
      <c r="W337" s="615"/>
      <c r="X337" s="615"/>
      <c r="Y337" s="615"/>
      <c r="Z337" s="615"/>
      <c r="AA337" s="615"/>
    </row>
    <row r="338">
      <c r="A338" s="675"/>
      <c r="B338" s="615"/>
      <c r="C338" s="676"/>
      <c r="D338" s="677"/>
      <c r="E338" s="677"/>
      <c r="F338" s="615"/>
      <c r="G338" s="615"/>
      <c r="H338" s="615"/>
      <c r="I338" s="679"/>
      <c r="J338" s="615"/>
      <c r="K338" s="615"/>
      <c r="L338" s="615"/>
      <c r="M338" s="615"/>
      <c r="N338" s="615"/>
      <c r="O338" s="615"/>
      <c r="P338" s="615"/>
      <c r="Q338" s="615"/>
      <c r="R338" s="615"/>
      <c r="S338" s="615"/>
      <c r="T338" s="615"/>
      <c r="U338" s="615"/>
      <c r="V338" s="615"/>
      <c r="W338" s="615"/>
      <c r="X338" s="615"/>
      <c r="Y338" s="615"/>
      <c r="Z338" s="615"/>
      <c r="AA338" s="615"/>
    </row>
    <row r="339">
      <c r="A339" s="675"/>
      <c r="B339" s="615"/>
      <c r="C339" s="676"/>
      <c r="D339" s="677"/>
      <c r="E339" s="677"/>
      <c r="F339" s="615"/>
      <c r="G339" s="615"/>
      <c r="H339" s="615"/>
      <c r="I339" s="679"/>
      <c r="J339" s="615"/>
      <c r="K339" s="615"/>
      <c r="L339" s="615"/>
      <c r="M339" s="615"/>
      <c r="N339" s="615"/>
      <c r="O339" s="615"/>
      <c r="P339" s="615"/>
      <c r="Q339" s="615"/>
      <c r="R339" s="615"/>
      <c r="S339" s="615"/>
      <c r="T339" s="615"/>
      <c r="U339" s="615"/>
      <c r="V339" s="615"/>
      <c r="W339" s="615"/>
      <c r="X339" s="615"/>
      <c r="Y339" s="615"/>
      <c r="Z339" s="615"/>
      <c r="AA339" s="615"/>
    </row>
    <row r="340">
      <c r="A340" s="675"/>
      <c r="B340" s="615"/>
      <c r="C340" s="676"/>
      <c r="D340" s="677"/>
      <c r="E340" s="677"/>
      <c r="F340" s="615"/>
      <c r="G340" s="615"/>
      <c r="H340" s="615"/>
      <c r="I340" s="679"/>
      <c r="J340" s="615"/>
      <c r="K340" s="615"/>
      <c r="L340" s="615"/>
      <c r="M340" s="615"/>
      <c r="N340" s="615"/>
      <c r="O340" s="615"/>
      <c r="P340" s="615"/>
      <c r="Q340" s="615"/>
      <c r="R340" s="615"/>
      <c r="S340" s="615"/>
      <c r="T340" s="615"/>
      <c r="U340" s="615"/>
      <c r="V340" s="615"/>
      <c r="W340" s="615"/>
      <c r="X340" s="615"/>
      <c r="Y340" s="615"/>
      <c r="Z340" s="615"/>
      <c r="AA340" s="615"/>
    </row>
    <row r="341">
      <c r="A341" s="675"/>
      <c r="B341" s="615"/>
      <c r="C341" s="676"/>
      <c r="D341" s="677"/>
      <c r="E341" s="677"/>
      <c r="F341" s="615"/>
      <c r="G341" s="615"/>
      <c r="H341" s="615"/>
      <c r="I341" s="679"/>
      <c r="J341" s="615"/>
      <c r="K341" s="615"/>
      <c r="L341" s="615"/>
      <c r="M341" s="615"/>
      <c r="N341" s="615"/>
      <c r="O341" s="615"/>
      <c r="P341" s="615"/>
      <c r="Q341" s="615"/>
      <c r="R341" s="615"/>
      <c r="S341" s="615"/>
      <c r="T341" s="615"/>
      <c r="U341" s="615"/>
      <c r="V341" s="615"/>
      <c r="W341" s="615"/>
      <c r="X341" s="615"/>
      <c r="Y341" s="615"/>
      <c r="Z341" s="615"/>
      <c r="AA341" s="615"/>
    </row>
    <row r="342">
      <c r="A342" s="675"/>
      <c r="B342" s="615"/>
      <c r="C342" s="676"/>
      <c r="D342" s="677"/>
      <c r="E342" s="677"/>
      <c r="F342" s="615"/>
      <c r="G342" s="615"/>
      <c r="H342" s="615"/>
      <c r="I342" s="679"/>
      <c r="J342" s="615"/>
      <c r="K342" s="615"/>
      <c r="L342" s="615"/>
      <c r="M342" s="615"/>
      <c r="N342" s="615"/>
      <c r="O342" s="615"/>
      <c r="P342" s="615"/>
      <c r="Q342" s="615"/>
      <c r="R342" s="615"/>
      <c r="S342" s="615"/>
      <c r="T342" s="615"/>
      <c r="U342" s="615"/>
      <c r="V342" s="615"/>
      <c r="W342" s="615"/>
      <c r="X342" s="615"/>
      <c r="Y342" s="615"/>
      <c r="Z342" s="615"/>
      <c r="AA342" s="615"/>
    </row>
    <row r="343">
      <c r="A343" s="675"/>
      <c r="B343" s="615"/>
      <c r="C343" s="676"/>
      <c r="D343" s="677"/>
      <c r="E343" s="677"/>
      <c r="F343" s="615"/>
      <c r="G343" s="615"/>
      <c r="H343" s="615"/>
      <c r="I343" s="679"/>
      <c r="J343" s="615"/>
      <c r="K343" s="615"/>
      <c r="L343" s="615"/>
      <c r="M343" s="615"/>
      <c r="N343" s="615"/>
      <c r="O343" s="615"/>
      <c r="P343" s="615"/>
      <c r="Q343" s="615"/>
      <c r="R343" s="615"/>
      <c r="S343" s="615"/>
      <c r="T343" s="615"/>
      <c r="U343" s="615"/>
      <c r="V343" s="615"/>
      <c r="W343" s="615"/>
      <c r="X343" s="615"/>
      <c r="Y343" s="615"/>
      <c r="Z343" s="615"/>
      <c r="AA343" s="615"/>
    </row>
    <row r="344">
      <c r="A344" s="675"/>
      <c r="B344" s="615"/>
      <c r="C344" s="676"/>
      <c r="D344" s="677"/>
      <c r="E344" s="677"/>
      <c r="F344" s="615"/>
      <c r="G344" s="615"/>
      <c r="H344" s="615"/>
      <c r="I344" s="679"/>
      <c r="J344" s="615"/>
      <c r="K344" s="615"/>
      <c r="L344" s="615"/>
      <c r="M344" s="615"/>
      <c r="N344" s="615"/>
      <c r="O344" s="615"/>
      <c r="P344" s="615"/>
      <c r="Q344" s="615"/>
      <c r="R344" s="615"/>
      <c r="S344" s="615"/>
      <c r="T344" s="615"/>
      <c r="U344" s="615"/>
      <c r="V344" s="615"/>
      <c r="W344" s="615"/>
      <c r="X344" s="615"/>
      <c r="Y344" s="615"/>
      <c r="Z344" s="615"/>
      <c r="AA344" s="615"/>
    </row>
    <row r="345">
      <c r="A345" s="675"/>
      <c r="B345" s="615"/>
      <c r="C345" s="676"/>
      <c r="D345" s="677"/>
      <c r="E345" s="677"/>
      <c r="F345" s="615"/>
      <c r="G345" s="615"/>
      <c r="H345" s="615"/>
      <c r="I345" s="679"/>
      <c r="J345" s="615"/>
      <c r="K345" s="615"/>
      <c r="L345" s="615"/>
      <c r="M345" s="615"/>
      <c r="N345" s="615"/>
      <c r="O345" s="615"/>
      <c r="P345" s="615"/>
      <c r="Q345" s="615"/>
      <c r="R345" s="615"/>
      <c r="S345" s="615"/>
      <c r="T345" s="615"/>
      <c r="U345" s="615"/>
      <c r="V345" s="615"/>
      <c r="W345" s="615"/>
      <c r="X345" s="615"/>
      <c r="Y345" s="615"/>
      <c r="Z345" s="615"/>
      <c r="AA345" s="615"/>
    </row>
    <row r="346">
      <c r="A346" s="675"/>
      <c r="B346" s="615"/>
      <c r="C346" s="676"/>
      <c r="D346" s="677"/>
      <c r="E346" s="677"/>
      <c r="F346" s="615"/>
      <c r="G346" s="615"/>
      <c r="H346" s="615"/>
      <c r="I346" s="679"/>
      <c r="J346" s="615"/>
      <c r="K346" s="615"/>
      <c r="L346" s="615"/>
      <c r="M346" s="615"/>
      <c r="N346" s="615"/>
      <c r="O346" s="615"/>
      <c r="P346" s="615"/>
      <c r="Q346" s="615"/>
      <c r="R346" s="615"/>
      <c r="S346" s="615"/>
      <c r="T346" s="615"/>
      <c r="U346" s="615"/>
      <c r="V346" s="615"/>
      <c r="W346" s="615"/>
      <c r="X346" s="615"/>
      <c r="Y346" s="615"/>
      <c r="Z346" s="615"/>
      <c r="AA346" s="615"/>
    </row>
    <row r="347">
      <c r="A347" s="675"/>
      <c r="B347" s="615"/>
      <c r="C347" s="676"/>
      <c r="D347" s="677"/>
      <c r="E347" s="677"/>
      <c r="F347" s="615"/>
      <c r="G347" s="615"/>
      <c r="H347" s="615"/>
      <c r="I347" s="679"/>
      <c r="J347" s="615"/>
      <c r="K347" s="615"/>
      <c r="L347" s="615"/>
      <c r="M347" s="615"/>
      <c r="N347" s="615"/>
      <c r="O347" s="615"/>
      <c r="P347" s="615"/>
      <c r="Q347" s="615"/>
      <c r="R347" s="615"/>
      <c r="S347" s="615"/>
      <c r="T347" s="615"/>
      <c r="U347" s="615"/>
      <c r="V347" s="615"/>
      <c r="W347" s="615"/>
      <c r="X347" s="615"/>
      <c r="Y347" s="615"/>
      <c r="Z347" s="615"/>
      <c r="AA347" s="615"/>
    </row>
    <row r="348">
      <c r="A348" s="675"/>
      <c r="B348" s="615"/>
      <c r="C348" s="676"/>
      <c r="D348" s="677"/>
      <c r="E348" s="677"/>
      <c r="F348" s="615"/>
      <c r="G348" s="615"/>
      <c r="H348" s="615"/>
      <c r="I348" s="679"/>
      <c r="J348" s="615"/>
      <c r="K348" s="615"/>
      <c r="L348" s="615"/>
      <c r="M348" s="615"/>
      <c r="N348" s="615"/>
      <c r="O348" s="615"/>
      <c r="P348" s="615"/>
      <c r="Q348" s="615"/>
      <c r="R348" s="615"/>
      <c r="S348" s="615"/>
      <c r="T348" s="615"/>
      <c r="U348" s="615"/>
      <c r="V348" s="615"/>
      <c r="W348" s="615"/>
      <c r="X348" s="615"/>
      <c r="Y348" s="615"/>
      <c r="Z348" s="615"/>
      <c r="AA348" s="615"/>
    </row>
    <row r="349">
      <c r="A349" s="675"/>
      <c r="B349" s="615"/>
      <c r="C349" s="676"/>
      <c r="D349" s="677"/>
      <c r="E349" s="677"/>
      <c r="F349" s="615"/>
      <c r="G349" s="615"/>
      <c r="H349" s="615"/>
      <c r="I349" s="679"/>
      <c r="J349" s="615"/>
      <c r="K349" s="615"/>
      <c r="L349" s="615"/>
      <c r="M349" s="615"/>
      <c r="N349" s="615"/>
      <c r="O349" s="615"/>
      <c r="P349" s="615"/>
      <c r="Q349" s="615"/>
      <c r="R349" s="615"/>
      <c r="S349" s="615"/>
      <c r="T349" s="615"/>
      <c r="U349" s="615"/>
      <c r="V349" s="615"/>
      <c r="W349" s="615"/>
      <c r="X349" s="615"/>
      <c r="Y349" s="615"/>
      <c r="Z349" s="615"/>
      <c r="AA349" s="615"/>
    </row>
    <row r="350">
      <c r="A350" s="675"/>
      <c r="B350" s="615"/>
      <c r="C350" s="676"/>
      <c r="D350" s="677"/>
      <c r="E350" s="677"/>
      <c r="F350" s="615"/>
      <c r="G350" s="615"/>
      <c r="H350" s="615"/>
      <c r="I350" s="679"/>
      <c r="J350" s="615"/>
      <c r="K350" s="615"/>
      <c r="L350" s="615"/>
      <c r="M350" s="615"/>
      <c r="N350" s="615"/>
      <c r="O350" s="615"/>
      <c r="P350" s="615"/>
      <c r="Q350" s="615"/>
      <c r="R350" s="615"/>
      <c r="S350" s="615"/>
      <c r="T350" s="615"/>
      <c r="U350" s="615"/>
      <c r="V350" s="615"/>
      <c r="W350" s="615"/>
      <c r="X350" s="615"/>
      <c r="Y350" s="615"/>
      <c r="Z350" s="615"/>
      <c r="AA350" s="615"/>
    </row>
    <row r="351">
      <c r="A351" s="675"/>
      <c r="B351" s="615"/>
      <c r="C351" s="676"/>
      <c r="D351" s="677"/>
      <c r="E351" s="677"/>
      <c r="F351" s="615"/>
      <c r="G351" s="615"/>
      <c r="H351" s="615"/>
      <c r="I351" s="679"/>
      <c r="J351" s="615"/>
      <c r="K351" s="615"/>
      <c r="L351" s="615"/>
      <c r="M351" s="615"/>
      <c r="N351" s="615"/>
      <c r="O351" s="615"/>
      <c r="P351" s="615"/>
      <c r="Q351" s="615"/>
      <c r="R351" s="615"/>
      <c r="S351" s="615"/>
      <c r="T351" s="615"/>
      <c r="U351" s="615"/>
      <c r="V351" s="615"/>
      <c r="W351" s="615"/>
      <c r="X351" s="615"/>
      <c r="Y351" s="615"/>
      <c r="Z351" s="615"/>
      <c r="AA351" s="615"/>
    </row>
    <row r="352">
      <c r="A352" s="675"/>
      <c r="B352" s="615"/>
      <c r="C352" s="676"/>
      <c r="D352" s="677"/>
      <c r="E352" s="677"/>
      <c r="F352" s="615"/>
      <c r="G352" s="615"/>
      <c r="H352" s="615"/>
      <c r="I352" s="679"/>
      <c r="J352" s="615"/>
      <c r="K352" s="615"/>
      <c r="L352" s="615"/>
      <c r="M352" s="615"/>
      <c r="N352" s="615"/>
      <c r="O352" s="615"/>
      <c r="P352" s="615"/>
      <c r="Q352" s="615"/>
      <c r="R352" s="615"/>
      <c r="S352" s="615"/>
      <c r="T352" s="615"/>
      <c r="U352" s="615"/>
      <c r="V352" s="615"/>
      <c r="W352" s="615"/>
      <c r="X352" s="615"/>
      <c r="Y352" s="615"/>
      <c r="Z352" s="615"/>
      <c r="AA352" s="615"/>
    </row>
    <row r="353">
      <c r="A353" s="675"/>
      <c r="B353" s="615"/>
      <c r="C353" s="676"/>
      <c r="D353" s="677"/>
      <c r="E353" s="677"/>
      <c r="F353" s="615"/>
      <c r="G353" s="615"/>
      <c r="H353" s="615"/>
      <c r="I353" s="679"/>
      <c r="J353" s="615"/>
      <c r="K353" s="615"/>
      <c r="L353" s="615"/>
      <c r="M353" s="615"/>
      <c r="N353" s="615"/>
      <c r="O353" s="615"/>
      <c r="P353" s="615"/>
      <c r="Q353" s="615"/>
      <c r="R353" s="615"/>
      <c r="S353" s="615"/>
      <c r="T353" s="615"/>
      <c r="U353" s="615"/>
      <c r="V353" s="615"/>
      <c r="W353" s="615"/>
      <c r="X353" s="615"/>
      <c r="Y353" s="615"/>
      <c r="Z353" s="615"/>
      <c r="AA353" s="615"/>
    </row>
    <row r="354">
      <c r="A354" s="675"/>
      <c r="B354" s="615"/>
      <c r="C354" s="676"/>
      <c r="D354" s="677"/>
      <c r="E354" s="677"/>
      <c r="F354" s="615"/>
      <c r="G354" s="615"/>
      <c r="H354" s="615"/>
      <c r="I354" s="679"/>
      <c r="J354" s="615"/>
      <c r="K354" s="615"/>
      <c r="L354" s="615"/>
      <c r="M354" s="615"/>
      <c r="N354" s="615"/>
      <c r="O354" s="615"/>
      <c r="P354" s="615"/>
      <c r="Q354" s="615"/>
      <c r="R354" s="615"/>
      <c r="S354" s="615"/>
      <c r="T354" s="615"/>
      <c r="U354" s="615"/>
      <c r="V354" s="615"/>
      <c r="W354" s="615"/>
      <c r="X354" s="615"/>
      <c r="Y354" s="615"/>
      <c r="Z354" s="615"/>
      <c r="AA354" s="615"/>
    </row>
    <row r="355">
      <c r="A355" s="675"/>
      <c r="B355" s="615"/>
      <c r="C355" s="676"/>
      <c r="D355" s="677"/>
      <c r="E355" s="677"/>
      <c r="F355" s="615"/>
      <c r="G355" s="615"/>
      <c r="H355" s="615"/>
      <c r="I355" s="679"/>
      <c r="J355" s="615"/>
      <c r="K355" s="615"/>
      <c r="L355" s="615"/>
      <c r="M355" s="615"/>
      <c r="N355" s="615"/>
      <c r="O355" s="615"/>
      <c r="P355" s="615"/>
      <c r="Q355" s="615"/>
      <c r="R355" s="615"/>
      <c r="S355" s="615"/>
      <c r="T355" s="615"/>
      <c r="U355" s="615"/>
      <c r="V355" s="615"/>
      <c r="W355" s="615"/>
      <c r="X355" s="615"/>
      <c r="Y355" s="615"/>
      <c r="Z355" s="615"/>
      <c r="AA355" s="615"/>
    </row>
    <row r="356">
      <c r="A356" s="675"/>
      <c r="B356" s="615"/>
      <c r="C356" s="676"/>
      <c r="D356" s="677"/>
      <c r="E356" s="677"/>
      <c r="F356" s="615"/>
      <c r="G356" s="615"/>
      <c r="H356" s="615"/>
      <c r="I356" s="679"/>
      <c r="J356" s="615"/>
      <c r="K356" s="615"/>
      <c r="L356" s="615"/>
      <c r="M356" s="615"/>
      <c r="N356" s="615"/>
      <c r="O356" s="615"/>
      <c r="P356" s="615"/>
      <c r="Q356" s="615"/>
      <c r="R356" s="615"/>
      <c r="S356" s="615"/>
      <c r="T356" s="615"/>
      <c r="U356" s="615"/>
      <c r="V356" s="615"/>
      <c r="W356" s="615"/>
      <c r="X356" s="615"/>
      <c r="Y356" s="615"/>
      <c r="Z356" s="615"/>
      <c r="AA356" s="615"/>
    </row>
    <row r="357">
      <c r="A357" s="675"/>
      <c r="B357" s="615"/>
      <c r="C357" s="676"/>
      <c r="D357" s="677"/>
      <c r="E357" s="677"/>
      <c r="F357" s="615"/>
      <c r="G357" s="615"/>
      <c r="H357" s="615"/>
      <c r="I357" s="679"/>
      <c r="J357" s="615"/>
      <c r="K357" s="615"/>
      <c r="L357" s="615"/>
      <c r="M357" s="615"/>
      <c r="N357" s="615"/>
      <c r="O357" s="615"/>
      <c r="P357" s="615"/>
      <c r="Q357" s="615"/>
      <c r="R357" s="615"/>
      <c r="S357" s="615"/>
      <c r="T357" s="615"/>
      <c r="U357" s="615"/>
      <c r="V357" s="615"/>
      <c r="W357" s="615"/>
      <c r="X357" s="615"/>
      <c r="Y357" s="615"/>
      <c r="Z357" s="615"/>
      <c r="AA357" s="615"/>
    </row>
    <row r="358">
      <c r="A358" s="675"/>
      <c r="B358" s="615"/>
      <c r="C358" s="676"/>
      <c r="D358" s="677"/>
      <c r="E358" s="677"/>
      <c r="F358" s="615"/>
      <c r="G358" s="615"/>
      <c r="H358" s="615"/>
      <c r="I358" s="679"/>
      <c r="J358" s="615"/>
      <c r="K358" s="615"/>
      <c r="L358" s="615"/>
      <c r="M358" s="615"/>
      <c r="N358" s="615"/>
      <c r="O358" s="615"/>
      <c r="P358" s="615"/>
      <c r="Q358" s="615"/>
      <c r="R358" s="615"/>
      <c r="S358" s="615"/>
      <c r="T358" s="615"/>
      <c r="U358" s="615"/>
      <c r="V358" s="615"/>
      <c r="W358" s="615"/>
      <c r="X358" s="615"/>
      <c r="Y358" s="615"/>
      <c r="Z358" s="615"/>
      <c r="AA358" s="615"/>
    </row>
    <row r="359">
      <c r="A359" s="675"/>
      <c r="B359" s="615"/>
      <c r="C359" s="676"/>
      <c r="D359" s="677"/>
      <c r="E359" s="677"/>
      <c r="F359" s="615"/>
      <c r="G359" s="615"/>
      <c r="H359" s="615"/>
      <c r="I359" s="679"/>
      <c r="J359" s="615"/>
      <c r="K359" s="615"/>
      <c r="L359" s="615"/>
      <c r="M359" s="615"/>
      <c r="N359" s="615"/>
      <c r="O359" s="615"/>
      <c r="P359" s="615"/>
      <c r="Q359" s="615"/>
      <c r="R359" s="615"/>
      <c r="S359" s="615"/>
      <c r="T359" s="615"/>
      <c r="U359" s="615"/>
      <c r="V359" s="615"/>
      <c r="W359" s="615"/>
      <c r="X359" s="615"/>
      <c r="Y359" s="615"/>
      <c r="Z359" s="615"/>
      <c r="AA359" s="615"/>
    </row>
    <row r="360">
      <c r="A360" s="675"/>
      <c r="B360" s="615"/>
      <c r="C360" s="676"/>
      <c r="D360" s="677"/>
      <c r="E360" s="677"/>
      <c r="F360" s="615"/>
      <c r="G360" s="615"/>
      <c r="H360" s="615"/>
      <c r="I360" s="679"/>
      <c r="J360" s="615"/>
      <c r="K360" s="615"/>
      <c r="L360" s="615"/>
      <c r="M360" s="615"/>
      <c r="N360" s="615"/>
      <c r="O360" s="615"/>
      <c r="P360" s="615"/>
      <c r="Q360" s="615"/>
      <c r="R360" s="615"/>
      <c r="S360" s="615"/>
      <c r="T360" s="615"/>
      <c r="U360" s="615"/>
      <c r="V360" s="615"/>
      <c r="W360" s="615"/>
      <c r="X360" s="615"/>
      <c r="Y360" s="615"/>
      <c r="Z360" s="615"/>
      <c r="AA360" s="615"/>
    </row>
    <row r="361">
      <c r="A361" s="675"/>
      <c r="B361" s="615"/>
      <c r="C361" s="676"/>
      <c r="D361" s="677"/>
      <c r="E361" s="677"/>
      <c r="F361" s="615"/>
      <c r="G361" s="615"/>
      <c r="H361" s="615"/>
      <c r="I361" s="679"/>
      <c r="J361" s="615"/>
      <c r="K361" s="615"/>
      <c r="L361" s="615"/>
      <c r="M361" s="615"/>
      <c r="N361" s="615"/>
      <c r="O361" s="615"/>
      <c r="P361" s="615"/>
      <c r="Q361" s="615"/>
      <c r="R361" s="615"/>
      <c r="S361" s="615"/>
      <c r="T361" s="615"/>
      <c r="U361" s="615"/>
      <c r="V361" s="615"/>
      <c r="W361" s="615"/>
      <c r="X361" s="615"/>
      <c r="Y361" s="615"/>
      <c r="Z361" s="615"/>
      <c r="AA361" s="615"/>
    </row>
    <row r="362">
      <c r="A362" s="675"/>
      <c r="B362" s="615"/>
      <c r="C362" s="676"/>
      <c r="D362" s="677"/>
      <c r="E362" s="677"/>
      <c r="F362" s="615"/>
      <c r="G362" s="615"/>
      <c r="H362" s="615"/>
      <c r="I362" s="679"/>
      <c r="J362" s="615"/>
      <c r="K362" s="615"/>
      <c r="L362" s="615"/>
      <c r="M362" s="615"/>
      <c r="N362" s="615"/>
      <c r="O362" s="615"/>
      <c r="P362" s="615"/>
      <c r="Q362" s="615"/>
      <c r="R362" s="615"/>
      <c r="S362" s="615"/>
      <c r="T362" s="615"/>
      <c r="U362" s="615"/>
      <c r="V362" s="615"/>
      <c r="W362" s="615"/>
      <c r="X362" s="615"/>
      <c r="Y362" s="615"/>
      <c r="Z362" s="615"/>
      <c r="AA362" s="615"/>
    </row>
    <row r="363">
      <c r="A363" s="675"/>
      <c r="B363" s="615"/>
      <c r="C363" s="676"/>
      <c r="D363" s="677"/>
      <c r="E363" s="677"/>
      <c r="F363" s="615"/>
      <c r="G363" s="615"/>
      <c r="H363" s="615"/>
      <c r="I363" s="679"/>
      <c r="J363" s="615"/>
      <c r="K363" s="615"/>
      <c r="L363" s="615"/>
      <c r="M363" s="615"/>
      <c r="N363" s="615"/>
      <c r="O363" s="615"/>
      <c r="P363" s="615"/>
      <c r="Q363" s="615"/>
      <c r="R363" s="615"/>
      <c r="S363" s="615"/>
      <c r="T363" s="615"/>
      <c r="U363" s="615"/>
      <c r="V363" s="615"/>
      <c r="W363" s="615"/>
      <c r="X363" s="615"/>
      <c r="Y363" s="615"/>
      <c r="Z363" s="615"/>
      <c r="AA363" s="615"/>
    </row>
    <row r="364">
      <c r="A364" s="675"/>
      <c r="B364" s="615"/>
      <c r="C364" s="676"/>
      <c r="D364" s="677"/>
      <c r="E364" s="677"/>
      <c r="F364" s="615"/>
      <c r="G364" s="615"/>
      <c r="H364" s="615"/>
      <c r="I364" s="679"/>
      <c r="J364" s="615"/>
      <c r="K364" s="615"/>
      <c r="L364" s="615"/>
      <c r="M364" s="615"/>
      <c r="N364" s="615"/>
      <c r="O364" s="615"/>
      <c r="P364" s="615"/>
      <c r="Q364" s="615"/>
      <c r="R364" s="615"/>
      <c r="S364" s="615"/>
      <c r="T364" s="615"/>
      <c r="U364" s="615"/>
      <c r="V364" s="615"/>
      <c r="W364" s="615"/>
      <c r="X364" s="615"/>
      <c r="Y364" s="615"/>
      <c r="Z364" s="615"/>
      <c r="AA364" s="615"/>
    </row>
    <row r="365">
      <c r="A365" s="675"/>
      <c r="B365" s="615"/>
      <c r="C365" s="676"/>
      <c r="D365" s="677"/>
      <c r="E365" s="677"/>
      <c r="F365" s="615"/>
      <c r="G365" s="615"/>
      <c r="H365" s="615"/>
      <c r="I365" s="679"/>
      <c r="J365" s="615"/>
      <c r="K365" s="615"/>
      <c r="L365" s="615"/>
      <c r="M365" s="615"/>
      <c r="N365" s="615"/>
      <c r="O365" s="615"/>
      <c r="P365" s="615"/>
      <c r="Q365" s="615"/>
      <c r="R365" s="615"/>
      <c r="S365" s="615"/>
      <c r="T365" s="615"/>
      <c r="U365" s="615"/>
      <c r="V365" s="615"/>
      <c r="W365" s="615"/>
      <c r="X365" s="615"/>
      <c r="Y365" s="615"/>
      <c r="Z365" s="615"/>
      <c r="AA365" s="615"/>
    </row>
    <row r="366">
      <c r="A366" s="675"/>
      <c r="B366" s="615"/>
      <c r="C366" s="676"/>
      <c r="D366" s="677"/>
      <c r="E366" s="677"/>
      <c r="F366" s="615"/>
      <c r="G366" s="615"/>
      <c r="H366" s="615"/>
      <c r="I366" s="679"/>
      <c r="J366" s="615"/>
      <c r="K366" s="615"/>
      <c r="L366" s="615"/>
      <c r="M366" s="615"/>
      <c r="N366" s="615"/>
      <c r="O366" s="615"/>
      <c r="P366" s="615"/>
      <c r="Q366" s="615"/>
      <c r="R366" s="615"/>
      <c r="S366" s="615"/>
      <c r="T366" s="615"/>
      <c r="U366" s="615"/>
      <c r="V366" s="615"/>
      <c r="W366" s="615"/>
      <c r="X366" s="615"/>
      <c r="Y366" s="615"/>
      <c r="Z366" s="615"/>
      <c r="AA366" s="615"/>
    </row>
    <row r="367">
      <c r="A367" s="675"/>
      <c r="B367" s="615"/>
      <c r="C367" s="676"/>
      <c r="D367" s="677"/>
      <c r="E367" s="677"/>
      <c r="F367" s="615"/>
      <c r="G367" s="615"/>
      <c r="H367" s="615"/>
      <c r="I367" s="679"/>
      <c r="J367" s="615"/>
      <c r="K367" s="615"/>
      <c r="L367" s="615"/>
      <c r="M367" s="615"/>
      <c r="N367" s="615"/>
      <c r="O367" s="615"/>
      <c r="P367" s="615"/>
      <c r="Q367" s="615"/>
      <c r="R367" s="615"/>
      <c r="S367" s="615"/>
      <c r="T367" s="615"/>
      <c r="U367" s="615"/>
      <c r="V367" s="615"/>
      <c r="W367" s="615"/>
      <c r="X367" s="615"/>
      <c r="Y367" s="615"/>
      <c r="Z367" s="615"/>
      <c r="AA367" s="615"/>
    </row>
    <row r="368">
      <c r="A368" s="675"/>
      <c r="B368" s="615"/>
      <c r="C368" s="676"/>
      <c r="D368" s="677"/>
      <c r="E368" s="677"/>
      <c r="F368" s="615"/>
      <c r="G368" s="615"/>
      <c r="H368" s="615"/>
      <c r="I368" s="679"/>
      <c r="J368" s="615"/>
      <c r="K368" s="615"/>
      <c r="L368" s="615"/>
      <c r="M368" s="615"/>
      <c r="N368" s="615"/>
      <c r="O368" s="615"/>
      <c r="P368" s="615"/>
      <c r="Q368" s="615"/>
      <c r="R368" s="615"/>
      <c r="S368" s="615"/>
      <c r="T368" s="615"/>
      <c r="U368" s="615"/>
      <c r="V368" s="615"/>
      <c r="W368" s="615"/>
      <c r="X368" s="615"/>
      <c r="Y368" s="615"/>
      <c r="Z368" s="615"/>
      <c r="AA368" s="615"/>
    </row>
    <row r="369">
      <c r="A369" s="675"/>
      <c r="B369" s="615"/>
      <c r="C369" s="676"/>
      <c r="D369" s="677"/>
      <c r="E369" s="677"/>
      <c r="F369" s="615"/>
      <c r="G369" s="615"/>
      <c r="H369" s="615"/>
      <c r="I369" s="679"/>
      <c r="J369" s="615"/>
      <c r="K369" s="615"/>
      <c r="L369" s="615"/>
      <c r="M369" s="615"/>
      <c r="N369" s="615"/>
      <c r="O369" s="615"/>
      <c r="P369" s="615"/>
      <c r="Q369" s="615"/>
      <c r="R369" s="615"/>
      <c r="S369" s="615"/>
      <c r="T369" s="615"/>
      <c r="U369" s="615"/>
      <c r="V369" s="615"/>
      <c r="W369" s="615"/>
      <c r="X369" s="615"/>
      <c r="Y369" s="615"/>
      <c r="Z369" s="615"/>
      <c r="AA369" s="615"/>
    </row>
    <row r="370">
      <c r="A370" s="675"/>
      <c r="B370" s="615"/>
      <c r="C370" s="676"/>
      <c r="D370" s="677"/>
      <c r="E370" s="677"/>
      <c r="F370" s="615"/>
      <c r="G370" s="615"/>
      <c r="H370" s="615"/>
      <c r="I370" s="679"/>
      <c r="J370" s="615"/>
      <c r="K370" s="615"/>
      <c r="L370" s="615"/>
      <c r="M370" s="615"/>
      <c r="N370" s="615"/>
      <c r="O370" s="615"/>
      <c r="P370" s="615"/>
      <c r="Q370" s="615"/>
      <c r="R370" s="615"/>
      <c r="S370" s="615"/>
      <c r="T370" s="615"/>
      <c r="U370" s="615"/>
      <c r="V370" s="615"/>
      <c r="W370" s="615"/>
      <c r="X370" s="615"/>
      <c r="Y370" s="615"/>
      <c r="Z370" s="615"/>
      <c r="AA370" s="615"/>
    </row>
    <row r="371">
      <c r="A371" s="675"/>
      <c r="B371" s="615"/>
      <c r="C371" s="676"/>
      <c r="D371" s="677"/>
      <c r="E371" s="677"/>
      <c r="F371" s="615"/>
      <c r="G371" s="615"/>
      <c r="H371" s="615"/>
      <c r="I371" s="679"/>
      <c r="J371" s="615"/>
      <c r="K371" s="615"/>
      <c r="L371" s="615"/>
      <c r="M371" s="615"/>
      <c r="N371" s="615"/>
      <c r="O371" s="615"/>
      <c r="P371" s="615"/>
      <c r="Q371" s="615"/>
      <c r="R371" s="615"/>
      <c r="S371" s="615"/>
      <c r="T371" s="615"/>
      <c r="U371" s="615"/>
      <c r="V371" s="615"/>
      <c r="W371" s="615"/>
      <c r="X371" s="615"/>
      <c r="Y371" s="615"/>
      <c r="Z371" s="615"/>
      <c r="AA371" s="615"/>
    </row>
    <row r="372">
      <c r="A372" s="675"/>
      <c r="B372" s="615"/>
      <c r="C372" s="676"/>
      <c r="D372" s="677"/>
      <c r="E372" s="677"/>
      <c r="F372" s="615"/>
      <c r="G372" s="615"/>
      <c r="H372" s="615"/>
      <c r="I372" s="679"/>
      <c r="J372" s="615"/>
      <c r="K372" s="615"/>
      <c r="L372" s="615"/>
      <c r="M372" s="615"/>
      <c r="N372" s="615"/>
      <c r="O372" s="615"/>
      <c r="P372" s="615"/>
      <c r="Q372" s="615"/>
      <c r="R372" s="615"/>
      <c r="S372" s="615"/>
      <c r="T372" s="615"/>
      <c r="U372" s="615"/>
      <c r="V372" s="615"/>
      <c r="W372" s="615"/>
      <c r="X372" s="615"/>
      <c r="Y372" s="615"/>
      <c r="Z372" s="615"/>
      <c r="AA372" s="615"/>
    </row>
    <row r="373">
      <c r="A373" s="675"/>
      <c r="B373" s="615"/>
      <c r="C373" s="676"/>
      <c r="D373" s="677"/>
      <c r="E373" s="677"/>
      <c r="F373" s="615"/>
      <c r="G373" s="615"/>
      <c r="H373" s="615"/>
      <c r="I373" s="679"/>
      <c r="J373" s="615"/>
      <c r="K373" s="615"/>
      <c r="L373" s="615"/>
      <c r="M373" s="615"/>
      <c r="N373" s="615"/>
      <c r="O373" s="615"/>
      <c r="P373" s="615"/>
      <c r="Q373" s="615"/>
      <c r="R373" s="615"/>
      <c r="S373" s="615"/>
      <c r="T373" s="615"/>
      <c r="U373" s="615"/>
      <c r="V373" s="615"/>
      <c r="W373" s="615"/>
      <c r="X373" s="615"/>
      <c r="Y373" s="615"/>
      <c r="Z373" s="615"/>
      <c r="AA373" s="615"/>
    </row>
    <row r="374">
      <c r="A374" s="675"/>
      <c r="B374" s="615"/>
      <c r="C374" s="676"/>
      <c r="D374" s="677"/>
      <c r="E374" s="677"/>
      <c r="F374" s="615"/>
      <c r="G374" s="615"/>
      <c r="H374" s="615"/>
      <c r="I374" s="679"/>
      <c r="J374" s="615"/>
      <c r="K374" s="615"/>
      <c r="L374" s="615"/>
      <c r="M374" s="615"/>
      <c r="N374" s="615"/>
      <c r="O374" s="615"/>
      <c r="P374" s="615"/>
      <c r="Q374" s="615"/>
      <c r="R374" s="615"/>
      <c r="S374" s="615"/>
      <c r="T374" s="615"/>
      <c r="U374" s="615"/>
      <c r="V374" s="615"/>
      <c r="W374" s="615"/>
      <c r="X374" s="615"/>
      <c r="Y374" s="615"/>
      <c r="Z374" s="615"/>
      <c r="AA374" s="615"/>
    </row>
    <row r="375">
      <c r="A375" s="675"/>
      <c r="B375" s="615"/>
      <c r="C375" s="676"/>
      <c r="D375" s="677"/>
      <c r="E375" s="677"/>
      <c r="F375" s="615"/>
      <c r="G375" s="615"/>
      <c r="H375" s="615"/>
      <c r="I375" s="679"/>
      <c r="J375" s="615"/>
      <c r="K375" s="615"/>
      <c r="L375" s="615"/>
      <c r="M375" s="615"/>
      <c r="N375" s="615"/>
      <c r="O375" s="615"/>
      <c r="P375" s="615"/>
      <c r="Q375" s="615"/>
      <c r="R375" s="615"/>
      <c r="S375" s="615"/>
      <c r="T375" s="615"/>
      <c r="U375" s="615"/>
      <c r="V375" s="615"/>
      <c r="W375" s="615"/>
      <c r="X375" s="615"/>
      <c r="Y375" s="615"/>
      <c r="Z375" s="615"/>
      <c r="AA375" s="615"/>
    </row>
    <row r="376">
      <c r="A376" s="675"/>
      <c r="B376" s="615"/>
      <c r="C376" s="676"/>
      <c r="D376" s="677"/>
      <c r="E376" s="677"/>
      <c r="F376" s="615"/>
      <c r="G376" s="615"/>
      <c r="H376" s="615"/>
      <c r="I376" s="679"/>
      <c r="J376" s="615"/>
      <c r="K376" s="615"/>
      <c r="L376" s="615"/>
      <c r="M376" s="615"/>
      <c r="N376" s="615"/>
      <c r="O376" s="615"/>
      <c r="P376" s="615"/>
      <c r="Q376" s="615"/>
      <c r="R376" s="615"/>
      <c r="S376" s="615"/>
      <c r="T376" s="615"/>
      <c r="U376" s="615"/>
      <c r="V376" s="615"/>
      <c r="W376" s="615"/>
      <c r="X376" s="615"/>
      <c r="Y376" s="615"/>
      <c r="Z376" s="615"/>
      <c r="AA376" s="615"/>
    </row>
    <row r="377">
      <c r="A377" s="675"/>
      <c r="B377" s="615"/>
      <c r="C377" s="676"/>
      <c r="D377" s="677"/>
      <c r="E377" s="677"/>
      <c r="F377" s="615"/>
      <c r="G377" s="615"/>
      <c r="H377" s="615"/>
      <c r="I377" s="679"/>
      <c r="J377" s="615"/>
      <c r="K377" s="615"/>
      <c r="L377" s="615"/>
      <c r="M377" s="615"/>
      <c r="N377" s="615"/>
      <c r="O377" s="615"/>
      <c r="P377" s="615"/>
      <c r="Q377" s="615"/>
      <c r="R377" s="615"/>
      <c r="S377" s="615"/>
      <c r="T377" s="615"/>
      <c r="U377" s="615"/>
      <c r="V377" s="615"/>
      <c r="W377" s="615"/>
      <c r="X377" s="615"/>
      <c r="Y377" s="615"/>
      <c r="Z377" s="615"/>
      <c r="AA377" s="615"/>
    </row>
    <row r="378">
      <c r="A378" s="675"/>
      <c r="B378" s="615"/>
      <c r="C378" s="676"/>
      <c r="D378" s="677"/>
      <c r="E378" s="677"/>
      <c r="F378" s="615"/>
      <c r="G378" s="615"/>
      <c r="H378" s="615"/>
      <c r="I378" s="679"/>
      <c r="J378" s="615"/>
      <c r="K378" s="615"/>
      <c r="L378" s="615"/>
      <c r="M378" s="615"/>
      <c r="N378" s="615"/>
      <c r="O378" s="615"/>
      <c r="P378" s="615"/>
      <c r="Q378" s="615"/>
      <c r="R378" s="615"/>
      <c r="S378" s="615"/>
      <c r="T378" s="615"/>
      <c r="U378" s="615"/>
      <c r="V378" s="615"/>
      <c r="W378" s="615"/>
      <c r="X378" s="615"/>
      <c r="Y378" s="615"/>
      <c r="Z378" s="615"/>
      <c r="AA378" s="615"/>
    </row>
    <row r="379">
      <c r="A379" s="675"/>
      <c r="B379" s="615"/>
      <c r="C379" s="676"/>
      <c r="D379" s="677"/>
      <c r="E379" s="677"/>
      <c r="F379" s="615"/>
      <c r="G379" s="615"/>
      <c r="H379" s="615"/>
      <c r="I379" s="679"/>
      <c r="J379" s="615"/>
      <c r="K379" s="615"/>
      <c r="L379" s="615"/>
      <c r="M379" s="615"/>
      <c r="N379" s="615"/>
      <c r="O379" s="615"/>
      <c r="P379" s="615"/>
      <c r="Q379" s="615"/>
      <c r="R379" s="615"/>
      <c r="S379" s="615"/>
      <c r="T379" s="615"/>
      <c r="U379" s="615"/>
      <c r="V379" s="615"/>
      <c r="W379" s="615"/>
      <c r="X379" s="615"/>
      <c r="Y379" s="615"/>
      <c r="Z379" s="615"/>
      <c r="AA379" s="615"/>
    </row>
    <row r="380">
      <c r="A380" s="675"/>
      <c r="B380" s="615"/>
      <c r="C380" s="676"/>
      <c r="D380" s="677"/>
      <c r="E380" s="677"/>
      <c r="F380" s="615"/>
      <c r="G380" s="615"/>
      <c r="H380" s="615"/>
      <c r="I380" s="679"/>
      <c r="J380" s="615"/>
      <c r="K380" s="615"/>
      <c r="L380" s="615"/>
      <c r="M380" s="615"/>
      <c r="N380" s="615"/>
      <c r="O380" s="615"/>
      <c r="P380" s="615"/>
      <c r="Q380" s="615"/>
      <c r="R380" s="615"/>
      <c r="S380" s="615"/>
      <c r="T380" s="615"/>
      <c r="U380" s="615"/>
      <c r="V380" s="615"/>
      <c r="W380" s="615"/>
      <c r="X380" s="615"/>
      <c r="Y380" s="615"/>
      <c r="Z380" s="615"/>
      <c r="AA380" s="615"/>
    </row>
    <row r="381">
      <c r="A381" s="675"/>
      <c r="B381" s="615"/>
      <c r="C381" s="676"/>
      <c r="D381" s="677"/>
      <c r="E381" s="677"/>
      <c r="F381" s="615"/>
      <c r="G381" s="615"/>
      <c r="H381" s="615"/>
      <c r="I381" s="679"/>
      <c r="J381" s="615"/>
      <c r="K381" s="615"/>
      <c r="L381" s="615"/>
      <c r="M381" s="615"/>
      <c r="N381" s="615"/>
      <c r="O381" s="615"/>
      <c r="P381" s="615"/>
      <c r="Q381" s="615"/>
      <c r="R381" s="615"/>
      <c r="S381" s="615"/>
      <c r="T381" s="615"/>
      <c r="U381" s="615"/>
      <c r="V381" s="615"/>
      <c r="W381" s="615"/>
      <c r="X381" s="615"/>
      <c r="Y381" s="615"/>
      <c r="Z381" s="615"/>
      <c r="AA381" s="615"/>
    </row>
    <row r="382">
      <c r="A382" s="675"/>
      <c r="B382" s="615"/>
      <c r="C382" s="676"/>
      <c r="D382" s="677"/>
      <c r="E382" s="677"/>
      <c r="F382" s="615"/>
      <c r="G382" s="615"/>
      <c r="H382" s="615"/>
      <c r="I382" s="679"/>
      <c r="J382" s="615"/>
      <c r="K382" s="615"/>
      <c r="L382" s="615"/>
      <c r="M382" s="615"/>
      <c r="N382" s="615"/>
      <c r="O382" s="615"/>
      <c r="P382" s="615"/>
      <c r="Q382" s="615"/>
      <c r="R382" s="615"/>
      <c r="S382" s="615"/>
      <c r="T382" s="615"/>
      <c r="U382" s="615"/>
      <c r="V382" s="615"/>
      <c r="W382" s="615"/>
      <c r="X382" s="615"/>
      <c r="Y382" s="615"/>
      <c r="Z382" s="615"/>
      <c r="AA382" s="615"/>
    </row>
    <row r="383">
      <c r="A383" s="675"/>
      <c r="B383" s="615"/>
      <c r="C383" s="676"/>
      <c r="D383" s="677"/>
      <c r="E383" s="677"/>
      <c r="F383" s="615"/>
      <c r="G383" s="615"/>
      <c r="H383" s="615"/>
      <c r="I383" s="679"/>
      <c r="J383" s="615"/>
      <c r="K383" s="615"/>
      <c r="L383" s="615"/>
      <c r="M383" s="615"/>
      <c r="N383" s="615"/>
      <c r="O383" s="615"/>
      <c r="P383" s="615"/>
      <c r="Q383" s="615"/>
      <c r="R383" s="615"/>
      <c r="S383" s="615"/>
      <c r="T383" s="615"/>
      <c r="U383" s="615"/>
      <c r="V383" s="615"/>
      <c r="W383" s="615"/>
      <c r="X383" s="615"/>
      <c r="Y383" s="615"/>
      <c r="Z383" s="615"/>
      <c r="AA383" s="615"/>
    </row>
    <row r="384">
      <c r="A384" s="675"/>
      <c r="B384" s="615"/>
      <c r="C384" s="676"/>
      <c r="D384" s="677"/>
      <c r="E384" s="677"/>
      <c r="F384" s="615"/>
      <c r="G384" s="615"/>
      <c r="H384" s="615"/>
      <c r="I384" s="679"/>
      <c r="J384" s="615"/>
      <c r="K384" s="615"/>
      <c r="L384" s="615"/>
      <c r="M384" s="615"/>
      <c r="N384" s="615"/>
      <c r="O384" s="615"/>
      <c r="P384" s="615"/>
      <c r="Q384" s="615"/>
      <c r="R384" s="615"/>
      <c r="S384" s="615"/>
      <c r="T384" s="615"/>
      <c r="U384" s="615"/>
      <c r="V384" s="615"/>
      <c r="W384" s="615"/>
      <c r="X384" s="615"/>
      <c r="Y384" s="615"/>
      <c r="Z384" s="615"/>
      <c r="AA384" s="615"/>
    </row>
    <row r="385">
      <c r="A385" s="675"/>
      <c r="B385" s="615"/>
      <c r="C385" s="676"/>
      <c r="D385" s="677"/>
      <c r="E385" s="677"/>
      <c r="F385" s="615"/>
      <c r="G385" s="615"/>
      <c r="H385" s="615"/>
      <c r="I385" s="679"/>
      <c r="J385" s="615"/>
      <c r="K385" s="615"/>
      <c r="L385" s="615"/>
      <c r="M385" s="615"/>
      <c r="N385" s="615"/>
      <c r="O385" s="615"/>
      <c r="P385" s="615"/>
      <c r="Q385" s="615"/>
      <c r="R385" s="615"/>
      <c r="S385" s="615"/>
      <c r="T385" s="615"/>
      <c r="U385" s="615"/>
      <c r="V385" s="615"/>
      <c r="W385" s="615"/>
      <c r="X385" s="615"/>
      <c r="Y385" s="615"/>
      <c r="Z385" s="615"/>
      <c r="AA385" s="615"/>
    </row>
    <row r="386">
      <c r="A386" s="675"/>
      <c r="B386" s="615"/>
      <c r="C386" s="676"/>
      <c r="D386" s="677"/>
      <c r="E386" s="677"/>
      <c r="F386" s="615"/>
      <c r="G386" s="615"/>
      <c r="H386" s="615"/>
      <c r="I386" s="679"/>
      <c r="J386" s="615"/>
      <c r="K386" s="615"/>
      <c r="L386" s="615"/>
      <c r="M386" s="615"/>
      <c r="N386" s="615"/>
      <c r="O386" s="615"/>
      <c r="P386" s="615"/>
      <c r="Q386" s="615"/>
      <c r="R386" s="615"/>
      <c r="S386" s="615"/>
      <c r="T386" s="615"/>
      <c r="U386" s="615"/>
      <c r="V386" s="615"/>
      <c r="W386" s="615"/>
      <c r="X386" s="615"/>
      <c r="Y386" s="615"/>
      <c r="Z386" s="615"/>
      <c r="AA386" s="615"/>
    </row>
    <row r="387">
      <c r="A387" s="675"/>
      <c r="B387" s="615"/>
      <c r="C387" s="676"/>
      <c r="D387" s="677"/>
      <c r="E387" s="677"/>
      <c r="F387" s="615"/>
      <c r="G387" s="615"/>
      <c r="H387" s="615"/>
      <c r="I387" s="679"/>
      <c r="J387" s="615"/>
      <c r="K387" s="615"/>
      <c r="L387" s="615"/>
      <c r="M387" s="615"/>
      <c r="N387" s="615"/>
      <c r="O387" s="615"/>
      <c r="P387" s="615"/>
      <c r="Q387" s="615"/>
      <c r="R387" s="615"/>
      <c r="S387" s="615"/>
      <c r="T387" s="615"/>
      <c r="U387" s="615"/>
      <c r="V387" s="615"/>
      <c r="W387" s="615"/>
      <c r="X387" s="615"/>
      <c r="Y387" s="615"/>
      <c r="Z387" s="615"/>
      <c r="AA387" s="615"/>
    </row>
    <row r="388">
      <c r="A388" s="675"/>
      <c r="B388" s="615"/>
      <c r="C388" s="676"/>
      <c r="D388" s="677"/>
      <c r="E388" s="677"/>
      <c r="F388" s="615"/>
      <c r="G388" s="615"/>
      <c r="H388" s="615"/>
      <c r="I388" s="679"/>
      <c r="J388" s="615"/>
      <c r="K388" s="615"/>
      <c r="L388" s="615"/>
      <c r="M388" s="615"/>
      <c r="N388" s="615"/>
      <c r="O388" s="615"/>
      <c r="P388" s="615"/>
      <c r="Q388" s="615"/>
      <c r="R388" s="615"/>
      <c r="S388" s="615"/>
      <c r="T388" s="615"/>
      <c r="U388" s="615"/>
      <c r="V388" s="615"/>
      <c r="W388" s="615"/>
      <c r="X388" s="615"/>
      <c r="Y388" s="615"/>
      <c r="Z388" s="615"/>
      <c r="AA388" s="615"/>
    </row>
    <row r="389">
      <c r="A389" s="675"/>
      <c r="B389" s="615"/>
      <c r="C389" s="676"/>
      <c r="D389" s="677"/>
      <c r="E389" s="677"/>
      <c r="F389" s="615"/>
      <c r="G389" s="615"/>
      <c r="H389" s="615"/>
      <c r="I389" s="679"/>
      <c r="J389" s="615"/>
      <c r="K389" s="615"/>
      <c r="L389" s="615"/>
      <c r="M389" s="615"/>
      <c r="N389" s="615"/>
      <c r="O389" s="615"/>
      <c r="P389" s="615"/>
      <c r="Q389" s="615"/>
      <c r="R389" s="615"/>
      <c r="S389" s="615"/>
      <c r="T389" s="615"/>
      <c r="U389" s="615"/>
      <c r="V389" s="615"/>
      <c r="W389" s="615"/>
      <c r="X389" s="615"/>
      <c r="Y389" s="615"/>
      <c r="Z389" s="615"/>
      <c r="AA389" s="615"/>
    </row>
    <row r="390">
      <c r="A390" s="675"/>
      <c r="B390" s="615"/>
      <c r="C390" s="676"/>
      <c r="D390" s="677"/>
      <c r="E390" s="677"/>
      <c r="F390" s="615"/>
      <c r="G390" s="615"/>
      <c r="H390" s="615"/>
      <c r="I390" s="679"/>
      <c r="J390" s="615"/>
      <c r="K390" s="615"/>
      <c r="L390" s="615"/>
      <c r="M390" s="615"/>
      <c r="N390" s="615"/>
      <c r="O390" s="615"/>
      <c r="P390" s="615"/>
      <c r="Q390" s="615"/>
      <c r="R390" s="615"/>
      <c r="S390" s="615"/>
      <c r="T390" s="615"/>
      <c r="U390" s="615"/>
      <c r="V390" s="615"/>
      <c r="W390" s="615"/>
      <c r="X390" s="615"/>
      <c r="Y390" s="615"/>
      <c r="Z390" s="615"/>
      <c r="AA390" s="615"/>
    </row>
    <row r="391">
      <c r="A391" s="675"/>
      <c r="B391" s="615"/>
      <c r="C391" s="676"/>
      <c r="D391" s="677"/>
      <c r="E391" s="677"/>
      <c r="F391" s="615"/>
      <c r="G391" s="615"/>
      <c r="H391" s="615"/>
      <c r="I391" s="679"/>
      <c r="J391" s="615"/>
      <c r="K391" s="615"/>
      <c r="L391" s="615"/>
      <c r="M391" s="615"/>
      <c r="N391" s="615"/>
      <c r="O391" s="615"/>
      <c r="P391" s="615"/>
      <c r="Q391" s="615"/>
      <c r="R391" s="615"/>
      <c r="S391" s="615"/>
      <c r="T391" s="615"/>
      <c r="U391" s="615"/>
      <c r="V391" s="615"/>
      <c r="W391" s="615"/>
      <c r="X391" s="615"/>
      <c r="Y391" s="615"/>
      <c r="Z391" s="615"/>
      <c r="AA391" s="615"/>
    </row>
    <row r="392">
      <c r="A392" s="675"/>
      <c r="B392" s="615"/>
      <c r="C392" s="676"/>
      <c r="D392" s="677"/>
      <c r="E392" s="677"/>
      <c r="F392" s="615"/>
      <c r="G392" s="615"/>
      <c r="H392" s="615"/>
      <c r="I392" s="679"/>
      <c r="J392" s="615"/>
      <c r="K392" s="615"/>
      <c r="L392" s="615"/>
      <c r="M392" s="615"/>
      <c r="N392" s="615"/>
      <c r="O392" s="615"/>
      <c r="P392" s="615"/>
      <c r="Q392" s="615"/>
      <c r="R392" s="615"/>
      <c r="S392" s="615"/>
      <c r="T392" s="615"/>
      <c r="U392" s="615"/>
      <c r="V392" s="615"/>
      <c r="W392" s="615"/>
      <c r="X392" s="615"/>
      <c r="Y392" s="615"/>
      <c r="Z392" s="615"/>
      <c r="AA392" s="615"/>
    </row>
    <row r="393">
      <c r="A393" s="675"/>
      <c r="B393" s="615"/>
      <c r="C393" s="676"/>
      <c r="D393" s="677"/>
      <c r="E393" s="677"/>
      <c r="F393" s="615"/>
      <c r="G393" s="615"/>
      <c r="H393" s="615"/>
      <c r="I393" s="679"/>
      <c r="J393" s="615"/>
      <c r="K393" s="615"/>
      <c r="L393" s="615"/>
      <c r="M393" s="615"/>
      <c r="N393" s="615"/>
      <c r="O393" s="615"/>
      <c r="P393" s="615"/>
      <c r="Q393" s="615"/>
      <c r="R393" s="615"/>
      <c r="S393" s="615"/>
      <c r="T393" s="615"/>
      <c r="U393" s="615"/>
      <c r="V393" s="615"/>
      <c r="W393" s="615"/>
      <c r="X393" s="615"/>
      <c r="Y393" s="615"/>
      <c r="Z393" s="615"/>
      <c r="AA393" s="615"/>
    </row>
    <row r="394">
      <c r="A394" s="675"/>
      <c r="B394" s="615"/>
      <c r="C394" s="676"/>
      <c r="D394" s="677"/>
      <c r="E394" s="677"/>
      <c r="F394" s="615"/>
      <c r="G394" s="615"/>
      <c r="H394" s="615"/>
      <c r="I394" s="679"/>
      <c r="J394" s="615"/>
      <c r="K394" s="615"/>
      <c r="L394" s="615"/>
      <c r="M394" s="615"/>
      <c r="N394" s="615"/>
      <c r="O394" s="615"/>
      <c r="P394" s="615"/>
      <c r="Q394" s="615"/>
      <c r="R394" s="615"/>
      <c r="S394" s="615"/>
      <c r="T394" s="615"/>
      <c r="U394" s="615"/>
      <c r="V394" s="615"/>
      <c r="W394" s="615"/>
      <c r="X394" s="615"/>
      <c r="Y394" s="615"/>
      <c r="Z394" s="615"/>
      <c r="AA394" s="615"/>
    </row>
    <row r="395">
      <c r="A395" s="675"/>
      <c r="B395" s="615"/>
      <c r="C395" s="676"/>
      <c r="D395" s="677"/>
      <c r="E395" s="677"/>
      <c r="F395" s="615"/>
      <c r="G395" s="615"/>
      <c r="H395" s="615"/>
      <c r="I395" s="679"/>
      <c r="J395" s="615"/>
      <c r="K395" s="615"/>
      <c r="L395" s="615"/>
      <c r="M395" s="615"/>
      <c r="N395" s="615"/>
      <c r="O395" s="615"/>
      <c r="P395" s="615"/>
      <c r="Q395" s="615"/>
      <c r="R395" s="615"/>
      <c r="S395" s="615"/>
      <c r="T395" s="615"/>
      <c r="U395" s="615"/>
      <c r="V395" s="615"/>
      <c r="W395" s="615"/>
      <c r="X395" s="615"/>
      <c r="Y395" s="615"/>
      <c r="Z395" s="615"/>
      <c r="AA395" s="615"/>
    </row>
    <row r="396">
      <c r="A396" s="675"/>
      <c r="B396" s="615"/>
      <c r="C396" s="676"/>
      <c r="D396" s="677"/>
      <c r="E396" s="677"/>
      <c r="F396" s="615"/>
      <c r="G396" s="615"/>
      <c r="H396" s="615"/>
      <c r="I396" s="679"/>
      <c r="J396" s="615"/>
      <c r="K396" s="615"/>
      <c r="L396" s="615"/>
      <c r="M396" s="615"/>
      <c r="N396" s="615"/>
      <c r="O396" s="615"/>
      <c r="P396" s="615"/>
      <c r="Q396" s="615"/>
      <c r="R396" s="615"/>
      <c r="S396" s="615"/>
      <c r="T396" s="615"/>
      <c r="U396" s="615"/>
      <c r="V396" s="615"/>
      <c r="W396" s="615"/>
      <c r="X396" s="615"/>
      <c r="Y396" s="615"/>
      <c r="Z396" s="615"/>
      <c r="AA396" s="615"/>
    </row>
    <row r="397">
      <c r="A397" s="675"/>
      <c r="B397" s="615"/>
      <c r="C397" s="676"/>
      <c r="D397" s="677"/>
      <c r="E397" s="677"/>
      <c r="F397" s="615"/>
      <c r="G397" s="615"/>
      <c r="H397" s="615"/>
      <c r="I397" s="679"/>
      <c r="J397" s="615"/>
      <c r="K397" s="615"/>
      <c r="L397" s="615"/>
      <c r="M397" s="615"/>
      <c r="N397" s="615"/>
      <c r="O397" s="615"/>
      <c r="P397" s="615"/>
      <c r="Q397" s="615"/>
      <c r="R397" s="615"/>
      <c r="S397" s="615"/>
      <c r="T397" s="615"/>
      <c r="U397" s="615"/>
      <c r="V397" s="615"/>
      <c r="W397" s="615"/>
      <c r="X397" s="615"/>
      <c r="Y397" s="615"/>
      <c r="Z397" s="615"/>
      <c r="AA397" s="615"/>
    </row>
    <row r="398">
      <c r="A398" s="675"/>
      <c r="B398" s="615"/>
      <c r="C398" s="676"/>
      <c r="D398" s="677"/>
      <c r="E398" s="677"/>
      <c r="F398" s="615"/>
      <c r="G398" s="615"/>
      <c r="H398" s="615"/>
      <c r="I398" s="679"/>
      <c r="J398" s="615"/>
      <c r="K398" s="615"/>
      <c r="L398" s="615"/>
      <c r="M398" s="615"/>
      <c r="N398" s="615"/>
      <c r="O398" s="615"/>
      <c r="P398" s="615"/>
      <c r="Q398" s="615"/>
      <c r="R398" s="615"/>
      <c r="S398" s="615"/>
      <c r="T398" s="615"/>
      <c r="U398" s="615"/>
      <c r="V398" s="615"/>
      <c r="W398" s="615"/>
      <c r="X398" s="615"/>
      <c r="Y398" s="615"/>
      <c r="Z398" s="615"/>
      <c r="AA398" s="615"/>
    </row>
    <row r="399">
      <c r="A399" s="675"/>
      <c r="B399" s="615"/>
      <c r="C399" s="676"/>
      <c r="D399" s="677"/>
      <c r="E399" s="677"/>
      <c r="F399" s="615"/>
      <c r="G399" s="615"/>
      <c r="H399" s="615"/>
      <c r="I399" s="679"/>
      <c r="J399" s="615"/>
      <c r="K399" s="615"/>
      <c r="L399" s="615"/>
      <c r="M399" s="615"/>
      <c r="N399" s="615"/>
      <c r="O399" s="615"/>
      <c r="P399" s="615"/>
      <c r="Q399" s="615"/>
      <c r="R399" s="615"/>
      <c r="S399" s="615"/>
      <c r="T399" s="615"/>
      <c r="U399" s="615"/>
      <c r="V399" s="615"/>
      <c r="W399" s="615"/>
      <c r="X399" s="615"/>
      <c r="Y399" s="615"/>
      <c r="Z399" s="615"/>
      <c r="AA399" s="615"/>
    </row>
    <row r="400">
      <c r="A400" s="675"/>
      <c r="B400" s="615"/>
      <c r="C400" s="676"/>
      <c r="D400" s="677"/>
      <c r="E400" s="677"/>
      <c r="F400" s="615"/>
      <c r="G400" s="615"/>
      <c r="H400" s="615"/>
      <c r="I400" s="679"/>
      <c r="J400" s="615"/>
      <c r="K400" s="615"/>
      <c r="L400" s="615"/>
      <c r="M400" s="615"/>
      <c r="N400" s="615"/>
      <c r="O400" s="615"/>
      <c r="P400" s="615"/>
      <c r="Q400" s="615"/>
      <c r="R400" s="615"/>
      <c r="S400" s="615"/>
      <c r="T400" s="615"/>
      <c r="U400" s="615"/>
      <c r="V400" s="615"/>
      <c r="W400" s="615"/>
      <c r="X400" s="615"/>
      <c r="Y400" s="615"/>
      <c r="Z400" s="615"/>
      <c r="AA400" s="615"/>
    </row>
    <row r="401">
      <c r="A401" s="675"/>
      <c r="B401" s="615"/>
      <c r="C401" s="676"/>
      <c r="D401" s="677"/>
      <c r="E401" s="677"/>
      <c r="F401" s="615"/>
      <c r="G401" s="615"/>
      <c r="H401" s="615"/>
      <c r="I401" s="679"/>
      <c r="J401" s="615"/>
      <c r="K401" s="615"/>
      <c r="L401" s="615"/>
      <c r="M401" s="615"/>
      <c r="N401" s="615"/>
      <c r="O401" s="615"/>
      <c r="P401" s="615"/>
      <c r="Q401" s="615"/>
      <c r="R401" s="615"/>
      <c r="S401" s="615"/>
      <c r="T401" s="615"/>
      <c r="U401" s="615"/>
      <c r="V401" s="615"/>
      <c r="W401" s="615"/>
      <c r="X401" s="615"/>
      <c r="Y401" s="615"/>
      <c r="Z401" s="615"/>
      <c r="AA401" s="615"/>
    </row>
    <row r="402">
      <c r="A402" s="675"/>
      <c r="B402" s="615"/>
      <c r="C402" s="676"/>
      <c r="D402" s="677"/>
      <c r="E402" s="677"/>
      <c r="F402" s="615"/>
      <c r="G402" s="615"/>
      <c r="H402" s="615"/>
      <c r="I402" s="679"/>
      <c r="J402" s="615"/>
      <c r="K402" s="615"/>
      <c r="L402" s="615"/>
      <c r="M402" s="615"/>
      <c r="N402" s="615"/>
      <c r="O402" s="615"/>
      <c r="P402" s="615"/>
      <c r="Q402" s="615"/>
      <c r="R402" s="615"/>
      <c r="S402" s="615"/>
      <c r="T402" s="615"/>
      <c r="U402" s="615"/>
      <c r="V402" s="615"/>
      <c r="W402" s="615"/>
      <c r="X402" s="615"/>
      <c r="Y402" s="615"/>
      <c r="Z402" s="615"/>
      <c r="AA402" s="615"/>
    </row>
    <row r="403">
      <c r="A403" s="675"/>
      <c r="B403" s="615"/>
      <c r="C403" s="676"/>
      <c r="D403" s="677"/>
      <c r="E403" s="677"/>
      <c r="F403" s="615"/>
      <c r="G403" s="615"/>
      <c r="H403" s="615"/>
      <c r="I403" s="679"/>
      <c r="J403" s="615"/>
      <c r="K403" s="615"/>
      <c r="L403" s="615"/>
      <c r="M403" s="615"/>
      <c r="N403" s="615"/>
      <c r="O403" s="615"/>
      <c r="P403" s="615"/>
      <c r="Q403" s="615"/>
      <c r="R403" s="615"/>
      <c r="S403" s="615"/>
      <c r="T403" s="615"/>
      <c r="U403" s="615"/>
      <c r="V403" s="615"/>
      <c r="W403" s="615"/>
      <c r="X403" s="615"/>
      <c r="Y403" s="615"/>
      <c r="Z403" s="615"/>
      <c r="AA403" s="615"/>
    </row>
    <row r="404">
      <c r="A404" s="675"/>
      <c r="B404" s="615"/>
      <c r="C404" s="676"/>
      <c r="D404" s="677"/>
      <c r="E404" s="677"/>
      <c r="F404" s="615"/>
      <c r="G404" s="615"/>
      <c r="H404" s="615"/>
      <c r="I404" s="679"/>
      <c r="J404" s="615"/>
      <c r="K404" s="615"/>
      <c r="L404" s="615"/>
      <c r="M404" s="615"/>
      <c r="N404" s="615"/>
      <c r="O404" s="615"/>
      <c r="P404" s="615"/>
      <c r="Q404" s="615"/>
      <c r="R404" s="615"/>
      <c r="S404" s="615"/>
      <c r="T404" s="615"/>
      <c r="U404" s="615"/>
      <c r="V404" s="615"/>
      <c r="W404" s="615"/>
      <c r="X404" s="615"/>
      <c r="Y404" s="615"/>
      <c r="Z404" s="615"/>
      <c r="AA404" s="615"/>
    </row>
    <row r="405">
      <c r="A405" s="675"/>
      <c r="B405" s="615"/>
      <c r="C405" s="676"/>
      <c r="D405" s="677"/>
      <c r="E405" s="677"/>
      <c r="F405" s="615"/>
      <c r="G405" s="615"/>
      <c r="H405" s="615"/>
      <c r="I405" s="679"/>
      <c r="J405" s="615"/>
      <c r="K405" s="615"/>
      <c r="L405" s="615"/>
      <c r="M405" s="615"/>
      <c r="N405" s="615"/>
      <c r="O405" s="615"/>
      <c r="P405" s="615"/>
      <c r="Q405" s="615"/>
      <c r="R405" s="615"/>
      <c r="S405" s="615"/>
      <c r="T405" s="615"/>
      <c r="U405" s="615"/>
      <c r="V405" s="615"/>
      <c r="W405" s="615"/>
      <c r="X405" s="615"/>
      <c r="Y405" s="615"/>
      <c r="Z405" s="615"/>
      <c r="AA405" s="615"/>
    </row>
    <row r="406">
      <c r="A406" s="675"/>
      <c r="B406" s="615"/>
      <c r="C406" s="676"/>
      <c r="D406" s="677"/>
      <c r="E406" s="677"/>
      <c r="F406" s="615"/>
      <c r="G406" s="615"/>
      <c r="H406" s="615"/>
      <c r="I406" s="679"/>
      <c r="J406" s="615"/>
      <c r="K406" s="615"/>
      <c r="L406" s="615"/>
      <c r="M406" s="615"/>
      <c r="N406" s="615"/>
      <c r="O406" s="615"/>
      <c r="P406" s="615"/>
      <c r="Q406" s="615"/>
      <c r="R406" s="615"/>
      <c r="S406" s="615"/>
      <c r="T406" s="615"/>
      <c r="U406" s="615"/>
      <c r="V406" s="615"/>
      <c r="W406" s="615"/>
      <c r="X406" s="615"/>
      <c r="Y406" s="615"/>
      <c r="Z406" s="615"/>
      <c r="AA406" s="615"/>
    </row>
    <row r="407">
      <c r="A407" s="675"/>
      <c r="B407" s="615"/>
      <c r="C407" s="676"/>
      <c r="D407" s="677"/>
      <c r="E407" s="677"/>
      <c r="F407" s="615"/>
      <c r="G407" s="615"/>
      <c r="H407" s="615"/>
      <c r="I407" s="679"/>
      <c r="J407" s="615"/>
      <c r="K407" s="615"/>
      <c r="L407" s="615"/>
      <c r="M407" s="615"/>
      <c r="N407" s="615"/>
      <c r="O407" s="615"/>
      <c r="P407" s="615"/>
      <c r="Q407" s="615"/>
      <c r="R407" s="615"/>
      <c r="S407" s="615"/>
      <c r="T407" s="615"/>
      <c r="U407" s="615"/>
      <c r="V407" s="615"/>
      <c r="W407" s="615"/>
      <c r="X407" s="615"/>
      <c r="Y407" s="615"/>
      <c r="Z407" s="615"/>
      <c r="AA407" s="615"/>
    </row>
    <row r="408">
      <c r="A408" s="675"/>
      <c r="B408" s="615"/>
      <c r="C408" s="676"/>
      <c r="D408" s="677"/>
      <c r="E408" s="677"/>
      <c r="F408" s="615"/>
      <c r="G408" s="615"/>
      <c r="H408" s="615"/>
      <c r="I408" s="679"/>
      <c r="J408" s="615"/>
      <c r="K408" s="615"/>
      <c r="L408" s="615"/>
      <c r="M408" s="615"/>
      <c r="N408" s="615"/>
      <c r="O408" s="615"/>
      <c r="P408" s="615"/>
      <c r="Q408" s="615"/>
      <c r="R408" s="615"/>
      <c r="S408" s="615"/>
      <c r="T408" s="615"/>
      <c r="U408" s="615"/>
      <c r="V408" s="615"/>
      <c r="W408" s="615"/>
      <c r="X408" s="615"/>
      <c r="Y408" s="615"/>
      <c r="Z408" s="615"/>
      <c r="AA408" s="615"/>
    </row>
    <row r="409">
      <c r="A409" s="675"/>
      <c r="B409" s="615"/>
      <c r="C409" s="676"/>
      <c r="D409" s="677"/>
      <c r="E409" s="677"/>
      <c r="F409" s="615"/>
      <c r="G409" s="615"/>
      <c r="H409" s="615"/>
      <c r="I409" s="679"/>
      <c r="J409" s="615"/>
      <c r="K409" s="615"/>
      <c r="L409" s="615"/>
      <c r="M409" s="615"/>
      <c r="N409" s="615"/>
      <c r="O409" s="615"/>
      <c r="P409" s="615"/>
      <c r="Q409" s="615"/>
      <c r="R409" s="615"/>
      <c r="S409" s="615"/>
      <c r="T409" s="615"/>
      <c r="U409" s="615"/>
      <c r="V409" s="615"/>
      <c r="W409" s="615"/>
      <c r="X409" s="615"/>
      <c r="Y409" s="615"/>
      <c r="Z409" s="615"/>
      <c r="AA409" s="615"/>
    </row>
    <row r="410">
      <c r="A410" s="675"/>
      <c r="B410" s="615"/>
      <c r="C410" s="676"/>
      <c r="D410" s="677"/>
      <c r="E410" s="677"/>
      <c r="F410" s="615"/>
      <c r="G410" s="615"/>
      <c r="H410" s="615"/>
      <c r="I410" s="679"/>
      <c r="J410" s="615"/>
      <c r="K410" s="615"/>
      <c r="L410" s="615"/>
      <c r="M410" s="615"/>
      <c r="N410" s="615"/>
      <c r="O410" s="615"/>
      <c r="P410" s="615"/>
      <c r="Q410" s="615"/>
      <c r="R410" s="615"/>
      <c r="S410" s="615"/>
      <c r="T410" s="615"/>
      <c r="U410" s="615"/>
      <c r="V410" s="615"/>
      <c r="W410" s="615"/>
      <c r="X410" s="615"/>
      <c r="Y410" s="615"/>
      <c r="Z410" s="615"/>
      <c r="AA410" s="615"/>
    </row>
    <row r="411">
      <c r="A411" s="675"/>
      <c r="B411" s="615"/>
      <c r="C411" s="676"/>
      <c r="D411" s="677"/>
      <c r="E411" s="677"/>
      <c r="F411" s="615"/>
      <c r="G411" s="615"/>
      <c r="H411" s="615"/>
      <c r="I411" s="679"/>
      <c r="J411" s="615"/>
      <c r="K411" s="615"/>
      <c r="L411" s="615"/>
      <c r="M411" s="615"/>
      <c r="N411" s="615"/>
      <c r="O411" s="615"/>
      <c r="P411" s="615"/>
      <c r="Q411" s="615"/>
      <c r="R411" s="615"/>
      <c r="S411" s="615"/>
      <c r="T411" s="615"/>
      <c r="U411" s="615"/>
      <c r="V411" s="615"/>
      <c r="W411" s="615"/>
      <c r="X411" s="615"/>
      <c r="Y411" s="615"/>
      <c r="Z411" s="615"/>
      <c r="AA411" s="615"/>
    </row>
    <row r="412">
      <c r="A412" s="675"/>
      <c r="B412" s="615"/>
      <c r="C412" s="676"/>
      <c r="D412" s="677"/>
      <c r="E412" s="677"/>
      <c r="F412" s="615"/>
      <c r="G412" s="615"/>
      <c r="H412" s="615"/>
      <c r="I412" s="679"/>
      <c r="J412" s="615"/>
      <c r="K412" s="615"/>
      <c r="L412" s="615"/>
      <c r="M412" s="615"/>
      <c r="N412" s="615"/>
      <c r="O412" s="615"/>
      <c r="P412" s="615"/>
      <c r="Q412" s="615"/>
      <c r="R412" s="615"/>
      <c r="S412" s="615"/>
      <c r="T412" s="615"/>
      <c r="U412" s="615"/>
      <c r="V412" s="615"/>
      <c r="W412" s="615"/>
      <c r="X412" s="615"/>
      <c r="Y412" s="615"/>
      <c r="Z412" s="615"/>
      <c r="AA412" s="615"/>
    </row>
    <row r="413">
      <c r="A413" s="675"/>
      <c r="B413" s="615"/>
      <c r="C413" s="676"/>
      <c r="D413" s="677"/>
      <c r="E413" s="677"/>
      <c r="F413" s="615"/>
      <c r="G413" s="615"/>
      <c r="H413" s="615"/>
      <c r="I413" s="679"/>
      <c r="J413" s="615"/>
      <c r="K413" s="615"/>
      <c r="L413" s="615"/>
      <c r="M413" s="615"/>
      <c r="N413" s="615"/>
      <c r="O413" s="615"/>
      <c r="P413" s="615"/>
      <c r="Q413" s="615"/>
      <c r="R413" s="615"/>
      <c r="S413" s="615"/>
      <c r="T413" s="615"/>
      <c r="U413" s="615"/>
      <c r="V413" s="615"/>
      <c r="W413" s="615"/>
      <c r="X413" s="615"/>
      <c r="Y413" s="615"/>
      <c r="Z413" s="615"/>
      <c r="AA413" s="615"/>
    </row>
    <row r="414">
      <c r="A414" s="675"/>
      <c r="B414" s="615"/>
      <c r="C414" s="676"/>
      <c r="D414" s="677"/>
      <c r="E414" s="677"/>
      <c r="F414" s="615"/>
      <c r="G414" s="615"/>
      <c r="H414" s="615"/>
      <c r="I414" s="679"/>
      <c r="J414" s="615"/>
      <c r="K414" s="615"/>
      <c r="L414" s="615"/>
      <c r="M414" s="615"/>
      <c r="N414" s="615"/>
      <c r="O414" s="615"/>
      <c r="P414" s="615"/>
      <c r="Q414" s="615"/>
      <c r="R414" s="615"/>
      <c r="S414" s="615"/>
      <c r="T414" s="615"/>
      <c r="U414" s="615"/>
      <c r="V414" s="615"/>
      <c r="W414" s="615"/>
      <c r="X414" s="615"/>
      <c r="Y414" s="615"/>
      <c r="Z414" s="615"/>
      <c r="AA414" s="615"/>
    </row>
    <row r="415">
      <c r="A415" s="675"/>
      <c r="B415" s="615"/>
      <c r="C415" s="676"/>
      <c r="D415" s="677"/>
      <c r="E415" s="677"/>
      <c r="F415" s="615"/>
      <c r="G415" s="615"/>
      <c r="H415" s="615"/>
      <c r="I415" s="679"/>
      <c r="J415" s="615"/>
      <c r="K415" s="615"/>
      <c r="L415" s="615"/>
      <c r="M415" s="615"/>
      <c r="N415" s="615"/>
      <c r="O415" s="615"/>
      <c r="P415" s="615"/>
      <c r="Q415" s="615"/>
      <c r="R415" s="615"/>
      <c r="S415" s="615"/>
      <c r="T415" s="615"/>
      <c r="U415" s="615"/>
      <c r="V415" s="615"/>
      <c r="W415" s="615"/>
      <c r="X415" s="615"/>
      <c r="Y415" s="615"/>
      <c r="Z415" s="615"/>
      <c r="AA415" s="615"/>
    </row>
    <row r="416">
      <c r="A416" s="675"/>
      <c r="B416" s="615"/>
      <c r="C416" s="676"/>
      <c r="D416" s="677"/>
      <c r="E416" s="677"/>
      <c r="F416" s="615"/>
      <c r="G416" s="615"/>
      <c r="H416" s="615"/>
      <c r="I416" s="679"/>
      <c r="J416" s="615"/>
      <c r="K416" s="615"/>
      <c r="L416" s="615"/>
      <c r="M416" s="615"/>
      <c r="N416" s="615"/>
      <c r="O416" s="615"/>
      <c r="P416" s="615"/>
      <c r="Q416" s="615"/>
      <c r="R416" s="615"/>
      <c r="S416" s="615"/>
      <c r="T416" s="615"/>
      <c r="U416" s="615"/>
      <c r="V416" s="615"/>
      <c r="W416" s="615"/>
      <c r="X416" s="615"/>
      <c r="Y416" s="615"/>
      <c r="Z416" s="615"/>
      <c r="AA416" s="615"/>
    </row>
    <row r="417">
      <c r="A417" s="675"/>
      <c r="B417" s="615"/>
      <c r="C417" s="676"/>
      <c r="D417" s="677"/>
      <c r="E417" s="677"/>
      <c r="F417" s="615"/>
      <c r="G417" s="615"/>
      <c r="H417" s="615"/>
      <c r="I417" s="679"/>
      <c r="J417" s="615"/>
      <c r="K417" s="615"/>
      <c r="L417" s="615"/>
      <c r="M417" s="615"/>
      <c r="N417" s="615"/>
      <c r="O417" s="615"/>
      <c r="P417" s="615"/>
      <c r="Q417" s="615"/>
      <c r="R417" s="615"/>
      <c r="S417" s="615"/>
      <c r="T417" s="615"/>
      <c r="U417" s="615"/>
      <c r="V417" s="615"/>
      <c r="W417" s="615"/>
      <c r="X417" s="615"/>
      <c r="Y417" s="615"/>
      <c r="Z417" s="615"/>
      <c r="AA417" s="615"/>
    </row>
    <row r="418">
      <c r="A418" s="675"/>
      <c r="B418" s="615"/>
      <c r="C418" s="676"/>
      <c r="D418" s="677"/>
      <c r="E418" s="677"/>
      <c r="F418" s="615"/>
      <c r="G418" s="615"/>
      <c r="H418" s="615"/>
      <c r="I418" s="679"/>
      <c r="J418" s="615"/>
      <c r="K418" s="615"/>
      <c r="L418" s="615"/>
      <c r="M418" s="615"/>
      <c r="N418" s="615"/>
      <c r="O418" s="615"/>
      <c r="P418" s="615"/>
      <c r="Q418" s="615"/>
      <c r="R418" s="615"/>
      <c r="S418" s="615"/>
      <c r="T418" s="615"/>
      <c r="U418" s="615"/>
      <c r="V418" s="615"/>
      <c r="W418" s="615"/>
      <c r="X418" s="615"/>
      <c r="Y418" s="615"/>
      <c r="Z418" s="615"/>
      <c r="AA418" s="615"/>
    </row>
    <row r="419">
      <c r="A419" s="675"/>
      <c r="B419" s="615"/>
      <c r="C419" s="676"/>
      <c r="D419" s="677"/>
      <c r="E419" s="677"/>
      <c r="F419" s="615"/>
      <c r="G419" s="615"/>
      <c r="H419" s="615"/>
      <c r="I419" s="679"/>
      <c r="J419" s="615"/>
      <c r="K419" s="615"/>
      <c r="L419" s="615"/>
      <c r="M419" s="615"/>
      <c r="N419" s="615"/>
      <c r="O419" s="615"/>
      <c r="P419" s="615"/>
      <c r="Q419" s="615"/>
      <c r="R419" s="615"/>
      <c r="S419" s="615"/>
      <c r="T419" s="615"/>
      <c r="U419" s="615"/>
      <c r="V419" s="615"/>
      <c r="W419" s="615"/>
      <c r="X419" s="615"/>
      <c r="Y419" s="615"/>
      <c r="Z419" s="615"/>
      <c r="AA419" s="615"/>
    </row>
    <row r="420">
      <c r="A420" s="675"/>
      <c r="B420" s="615"/>
      <c r="C420" s="676"/>
      <c r="D420" s="677"/>
      <c r="E420" s="677"/>
      <c r="F420" s="615"/>
      <c r="G420" s="615"/>
      <c r="H420" s="615"/>
      <c r="I420" s="679"/>
      <c r="J420" s="615"/>
      <c r="K420" s="615"/>
      <c r="L420" s="615"/>
      <c r="M420" s="615"/>
      <c r="N420" s="615"/>
      <c r="O420" s="615"/>
      <c r="P420" s="615"/>
      <c r="Q420" s="615"/>
      <c r="R420" s="615"/>
      <c r="S420" s="615"/>
      <c r="T420" s="615"/>
      <c r="U420" s="615"/>
      <c r="V420" s="615"/>
      <c r="W420" s="615"/>
      <c r="X420" s="615"/>
      <c r="Y420" s="615"/>
      <c r="Z420" s="615"/>
      <c r="AA420" s="615"/>
    </row>
    <row r="421">
      <c r="A421" s="675"/>
      <c r="B421" s="615"/>
      <c r="C421" s="676"/>
      <c r="D421" s="677"/>
      <c r="E421" s="677"/>
      <c r="F421" s="615"/>
      <c r="G421" s="615"/>
      <c r="H421" s="615"/>
      <c r="I421" s="679"/>
      <c r="J421" s="615"/>
      <c r="K421" s="615"/>
      <c r="L421" s="615"/>
      <c r="M421" s="615"/>
      <c r="N421" s="615"/>
      <c r="O421" s="615"/>
      <c r="P421" s="615"/>
      <c r="Q421" s="615"/>
      <c r="R421" s="615"/>
      <c r="S421" s="615"/>
      <c r="T421" s="615"/>
      <c r="U421" s="615"/>
      <c r="V421" s="615"/>
      <c r="W421" s="615"/>
      <c r="X421" s="615"/>
      <c r="Y421" s="615"/>
      <c r="Z421" s="615"/>
      <c r="AA421" s="615"/>
    </row>
    <row r="422">
      <c r="A422" s="675"/>
      <c r="B422" s="615"/>
      <c r="C422" s="676"/>
      <c r="D422" s="677"/>
      <c r="E422" s="677"/>
      <c r="F422" s="615"/>
      <c r="G422" s="615"/>
      <c r="H422" s="615"/>
      <c r="I422" s="679"/>
      <c r="J422" s="615"/>
      <c r="K422" s="615"/>
      <c r="L422" s="615"/>
      <c r="M422" s="615"/>
      <c r="N422" s="615"/>
      <c r="O422" s="615"/>
      <c r="P422" s="615"/>
      <c r="Q422" s="615"/>
      <c r="R422" s="615"/>
      <c r="S422" s="615"/>
      <c r="T422" s="615"/>
      <c r="U422" s="615"/>
      <c r="V422" s="615"/>
      <c r="W422" s="615"/>
      <c r="X422" s="615"/>
      <c r="Y422" s="615"/>
      <c r="Z422" s="615"/>
      <c r="AA422" s="615"/>
    </row>
    <row r="423">
      <c r="A423" s="675"/>
      <c r="B423" s="615"/>
      <c r="C423" s="676"/>
      <c r="D423" s="677"/>
      <c r="E423" s="677"/>
      <c r="F423" s="615"/>
      <c r="G423" s="615"/>
      <c r="H423" s="615"/>
      <c r="I423" s="679"/>
      <c r="J423" s="615"/>
      <c r="K423" s="615"/>
      <c r="L423" s="615"/>
      <c r="M423" s="615"/>
      <c r="N423" s="615"/>
      <c r="O423" s="615"/>
      <c r="P423" s="615"/>
      <c r="Q423" s="615"/>
      <c r="R423" s="615"/>
      <c r="S423" s="615"/>
      <c r="T423" s="615"/>
      <c r="U423" s="615"/>
      <c r="V423" s="615"/>
      <c r="W423" s="615"/>
      <c r="X423" s="615"/>
      <c r="Y423" s="615"/>
      <c r="Z423" s="615"/>
      <c r="AA423" s="615"/>
    </row>
    <row r="424">
      <c r="A424" s="675"/>
      <c r="B424" s="615"/>
      <c r="C424" s="676"/>
      <c r="D424" s="677"/>
      <c r="E424" s="677"/>
      <c r="F424" s="615"/>
      <c r="G424" s="615"/>
      <c r="H424" s="615"/>
      <c r="I424" s="679"/>
      <c r="J424" s="615"/>
      <c r="K424" s="615"/>
      <c r="L424" s="615"/>
      <c r="M424" s="615"/>
      <c r="N424" s="615"/>
      <c r="O424" s="615"/>
      <c r="P424" s="615"/>
      <c r="Q424" s="615"/>
      <c r="R424" s="615"/>
      <c r="S424" s="615"/>
      <c r="T424" s="615"/>
      <c r="U424" s="615"/>
      <c r="V424" s="615"/>
      <c r="W424" s="615"/>
      <c r="X424" s="615"/>
      <c r="Y424" s="615"/>
      <c r="Z424" s="615"/>
      <c r="AA424" s="615"/>
    </row>
    <row r="425">
      <c r="A425" s="675"/>
      <c r="B425" s="615"/>
      <c r="C425" s="676"/>
      <c r="D425" s="677"/>
      <c r="E425" s="677"/>
      <c r="F425" s="615"/>
      <c r="G425" s="615"/>
      <c r="H425" s="615"/>
      <c r="I425" s="679"/>
      <c r="J425" s="615"/>
      <c r="K425" s="615"/>
      <c r="L425" s="615"/>
      <c r="M425" s="615"/>
      <c r="N425" s="615"/>
      <c r="O425" s="615"/>
      <c r="P425" s="615"/>
      <c r="Q425" s="615"/>
      <c r="R425" s="615"/>
      <c r="S425" s="615"/>
      <c r="T425" s="615"/>
      <c r="U425" s="615"/>
      <c r="V425" s="615"/>
      <c r="W425" s="615"/>
      <c r="X425" s="615"/>
      <c r="Y425" s="615"/>
      <c r="Z425" s="615"/>
      <c r="AA425" s="615"/>
    </row>
    <row r="426">
      <c r="A426" s="675"/>
      <c r="B426" s="615"/>
      <c r="C426" s="676"/>
      <c r="D426" s="677"/>
      <c r="E426" s="677"/>
      <c r="F426" s="615"/>
      <c r="G426" s="615"/>
      <c r="H426" s="615"/>
      <c r="I426" s="679"/>
      <c r="J426" s="615"/>
      <c r="K426" s="615"/>
      <c r="L426" s="615"/>
      <c r="M426" s="615"/>
      <c r="N426" s="615"/>
      <c r="O426" s="615"/>
      <c r="P426" s="615"/>
      <c r="Q426" s="615"/>
      <c r="R426" s="615"/>
      <c r="S426" s="615"/>
      <c r="T426" s="615"/>
      <c r="U426" s="615"/>
      <c r="V426" s="615"/>
      <c r="W426" s="615"/>
      <c r="X426" s="615"/>
      <c r="Y426" s="615"/>
      <c r="Z426" s="615"/>
      <c r="AA426" s="615"/>
    </row>
    <row r="427">
      <c r="A427" s="675"/>
      <c r="B427" s="615"/>
      <c r="C427" s="676"/>
      <c r="D427" s="677"/>
      <c r="E427" s="677"/>
      <c r="F427" s="615"/>
      <c r="G427" s="615"/>
      <c r="H427" s="615"/>
      <c r="I427" s="679"/>
      <c r="J427" s="615"/>
      <c r="K427" s="615"/>
      <c r="L427" s="615"/>
      <c r="M427" s="615"/>
      <c r="N427" s="615"/>
      <c r="O427" s="615"/>
      <c r="P427" s="615"/>
      <c r="Q427" s="615"/>
      <c r="R427" s="615"/>
      <c r="S427" s="615"/>
      <c r="T427" s="615"/>
      <c r="U427" s="615"/>
      <c r="V427" s="615"/>
      <c r="W427" s="615"/>
      <c r="X427" s="615"/>
      <c r="Y427" s="615"/>
      <c r="Z427" s="615"/>
      <c r="AA427" s="615"/>
    </row>
    <row r="428">
      <c r="A428" s="675"/>
      <c r="B428" s="615"/>
      <c r="C428" s="676"/>
      <c r="D428" s="677"/>
      <c r="E428" s="677"/>
      <c r="F428" s="615"/>
      <c r="G428" s="615"/>
      <c r="H428" s="615"/>
      <c r="I428" s="679"/>
      <c r="J428" s="615"/>
      <c r="K428" s="615"/>
      <c r="L428" s="615"/>
      <c r="M428" s="615"/>
      <c r="N428" s="615"/>
      <c r="O428" s="615"/>
      <c r="P428" s="615"/>
      <c r="Q428" s="615"/>
      <c r="R428" s="615"/>
      <c r="S428" s="615"/>
      <c r="T428" s="615"/>
      <c r="U428" s="615"/>
      <c r="V428" s="615"/>
      <c r="W428" s="615"/>
      <c r="X428" s="615"/>
      <c r="Y428" s="615"/>
      <c r="Z428" s="615"/>
      <c r="AA428" s="615"/>
    </row>
    <row r="429">
      <c r="A429" s="675"/>
      <c r="B429" s="615"/>
      <c r="C429" s="676"/>
      <c r="D429" s="677"/>
      <c r="E429" s="677"/>
      <c r="F429" s="615"/>
      <c r="G429" s="615"/>
      <c r="H429" s="615"/>
      <c r="I429" s="679"/>
      <c r="J429" s="615"/>
      <c r="K429" s="615"/>
      <c r="L429" s="615"/>
      <c r="M429" s="615"/>
      <c r="N429" s="615"/>
      <c r="O429" s="615"/>
      <c r="P429" s="615"/>
      <c r="Q429" s="615"/>
      <c r="R429" s="615"/>
      <c r="S429" s="615"/>
      <c r="T429" s="615"/>
      <c r="U429" s="615"/>
      <c r="V429" s="615"/>
      <c r="W429" s="615"/>
      <c r="X429" s="615"/>
      <c r="Y429" s="615"/>
      <c r="Z429" s="615"/>
      <c r="AA429" s="615"/>
    </row>
    <row r="430">
      <c r="A430" s="675"/>
      <c r="B430" s="615"/>
      <c r="C430" s="676"/>
      <c r="D430" s="677"/>
      <c r="E430" s="677"/>
      <c r="F430" s="615"/>
      <c r="G430" s="615"/>
      <c r="H430" s="615"/>
      <c r="I430" s="679"/>
      <c r="J430" s="615"/>
      <c r="K430" s="615"/>
      <c r="L430" s="615"/>
      <c r="M430" s="615"/>
      <c r="N430" s="615"/>
      <c r="O430" s="615"/>
      <c r="P430" s="615"/>
      <c r="Q430" s="615"/>
      <c r="R430" s="615"/>
      <c r="S430" s="615"/>
      <c r="T430" s="615"/>
      <c r="U430" s="615"/>
      <c r="V430" s="615"/>
      <c r="W430" s="615"/>
      <c r="X430" s="615"/>
      <c r="Y430" s="615"/>
      <c r="Z430" s="615"/>
      <c r="AA430" s="615"/>
    </row>
    <row r="431">
      <c r="A431" s="675"/>
      <c r="B431" s="615"/>
      <c r="C431" s="676"/>
      <c r="D431" s="677"/>
      <c r="E431" s="677"/>
      <c r="F431" s="615"/>
      <c r="G431" s="615"/>
      <c r="H431" s="615"/>
      <c r="I431" s="679"/>
      <c r="J431" s="615"/>
      <c r="K431" s="615"/>
      <c r="L431" s="615"/>
      <c r="M431" s="615"/>
      <c r="N431" s="615"/>
      <c r="O431" s="615"/>
      <c r="P431" s="615"/>
      <c r="Q431" s="615"/>
      <c r="R431" s="615"/>
      <c r="S431" s="615"/>
      <c r="T431" s="615"/>
      <c r="U431" s="615"/>
      <c r="V431" s="615"/>
      <c r="W431" s="615"/>
      <c r="X431" s="615"/>
      <c r="Y431" s="615"/>
      <c r="Z431" s="615"/>
      <c r="AA431" s="615"/>
    </row>
    <row r="432">
      <c r="A432" s="675"/>
      <c r="B432" s="615"/>
      <c r="C432" s="676"/>
      <c r="D432" s="677"/>
      <c r="E432" s="677"/>
      <c r="F432" s="615"/>
      <c r="G432" s="615"/>
      <c r="H432" s="615"/>
      <c r="I432" s="679"/>
      <c r="J432" s="615"/>
      <c r="K432" s="615"/>
      <c r="L432" s="615"/>
      <c r="M432" s="615"/>
      <c r="N432" s="615"/>
      <c r="O432" s="615"/>
      <c r="P432" s="615"/>
      <c r="Q432" s="615"/>
      <c r="R432" s="615"/>
      <c r="S432" s="615"/>
      <c r="T432" s="615"/>
      <c r="U432" s="615"/>
      <c r="V432" s="615"/>
      <c r="W432" s="615"/>
      <c r="X432" s="615"/>
      <c r="Y432" s="615"/>
      <c r="Z432" s="615"/>
      <c r="AA432" s="615"/>
    </row>
    <row r="433">
      <c r="A433" s="675"/>
      <c r="B433" s="615"/>
      <c r="C433" s="676"/>
      <c r="D433" s="677"/>
      <c r="E433" s="677"/>
      <c r="F433" s="615"/>
      <c r="G433" s="615"/>
      <c r="H433" s="615"/>
      <c r="I433" s="679"/>
      <c r="J433" s="615"/>
      <c r="K433" s="615"/>
      <c r="L433" s="615"/>
      <c r="M433" s="615"/>
      <c r="N433" s="615"/>
      <c r="O433" s="615"/>
      <c r="P433" s="615"/>
      <c r="Q433" s="615"/>
      <c r="R433" s="615"/>
      <c r="S433" s="615"/>
      <c r="T433" s="615"/>
      <c r="U433" s="615"/>
      <c r="V433" s="615"/>
      <c r="W433" s="615"/>
      <c r="X433" s="615"/>
      <c r="Y433" s="615"/>
      <c r="Z433" s="615"/>
      <c r="AA433" s="615"/>
    </row>
    <row r="434">
      <c r="A434" s="675"/>
      <c r="B434" s="615"/>
      <c r="C434" s="676"/>
      <c r="D434" s="677"/>
      <c r="E434" s="677"/>
      <c r="F434" s="615"/>
      <c r="G434" s="615"/>
      <c r="H434" s="615"/>
      <c r="I434" s="679"/>
      <c r="J434" s="615"/>
      <c r="K434" s="615"/>
      <c r="L434" s="615"/>
      <c r="M434" s="615"/>
      <c r="N434" s="615"/>
      <c r="O434" s="615"/>
      <c r="P434" s="615"/>
      <c r="Q434" s="615"/>
      <c r="R434" s="615"/>
      <c r="S434" s="615"/>
      <c r="T434" s="615"/>
      <c r="U434" s="615"/>
      <c r="V434" s="615"/>
      <c r="W434" s="615"/>
      <c r="X434" s="615"/>
      <c r="Y434" s="615"/>
      <c r="Z434" s="615"/>
      <c r="AA434" s="615"/>
    </row>
    <row r="435">
      <c r="A435" s="675"/>
      <c r="B435" s="615"/>
      <c r="C435" s="676"/>
      <c r="D435" s="677"/>
      <c r="E435" s="677"/>
      <c r="F435" s="615"/>
      <c r="G435" s="615"/>
      <c r="H435" s="615"/>
      <c r="I435" s="679"/>
      <c r="J435" s="615"/>
      <c r="K435" s="615"/>
      <c r="L435" s="615"/>
      <c r="M435" s="615"/>
      <c r="N435" s="615"/>
      <c r="O435" s="615"/>
      <c r="P435" s="615"/>
      <c r="Q435" s="615"/>
      <c r="R435" s="615"/>
      <c r="S435" s="615"/>
      <c r="T435" s="615"/>
      <c r="U435" s="615"/>
      <c r="V435" s="615"/>
      <c r="W435" s="615"/>
      <c r="X435" s="615"/>
      <c r="Y435" s="615"/>
      <c r="Z435" s="615"/>
      <c r="AA435" s="615"/>
    </row>
    <row r="436">
      <c r="A436" s="675"/>
      <c r="B436" s="615"/>
      <c r="C436" s="676"/>
      <c r="D436" s="677"/>
      <c r="E436" s="677"/>
      <c r="F436" s="615"/>
      <c r="G436" s="615"/>
      <c r="H436" s="615"/>
      <c r="I436" s="679"/>
      <c r="J436" s="615"/>
      <c r="K436" s="615"/>
      <c r="L436" s="615"/>
      <c r="M436" s="615"/>
      <c r="N436" s="615"/>
      <c r="O436" s="615"/>
      <c r="P436" s="615"/>
      <c r="Q436" s="615"/>
      <c r="R436" s="615"/>
      <c r="S436" s="615"/>
      <c r="T436" s="615"/>
      <c r="U436" s="615"/>
      <c r="V436" s="615"/>
      <c r="W436" s="615"/>
      <c r="X436" s="615"/>
      <c r="Y436" s="615"/>
      <c r="Z436" s="615"/>
      <c r="AA436" s="615"/>
    </row>
    <row r="437">
      <c r="A437" s="675"/>
      <c r="B437" s="615"/>
      <c r="C437" s="676"/>
      <c r="D437" s="677"/>
      <c r="E437" s="677"/>
      <c r="F437" s="615"/>
      <c r="G437" s="615"/>
      <c r="H437" s="615"/>
      <c r="I437" s="679"/>
      <c r="J437" s="615"/>
      <c r="K437" s="615"/>
      <c r="L437" s="615"/>
      <c r="M437" s="615"/>
      <c r="N437" s="615"/>
      <c r="O437" s="615"/>
      <c r="P437" s="615"/>
      <c r="Q437" s="615"/>
      <c r="R437" s="615"/>
      <c r="S437" s="615"/>
      <c r="T437" s="615"/>
      <c r="U437" s="615"/>
      <c r="V437" s="615"/>
      <c r="W437" s="615"/>
      <c r="X437" s="615"/>
      <c r="Y437" s="615"/>
      <c r="Z437" s="615"/>
      <c r="AA437" s="615"/>
    </row>
    <row r="438">
      <c r="A438" s="675"/>
      <c r="B438" s="615"/>
      <c r="C438" s="676"/>
      <c r="D438" s="677"/>
      <c r="E438" s="677"/>
      <c r="F438" s="615"/>
      <c r="G438" s="615"/>
      <c r="H438" s="615"/>
      <c r="I438" s="679"/>
      <c r="J438" s="615"/>
      <c r="K438" s="615"/>
      <c r="L438" s="615"/>
      <c r="M438" s="615"/>
      <c r="N438" s="615"/>
      <c r="O438" s="615"/>
      <c r="P438" s="615"/>
      <c r="Q438" s="615"/>
      <c r="R438" s="615"/>
      <c r="S438" s="615"/>
      <c r="T438" s="615"/>
      <c r="U438" s="615"/>
      <c r="V438" s="615"/>
      <c r="W438" s="615"/>
      <c r="X438" s="615"/>
      <c r="Y438" s="615"/>
      <c r="Z438" s="615"/>
      <c r="AA438" s="615"/>
    </row>
    <row r="439">
      <c r="A439" s="675"/>
      <c r="B439" s="615"/>
      <c r="C439" s="676"/>
      <c r="D439" s="677"/>
      <c r="E439" s="677"/>
      <c r="F439" s="615"/>
      <c r="G439" s="615"/>
      <c r="H439" s="615"/>
      <c r="I439" s="679"/>
      <c r="J439" s="615"/>
      <c r="K439" s="615"/>
      <c r="L439" s="615"/>
      <c r="M439" s="615"/>
      <c r="N439" s="615"/>
      <c r="O439" s="615"/>
      <c r="P439" s="615"/>
      <c r="Q439" s="615"/>
      <c r="R439" s="615"/>
      <c r="S439" s="615"/>
      <c r="T439" s="615"/>
      <c r="U439" s="615"/>
      <c r="V439" s="615"/>
      <c r="W439" s="615"/>
      <c r="X439" s="615"/>
      <c r="Y439" s="615"/>
      <c r="Z439" s="615"/>
      <c r="AA439" s="615"/>
    </row>
    <row r="440">
      <c r="A440" s="675"/>
      <c r="B440" s="615"/>
      <c r="C440" s="676"/>
      <c r="D440" s="677"/>
      <c r="E440" s="677"/>
      <c r="F440" s="615"/>
      <c r="G440" s="615"/>
      <c r="H440" s="615"/>
      <c r="I440" s="679"/>
      <c r="J440" s="615"/>
      <c r="K440" s="615"/>
      <c r="L440" s="615"/>
      <c r="M440" s="615"/>
      <c r="N440" s="615"/>
      <c r="O440" s="615"/>
      <c r="P440" s="615"/>
      <c r="Q440" s="615"/>
      <c r="R440" s="615"/>
      <c r="S440" s="615"/>
      <c r="T440" s="615"/>
      <c r="U440" s="615"/>
      <c r="V440" s="615"/>
      <c r="W440" s="615"/>
      <c r="X440" s="615"/>
      <c r="Y440" s="615"/>
      <c r="Z440" s="615"/>
      <c r="AA440" s="615"/>
    </row>
    <row r="441">
      <c r="A441" s="675"/>
      <c r="B441" s="615"/>
      <c r="C441" s="676"/>
      <c r="D441" s="677"/>
      <c r="E441" s="677"/>
      <c r="F441" s="615"/>
      <c r="G441" s="615"/>
      <c r="H441" s="615"/>
      <c r="I441" s="679"/>
      <c r="J441" s="615"/>
      <c r="K441" s="615"/>
      <c r="L441" s="615"/>
      <c r="M441" s="615"/>
      <c r="N441" s="615"/>
      <c r="O441" s="615"/>
      <c r="P441" s="615"/>
      <c r="Q441" s="615"/>
      <c r="R441" s="615"/>
      <c r="S441" s="615"/>
      <c r="T441" s="615"/>
      <c r="U441" s="615"/>
      <c r="V441" s="615"/>
      <c r="W441" s="615"/>
      <c r="X441" s="615"/>
      <c r="Y441" s="615"/>
      <c r="Z441" s="615"/>
      <c r="AA441" s="615"/>
    </row>
    <row r="442">
      <c r="A442" s="675"/>
      <c r="B442" s="615"/>
      <c r="C442" s="676"/>
      <c r="D442" s="677"/>
      <c r="E442" s="677"/>
      <c r="F442" s="615"/>
      <c r="G442" s="615"/>
      <c r="H442" s="615"/>
      <c r="I442" s="679"/>
      <c r="J442" s="615"/>
      <c r="K442" s="615"/>
      <c r="L442" s="615"/>
      <c r="M442" s="615"/>
      <c r="N442" s="615"/>
      <c r="O442" s="615"/>
      <c r="P442" s="615"/>
      <c r="Q442" s="615"/>
      <c r="R442" s="615"/>
      <c r="S442" s="615"/>
      <c r="T442" s="615"/>
      <c r="U442" s="615"/>
      <c r="V442" s="615"/>
      <c r="W442" s="615"/>
      <c r="X442" s="615"/>
      <c r="Y442" s="615"/>
      <c r="Z442" s="615"/>
      <c r="AA442" s="615"/>
    </row>
    <row r="443">
      <c r="A443" s="675"/>
      <c r="B443" s="615"/>
      <c r="C443" s="676"/>
      <c r="D443" s="677"/>
      <c r="E443" s="677"/>
      <c r="F443" s="615"/>
      <c r="G443" s="615"/>
      <c r="H443" s="615"/>
      <c r="I443" s="679"/>
      <c r="J443" s="615"/>
      <c r="K443" s="615"/>
      <c r="L443" s="615"/>
      <c r="M443" s="615"/>
      <c r="N443" s="615"/>
      <c r="O443" s="615"/>
      <c r="P443" s="615"/>
      <c r="Q443" s="615"/>
      <c r="R443" s="615"/>
      <c r="S443" s="615"/>
      <c r="T443" s="615"/>
      <c r="U443" s="615"/>
      <c r="V443" s="615"/>
      <c r="W443" s="615"/>
      <c r="X443" s="615"/>
      <c r="Y443" s="615"/>
      <c r="Z443" s="615"/>
      <c r="AA443" s="615"/>
    </row>
    <row r="444">
      <c r="A444" s="675"/>
      <c r="B444" s="615"/>
      <c r="C444" s="676"/>
      <c r="D444" s="677"/>
      <c r="E444" s="677"/>
      <c r="F444" s="615"/>
      <c r="G444" s="615"/>
      <c r="H444" s="615"/>
      <c r="I444" s="679"/>
      <c r="J444" s="615"/>
      <c r="K444" s="615"/>
      <c r="L444" s="615"/>
      <c r="M444" s="615"/>
      <c r="N444" s="615"/>
      <c r="O444" s="615"/>
      <c r="P444" s="615"/>
      <c r="Q444" s="615"/>
      <c r="R444" s="615"/>
      <c r="S444" s="615"/>
      <c r="T444" s="615"/>
      <c r="U444" s="615"/>
      <c r="V444" s="615"/>
      <c r="W444" s="615"/>
      <c r="X444" s="615"/>
      <c r="Y444" s="615"/>
      <c r="Z444" s="615"/>
      <c r="AA444" s="615"/>
    </row>
    <row r="445">
      <c r="A445" s="675"/>
      <c r="B445" s="615"/>
      <c r="C445" s="676"/>
      <c r="D445" s="677"/>
      <c r="E445" s="677"/>
      <c r="F445" s="615"/>
      <c r="G445" s="615"/>
      <c r="H445" s="615"/>
      <c r="I445" s="679"/>
      <c r="J445" s="615"/>
      <c r="K445" s="615"/>
      <c r="L445" s="615"/>
      <c r="M445" s="615"/>
      <c r="N445" s="615"/>
      <c r="O445" s="615"/>
      <c r="P445" s="615"/>
      <c r="Q445" s="615"/>
      <c r="R445" s="615"/>
      <c r="S445" s="615"/>
      <c r="T445" s="615"/>
      <c r="U445" s="615"/>
      <c r="V445" s="615"/>
      <c r="W445" s="615"/>
      <c r="X445" s="615"/>
      <c r="Y445" s="615"/>
      <c r="Z445" s="615"/>
      <c r="AA445" s="615"/>
    </row>
    <row r="446">
      <c r="A446" s="675"/>
      <c r="B446" s="615"/>
      <c r="C446" s="676"/>
      <c r="D446" s="677"/>
      <c r="E446" s="677"/>
      <c r="F446" s="615"/>
      <c r="G446" s="615"/>
      <c r="H446" s="615"/>
      <c r="I446" s="679"/>
      <c r="J446" s="615"/>
      <c r="K446" s="615"/>
      <c r="L446" s="615"/>
      <c r="M446" s="615"/>
      <c r="N446" s="615"/>
      <c r="O446" s="615"/>
      <c r="P446" s="615"/>
      <c r="Q446" s="615"/>
      <c r="R446" s="615"/>
      <c r="S446" s="615"/>
      <c r="T446" s="615"/>
      <c r="U446" s="615"/>
      <c r="V446" s="615"/>
      <c r="W446" s="615"/>
      <c r="X446" s="615"/>
      <c r="Y446" s="615"/>
      <c r="Z446" s="615"/>
      <c r="AA446" s="615"/>
    </row>
    <row r="447">
      <c r="A447" s="675"/>
      <c r="B447" s="615"/>
      <c r="C447" s="676"/>
      <c r="D447" s="677"/>
      <c r="E447" s="677"/>
      <c r="F447" s="615"/>
      <c r="G447" s="615"/>
      <c r="H447" s="615"/>
      <c r="I447" s="679"/>
      <c r="J447" s="615"/>
      <c r="K447" s="615"/>
      <c r="L447" s="615"/>
      <c r="M447" s="615"/>
      <c r="N447" s="615"/>
      <c r="O447" s="615"/>
      <c r="P447" s="615"/>
      <c r="Q447" s="615"/>
      <c r="R447" s="615"/>
      <c r="S447" s="615"/>
      <c r="T447" s="615"/>
      <c r="U447" s="615"/>
      <c r="V447" s="615"/>
      <c r="W447" s="615"/>
      <c r="X447" s="615"/>
      <c r="Y447" s="615"/>
      <c r="Z447" s="615"/>
      <c r="AA447" s="615"/>
    </row>
    <row r="448">
      <c r="A448" s="675"/>
      <c r="B448" s="615"/>
      <c r="C448" s="676"/>
      <c r="D448" s="677"/>
      <c r="E448" s="677"/>
      <c r="F448" s="615"/>
      <c r="G448" s="615"/>
      <c r="H448" s="615"/>
      <c r="I448" s="679"/>
      <c r="J448" s="615"/>
      <c r="K448" s="615"/>
      <c r="L448" s="615"/>
      <c r="M448" s="615"/>
      <c r="N448" s="615"/>
      <c r="O448" s="615"/>
      <c r="P448" s="615"/>
      <c r="Q448" s="615"/>
      <c r="R448" s="615"/>
      <c r="S448" s="615"/>
      <c r="T448" s="615"/>
      <c r="U448" s="615"/>
      <c r="V448" s="615"/>
      <c r="W448" s="615"/>
      <c r="X448" s="615"/>
      <c r="Y448" s="615"/>
      <c r="Z448" s="615"/>
      <c r="AA448" s="615"/>
    </row>
    <row r="449">
      <c r="A449" s="675"/>
      <c r="B449" s="615"/>
      <c r="C449" s="676"/>
      <c r="D449" s="677"/>
      <c r="E449" s="677"/>
      <c r="F449" s="615"/>
      <c r="G449" s="615"/>
      <c r="H449" s="615"/>
      <c r="I449" s="679"/>
      <c r="J449" s="615"/>
      <c r="K449" s="615"/>
      <c r="L449" s="615"/>
      <c r="M449" s="615"/>
      <c r="N449" s="615"/>
      <c r="O449" s="615"/>
      <c r="P449" s="615"/>
      <c r="Q449" s="615"/>
      <c r="R449" s="615"/>
      <c r="S449" s="615"/>
      <c r="T449" s="615"/>
      <c r="U449" s="615"/>
      <c r="V449" s="615"/>
      <c r="W449" s="615"/>
      <c r="X449" s="615"/>
      <c r="Y449" s="615"/>
      <c r="Z449" s="615"/>
      <c r="AA449" s="615"/>
    </row>
    <row r="450">
      <c r="A450" s="675"/>
      <c r="B450" s="615"/>
      <c r="C450" s="676"/>
      <c r="D450" s="677"/>
      <c r="E450" s="677"/>
      <c r="F450" s="615"/>
      <c r="G450" s="615"/>
      <c r="H450" s="615"/>
      <c r="I450" s="679"/>
      <c r="J450" s="615"/>
      <c r="K450" s="615"/>
      <c r="L450" s="615"/>
      <c r="M450" s="615"/>
      <c r="N450" s="615"/>
      <c r="O450" s="615"/>
      <c r="P450" s="615"/>
      <c r="Q450" s="615"/>
      <c r="R450" s="615"/>
      <c r="S450" s="615"/>
      <c r="T450" s="615"/>
      <c r="U450" s="615"/>
      <c r="V450" s="615"/>
      <c r="W450" s="615"/>
      <c r="X450" s="615"/>
      <c r="Y450" s="615"/>
      <c r="Z450" s="615"/>
      <c r="AA450" s="615"/>
    </row>
    <row r="451">
      <c r="A451" s="675"/>
      <c r="B451" s="615"/>
      <c r="C451" s="676"/>
      <c r="D451" s="677"/>
      <c r="E451" s="677"/>
      <c r="F451" s="615"/>
      <c r="G451" s="615"/>
      <c r="H451" s="615"/>
      <c r="I451" s="679"/>
      <c r="J451" s="615"/>
      <c r="K451" s="615"/>
      <c r="L451" s="615"/>
      <c r="M451" s="615"/>
      <c r="N451" s="615"/>
      <c r="O451" s="615"/>
      <c r="P451" s="615"/>
      <c r="Q451" s="615"/>
      <c r="R451" s="615"/>
      <c r="S451" s="615"/>
      <c r="T451" s="615"/>
      <c r="U451" s="615"/>
      <c r="V451" s="615"/>
      <c r="W451" s="615"/>
      <c r="X451" s="615"/>
      <c r="Y451" s="615"/>
      <c r="Z451" s="615"/>
      <c r="AA451" s="615"/>
    </row>
    <row r="452">
      <c r="A452" s="675"/>
      <c r="B452" s="615"/>
      <c r="C452" s="676"/>
      <c r="D452" s="677"/>
      <c r="E452" s="677"/>
      <c r="F452" s="615"/>
      <c r="G452" s="615"/>
      <c r="H452" s="615"/>
      <c r="I452" s="679"/>
      <c r="J452" s="615"/>
      <c r="K452" s="615"/>
      <c r="L452" s="615"/>
      <c r="M452" s="615"/>
      <c r="N452" s="615"/>
      <c r="O452" s="615"/>
      <c r="P452" s="615"/>
      <c r="Q452" s="615"/>
      <c r="R452" s="615"/>
      <c r="S452" s="615"/>
      <c r="T452" s="615"/>
      <c r="U452" s="615"/>
      <c r="V452" s="615"/>
      <c r="W452" s="615"/>
      <c r="X452" s="615"/>
      <c r="Y452" s="615"/>
      <c r="Z452" s="615"/>
      <c r="AA452" s="615"/>
    </row>
    <row r="453">
      <c r="A453" s="675"/>
      <c r="B453" s="615"/>
      <c r="C453" s="676"/>
      <c r="D453" s="677"/>
      <c r="E453" s="677"/>
      <c r="F453" s="615"/>
      <c r="G453" s="615"/>
      <c r="H453" s="615"/>
      <c r="I453" s="679"/>
      <c r="J453" s="615"/>
      <c r="K453" s="615"/>
      <c r="L453" s="615"/>
      <c r="M453" s="615"/>
      <c r="N453" s="615"/>
      <c r="O453" s="615"/>
      <c r="P453" s="615"/>
      <c r="Q453" s="615"/>
      <c r="R453" s="615"/>
      <c r="S453" s="615"/>
      <c r="T453" s="615"/>
      <c r="U453" s="615"/>
      <c r="V453" s="615"/>
      <c r="W453" s="615"/>
      <c r="X453" s="615"/>
      <c r="Y453" s="615"/>
      <c r="Z453" s="615"/>
      <c r="AA453" s="615"/>
    </row>
    <row r="454">
      <c r="A454" s="675"/>
      <c r="B454" s="615"/>
      <c r="C454" s="676"/>
      <c r="D454" s="677"/>
      <c r="E454" s="677"/>
      <c r="F454" s="615"/>
      <c r="G454" s="615"/>
      <c r="H454" s="615"/>
      <c r="I454" s="679"/>
      <c r="J454" s="615"/>
      <c r="K454" s="615"/>
      <c r="L454" s="615"/>
      <c r="M454" s="615"/>
      <c r="N454" s="615"/>
      <c r="O454" s="615"/>
      <c r="P454" s="615"/>
      <c r="Q454" s="615"/>
      <c r="R454" s="615"/>
      <c r="S454" s="615"/>
      <c r="T454" s="615"/>
      <c r="U454" s="615"/>
      <c r="V454" s="615"/>
      <c r="W454" s="615"/>
      <c r="X454" s="615"/>
      <c r="Y454" s="615"/>
      <c r="Z454" s="615"/>
      <c r="AA454" s="615"/>
    </row>
    <row r="455">
      <c r="A455" s="675"/>
      <c r="B455" s="615"/>
      <c r="C455" s="676"/>
      <c r="D455" s="677"/>
      <c r="E455" s="677"/>
      <c r="F455" s="615"/>
      <c r="G455" s="615"/>
      <c r="H455" s="615"/>
      <c r="I455" s="679"/>
      <c r="J455" s="615"/>
      <c r="K455" s="615"/>
      <c r="L455" s="615"/>
      <c r="M455" s="615"/>
      <c r="N455" s="615"/>
      <c r="O455" s="615"/>
      <c r="P455" s="615"/>
      <c r="Q455" s="615"/>
      <c r="R455" s="615"/>
      <c r="S455" s="615"/>
      <c r="T455" s="615"/>
      <c r="U455" s="615"/>
      <c r="V455" s="615"/>
      <c r="W455" s="615"/>
      <c r="X455" s="615"/>
      <c r="Y455" s="615"/>
      <c r="Z455" s="615"/>
      <c r="AA455" s="615"/>
    </row>
    <row r="456">
      <c r="A456" s="675"/>
      <c r="B456" s="615"/>
      <c r="C456" s="676"/>
      <c r="D456" s="677"/>
      <c r="E456" s="677"/>
      <c r="F456" s="615"/>
      <c r="G456" s="615"/>
      <c r="H456" s="615"/>
      <c r="I456" s="679"/>
      <c r="J456" s="615"/>
      <c r="K456" s="615"/>
      <c r="L456" s="615"/>
      <c r="M456" s="615"/>
      <c r="N456" s="615"/>
      <c r="O456" s="615"/>
      <c r="P456" s="615"/>
      <c r="Q456" s="615"/>
      <c r="R456" s="615"/>
      <c r="S456" s="615"/>
      <c r="T456" s="615"/>
      <c r="U456" s="615"/>
      <c r="V456" s="615"/>
      <c r="W456" s="615"/>
      <c r="X456" s="615"/>
      <c r="Y456" s="615"/>
      <c r="Z456" s="615"/>
      <c r="AA456" s="615"/>
    </row>
    <row r="457">
      <c r="A457" s="675"/>
      <c r="B457" s="615"/>
      <c r="C457" s="676"/>
      <c r="D457" s="677"/>
      <c r="E457" s="677"/>
      <c r="F457" s="615"/>
      <c r="G457" s="615"/>
      <c r="H457" s="615"/>
      <c r="I457" s="679"/>
      <c r="J457" s="615"/>
      <c r="K457" s="615"/>
      <c r="L457" s="615"/>
      <c r="M457" s="615"/>
      <c r="N457" s="615"/>
      <c r="O457" s="615"/>
      <c r="P457" s="615"/>
      <c r="Q457" s="615"/>
      <c r="R457" s="615"/>
      <c r="S457" s="615"/>
      <c r="T457" s="615"/>
      <c r="U457" s="615"/>
      <c r="V457" s="615"/>
      <c r="W457" s="615"/>
      <c r="X457" s="615"/>
      <c r="Y457" s="615"/>
      <c r="Z457" s="615"/>
      <c r="AA457" s="615"/>
    </row>
    <row r="458">
      <c r="A458" s="675"/>
      <c r="B458" s="615"/>
      <c r="C458" s="676"/>
      <c r="D458" s="677"/>
      <c r="E458" s="677"/>
      <c r="F458" s="615"/>
      <c r="G458" s="615"/>
      <c r="H458" s="615"/>
      <c r="I458" s="679"/>
      <c r="J458" s="615"/>
      <c r="K458" s="615"/>
      <c r="L458" s="615"/>
      <c r="M458" s="615"/>
      <c r="N458" s="615"/>
      <c r="O458" s="615"/>
      <c r="P458" s="615"/>
      <c r="Q458" s="615"/>
      <c r="R458" s="615"/>
      <c r="S458" s="615"/>
      <c r="T458" s="615"/>
      <c r="U458" s="615"/>
      <c r="V458" s="615"/>
      <c r="W458" s="615"/>
      <c r="X458" s="615"/>
      <c r="Y458" s="615"/>
      <c r="Z458" s="615"/>
      <c r="AA458" s="615"/>
    </row>
    <row r="459">
      <c r="A459" s="675"/>
      <c r="B459" s="615"/>
      <c r="C459" s="676"/>
      <c r="D459" s="677"/>
      <c r="E459" s="677"/>
      <c r="F459" s="615"/>
      <c r="G459" s="615"/>
      <c r="H459" s="615"/>
      <c r="I459" s="679"/>
      <c r="J459" s="615"/>
      <c r="K459" s="615"/>
      <c r="L459" s="615"/>
      <c r="M459" s="615"/>
      <c r="N459" s="615"/>
      <c r="O459" s="615"/>
      <c r="P459" s="615"/>
      <c r="Q459" s="615"/>
      <c r="R459" s="615"/>
      <c r="S459" s="615"/>
      <c r="T459" s="615"/>
      <c r="U459" s="615"/>
      <c r="V459" s="615"/>
      <c r="W459" s="615"/>
      <c r="X459" s="615"/>
      <c r="Y459" s="615"/>
      <c r="Z459" s="615"/>
      <c r="AA459" s="615"/>
    </row>
    <row r="460">
      <c r="A460" s="675"/>
      <c r="B460" s="615"/>
      <c r="C460" s="676"/>
      <c r="D460" s="677"/>
      <c r="E460" s="677"/>
      <c r="F460" s="615"/>
      <c r="G460" s="615"/>
      <c r="H460" s="615"/>
      <c r="I460" s="679"/>
      <c r="J460" s="615"/>
      <c r="K460" s="615"/>
      <c r="L460" s="615"/>
      <c r="M460" s="615"/>
      <c r="N460" s="615"/>
      <c r="O460" s="615"/>
      <c r="P460" s="615"/>
      <c r="Q460" s="615"/>
      <c r="R460" s="615"/>
      <c r="S460" s="615"/>
      <c r="T460" s="615"/>
      <c r="U460" s="615"/>
      <c r="V460" s="615"/>
      <c r="W460" s="615"/>
      <c r="X460" s="615"/>
      <c r="Y460" s="615"/>
      <c r="Z460" s="615"/>
      <c r="AA460" s="615"/>
    </row>
    <row r="461">
      <c r="A461" s="675"/>
      <c r="B461" s="615"/>
      <c r="C461" s="676"/>
      <c r="D461" s="677"/>
      <c r="E461" s="677"/>
      <c r="F461" s="615"/>
      <c r="G461" s="615"/>
      <c r="H461" s="615"/>
      <c r="I461" s="679"/>
      <c r="J461" s="615"/>
      <c r="K461" s="615"/>
      <c r="L461" s="615"/>
      <c r="M461" s="615"/>
      <c r="N461" s="615"/>
      <c r="O461" s="615"/>
      <c r="P461" s="615"/>
      <c r="Q461" s="615"/>
      <c r="R461" s="615"/>
      <c r="S461" s="615"/>
      <c r="T461" s="615"/>
      <c r="U461" s="615"/>
      <c r="V461" s="615"/>
      <c r="W461" s="615"/>
      <c r="X461" s="615"/>
      <c r="Y461" s="615"/>
      <c r="Z461" s="615"/>
      <c r="AA461" s="615"/>
    </row>
    <row r="462">
      <c r="A462" s="675"/>
      <c r="B462" s="615"/>
      <c r="C462" s="676"/>
      <c r="D462" s="677"/>
      <c r="E462" s="677"/>
      <c r="F462" s="615"/>
      <c r="G462" s="615"/>
      <c r="H462" s="615"/>
      <c r="I462" s="679"/>
      <c r="J462" s="615"/>
      <c r="K462" s="615"/>
      <c r="L462" s="615"/>
      <c r="M462" s="615"/>
      <c r="N462" s="615"/>
      <c r="O462" s="615"/>
      <c r="P462" s="615"/>
      <c r="Q462" s="615"/>
      <c r="R462" s="615"/>
      <c r="S462" s="615"/>
      <c r="T462" s="615"/>
      <c r="U462" s="615"/>
      <c r="V462" s="615"/>
      <c r="W462" s="615"/>
      <c r="X462" s="615"/>
      <c r="Y462" s="615"/>
      <c r="Z462" s="615"/>
      <c r="AA462" s="615"/>
    </row>
    <row r="463">
      <c r="A463" s="675"/>
      <c r="B463" s="615"/>
      <c r="C463" s="676"/>
      <c r="D463" s="677"/>
      <c r="E463" s="677"/>
      <c r="F463" s="615"/>
      <c r="G463" s="615"/>
      <c r="H463" s="615"/>
      <c r="I463" s="679"/>
      <c r="J463" s="615"/>
      <c r="K463" s="615"/>
      <c r="L463" s="615"/>
      <c r="M463" s="615"/>
      <c r="N463" s="615"/>
      <c r="O463" s="615"/>
      <c r="P463" s="615"/>
      <c r="Q463" s="615"/>
      <c r="R463" s="615"/>
      <c r="S463" s="615"/>
      <c r="T463" s="615"/>
      <c r="U463" s="615"/>
      <c r="V463" s="615"/>
      <c r="W463" s="615"/>
      <c r="X463" s="615"/>
      <c r="Y463" s="615"/>
      <c r="Z463" s="615"/>
      <c r="AA463" s="615"/>
    </row>
    <row r="464">
      <c r="A464" s="675"/>
      <c r="B464" s="615"/>
      <c r="C464" s="676"/>
      <c r="D464" s="677"/>
      <c r="E464" s="677"/>
      <c r="F464" s="615"/>
      <c r="G464" s="615"/>
      <c r="H464" s="615"/>
      <c r="I464" s="679"/>
      <c r="J464" s="615"/>
      <c r="K464" s="615"/>
      <c r="L464" s="615"/>
      <c r="M464" s="615"/>
      <c r="N464" s="615"/>
      <c r="O464" s="615"/>
      <c r="P464" s="615"/>
      <c r="Q464" s="615"/>
      <c r="R464" s="615"/>
      <c r="S464" s="615"/>
      <c r="T464" s="615"/>
      <c r="U464" s="615"/>
      <c r="V464" s="615"/>
      <c r="W464" s="615"/>
      <c r="X464" s="615"/>
      <c r="Y464" s="615"/>
      <c r="Z464" s="615"/>
      <c r="AA464" s="615"/>
    </row>
    <row r="465">
      <c r="A465" s="675"/>
      <c r="B465" s="615"/>
      <c r="C465" s="676"/>
      <c r="D465" s="677"/>
      <c r="E465" s="677"/>
      <c r="F465" s="615"/>
      <c r="G465" s="615"/>
      <c r="H465" s="615"/>
      <c r="I465" s="679"/>
      <c r="J465" s="615"/>
      <c r="K465" s="615"/>
      <c r="L465" s="615"/>
      <c r="M465" s="615"/>
      <c r="N465" s="615"/>
      <c r="O465" s="615"/>
      <c r="P465" s="615"/>
      <c r="Q465" s="615"/>
      <c r="R465" s="615"/>
      <c r="S465" s="615"/>
      <c r="T465" s="615"/>
      <c r="U465" s="615"/>
      <c r="V465" s="615"/>
      <c r="W465" s="615"/>
      <c r="X465" s="615"/>
      <c r="Y465" s="615"/>
      <c r="Z465" s="615"/>
      <c r="AA465" s="615"/>
    </row>
    <row r="466">
      <c r="A466" s="675"/>
      <c r="B466" s="615"/>
      <c r="C466" s="676"/>
      <c r="D466" s="677"/>
      <c r="E466" s="677"/>
      <c r="F466" s="615"/>
      <c r="G466" s="615"/>
      <c r="H466" s="615"/>
      <c r="I466" s="679"/>
      <c r="J466" s="615"/>
      <c r="K466" s="615"/>
      <c r="L466" s="615"/>
      <c r="M466" s="615"/>
      <c r="N466" s="615"/>
      <c r="O466" s="615"/>
      <c r="P466" s="615"/>
      <c r="Q466" s="615"/>
      <c r="R466" s="615"/>
      <c r="S466" s="615"/>
      <c r="T466" s="615"/>
      <c r="U466" s="615"/>
      <c r="V466" s="615"/>
      <c r="W466" s="615"/>
      <c r="X466" s="615"/>
      <c r="Y466" s="615"/>
      <c r="Z466" s="615"/>
      <c r="AA466" s="615"/>
    </row>
    <row r="467">
      <c r="A467" s="675"/>
      <c r="B467" s="615"/>
      <c r="C467" s="676"/>
      <c r="D467" s="677"/>
      <c r="E467" s="677"/>
      <c r="F467" s="615"/>
      <c r="G467" s="615"/>
      <c r="H467" s="615"/>
      <c r="I467" s="679"/>
      <c r="J467" s="615"/>
      <c r="K467" s="615"/>
      <c r="L467" s="615"/>
      <c r="M467" s="615"/>
      <c r="N467" s="615"/>
      <c r="O467" s="615"/>
      <c r="P467" s="615"/>
      <c r="Q467" s="615"/>
      <c r="R467" s="615"/>
      <c r="S467" s="615"/>
      <c r="T467" s="615"/>
      <c r="U467" s="615"/>
      <c r="V467" s="615"/>
      <c r="W467" s="615"/>
      <c r="X467" s="615"/>
      <c r="Y467" s="615"/>
      <c r="Z467" s="615"/>
      <c r="AA467" s="615"/>
    </row>
    <row r="468">
      <c r="A468" s="675"/>
      <c r="B468" s="615"/>
      <c r="C468" s="676"/>
      <c r="D468" s="677"/>
      <c r="E468" s="677"/>
      <c r="F468" s="615"/>
      <c r="G468" s="615"/>
      <c r="H468" s="615"/>
      <c r="I468" s="679"/>
      <c r="J468" s="615"/>
      <c r="K468" s="615"/>
      <c r="L468" s="615"/>
      <c r="M468" s="615"/>
      <c r="N468" s="615"/>
      <c r="O468" s="615"/>
      <c r="P468" s="615"/>
      <c r="Q468" s="615"/>
      <c r="R468" s="615"/>
      <c r="S468" s="615"/>
      <c r="T468" s="615"/>
      <c r="U468" s="615"/>
      <c r="V468" s="615"/>
      <c r="W468" s="615"/>
      <c r="X468" s="615"/>
      <c r="Y468" s="615"/>
      <c r="Z468" s="615"/>
      <c r="AA468" s="615"/>
    </row>
    <row r="469">
      <c r="A469" s="675"/>
      <c r="B469" s="615"/>
      <c r="C469" s="676"/>
      <c r="D469" s="677"/>
      <c r="E469" s="677"/>
      <c r="F469" s="615"/>
      <c r="G469" s="615"/>
      <c r="H469" s="615"/>
      <c r="I469" s="679"/>
      <c r="J469" s="615"/>
      <c r="K469" s="615"/>
      <c r="L469" s="615"/>
      <c r="M469" s="615"/>
      <c r="N469" s="615"/>
      <c r="O469" s="615"/>
      <c r="P469" s="615"/>
      <c r="Q469" s="615"/>
      <c r="R469" s="615"/>
      <c r="S469" s="615"/>
      <c r="T469" s="615"/>
      <c r="U469" s="615"/>
      <c r="V469" s="615"/>
      <c r="W469" s="615"/>
      <c r="X469" s="615"/>
      <c r="Y469" s="615"/>
      <c r="Z469" s="615"/>
      <c r="AA469" s="615"/>
    </row>
    <row r="470">
      <c r="A470" s="675"/>
      <c r="B470" s="615"/>
      <c r="C470" s="676"/>
      <c r="D470" s="677"/>
      <c r="E470" s="677"/>
      <c r="F470" s="615"/>
      <c r="G470" s="615"/>
      <c r="H470" s="615"/>
      <c r="I470" s="679"/>
      <c r="J470" s="615"/>
      <c r="K470" s="615"/>
      <c r="L470" s="615"/>
      <c r="M470" s="615"/>
      <c r="N470" s="615"/>
      <c r="O470" s="615"/>
      <c r="P470" s="615"/>
      <c r="Q470" s="615"/>
      <c r="R470" s="615"/>
      <c r="S470" s="615"/>
      <c r="T470" s="615"/>
      <c r="U470" s="615"/>
      <c r="V470" s="615"/>
      <c r="W470" s="615"/>
      <c r="X470" s="615"/>
      <c r="Y470" s="615"/>
      <c r="Z470" s="615"/>
      <c r="AA470" s="615"/>
    </row>
    <row r="471">
      <c r="A471" s="675"/>
      <c r="B471" s="615"/>
      <c r="C471" s="676"/>
      <c r="D471" s="677"/>
      <c r="E471" s="677"/>
      <c r="F471" s="615"/>
      <c r="G471" s="615"/>
      <c r="H471" s="615"/>
      <c r="I471" s="679"/>
      <c r="J471" s="615"/>
      <c r="K471" s="615"/>
      <c r="L471" s="615"/>
      <c r="M471" s="615"/>
      <c r="N471" s="615"/>
      <c r="O471" s="615"/>
      <c r="P471" s="615"/>
      <c r="Q471" s="615"/>
      <c r="R471" s="615"/>
      <c r="S471" s="615"/>
      <c r="T471" s="615"/>
      <c r="U471" s="615"/>
      <c r="V471" s="615"/>
      <c r="W471" s="615"/>
      <c r="X471" s="615"/>
      <c r="Y471" s="615"/>
      <c r="Z471" s="615"/>
      <c r="AA471" s="615"/>
    </row>
    <row r="472">
      <c r="A472" s="675"/>
      <c r="B472" s="615"/>
      <c r="C472" s="676"/>
      <c r="D472" s="677"/>
      <c r="E472" s="677"/>
      <c r="F472" s="615"/>
      <c r="G472" s="615"/>
      <c r="H472" s="615"/>
      <c r="I472" s="679"/>
      <c r="J472" s="615"/>
      <c r="K472" s="615"/>
      <c r="L472" s="615"/>
      <c r="M472" s="615"/>
      <c r="N472" s="615"/>
      <c r="O472" s="615"/>
      <c r="P472" s="615"/>
      <c r="Q472" s="615"/>
      <c r="R472" s="615"/>
      <c r="S472" s="615"/>
      <c r="T472" s="615"/>
      <c r="U472" s="615"/>
      <c r="V472" s="615"/>
      <c r="W472" s="615"/>
      <c r="X472" s="615"/>
      <c r="Y472" s="615"/>
      <c r="Z472" s="615"/>
      <c r="AA472" s="615"/>
    </row>
    <row r="473">
      <c r="A473" s="675"/>
      <c r="B473" s="615"/>
      <c r="C473" s="676"/>
      <c r="D473" s="677"/>
      <c r="E473" s="677"/>
      <c r="F473" s="615"/>
      <c r="G473" s="615"/>
      <c r="H473" s="615"/>
      <c r="I473" s="679"/>
      <c r="J473" s="615"/>
      <c r="K473" s="615"/>
      <c r="L473" s="615"/>
      <c r="M473" s="615"/>
      <c r="N473" s="615"/>
      <c r="O473" s="615"/>
      <c r="P473" s="615"/>
      <c r="Q473" s="615"/>
      <c r="R473" s="615"/>
      <c r="S473" s="615"/>
      <c r="T473" s="615"/>
      <c r="U473" s="615"/>
      <c r="V473" s="615"/>
      <c r="W473" s="615"/>
      <c r="X473" s="615"/>
      <c r="Y473" s="615"/>
      <c r="Z473" s="615"/>
      <c r="AA473" s="615"/>
    </row>
    <row r="474">
      <c r="A474" s="675"/>
      <c r="B474" s="615"/>
      <c r="C474" s="676"/>
      <c r="D474" s="677"/>
      <c r="E474" s="677"/>
      <c r="F474" s="615"/>
      <c r="G474" s="615"/>
      <c r="H474" s="615"/>
      <c r="I474" s="679"/>
      <c r="J474" s="615"/>
      <c r="K474" s="615"/>
      <c r="L474" s="615"/>
      <c r="M474" s="615"/>
      <c r="N474" s="615"/>
      <c r="O474" s="615"/>
      <c r="P474" s="615"/>
      <c r="Q474" s="615"/>
      <c r="R474" s="615"/>
      <c r="S474" s="615"/>
      <c r="T474" s="615"/>
      <c r="U474" s="615"/>
      <c r="V474" s="615"/>
      <c r="W474" s="615"/>
      <c r="X474" s="615"/>
      <c r="Y474" s="615"/>
      <c r="Z474" s="615"/>
      <c r="AA474" s="615"/>
    </row>
    <row r="475">
      <c r="A475" s="675"/>
      <c r="B475" s="615"/>
      <c r="C475" s="676"/>
      <c r="D475" s="677"/>
      <c r="E475" s="677"/>
      <c r="F475" s="615"/>
      <c r="G475" s="615"/>
      <c r="H475" s="615"/>
      <c r="I475" s="679"/>
      <c r="J475" s="615"/>
      <c r="K475" s="615"/>
      <c r="L475" s="615"/>
      <c r="M475" s="615"/>
      <c r="N475" s="615"/>
      <c r="O475" s="615"/>
      <c r="P475" s="615"/>
      <c r="Q475" s="615"/>
      <c r="R475" s="615"/>
      <c r="S475" s="615"/>
      <c r="T475" s="615"/>
      <c r="U475" s="615"/>
      <c r="V475" s="615"/>
      <c r="W475" s="615"/>
      <c r="X475" s="615"/>
      <c r="Y475" s="615"/>
      <c r="Z475" s="615"/>
      <c r="AA475" s="615"/>
    </row>
    <row r="476">
      <c r="A476" s="675"/>
      <c r="B476" s="615"/>
      <c r="C476" s="676"/>
      <c r="D476" s="677"/>
      <c r="E476" s="677"/>
      <c r="F476" s="615"/>
      <c r="G476" s="615"/>
      <c r="H476" s="615"/>
      <c r="I476" s="679"/>
      <c r="J476" s="615"/>
      <c r="K476" s="615"/>
      <c r="L476" s="615"/>
      <c r="M476" s="615"/>
      <c r="N476" s="615"/>
      <c r="O476" s="615"/>
      <c r="P476" s="615"/>
      <c r="Q476" s="615"/>
      <c r="R476" s="615"/>
      <c r="S476" s="615"/>
      <c r="T476" s="615"/>
      <c r="U476" s="615"/>
      <c r="V476" s="615"/>
      <c r="W476" s="615"/>
      <c r="X476" s="615"/>
      <c r="Y476" s="615"/>
      <c r="Z476" s="615"/>
      <c r="AA476" s="615"/>
    </row>
    <row r="477">
      <c r="A477" s="675"/>
      <c r="B477" s="615"/>
      <c r="C477" s="676"/>
      <c r="D477" s="677"/>
      <c r="E477" s="677"/>
      <c r="F477" s="615"/>
      <c r="G477" s="615"/>
      <c r="H477" s="615"/>
      <c r="I477" s="679"/>
      <c r="J477" s="615"/>
      <c r="K477" s="615"/>
      <c r="L477" s="615"/>
      <c r="M477" s="615"/>
      <c r="N477" s="615"/>
      <c r="O477" s="615"/>
      <c r="P477" s="615"/>
      <c r="Q477" s="615"/>
      <c r="R477" s="615"/>
      <c r="S477" s="615"/>
      <c r="T477" s="615"/>
      <c r="U477" s="615"/>
      <c r="V477" s="615"/>
      <c r="W477" s="615"/>
      <c r="X477" s="615"/>
      <c r="Y477" s="615"/>
      <c r="Z477" s="615"/>
      <c r="AA477" s="615"/>
    </row>
    <row r="478">
      <c r="A478" s="675"/>
      <c r="B478" s="615"/>
      <c r="C478" s="676"/>
      <c r="D478" s="677"/>
      <c r="E478" s="677"/>
      <c r="F478" s="615"/>
      <c r="G478" s="615"/>
      <c r="H478" s="615"/>
      <c r="I478" s="679"/>
      <c r="J478" s="615"/>
      <c r="K478" s="615"/>
      <c r="L478" s="615"/>
      <c r="M478" s="615"/>
      <c r="N478" s="615"/>
      <c r="O478" s="615"/>
      <c r="P478" s="615"/>
      <c r="Q478" s="615"/>
      <c r="R478" s="615"/>
      <c r="S478" s="615"/>
      <c r="T478" s="615"/>
      <c r="U478" s="615"/>
      <c r="V478" s="615"/>
      <c r="W478" s="615"/>
      <c r="X478" s="615"/>
      <c r="Y478" s="615"/>
      <c r="Z478" s="615"/>
      <c r="AA478" s="615"/>
    </row>
    <row r="479">
      <c r="A479" s="675"/>
      <c r="B479" s="615"/>
      <c r="C479" s="676"/>
      <c r="D479" s="677"/>
      <c r="E479" s="677"/>
      <c r="F479" s="615"/>
      <c r="G479" s="615"/>
      <c r="H479" s="615"/>
      <c r="I479" s="679"/>
      <c r="J479" s="615"/>
      <c r="K479" s="615"/>
      <c r="L479" s="615"/>
      <c r="M479" s="615"/>
      <c r="N479" s="615"/>
      <c r="O479" s="615"/>
      <c r="P479" s="615"/>
      <c r="Q479" s="615"/>
      <c r="R479" s="615"/>
      <c r="S479" s="615"/>
      <c r="T479" s="615"/>
      <c r="U479" s="615"/>
      <c r="V479" s="615"/>
      <c r="W479" s="615"/>
      <c r="X479" s="615"/>
      <c r="Y479" s="615"/>
      <c r="Z479" s="615"/>
      <c r="AA479" s="615"/>
    </row>
    <row r="480">
      <c r="A480" s="675"/>
      <c r="B480" s="615"/>
      <c r="C480" s="676"/>
      <c r="D480" s="677"/>
      <c r="E480" s="677"/>
      <c r="F480" s="615"/>
      <c r="G480" s="615"/>
      <c r="H480" s="615"/>
      <c r="I480" s="679"/>
      <c r="J480" s="615"/>
      <c r="K480" s="615"/>
      <c r="L480" s="615"/>
      <c r="M480" s="615"/>
      <c r="N480" s="615"/>
      <c r="O480" s="615"/>
      <c r="P480" s="615"/>
      <c r="Q480" s="615"/>
      <c r="R480" s="615"/>
      <c r="S480" s="615"/>
      <c r="T480" s="615"/>
      <c r="U480" s="615"/>
      <c r="V480" s="615"/>
      <c r="W480" s="615"/>
      <c r="X480" s="615"/>
      <c r="Y480" s="615"/>
      <c r="Z480" s="615"/>
      <c r="AA480" s="615"/>
    </row>
    <row r="481">
      <c r="A481" s="675"/>
      <c r="B481" s="615"/>
      <c r="C481" s="676"/>
      <c r="D481" s="677"/>
      <c r="E481" s="677"/>
      <c r="F481" s="615"/>
      <c r="G481" s="615"/>
      <c r="H481" s="615"/>
      <c r="I481" s="679"/>
      <c r="J481" s="615"/>
      <c r="K481" s="615"/>
      <c r="L481" s="615"/>
      <c r="M481" s="615"/>
      <c r="N481" s="615"/>
      <c r="O481" s="615"/>
      <c r="P481" s="615"/>
      <c r="Q481" s="615"/>
      <c r="R481" s="615"/>
      <c r="S481" s="615"/>
      <c r="T481" s="615"/>
      <c r="U481" s="615"/>
      <c r="V481" s="615"/>
      <c r="W481" s="615"/>
      <c r="X481" s="615"/>
      <c r="Y481" s="615"/>
      <c r="Z481" s="615"/>
      <c r="AA481" s="615"/>
    </row>
    <row r="482">
      <c r="A482" s="675"/>
      <c r="B482" s="615"/>
      <c r="C482" s="676"/>
      <c r="D482" s="677"/>
      <c r="E482" s="677"/>
      <c r="F482" s="615"/>
      <c r="G482" s="615"/>
      <c r="H482" s="615"/>
      <c r="I482" s="679"/>
      <c r="J482" s="615"/>
      <c r="K482" s="615"/>
      <c r="L482" s="615"/>
      <c r="M482" s="615"/>
      <c r="N482" s="615"/>
      <c r="O482" s="615"/>
      <c r="P482" s="615"/>
      <c r="Q482" s="615"/>
      <c r="R482" s="615"/>
      <c r="S482" s="615"/>
      <c r="T482" s="615"/>
      <c r="U482" s="615"/>
      <c r="V482" s="615"/>
      <c r="W482" s="615"/>
      <c r="X482" s="615"/>
      <c r="Y482" s="615"/>
      <c r="Z482" s="615"/>
      <c r="AA482" s="615"/>
    </row>
    <row r="483">
      <c r="A483" s="675"/>
      <c r="B483" s="615"/>
      <c r="C483" s="676"/>
      <c r="D483" s="677"/>
      <c r="E483" s="677"/>
      <c r="F483" s="615"/>
      <c r="G483" s="615"/>
      <c r="H483" s="615"/>
      <c r="I483" s="679"/>
      <c r="J483" s="615"/>
      <c r="K483" s="615"/>
      <c r="L483" s="615"/>
      <c r="M483" s="615"/>
      <c r="N483" s="615"/>
      <c r="O483" s="615"/>
      <c r="P483" s="615"/>
      <c r="Q483" s="615"/>
      <c r="R483" s="615"/>
      <c r="S483" s="615"/>
      <c r="T483" s="615"/>
      <c r="U483" s="615"/>
      <c r="V483" s="615"/>
      <c r="W483" s="615"/>
      <c r="X483" s="615"/>
      <c r="Y483" s="615"/>
      <c r="Z483" s="615"/>
      <c r="AA483" s="615"/>
    </row>
    <row r="484">
      <c r="A484" s="675"/>
      <c r="B484" s="615"/>
      <c r="C484" s="676"/>
      <c r="D484" s="677"/>
      <c r="E484" s="677"/>
      <c r="F484" s="615"/>
      <c r="G484" s="615"/>
      <c r="H484" s="615"/>
      <c r="I484" s="679"/>
      <c r="J484" s="615"/>
      <c r="K484" s="615"/>
      <c r="L484" s="615"/>
      <c r="M484" s="615"/>
      <c r="N484" s="615"/>
      <c r="O484" s="615"/>
      <c r="P484" s="615"/>
      <c r="Q484" s="615"/>
      <c r="R484" s="615"/>
      <c r="S484" s="615"/>
      <c r="T484" s="615"/>
      <c r="U484" s="615"/>
      <c r="V484" s="615"/>
      <c r="W484" s="615"/>
      <c r="X484" s="615"/>
      <c r="Y484" s="615"/>
      <c r="Z484" s="615"/>
      <c r="AA484" s="615"/>
    </row>
    <row r="485">
      <c r="A485" s="675"/>
      <c r="B485" s="615"/>
      <c r="C485" s="676"/>
      <c r="D485" s="677"/>
      <c r="E485" s="677"/>
      <c r="F485" s="615"/>
      <c r="G485" s="615"/>
      <c r="H485" s="615"/>
      <c r="I485" s="679"/>
      <c r="J485" s="615"/>
      <c r="K485" s="615"/>
      <c r="L485" s="615"/>
      <c r="M485" s="615"/>
      <c r="N485" s="615"/>
      <c r="O485" s="615"/>
      <c r="P485" s="615"/>
      <c r="Q485" s="615"/>
      <c r="R485" s="615"/>
      <c r="S485" s="615"/>
      <c r="T485" s="615"/>
      <c r="U485" s="615"/>
      <c r="V485" s="615"/>
      <c r="W485" s="615"/>
      <c r="X485" s="615"/>
      <c r="Y485" s="615"/>
      <c r="Z485" s="615"/>
      <c r="AA485" s="615"/>
    </row>
    <row r="486">
      <c r="A486" s="675"/>
      <c r="B486" s="615"/>
      <c r="C486" s="676"/>
      <c r="D486" s="677"/>
      <c r="E486" s="677"/>
      <c r="F486" s="615"/>
      <c r="G486" s="615"/>
      <c r="H486" s="615"/>
      <c r="I486" s="679"/>
      <c r="J486" s="615"/>
      <c r="K486" s="615"/>
      <c r="L486" s="615"/>
      <c r="M486" s="615"/>
      <c r="N486" s="615"/>
      <c r="O486" s="615"/>
      <c r="P486" s="615"/>
      <c r="Q486" s="615"/>
      <c r="R486" s="615"/>
      <c r="S486" s="615"/>
      <c r="T486" s="615"/>
      <c r="U486" s="615"/>
      <c r="V486" s="615"/>
      <c r="W486" s="615"/>
      <c r="X486" s="615"/>
      <c r="Y486" s="615"/>
      <c r="Z486" s="615"/>
      <c r="AA486" s="615"/>
    </row>
    <row r="487">
      <c r="A487" s="675"/>
      <c r="B487" s="615"/>
      <c r="C487" s="676"/>
      <c r="D487" s="677"/>
      <c r="E487" s="677"/>
      <c r="F487" s="615"/>
      <c r="G487" s="615"/>
      <c r="H487" s="615"/>
      <c r="I487" s="679"/>
      <c r="J487" s="615"/>
      <c r="K487" s="615"/>
      <c r="L487" s="615"/>
      <c r="M487" s="615"/>
      <c r="N487" s="615"/>
      <c r="O487" s="615"/>
      <c r="P487" s="615"/>
      <c r="Q487" s="615"/>
      <c r="R487" s="615"/>
      <c r="S487" s="615"/>
      <c r="T487" s="615"/>
      <c r="U487" s="615"/>
      <c r="V487" s="615"/>
      <c r="W487" s="615"/>
      <c r="X487" s="615"/>
      <c r="Y487" s="615"/>
      <c r="Z487" s="615"/>
      <c r="AA487" s="615"/>
    </row>
    <row r="488">
      <c r="A488" s="675"/>
      <c r="B488" s="615"/>
      <c r="C488" s="676"/>
      <c r="D488" s="677"/>
      <c r="E488" s="677"/>
      <c r="F488" s="615"/>
      <c r="G488" s="615"/>
      <c r="H488" s="615"/>
      <c r="I488" s="679"/>
      <c r="J488" s="615"/>
      <c r="K488" s="615"/>
      <c r="L488" s="615"/>
      <c r="M488" s="615"/>
      <c r="N488" s="615"/>
      <c r="O488" s="615"/>
      <c r="P488" s="615"/>
      <c r="Q488" s="615"/>
      <c r="R488" s="615"/>
      <c r="S488" s="615"/>
      <c r="T488" s="615"/>
      <c r="U488" s="615"/>
      <c r="V488" s="615"/>
      <c r="W488" s="615"/>
      <c r="X488" s="615"/>
      <c r="Y488" s="615"/>
      <c r="Z488" s="615"/>
      <c r="AA488" s="615"/>
    </row>
    <row r="489">
      <c r="A489" s="675"/>
      <c r="B489" s="615"/>
      <c r="C489" s="676"/>
      <c r="D489" s="677"/>
      <c r="E489" s="677"/>
      <c r="F489" s="615"/>
      <c r="G489" s="615"/>
      <c r="H489" s="615"/>
      <c r="I489" s="679"/>
      <c r="J489" s="615"/>
      <c r="K489" s="615"/>
      <c r="L489" s="615"/>
      <c r="M489" s="615"/>
      <c r="N489" s="615"/>
      <c r="O489" s="615"/>
      <c r="P489" s="615"/>
      <c r="Q489" s="615"/>
      <c r="R489" s="615"/>
      <c r="S489" s="615"/>
      <c r="T489" s="615"/>
      <c r="U489" s="615"/>
      <c r="V489" s="615"/>
      <c r="W489" s="615"/>
      <c r="X489" s="615"/>
      <c r="Y489" s="615"/>
      <c r="Z489" s="615"/>
      <c r="AA489" s="615"/>
    </row>
    <row r="490">
      <c r="A490" s="675"/>
      <c r="B490" s="615"/>
      <c r="C490" s="676"/>
      <c r="D490" s="677"/>
      <c r="E490" s="677"/>
      <c r="F490" s="615"/>
      <c r="G490" s="615"/>
      <c r="H490" s="615"/>
      <c r="I490" s="679"/>
      <c r="J490" s="615"/>
      <c r="K490" s="615"/>
      <c r="L490" s="615"/>
      <c r="M490" s="615"/>
      <c r="N490" s="615"/>
      <c r="O490" s="615"/>
      <c r="P490" s="615"/>
      <c r="Q490" s="615"/>
      <c r="R490" s="615"/>
      <c r="S490" s="615"/>
      <c r="T490" s="615"/>
      <c r="U490" s="615"/>
      <c r="V490" s="615"/>
      <c r="W490" s="615"/>
      <c r="X490" s="615"/>
      <c r="Y490" s="615"/>
      <c r="Z490" s="615"/>
      <c r="AA490" s="615"/>
    </row>
    <row r="491">
      <c r="A491" s="675"/>
      <c r="B491" s="615"/>
      <c r="C491" s="676"/>
      <c r="D491" s="677"/>
      <c r="E491" s="677"/>
      <c r="F491" s="615"/>
      <c r="G491" s="615"/>
      <c r="H491" s="615"/>
      <c r="I491" s="679"/>
      <c r="J491" s="615"/>
      <c r="K491" s="615"/>
      <c r="L491" s="615"/>
      <c r="M491" s="615"/>
      <c r="N491" s="615"/>
      <c r="O491" s="615"/>
      <c r="P491" s="615"/>
      <c r="Q491" s="615"/>
      <c r="R491" s="615"/>
      <c r="S491" s="615"/>
      <c r="T491" s="615"/>
      <c r="U491" s="615"/>
      <c r="V491" s="615"/>
      <c r="W491" s="615"/>
      <c r="X491" s="615"/>
      <c r="Y491" s="615"/>
      <c r="Z491" s="615"/>
      <c r="AA491" s="615"/>
    </row>
    <row r="492">
      <c r="A492" s="675"/>
      <c r="B492" s="615"/>
      <c r="C492" s="676"/>
      <c r="D492" s="677"/>
      <c r="E492" s="677"/>
      <c r="F492" s="615"/>
      <c r="G492" s="615"/>
      <c r="H492" s="615"/>
      <c r="I492" s="679"/>
      <c r="J492" s="615"/>
      <c r="K492" s="615"/>
      <c r="L492" s="615"/>
      <c r="M492" s="615"/>
      <c r="N492" s="615"/>
      <c r="O492" s="615"/>
      <c r="P492" s="615"/>
      <c r="Q492" s="615"/>
      <c r="R492" s="615"/>
      <c r="S492" s="615"/>
      <c r="T492" s="615"/>
      <c r="U492" s="615"/>
      <c r="V492" s="615"/>
      <c r="W492" s="615"/>
      <c r="X492" s="615"/>
      <c r="Y492" s="615"/>
      <c r="Z492" s="615"/>
      <c r="AA492" s="615"/>
    </row>
    <row r="493">
      <c r="A493" s="675"/>
      <c r="B493" s="615"/>
      <c r="C493" s="676"/>
      <c r="D493" s="677"/>
      <c r="E493" s="677"/>
      <c r="F493" s="615"/>
      <c r="G493" s="615"/>
      <c r="H493" s="615"/>
      <c r="I493" s="679"/>
      <c r="J493" s="615"/>
      <c r="K493" s="615"/>
      <c r="L493" s="615"/>
      <c r="M493" s="615"/>
      <c r="N493" s="615"/>
      <c r="O493" s="615"/>
      <c r="P493" s="615"/>
      <c r="Q493" s="615"/>
      <c r="R493" s="615"/>
      <c r="S493" s="615"/>
      <c r="T493" s="615"/>
      <c r="U493" s="615"/>
      <c r="V493" s="615"/>
      <c r="W493" s="615"/>
      <c r="X493" s="615"/>
      <c r="Y493" s="615"/>
      <c r="Z493" s="615"/>
      <c r="AA493" s="615"/>
    </row>
    <row r="494">
      <c r="A494" s="675"/>
      <c r="B494" s="615"/>
      <c r="C494" s="676"/>
      <c r="D494" s="677"/>
      <c r="E494" s="677"/>
      <c r="F494" s="615"/>
      <c r="G494" s="615"/>
      <c r="H494" s="615"/>
      <c r="I494" s="679"/>
      <c r="J494" s="615"/>
      <c r="K494" s="615"/>
      <c r="L494" s="615"/>
      <c r="M494" s="615"/>
      <c r="N494" s="615"/>
      <c r="O494" s="615"/>
      <c r="P494" s="615"/>
      <c r="Q494" s="615"/>
      <c r="R494" s="615"/>
      <c r="S494" s="615"/>
      <c r="T494" s="615"/>
      <c r="U494" s="615"/>
      <c r="V494" s="615"/>
      <c r="W494" s="615"/>
      <c r="X494" s="615"/>
      <c r="Y494" s="615"/>
      <c r="Z494" s="615"/>
      <c r="AA494" s="615"/>
    </row>
    <row r="495">
      <c r="A495" s="675"/>
      <c r="B495" s="615"/>
      <c r="C495" s="676"/>
      <c r="D495" s="677"/>
      <c r="E495" s="677"/>
      <c r="F495" s="615"/>
      <c r="G495" s="615"/>
      <c r="H495" s="615"/>
      <c r="I495" s="679"/>
      <c r="J495" s="615"/>
      <c r="K495" s="615"/>
      <c r="L495" s="615"/>
      <c r="M495" s="615"/>
      <c r="N495" s="615"/>
      <c r="O495" s="615"/>
      <c r="P495" s="615"/>
      <c r="Q495" s="615"/>
      <c r="R495" s="615"/>
      <c r="S495" s="615"/>
      <c r="T495" s="615"/>
      <c r="U495" s="615"/>
      <c r="V495" s="615"/>
      <c r="W495" s="615"/>
      <c r="X495" s="615"/>
      <c r="Y495" s="615"/>
      <c r="Z495" s="615"/>
      <c r="AA495" s="615"/>
    </row>
    <row r="496">
      <c r="A496" s="675"/>
      <c r="B496" s="615"/>
      <c r="C496" s="676"/>
      <c r="D496" s="677"/>
      <c r="E496" s="677"/>
      <c r="F496" s="615"/>
      <c r="G496" s="615"/>
      <c r="H496" s="615"/>
      <c r="I496" s="679"/>
      <c r="J496" s="615"/>
      <c r="K496" s="615"/>
      <c r="L496" s="615"/>
      <c r="M496" s="615"/>
      <c r="N496" s="615"/>
      <c r="O496" s="615"/>
      <c r="P496" s="615"/>
      <c r="Q496" s="615"/>
      <c r="R496" s="615"/>
      <c r="S496" s="615"/>
      <c r="T496" s="615"/>
      <c r="U496" s="615"/>
      <c r="V496" s="615"/>
      <c r="W496" s="615"/>
      <c r="X496" s="615"/>
      <c r="Y496" s="615"/>
      <c r="Z496" s="615"/>
      <c r="AA496" s="615"/>
    </row>
    <row r="497">
      <c r="A497" s="675"/>
      <c r="B497" s="615"/>
      <c r="C497" s="676"/>
      <c r="D497" s="677"/>
      <c r="E497" s="677"/>
      <c r="F497" s="615"/>
      <c r="G497" s="615"/>
      <c r="H497" s="615"/>
      <c r="I497" s="679"/>
      <c r="J497" s="615"/>
      <c r="K497" s="615"/>
      <c r="L497" s="615"/>
      <c r="M497" s="615"/>
      <c r="N497" s="615"/>
      <c r="O497" s="615"/>
      <c r="P497" s="615"/>
      <c r="Q497" s="615"/>
      <c r="R497" s="615"/>
      <c r="S497" s="615"/>
      <c r="T497" s="615"/>
      <c r="U497" s="615"/>
      <c r="V497" s="615"/>
      <c r="W497" s="615"/>
      <c r="X497" s="615"/>
      <c r="Y497" s="615"/>
      <c r="Z497" s="615"/>
      <c r="AA497" s="615"/>
    </row>
    <row r="498">
      <c r="A498" s="675"/>
      <c r="B498" s="615"/>
      <c r="C498" s="676"/>
      <c r="D498" s="677"/>
      <c r="E498" s="677"/>
      <c r="F498" s="615"/>
      <c r="G498" s="615"/>
      <c r="H498" s="615"/>
      <c r="I498" s="679"/>
      <c r="J498" s="615"/>
      <c r="K498" s="615"/>
      <c r="L498" s="615"/>
      <c r="M498" s="615"/>
      <c r="N498" s="615"/>
      <c r="O498" s="615"/>
      <c r="P498" s="615"/>
      <c r="Q498" s="615"/>
      <c r="R498" s="615"/>
      <c r="S498" s="615"/>
      <c r="T498" s="615"/>
      <c r="U498" s="615"/>
      <c r="V498" s="615"/>
      <c r="W498" s="615"/>
      <c r="X498" s="615"/>
      <c r="Y498" s="615"/>
      <c r="Z498" s="615"/>
      <c r="AA498" s="615"/>
    </row>
    <row r="499">
      <c r="A499" s="675"/>
      <c r="B499" s="615"/>
      <c r="C499" s="676"/>
      <c r="D499" s="677"/>
      <c r="E499" s="677"/>
      <c r="F499" s="615"/>
      <c r="G499" s="615"/>
      <c r="H499" s="615"/>
      <c r="I499" s="679"/>
      <c r="J499" s="615"/>
      <c r="K499" s="615"/>
      <c r="L499" s="615"/>
      <c r="M499" s="615"/>
      <c r="N499" s="615"/>
      <c r="O499" s="615"/>
      <c r="P499" s="615"/>
      <c r="Q499" s="615"/>
      <c r="R499" s="615"/>
      <c r="S499" s="615"/>
      <c r="T499" s="615"/>
      <c r="U499" s="615"/>
      <c r="V499" s="615"/>
      <c r="W499" s="615"/>
      <c r="X499" s="615"/>
      <c r="Y499" s="615"/>
      <c r="Z499" s="615"/>
      <c r="AA499" s="615"/>
    </row>
    <row r="500">
      <c r="A500" s="675"/>
      <c r="B500" s="615"/>
      <c r="C500" s="676"/>
      <c r="D500" s="677"/>
      <c r="E500" s="677"/>
      <c r="F500" s="615"/>
      <c r="G500" s="615"/>
      <c r="H500" s="615"/>
      <c r="I500" s="679"/>
      <c r="J500" s="615"/>
      <c r="K500" s="615"/>
      <c r="L500" s="615"/>
      <c r="M500" s="615"/>
      <c r="N500" s="615"/>
      <c r="O500" s="615"/>
      <c r="P500" s="615"/>
      <c r="Q500" s="615"/>
      <c r="R500" s="615"/>
      <c r="S500" s="615"/>
      <c r="T500" s="615"/>
      <c r="U500" s="615"/>
      <c r="V500" s="615"/>
      <c r="W500" s="615"/>
      <c r="X500" s="615"/>
      <c r="Y500" s="615"/>
      <c r="Z500" s="615"/>
      <c r="AA500" s="615"/>
    </row>
    <row r="501">
      <c r="A501" s="675"/>
      <c r="B501" s="615"/>
      <c r="C501" s="676"/>
      <c r="D501" s="677"/>
      <c r="E501" s="677"/>
      <c r="F501" s="615"/>
      <c r="G501" s="615"/>
      <c r="H501" s="615"/>
      <c r="I501" s="679"/>
      <c r="J501" s="615"/>
      <c r="K501" s="615"/>
      <c r="L501" s="615"/>
      <c r="M501" s="615"/>
      <c r="N501" s="615"/>
      <c r="O501" s="615"/>
      <c r="P501" s="615"/>
      <c r="Q501" s="615"/>
      <c r="R501" s="615"/>
      <c r="S501" s="615"/>
      <c r="T501" s="615"/>
      <c r="U501" s="615"/>
      <c r="V501" s="615"/>
      <c r="W501" s="615"/>
      <c r="X501" s="615"/>
      <c r="Y501" s="615"/>
      <c r="Z501" s="615"/>
      <c r="AA501" s="615"/>
    </row>
    <row r="502">
      <c r="A502" s="675"/>
      <c r="B502" s="615"/>
      <c r="C502" s="676"/>
      <c r="D502" s="677"/>
      <c r="E502" s="677"/>
      <c r="F502" s="615"/>
      <c r="G502" s="615"/>
      <c r="H502" s="615"/>
      <c r="I502" s="679"/>
      <c r="J502" s="615"/>
      <c r="K502" s="615"/>
      <c r="L502" s="615"/>
      <c r="M502" s="615"/>
      <c r="N502" s="615"/>
      <c r="O502" s="615"/>
      <c r="P502" s="615"/>
      <c r="Q502" s="615"/>
      <c r="R502" s="615"/>
      <c r="S502" s="615"/>
      <c r="T502" s="615"/>
      <c r="U502" s="615"/>
      <c r="V502" s="615"/>
      <c r="W502" s="615"/>
      <c r="X502" s="615"/>
      <c r="Y502" s="615"/>
      <c r="Z502" s="615"/>
      <c r="AA502" s="615"/>
    </row>
    <row r="503">
      <c r="A503" s="675"/>
      <c r="B503" s="615"/>
      <c r="C503" s="676"/>
      <c r="D503" s="677"/>
      <c r="E503" s="677"/>
      <c r="F503" s="615"/>
      <c r="G503" s="615"/>
      <c r="H503" s="615"/>
      <c r="I503" s="679"/>
      <c r="J503" s="615"/>
      <c r="K503" s="615"/>
      <c r="L503" s="615"/>
      <c r="M503" s="615"/>
      <c r="N503" s="615"/>
      <c r="O503" s="615"/>
      <c r="P503" s="615"/>
      <c r="Q503" s="615"/>
      <c r="R503" s="615"/>
      <c r="S503" s="615"/>
      <c r="T503" s="615"/>
      <c r="U503" s="615"/>
      <c r="V503" s="615"/>
      <c r="W503" s="615"/>
      <c r="X503" s="615"/>
      <c r="Y503" s="615"/>
      <c r="Z503" s="615"/>
      <c r="AA503" s="615"/>
    </row>
    <row r="504">
      <c r="A504" s="675"/>
      <c r="B504" s="615"/>
      <c r="C504" s="676"/>
      <c r="D504" s="677"/>
      <c r="E504" s="677"/>
      <c r="F504" s="615"/>
      <c r="G504" s="615"/>
      <c r="H504" s="615"/>
      <c r="I504" s="679"/>
      <c r="J504" s="615"/>
      <c r="K504" s="615"/>
      <c r="L504" s="615"/>
      <c r="M504" s="615"/>
      <c r="N504" s="615"/>
      <c r="O504" s="615"/>
      <c r="P504" s="615"/>
      <c r="Q504" s="615"/>
      <c r="R504" s="615"/>
      <c r="S504" s="615"/>
      <c r="T504" s="615"/>
      <c r="U504" s="615"/>
      <c r="V504" s="615"/>
      <c r="W504" s="615"/>
      <c r="X504" s="615"/>
      <c r="Y504" s="615"/>
      <c r="Z504" s="615"/>
      <c r="AA504" s="615"/>
    </row>
    <row r="505">
      <c r="A505" s="675"/>
      <c r="B505" s="615"/>
      <c r="C505" s="676"/>
      <c r="D505" s="677"/>
      <c r="E505" s="677"/>
      <c r="F505" s="615"/>
      <c r="G505" s="615"/>
      <c r="H505" s="615"/>
      <c r="I505" s="679"/>
      <c r="J505" s="615"/>
      <c r="K505" s="615"/>
      <c r="L505" s="615"/>
      <c r="M505" s="615"/>
      <c r="N505" s="615"/>
      <c r="O505" s="615"/>
      <c r="P505" s="615"/>
      <c r="Q505" s="615"/>
      <c r="R505" s="615"/>
      <c r="S505" s="615"/>
      <c r="T505" s="615"/>
      <c r="U505" s="615"/>
      <c r="V505" s="615"/>
      <c r="W505" s="615"/>
      <c r="X505" s="615"/>
      <c r="Y505" s="615"/>
      <c r="Z505" s="615"/>
      <c r="AA505" s="615"/>
    </row>
    <row r="506">
      <c r="A506" s="675"/>
      <c r="B506" s="615"/>
      <c r="C506" s="676"/>
      <c r="D506" s="677"/>
      <c r="E506" s="677"/>
      <c r="F506" s="615"/>
      <c r="G506" s="615"/>
      <c r="H506" s="615"/>
      <c r="I506" s="679"/>
      <c r="J506" s="615"/>
      <c r="K506" s="615"/>
      <c r="L506" s="615"/>
      <c r="M506" s="615"/>
      <c r="N506" s="615"/>
      <c r="O506" s="615"/>
      <c r="P506" s="615"/>
      <c r="Q506" s="615"/>
      <c r="R506" s="615"/>
      <c r="S506" s="615"/>
      <c r="T506" s="615"/>
      <c r="U506" s="615"/>
      <c r="V506" s="615"/>
      <c r="W506" s="615"/>
      <c r="X506" s="615"/>
      <c r="Y506" s="615"/>
      <c r="Z506" s="615"/>
      <c r="AA506" s="615"/>
    </row>
    <row r="507">
      <c r="A507" s="675"/>
      <c r="B507" s="615"/>
      <c r="C507" s="676"/>
      <c r="D507" s="677"/>
      <c r="E507" s="677"/>
      <c r="F507" s="615"/>
      <c r="G507" s="615"/>
      <c r="H507" s="615"/>
      <c r="I507" s="679"/>
      <c r="J507" s="615"/>
      <c r="K507" s="615"/>
      <c r="L507" s="615"/>
      <c r="M507" s="615"/>
      <c r="N507" s="615"/>
      <c r="O507" s="615"/>
      <c r="P507" s="615"/>
      <c r="Q507" s="615"/>
      <c r="R507" s="615"/>
      <c r="S507" s="615"/>
      <c r="T507" s="615"/>
      <c r="U507" s="615"/>
      <c r="V507" s="615"/>
      <c r="W507" s="615"/>
      <c r="X507" s="615"/>
      <c r="Y507" s="615"/>
      <c r="Z507" s="615"/>
      <c r="AA507" s="615"/>
    </row>
    <row r="508">
      <c r="A508" s="675"/>
      <c r="B508" s="615"/>
      <c r="C508" s="676"/>
      <c r="D508" s="677"/>
      <c r="E508" s="677"/>
      <c r="F508" s="615"/>
      <c r="G508" s="615"/>
      <c r="H508" s="615"/>
      <c r="I508" s="679"/>
      <c r="J508" s="615"/>
      <c r="K508" s="615"/>
      <c r="L508" s="615"/>
      <c r="M508" s="615"/>
      <c r="N508" s="615"/>
      <c r="O508" s="615"/>
      <c r="P508" s="615"/>
      <c r="Q508" s="615"/>
      <c r="R508" s="615"/>
      <c r="S508" s="615"/>
      <c r="T508" s="615"/>
      <c r="U508" s="615"/>
      <c r="V508" s="615"/>
      <c r="W508" s="615"/>
      <c r="X508" s="615"/>
      <c r="Y508" s="615"/>
      <c r="Z508" s="615"/>
      <c r="AA508" s="615"/>
    </row>
    <row r="509">
      <c r="A509" s="675"/>
      <c r="B509" s="615"/>
      <c r="C509" s="676"/>
      <c r="D509" s="677"/>
      <c r="E509" s="677"/>
      <c r="F509" s="615"/>
      <c r="G509" s="615"/>
      <c r="H509" s="615"/>
      <c r="I509" s="679"/>
      <c r="J509" s="615"/>
      <c r="K509" s="615"/>
      <c r="L509" s="615"/>
      <c r="M509" s="615"/>
      <c r="N509" s="615"/>
      <c r="O509" s="615"/>
      <c r="P509" s="615"/>
      <c r="Q509" s="615"/>
      <c r="R509" s="615"/>
      <c r="S509" s="615"/>
      <c r="T509" s="615"/>
      <c r="U509" s="615"/>
      <c r="V509" s="615"/>
      <c r="W509" s="615"/>
      <c r="X509" s="615"/>
      <c r="Y509" s="615"/>
      <c r="Z509" s="615"/>
      <c r="AA509" s="615"/>
    </row>
    <row r="510">
      <c r="A510" s="675"/>
      <c r="B510" s="615"/>
      <c r="C510" s="676"/>
      <c r="D510" s="677"/>
      <c r="E510" s="677"/>
      <c r="F510" s="615"/>
      <c r="G510" s="615"/>
      <c r="H510" s="615"/>
      <c r="I510" s="679"/>
      <c r="J510" s="615"/>
      <c r="K510" s="615"/>
      <c r="L510" s="615"/>
      <c r="M510" s="615"/>
      <c r="N510" s="615"/>
      <c r="O510" s="615"/>
      <c r="P510" s="615"/>
      <c r="Q510" s="615"/>
      <c r="R510" s="615"/>
      <c r="S510" s="615"/>
      <c r="T510" s="615"/>
      <c r="U510" s="615"/>
      <c r="V510" s="615"/>
      <c r="W510" s="615"/>
      <c r="X510" s="615"/>
      <c r="Y510" s="615"/>
      <c r="Z510" s="615"/>
      <c r="AA510" s="615"/>
    </row>
    <row r="511">
      <c r="A511" s="675"/>
      <c r="B511" s="615"/>
      <c r="C511" s="676"/>
      <c r="D511" s="677"/>
      <c r="E511" s="677"/>
      <c r="F511" s="615"/>
      <c r="G511" s="615"/>
      <c r="H511" s="615"/>
      <c r="I511" s="679"/>
      <c r="J511" s="615"/>
      <c r="K511" s="615"/>
      <c r="L511" s="615"/>
      <c r="M511" s="615"/>
      <c r="N511" s="615"/>
      <c r="O511" s="615"/>
      <c r="P511" s="615"/>
      <c r="Q511" s="615"/>
      <c r="R511" s="615"/>
      <c r="S511" s="615"/>
      <c r="T511" s="615"/>
      <c r="U511" s="615"/>
      <c r="V511" s="615"/>
      <c r="W511" s="615"/>
      <c r="X511" s="615"/>
      <c r="Y511" s="615"/>
      <c r="Z511" s="615"/>
      <c r="AA511" s="615"/>
    </row>
    <row r="512">
      <c r="A512" s="675"/>
      <c r="B512" s="615"/>
      <c r="C512" s="676"/>
      <c r="D512" s="677"/>
      <c r="E512" s="677"/>
      <c r="F512" s="615"/>
      <c r="G512" s="615"/>
      <c r="H512" s="615"/>
      <c r="I512" s="679"/>
      <c r="J512" s="615"/>
      <c r="K512" s="615"/>
      <c r="L512" s="615"/>
      <c r="M512" s="615"/>
      <c r="N512" s="615"/>
      <c r="O512" s="615"/>
      <c r="P512" s="615"/>
      <c r="Q512" s="615"/>
      <c r="R512" s="615"/>
      <c r="S512" s="615"/>
      <c r="T512" s="615"/>
      <c r="U512" s="615"/>
      <c r="V512" s="615"/>
      <c r="W512" s="615"/>
      <c r="X512" s="615"/>
      <c r="Y512" s="615"/>
      <c r="Z512" s="615"/>
      <c r="AA512" s="615"/>
    </row>
    <row r="513">
      <c r="A513" s="675"/>
      <c r="B513" s="615"/>
      <c r="C513" s="676"/>
      <c r="D513" s="677"/>
      <c r="E513" s="677"/>
      <c r="F513" s="615"/>
      <c r="G513" s="615"/>
      <c r="H513" s="615"/>
      <c r="I513" s="679"/>
      <c r="J513" s="615"/>
      <c r="K513" s="615"/>
      <c r="L513" s="615"/>
      <c r="M513" s="615"/>
      <c r="N513" s="615"/>
      <c r="O513" s="615"/>
      <c r="P513" s="615"/>
      <c r="Q513" s="615"/>
      <c r="R513" s="615"/>
      <c r="S513" s="615"/>
      <c r="T513" s="615"/>
      <c r="U513" s="615"/>
      <c r="V513" s="615"/>
      <c r="W513" s="615"/>
      <c r="X513" s="615"/>
      <c r="Y513" s="615"/>
      <c r="Z513" s="615"/>
      <c r="AA513" s="615"/>
    </row>
    <row r="514">
      <c r="A514" s="675"/>
      <c r="B514" s="615"/>
      <c r="C514" s="676"/>
      <c r="D514" s="677"/>
      <c r="E514" s="677"/>
      <c r="F514" s="615"/>
      <c r="G514" s="615"/>
      <c r="H514" s="615"/>
      <c r="I514" s="679"/>
      <c r="J514" s="615"/>
      <c r="K514" s="615"/>
      <c r="L514" s="615"/>
      <c r="M514" s="615"/>
      <c r="N514" s="615"/>
      <c r="O514" s="615"/>
      <c r="P514" s="615"/>
      <c r="Q514" s="615"/>
      <c r="R514" s="615"/>
      <c r="S514" s="615"/>
      <c r="T514" s="615"/>
      <c r="U514" s="615"/>
      <c r="V514" s="615"/>
      <c r="W514" s="615"/>
      <c r="X514" s="615"/>
      <c r="Y514" s="615"/>
      <c r="Z514" s="615"/>
      <c r="AA514" s="615"/>
    </row>
    <row r="515">
      <c r="A515" s="675"/>
      <c r="B515" s="615"/>
      <c r="C515" s="676"/>
      <c r="D515" s="677"/>
      <c r="E515" s="677"/>
      <c r="F515" s="615"/>
      <c r="G515" s="615"/>
      <c r="H515" s="615"/>
      <c r="I515" s="679"/>
      <c r="J515" s="615"/>
      <c r="K515" s="615"/>
      <c r="L515" s="615"/>
      <c r="M515" s="615"/>
      <c r="N515" s="615"/>
      <c r="O515" s="615"/>
      <c r="P515" s="615"/>
      <c r="Q515" s="615"/>
      <c r="R515" s="615"/>
      <c r="S515" s="615"/>
      <c r="T515" s="615"/>
      <c r="U515" s="615"/>
      <c r="V515" s="615"/>
      <c r="W515" s="615"/>
      <c r="X515" s="615"/>
      <c r="Y515" s="615"/>
      <c r="Z515" s="615"/>
      <c r="AA515" s="615"/>
    </row>
    <row r="516">
      <c r="A516" s="675"/>
      <c r="B516" s="615"/>
      <c r="C516" s="676"/>
      <c r="D516" s="677"/>
      <c r="E516" s="677"/>
      <c r="F516" s="615"/>
      <c r="G516" s="615"/>
      <c r="H516" s="615"/>
      <c r="I516" s="679"/>
      <c r="J516" s="615"/>
      <c r="K516" s="615"/>
      <c r="L516" s="615"/>
      <c r="M516" s="615"/>
      <c r="N516" s="615"/>
      <c r="O516" s="615"/>
      <c r="P516" s="615"/>
      <c r="Q516" s="615"/>
      <c r="R516" s="615"/>
      <c r="S516" s="615"/>
      <c r="T516" s="615"/>
      <c r="U516" s="615"/>
      <c r="V516" s="615"/>
      <c r="W516" s="615"/>
      <c r="X516" s="615"/>
      <c r="Y516" s="615"/>
      <c r="Z516" s="615"/>
      <c r="AA516" s="615"/>
    </row>
    <row r="517">
      <c r="A517" s="675"/>
      <c r="B517" s="615"/>
      <c r="C517" s="676"/>
      <c r="D517" s="677"/>
      <c r="E517" s="677"/>
      <c r="F517" s="615"/>
      <c r="G517" s="615"/>
      <c r="H517" s="615"/>
      <c r="I517" s="679"/>
      <c r="J517" s="615"/>
      <c r="K517" s="615"/>
      <c r="L517" s="615"/>
      <c r="M517" s="615"/>
      <c r="N517" s="615"/>
      <c r="O517" s="615"/>
      <c r="P517" s="615"/>
      <c r="Q517" s="615"/>
      <c r="R517" s="615"/>
      <c r="S517" s="615"/>
      <c r="T517" s="615"/>
      <c r="U517" s="615"/>
      <c r="V517" s="615"/>
      <c r="W517" s="615"/>
      <c r="X517" s="615"/>
      <c r="Y517" s="615"/>
      <c r="Z517" s="615"/>
      <c r="AA517" s="615"/>
    </row>
    <row r="518">
      <c r="A518" s="675"/>
      <c r="B518" s="615"/>
      <c r="C518" s="676"/>
      <c r="D518" s="677"/>
      <c r="E518" s="677"/>
      <c r="F518" s="615"/>
      <c r="G518" s="615"/>
      <c r="H518" s="615"/>
      <c r="I518" s="679"/>
      <c r="J518" s="615"/>
      <c r="K518" s="615"/>
      <c r="L518" s="615"/>
      <c r="M518" s="615"/>
      <c r="N518" s="615"/>
      <c r="O518" s="615"/>
      <c r="P518" s="615"/>
      <c r="Q518" s="615"/>
      <c r="R518" s="615"/>
      <c r="S518" s="615"/>
      <c r="T518" s="615"/>
      <c r="U518" s="615"/>
      <c r="V518" s="615"/>
      <c r="W518" s="615"/>
      <c r="X518" s="615"/>
      <c r="Y518" s="615"/>
      <c r="Z518" s="615"/>
      <c r="AA518" s="615"/>
    </row>
    <row r="519">
      <c r="A519" s="675"/>
      <c r="B519" s="615"/>
      <c r="C519" s="676"/>
      <c r="D519" s="677"/>
      <c r="E519" s="677"/>
      <c r="F519" s="615"/>
      <c r="G519" s="615"/>
      <c r="H519" s="615"/>
      <c r="I519" s="679"/>
      <c r="J519" s="615"/>
      <c r="K519" s="615"/>
      <c r="L519" s="615"/>
      <c r="M519" s="615"/>
      <c r="N519" s="615"/>
      <c r="O519" s="615"/>
      <c r="P519" s="615"/>
      <c r="Q519" s="615"/>
      <c r="R519" s="615"/>
      <c r="S519" s="615"/>
      <c r="T519" s="615"/>
      <c r="U519" s="615"/>
      <c r="V519" s="615"/>
      <c r="W519" s="615"/>
      <c r="X519" s="615"/>
      <c r="Y519" s="615"/>
      <c r="Z519" s="615"/>
      <c r="AA519" s="615"/>
    </row>
    <row r="520">
      <c r="A520" s="675"/>
      <c r="B520" s="615"/>
      <c r="C520" s="676"/>
      <c r="D520" s="677"/>
      <c r="E520" s="677"/>
      <c r="F520" s="615"/>
      <c r="G520" s="615"/>
      <c r="H520" s="615"/>
      <c r="I520" s="679"/>
      <c r="J520" s="615"/>
      <c r="K520" s="615"/>
      <c r="L520" s="615"/>
      <c r="M520" s="615"/>
      <c r="N520" s="615"/>
      <c r="O520" s="615"/>
      <c r="P520" s="615"/>
      <c r="Q520" s="615"/>
      <c r="R520" s="615"/>
      <c r="S520" s="615"/>
      <c r="T520" s="615"/>
      <c r="U520" s="615"/>
      <c r="V520" s="615"/>
      <c r="W520" s="615"/>
      <c r="X520" s="615"/>
      <c r="Y520" s="615"/>
      <c r="Z520" s="615"/>
      <c r="AA520" s="615"/>
    </row>
    <row r="521">
      <c r="A521" s="675"/>
      <c r="B521" s="615"/>
      <c r="C521" s="676"/>
      <c r="D521" s="677"/>
      <c r="E521" s="677"/>
      <c r="F521" s="615"/>
      <c r="G521" s="615"/>
      <c r="H521" s="615"/>
      <c r="I521" s="679"/>
      <c r="J521" s="615"/>
      <c r="K521" s="615"/>
      <c r="L521" s="615"/>
      <c r="M521" s="615"/>
      <c r="N521" s="615"/>
      <c r="O521" s="615"/>
      <c r="P521" s="615"/>
      <c r="Q521" s="615"/>
      <c r="R521" s="615"/>
      <c r="S521" s="615"/>
      <c r="T521" s="615"/>
      <c r="U521" s="615"/>
      <c r="V521" s="615"/>
      <c r="W521" s="615"/>
      <c r="X521" s="615"/>
      <c r="Y521" s="615"/>
      <c r="Z521" s="615"/>
      <c r="AA521" s="615"/>
    </row>
    <row r="522">
      <c r="A522" s="675"/>
      <c r="B522" s="615"/>
      <c r="C522" s="676"/>
      <c r="D522" s="677"/>
      <c r="E522" s="677"/>
      <c r="F522" s="615"/>
      <c r="G522" s="615"/>
      <c r="H522" s="615"/>
      <c r="I522" s="679"/>
      <c r="J522" s="615"/>
      <c r="K522" s="615"/>
      <c r="L522" s="615"/>
      <c r="M522" s="615"/>
      <c r="N522" s="615"/>
      <c r="O522" s="615"/>
      <c r="P522" s="615"/>
      <c r="Q522" s="615"/>
      <c r="R522" s="615"/>
      <c r="S522" s="615"/>
      <c r="T522" s="615"/>
      <c r="U522" s="615"/>
      <c r="V522" s="615"/>
      <c r="W522" s="615"/>
      <c r="X522" s="615"/>
      <c r="Y522" s="615"/>
      <c r="Z522" s="615"/>
      <c r="AA522" s="615"/>
    </row>
    <row r="523">
      <c r="A523" s="675"/>
      <c r="B523" s="615"/>
      <c r="C523" s="676"/>
      <c r="D523" s="677"/>
      <c r="E523" s="677"/>
      <c r="F523" s="615"/>
      <c r="G523" s="615"/>
      <c r="H523" s="615"/>
      <c r="I523" s="679"/>
      <c r="J523" s="615"/>
      <c r="K523" s="615"/>
      <c r="L523" s="615"/>
      <c r="M523" s="615"/>
      <c r="N523" s="615"/>
      <c r="O523" s="615"/>
      <c r="P523" s="615"/>
      <c r="Q523" s="615"/>
      <c r="R523" s="615"/>
      <c r="S523" s="615"/>
      <c r="T523" s="615"/>
      <c r="U523" s="615"/>
      <c r="V523" s="615"/>
      <c r="W523" s="615"/>
      <c r="X523" s="615"/>
      <c r="Y523" s="615"/>
      <c r="Z523" s="615"/>
      <c r="AA523" s="615"/>
    </row>
    <row r="524">
      <c r="A524" s="675"/>
      <c r="B524" s="615"/>
      <c r="C524" s="676"/>
      <c r="D524" s="677"/>
      <c r="E524" s="677"/>
      <c r="F524" s="615"/>
      <c r="G524" s="615"/>
      <c r="H524" s="615"/>
      <c r="I524" s="679"/>
      <c r="J524" s="615"/>
      <c r="K524" s="615"/>
      <c r="L524" s="615"/>
      <c r="M524" s="615"/>
      <c r="N524" s="615"/>
      <c r="O524" s="615"/>
      <c r="P524" s="615"/>
      <c r="Q524" s="615"/>
      <c r="R524" s="615"/>
      <c r="S524" s="615"/>
      <c r="T524" s="615"/>
      <c r="U524" s="615"/>
      <c r="V524" s="615"/>
      <c r="W524" s="615"/>
      <c r="X524" s="615"/>
      <c r="Y524" s="615"/>
      <c r="Z524" s="615"/>
      <c r="AA524" s="615"/>
    </row>
    <row r="525">
      <c r="A525" s="675"/>
      <c r="B525" s="615"/>
      <c r="C525" s="676"/>
      <c r="D525" s="677"/>
      <c r="E525" s="677"/>
      <c r="F525" s="615"/>
      <c r="G525" s="615"/>
      <c r="H525" s="615"/>
      <c r="I525" s="679"/>
      <c r="J525" s="615"/>
      <c r="K525" s="615"/>
      <c r="L525" s="615"/>
      <c r="M525" s="615"/>
      <c r="N525" s="615"/>
      <c r="O525" s="615"/>
      <c r="P525" s="615"/>
      <c r="Q525" s="615"/>
      <c r="R525" s="615"/>
      <c r="S525" s="615"/>
      <c r="T525" s="615"/>
      <c r="U525" s="615"/>
      <c r="V525" s="615"/>
      <c r="W525" s="615"/>
      <c r="X525" s="615"/>
      <c r="Y525" s="615"/>
      <c r="Z525" s="615"/>
      <c r="AA525" s="615"/>
    </row>
    <row r="526">
      <c r="A526" s="675"/>
      <c r="B526" s="615"/>
      <c r="C526" s="676"/>
      <c r="D526" s="677"/>
      <c r="E526" s="677"/>
      <c r="F526" s="615"/>
      <c r="G526" s="615"/>
      <c r="H526" s="615"/>
      <c r="I526" s="679"/>
      <c r="J526" s="615"/>
      <c r="K526" s="615"/>
      <c r="L526" s="615"/>
      <c r="M526" s="615"/>
      <c r="N526" s="615"/>
      <c r="O526" s="615"/>
      <c r="P526" s="615"/>
      <c r="Q526" s="615"/>
      <c r="R526" s="615"/>
      <c r="S526" s="615"/>
      <c r="T526" s="615"/>
      <c r="U526" s="615"/>
      <c r="V526" s="615"/>
      <c r="W526" s="615"/>
      <c r="X526" s="615"/>
      <c r="Y526" s="615"/>
      <c r="Z526" s="615"/>
      <c r="AA526" s="615"/>
    </row>
    <row r="527">
      <c r="A527" s="675"/>
      <c r="B527" s="615"/>
      <c r="C527" s="676"/>
      <c r="D527" s="677"/>
      <c r="E527" s="677"/>
      <c r="F527" s="615"/>
      <c r="G527" s="615"/>
      <c r="H527" s="615"/>
      <c r="I527" s="679"/>
      <c r="J527" s="615"/>
      <c r="K527" s="615"/>
      <c r="L527" s="615"/>
      <c r="M527" s="615"/>
      <c r="N527" s="615"/>
      <c r="O527" s="615"/>
      <c r="P527" s="615"/>
      <c r="Q527" s="615"/>
      <c r="R527" s="615"/>
      <c r="S527" s="615"/>
      <c r="T527" s="615"/>
      <c r="U527" s="615"/>
      <c r="V527" s="615"/>
      <c r="W527" s="615"/>
      <c r="X527" s="615"/>
      <c r="Y527" s="615"/>
      <c r="Z527" s="615"/>
      <c r="AA527" s="615"/>
    </row>
    <row r="528">
      <c r="A528" s="675"/>
      <c r="B528" s="615"/>
      <c r="C528" s="676"/>
      <c r="D528" s="677"/>
      <c r="E528" s="677"/>
      <c r="F528" s="615"/>
      <c r="G528" s="615"/>
      <c r="H528" s="615"/>
      <c r="I528" s="679"/>
      <c r="J528" s="615"/>
      <c r="K528" s="615"/>
      <c r="L528" s="615"/>
      <c r="M528" s="615"/>
      <c r="N528" s="615"/>
      <c r="O528" s="615"/>
      <c r="P528" s="615"/>
      <c r="Q528" s="615"/>
      <c r="R528" s="615"/>
      <c r="S528" s="615"/>
      <c r="T528" s="615"/>
      <c r="U528" s="615"/>
      <c r="V528" s="615"/>
      <c r="W528" s="615"/>
      <c r="X528" s="615"/>
      <c r="Y528" s="615"/>
      <c r="Z528" s="615"/>
      <c r="AA528" s="615"/>
    </row>
    <row r="529">
      <c r="A529" s="675"/>
      <c r="B529" s="615"/>
      <c r="C529" s="676"/>
      <c r="D529" s="677"/>
      <c r="E529" s="677"/>
      <c r="F529" s="615"/>
      <c r="G529" s="615"/>
      <c r="H529" s="615"/>
      <c r="I529" s="679"/>
      <c r="J529" s="615"/>
      <c r="K529" s="615"/>
      <c r="L529" s="615"/>
      <c r="M529" s="615"/>
      <c r="N529" s="615"/>
      <c r="O529" s="615"/>
      <c r="P529" s="615"/>
      <c r="Q529" s="615"/>
      <c r="R529" s="615"/>
      <c r="S529" s="615"/>
      <c r="T529" s="615"/>
      <c r="U529" s="615"/>
      <c r="V529" s="615"/>
      <c r="W529" s="615"/>
      <c r="X529" s="615"/>
      <c r="Y529" s="615"/>
      <c r="Z529" s="615"/>
      <c r="AA529" s="615"/>
    </row>
    <row r="530">
      <c r="A530" s="675"/>
      <c r="B530" s="615"/>
      <c r="C530" s="676"/>
      <c r="D530" s="677"/>
      <c r="E530" s="677"/>
      <c r="F530" s="615"/>
      <c r="G530" s="615"/>
      <c r="H530" s="615"/>
      <c r="I530" s="679"/>
      <c r="J530" s="615"/>
      <c r="K530" s="615"/>
      <c r="L530" s="615"/>
      <c r="M530" s="615"/>
      <c r="N530" s="615"/>
      <c r="O530" s="615"/>
      <c r="P530" s="615"/>
      <c r="Q530" s="615"/>
      <c r="R530" s="615"/>
      <c r="S530" s="615"/>
      <c r="T530" s="615"/>
      <c r="U530" s="615"/>
      <c r="V530" s="615"/>
      <c r="W530" s="615"/>
      <c r="X530" s="615"/>
      <c r="Y530" s="615"/>
      <c r="Z530" s="615"/>
      <c r="AA530" s="615"/>
    </row>
    <row r="531">
      <c r="A531" s="675"/>
      <c r="B531" s="615"/>
      <c r="C531" s="676"/>
      <c r="D531" s="677"/>
      <c r="E531" s="677"/>
      <c r="F531" s="615"/>
      <c r="G531" s="615"/>
      <c r="H531" s="615"/>
      <c r="I531" s="679"/>
      <c r="J531" s="615"/>
      <c r="K531" s="615"/>
      <c r="L531" s="615"/>
      <c r="M531" s="615"/>
      <c r="N531" s="615"/>
      <c r="O531" s="615"/>
      <c r="P531" s="615"/>
      <c r="Q531" s="615"/>
      <c r="R531" s="615"/>
      <c r="S531" s="615"/>
      <c r="T531" s="615"/>
      <c r="U531" s="615"/>
      <c r="V531" s="615"/>
      <c r="W531" s="615"/>
      <c r="X531" s="615"/>
      <c r="Y531" s="615"/>
      <c r="Z531" s="615"/>
      <c r="AA531" s="615"/>
    </row>
    <row r="532">
      <c r="A532" s="675"/>
      <c r="B532" s="615"/>
      <c r="C532" s="676"/>
      <c r="D532" s="677"/>
      <c r="E532" s="677"/>
      <c r="F532" s="615"/>
      <c r="G532" s="615"/>
      <c r="H532" s="615"/>
      <c r="I532" s="679"/>
      <c r="J532" s="615"/>
      <c r="K532" s="615"/>
      <c r="L532" s="615"/>
      <c r="M532" s="615"/>
      <c r="N532" s="615"/>
      <c r="O532" s="615"/>
      <c r="P532" s="615"/>
      <c r="Q532" s="615"/>
      <c r="R532" s="615"/>
      <c r="S532" s="615"/>
      <c r="T532" s="615"/>
      <c r="U532" s="615"/>
      <c r="V532" s="615"/>
      <c r="W532" s="615"/>
      <c r="X532" s="615"/>
      <c r="Y532" s="615"/>
      <c r="Z532" s="615"/>
      <c r="AA532" s="615"/>
    </row>
    <row r="533">
      <c r="A533" s="675"/>
      <c r="B533" s="615"/>
      <c r="C533" s="676"/>
      <c r="D533" s="677"/>
      <c r="E533" s="677"/>
      <c r="F533" s="615"/>
      <c r="G533" s="615"/>
      <c r="H533" s="615"/>
      <c r="I533" s="679"/>
      <c r="J533" s="615"/>
      <c r="K533" s="615"/>
      <c r="L533" s="615"/>
      <c r="M533" s="615"/>
      <c r="N533" s="615"/>
      <c r="O533" s="615"/>
      <c r="P533" s="615"/>
      <c r="Q533" s="615"/>
      <c r="R533" s="615"/>
      <c r="S533" s="615"/>
      <c r="T533" s="615"/>
      <c r="U533" s="615"/>
      <c r="V533" s="615"/>
      <c r="W533" s="615"/>
      <c r="X533" s="615"/>
      <c r="Y533" s="615"/>
      <c r="Z533" s="615"/>
      <c r="AA533" s="615"/>
    </row>
    <row r="534">
      <c r="A534" s="675"/>
      <c r="B534" s="615"/>
      <c r="C534" s="676"/>
      <c r="D534" s="677"/>
      <c r="E534" s="677"/>
      <c r="F534" s="615"/>
      <c r="G534" s="615"/>
      <c r="H534" s="615"/>
      <c r="I534" s="679"/>
      <c r="J534" s="615"/>
      <c r="K534" s="615"/>
      <c r="L534" s="615"/>
      <c r="M534" s="615"/>
      <c r="N534" s="615"/>
      <c r="O534" s="615"/>
      <c r="P534" s="615"/>
      <c r="Q534" s="615"/>
      <c r="R534" s="615"/>
      <c r="S534" s="615"/>
      <c r="T534" s="615"/>
      <c r="U534" s="615"/>
      <c r="V534" s="615"/>
      <c r="W534" s="615"/>
      <c r="X534" s="615"/>
      <c r="Y534" s="615"/>
      <c r="Z534" s="615"/>
      <c r="AA534" s="615"/>
    </row>
    <row r="535">
      <c r="A535" s="675"/>
      <c r="B535" s="615"/>
      <c r="C535" s="676"/>
      <c r="D535" s="677"/>
      <c r="E535" s="677"/>
      <c r="F535" s="615"/>
      <c r="G535" s="615"/>
      <c r="H535" s="615"/>
      <c r="I535" s="679"/>
      <c r="J535" s="615"/>
      <c r="K535" s="615"/>
      <c r="L535" s="615"/>
      <c r="M535" s="615"/>
      <c r="N535" s="615"/>
      <c r="O535" s="615"/>
      <c r="P535" s="615"/>
      <c r="Q535" s="615"/>
      <c r="R535" s="615"/>
      <c r="S535" s="615"/>
      <c r="T535" s="615"/>
      <c r="U535" s="615"/>
      <c r="V535" s="615"/>
      <c r="W535" s="615"/>
      <c r="X535" s="615"/>
      <c r="Y535" s="615"/>
      <c r="Z535" s="615"/>
      <c r="AA535" s="615"/>
    </row>
    <row r="536">
      <c r="A536" s="675"/>
      <c r="B536" s="615"/>
      <c r="C536" s="676"/>
      <c r="D536" s="677"/>
      <c r="E536" s="677"/>
      <c r="F536" s="615"/>
      <c r="G536" s="615"/>
      <c r="H536" s="615"/>
      <c r="I536" s="679"/>
      <c r="J536" s="615"/>
      <c r="K536" s="615"/>
      <c r="L536" s="615"/>
      <c r="M536" s="615"/>
      <c r="N536" s="615"/>
      <c r="O536" s="615"/>
      <c r="P536" s="615"/>
      <c r="Q536" s="615"/>
      <c r="R536" s="615"/>
      <c r="S536" s="615"/>
      <c r="T536" s="615"/>
      <c r="U536" s="615"/>
      <c r="V536" s="615"/>
      <c r="W536" s="615"/>
      <c r="X536" s="615"/>
      <c r="Y536" s="615"/>
      <c r="Z536" s="615"/>
      <c r="AA536" s="615"/>
    </row>
    <row r="537">
      <c r="A537" s="675"/>
      <c r="B537" s="615"/>
      <c r="C537" s="676"/>
      <c r="D537" s="677"/>
      <c r="E537" s="677"/>
      <c r="F537" s="615"/>
      <c r="G537" s="615"/>
      <c r="H537" s="615"/>
      <c r="I537" s="679"/>
      <c r="J537" s="615"/>
      <c r="K537" s="615"/>
      <c r="L537" s="615"/>
      <c r="M537" s="615"/>
      <c r="N537" s="615"/>
      <c r="O537" s="615"/>
      <c r="P537" s="615"/>
      <c r="Q537" s="615"/>
      <c r="R537" s="615"/>
      <c r="S537" s="615"/>
      <c r="T537" s="615"/>
      <c r="U537" s="615"/>
      <c r="V537" s="615"/>
      <c r="W537" s="615"/>
      <c r="X537" s="615"/>
      <c r="Y537" s="615"/>
      <c r="Z537" s="615"/>
      <c r="AA537" s="615"/>
    </row>
    <row r="538">
      <c r="A538" s="675"/>
      <c r="B538" s="615"/>
      <c r="C538" s="676"/>
      <c r="D538" s="677"/>
      <c r="E538" s="677"/>
      <c r="F538" s="615"/>
      <c r="G538" s="615"/>
      <c r="H538" s="615"/>
      <c r="I538" s="679"/>
      <c r="J538" s="615"/>
      <c r="K538" s="615"/>
      <c r="L538" s="615"/>
      <c r="M538" s="615"/>
      <c r="N538" s="615"/>
      <c r="O538" s="615"/>
      <c r="P538" s="615"/>
      <c r="Q538" s="615"/>
      <c r="R538" s="615"/>
      <c r="S538" s="615"/>
      <c r="T538" s="615"/>
      <c r="U538" s="615"/>
      <c r="V538" s="615"/>
      <c r="W538" s="615"/>
      <c r="X538" s="615"/>
      <c r="Y538" s="615"/>
      <c r="Z538" s="615"/>
      <c r="AA538" s="615"/>
    </row>
    <row r="539">
      <c r="A539" s="675"/>
      <c r="B539" s="615"/>
      <c r="C539" s="676"/>
      <c r="D539" s="677"/>
      <c r="E539" s="677"/>
      <c r="F539" s="615"/>
      <c r="G539" s="615"/>
      <c r="H539" s="615"/>
      <c r="I539" s="679"/>
      <c r="J539" s="615"/>
      <c r="K539" s="615"/>
      <c r="L539" s="615"/>
      <c r="M539" s="615"/>
      <c r="N539" s="615"/>
      <c r="O539" s="615"/>
      <c r="P539" s="615"/>
      <c r="Q539" s="615"/>
      <c r="R539" s="615"/>
      <c r="S539" s="615"/>
      <c r="T539" s="615"/>
      <c r="U539" s="615"/>
      <c r="V539" s="615"/>
      <c r="W539" s="615"/>
      <c r="X539" s="615"/>
      <c r="Y539" s="615"/>
      <c r="Z539" s="615"/>
      <c r="AA539" s="615"/>
    </row>
    <row r="540">
      <c r="A540" s="675"/>
      <c r="B540" s="615"/>
      <c r="C540" s="676"/>
      <c r="D540" s="677"/>
      <c r="E540" s="677"/>
      <c r="F540" s="615"/>
      <c r="G540" s="615"/>
      <c r="H540" s="615"/>
      <c r="I540" s="679"/>
      <c r="J540" s="615"/>
      <c r="K540" s="615"/>
      <c r="L540" s="615"/>
      <c r="M540" s="615"/>
      <c r="N540" s="615"/>
      <c r="O540" s="615"/>
      <c r="P540" s="615"/>
      <c r="Q540" s="615"/>
      <c r="R540" s="615"/>
      <c r="S540" s="615"/>
      <c r="T540" s="615"/>
      <c r="U540" s="615"/>
      <c r="V540" s="615"/>
      <c r="W540" s="615"/>
      <c r="X540" s="615"/>
      <c r="Y540" s="615"/>
      <c r="Z540" s="615"/>
      <c r="AA540" s="615"/>
    </row>
    <row r="541">
      <c r="A541" s="675"/>
      <c r="B541" s="615"/>
      <c r="C541" s="676"/>
      <c r="D541" s="677"/>
      <c r="E541" s="677"/>
      <c r="F541" s="615"/>
      <c r="G541" s="615"/>
      <c r="H541" s="615"/>
      <c r="I541" s="679"/>
      <c r="J541" s="615"/>
      <c r="K541" s="615"/>
      <c r="L541" s="615"/>
      <c r="M541" s="615"/>
      <c r="N541" s="615"/>
      <c r="O541" s="615"/>
      <c r="P541" s="615"/>
      <c r="Q541" s="615"/>
      <c r="R541" s="615"/>
      <c r="S541" s="615"/>
      <c r="T541" s="615"/>
      <c r="U541" s="615"/>
      <c r="V541" s="615"/>
      <c r="W541" s="615"/>
      <c r="X541" s="615"/>
      <c r="Y541" s="615"/>
      <c r="Z541" s="615"/>
      <c r="AA541" s="615"/>
    </row>
    <row r="542">
      <c r="A542" s="675"/>
      <c r="B542" s="615"/>
      <c r="C542" s="676"/>
      <c r="D542" s="677"/>
      <c r="E542" s="677"/>
      <c r="F542" s="615"/>
      <c r="G542" s="615"/>
      <c r="H542" s="615"/>
      <c r="I542" s="679"/>
      <c r="J542" s="615"/>
      <c r="K542" s="615"/>
      <c r="L542" s="615"/>
      <c r="M542" s="615"/>
      <c r="N542" s="615"/>
      <c r="O542" s="615"/>
      <c r="P542" s="615"/>
      <c r="Q542" s="615"/>
      <c r="R542" s="615"/>
      <c r="S542" s="615"/>
      <c r="T542" s="615"/>
      <c r="U542" s="615"/>
      <c r="V542" s="615"/>
      <c r="W542" s="615"/>
      <c r="X542" s="615"/>
      <c r="Y542" s="615"/>
      <c r="Z542" s="615"/>
      <c r="AA542" s="615"/>
    </row>
    <row r="543">
      <c r="A543" s="675"/>
      <c r="B543" s="615"/>
      <c r="C543" s="676"/>
      <c r="D543" s="677"/>
      <c r="E543" s="677"/>
      <c r="F543" s="615"/>
      <c r="G543" s="615"/>
      <c r="H543" s="615"/>
      <c r="I543" s="679"/>
      <c r="J543" s="615"/>
      <c r="K543" s="615"/>
      <c r="L543" s="615"/>
      <c r="M543" s="615"/>
      <c r="N543" s="615"/>
      <c r="O543" s="615"/>
      <c r="P543" s="615"/>
      <c r="Q543" s="615"/>
      <c r="R543" s="615"/>
      <c r="S543" s="615"/>
      <c r="T543" s="615"/>
      <c r="U543" s="615"/>
      <c r="V543" s="615"/>
      <c r="W543" s="615"/>
      <c r="X543" s="615"/>
      <c r="Y543" s="615"/>
      <c r="Z543" s="615"/>
      <c r="AA543" s="615"/>
    </row>
    <row r="544">
      <c r="A544" s="675"/>
      <c r="B544" s="615"/>
      <c r="C544" s="676"/>
      <c r="D544" s="677"/>
      <c r="E544" s="677"/>
      <c r="F544" s="615"/>
      <c r="G544" s="615"/>
      <c r="H544" s="615"/>
      <c r="I544" s="679"/>
      <c r="J544" s="615"/>
      <c r="K544" s="615"/>
      <c r="L544" s="615"/>
      <c r="M544" s="615"/>
      <c r="N544" s="615"/>
      <c r="O544" s="615"/>
      <c r="P544" s="615"/>
      <c r="Q544" s="615"/>
      <c r="R544" s="615"/>
      <c r="S544" s="615"/>
      <c r="T544" s="615"/>
      <c r="U544" s="615"/>
      <c r="V544" s="615"/>
      <c r="W544" s="615"/>
      <c r="X544" s="615"/>
      <c r="Y544" s="615"/>
      <c r="Z544" s="615"/>
      <c r="AA544" s="615"/>
    </row>
    <row r="545">
      <c r="A545" s="675"/>
      <c r="B545" s="615"/>
      <c r="C545" s="676"/>
      <c r="D545" s="677"/>
      <c r="E545" s="677"/>
      <c r="F545" s="615"/>
      <c r="G545" s="615"/>
      <c r="H545" s="615"/>
      <c r="I545" s="679"/>
      <c r="J545" s="615"/>
      <c r="K545" s="615"/>
      <c r="L545" s="615"/>
      <c r="M545" s="615"/>
      <c r="N545" s="615"/>
      <c r="O545" s="615"/>
      <c r="P545" s="615"/>
      <c r="Q545" s="615"/>
      <c r="R545" s="615"/>
      <c r="S545" s="615"/>
      <c r="T545" s="615"/>
      <c r="U545" s="615"/>
      <c r="V545" s="615"/>
      <c r="W545" s="615"/>
      <c r="X545" s="615"/>
      <c r="Y545" s="615"/>
      <c r="Z545" s="615"/>
      <c r="AA545" s="615"/>
    </row>
    <row r="546">
      <c r="A546" s="675"/>
      <c r="B546" s="615"/>
      <c r="C546" s="676"/>
      <c r="D546" s="677"/>
      <c r="E546" s="677"/>
      <c r="F546" s="615"/>
      <c r="G546" s="615"/>
      <c r="H546" s="615"/>
      <c r="I546" s="679"/>
      <c r="J546" s="615"/>
      <c r="K546" s="615"/>
      <c r="L546" s="615"/>
      <c r="M546" s="615"/>
      <c r="N546" s="615"/>
      <c r="O546" s="615"/>
      <c r="P546" s="615"/>
      <c r="Q546" s="615"/>
      <c r="R546" s="615"/>
      <c r="S546" s="615"/>
      <c r="T546" s="615"/>
      <c r="U546" s="615"/>
      <c r="V546" s="615"/>
      <c r="W546" s="615"/>
      <c r="X546" s="615"/>
      <c r="Y546" s="615"/>
      <c r="Z546" s="615"/>
      <c r="AA546" s="615"/>
    </row>
    <row r="547">
      <c r="A547" s="675"/>
      <c r="B547" s="615"/>
      <c r="C547" s="676"/>
      <c r="D547" s="677"/>
      <c r="E547" s="677"/>
      <c r="F547" s="615"/>
      <c r="G547" s="615"/>
      <c r="H547" s="615"/>
      <c r="I547" s="679"/>
      <c r="J547" s="615"/>
      <c r="K547" s="615"/>
      <c r="L547" s="615"/>
      <c r="M547" s="615"/>
      <c r="N547" s="615"/>
      <c r="O547" s="615"/>
      <c r="P547" s="615"/>
      <c r="Q547" s="615"/>
      <c r="R547" s="615"/>
      <c r="S547" s="615"/>
      <c r="T547" s="615"/>
      <c r="U547" s="615"/>
      <c r="V547" s="615"/>
      <c r="W547" s="615"/>
      <c r="X547" s="615"/>
      <c r="Y547" s="615"/>
      <c r="Z547" s="615"/>
      <c r="AA547" s="615"/>
    </row>
    <row r="548">
      <c r="A548" s="675"/>
      <c r="B548" s="615"/>
      <c r="C548" s="676"/>
      <c r="D548" s="677"/>
      <c r="E548" s="677"/>
      <c r="F548" s="615"/>
      <c r="G548" s="615"/>
      <c r="H548" s="615"/>
      <c r="I548" s="679"/>
      <c r="J548" s="615"/>
      <c r="K548" s="615"/>
      <c r="L548" s="615"/>
      <c r="M548" s="615"/>
      <c r="N548" s="615"/>
      <c r="O548" s="615"/>
      <c r="P548" s="615"/>
      <c r="Q548" s="615"/>
      <c r="R548" s="615"/>
      <c r="S548" s="615"/>
      <c r="T548" s="615"/>
      <c r="U548" s="615"/>
      <c r="V548" s="615"/>
      <c r="W548" s="615"/>
      <c r="X548" s="615"/>
      <c r="Y548" s="615"/>
      <c r="Z548" s="615"/>
      <c r="AA548" s="615"/>
    </row>
    <row r="549">
      <c r="A549" s="675"/>
      <c r="B549" s="615"/>
      <c r="C549" s="676"/>
      <c r="D549" s="677"/>
      <c r="E549" s="677"/>
      <c r="F549" s="615"/>
      <c r="G549" s="615"/>
      <c r="H549" s="615"/>
      <c r="I549" s="679"/>
      <c r="J549" s="615"/>
      <c r="K549" s="615"/>
      <c r="L549" s="615"/>
      <c r="M549" s="615"/>
      <c r="N549" s="615"/>
      <c r="O549" s="615"/>
      <c r="P549" s="615"/>
      <c r="Q549" s="615"/>
      <c r="R549" s="615"/>
      <c r="S549" s="615"/>
      <c r="T549" s="615"/>
      <c r="U549" s="615"/>
      <c r="V549" s="615"/>
      <c r="W549" s="615"/>
      <c r="X549" s="615"/>
      <c r="Y549" s="615"/>
      <c r="Z549" s="615"/>
      <c r="AA549" s="615"/>
    </row>
    <row r="550">
      <c r="A550" s="675"/>
      <c r="B550" s="615"/>
      <c r="C550" s="676"/>
      <c r="D550" s="677"/>
      <c r="E550" s="677"/>
      <c r="F550" s="615"/>
      <c r="G550" s="615"/>
      <c r="H550" s="615"/>
      <c r="I550" s="679"/>
      <c r="J550" s="615"/>
      <c r="K550" s="615"/>
      <c r="L550" s="615"/>
      <c r="M550" s="615"/>
      <c r="N550" s="615"/>
      <c r="O550" s="615"/>
      <c r="P550" s="615"/>
      <c r="Q550" s="615"/>
      <c r="R550" s="615"/>
      <c r="S550" s="615"/>
      <c r="T550" s="615"/>
      <c r="U550" s="615"/>
      <c r="V550" s="615"/>
      <c r="W550" s="615"/>
      <c r="X550" s="615"/>
      <c r="Y550" s="615"/>
      <c r="Z550" s="615"/>
      <c r="AA550" s="615"/>
    </row>
    <row r="551">
      <c r="A551" s="675"/>
      <c r="B551" s="615"/>
      <c r="C551" s="676"/>
      <c r="D551" s="677"/>
      <c r="E551" s="677"/>
      <c r="F551" s="615"/>
      <c r="G551" s="615"/>
      <c r="H551" s="615"/>
      <c r="I551" s="679"/>
      <c r="J551" s="615"/>
      <c r="K551" s="615"/>
      <c r="L551" s="615"/>
      <c r="M551" s="615"/>
      <c r="N551" s="615"/>
      <c r="O551" s="615"/>
      <c r="P551" s="615"/>
      <c r="Q551" s="615"/>
      <c r="R551" s="615"/>
      <c r="S551" s="615"/>
      <c r="T551" s="615"/>
      <c r="U551" s="615"/>
      <c r="V551" s="615"/>
      <c r="W551" s="615"/>
      <c r="X551" s="615"/>
      <c r="Y551" s="615"/>
      <c r="Z551" s="615"/>
      <c r="AA551" s="615"/>
    </row>
    <row r="552">
      <c r="A552" s="675"/>
      <c r="B552" s="615"/>
      <c r="C552" s="676"/>
      <c r="D552" s="677"/>
      <c r="E552" s="677"/>
      <c r="F552" s="615"/>
      <c r="G552" s="615"/>
      <c r="H552" s="615"/>
      <c r="I552" s="679"/>
      <c r="J552" s="615"/>
      <c r="K552" s="615"/>
      <c r="L552" s="615"/>
      <c r="M552" s="615"/>
      <c r="N552" s="615"/>
      <c r="O552" s="615"/>
      <c r="P552" s="615"/>
      <c r="Q552" s="615"/>
      <c r="R552" s="615"/>
      <c r="S552" s="615"/>
      <c r="T552" s="615"/>
      <c r="U552" s="615"/>
      <c r="V552" s="615"/>
      <c r="W552" s="615"/>
      <c r="X552" s="615"/>
      <c r="Y552" s="615"/>
      <c r="Z552" s="615"/>
      <c r="AA552" s="615"/>
    </row>
    <row r="553">
      <c r="A553" s="675"/>
      <c r="B553" s="615"/>
      <c r="C553" s="676"/>
      <c r="D553" s="677"/>
      <c r="E553" s="677"/>
      <c r="F553" s="615"/>
      <c r="G553" s="615"/>
      <c r="H553" s="615"/>
      <c r="I553" s="679"/>
      <c r="J553" s="615"/>
      <c r="K553" s="615"/>
      <c r="L553" s="615"/>
      <c r="M553" s="615"/>
      <c r="N553" s="615"/>
      <c r="O553" s="615"/>
      <c r="P553" s="615"/>
      <c r="Q553" s="615"/>
      <c r="R553" s="615"/>
      <c r="S553" s="615"/>
      <c r="T553" s="615"/>
      <c r="U553" s="615"/>
      <c r="V553" s="615"/>
      <c r="W553" s="615"/>
      <c r="X553" s="615"/>
      <c r="Y553" s="615"/>
      <c r="Z553" s="615"/>
      <c r="AA553" s="615"/>
    </row>
    <row r="554">
      <c r="A554" s="675"/>
      <c r="B554" s="615"/>
      <c r="C554" s="676"/>
      <c r="D554" s="677"/>
      <c r="E554" s="677"/>
      <c r="F554" s="615"/>
      <c r="G554" s="615"/>
      <c r="H554" s="615"/>
      <c r="I554" s="679"/>
      <c r="J554" s="615"/>
      <c r="K554" s="615"/>
      <c r="L554" s="615"/>
      <c r="M554" s="615"/>
      <c r="N554" s="615"/>
      <c r="O554" s="615"/>
      <c r="P554" s="615"/>
      <c r="Q554" s="615"/>
      <c r="R554" s="615"/>
      <c r="S554" s="615"/>
      <c r="T554" s="615"/>
      <c r="U554" s="615"/>
      <c r="V554" s="615"/>
      <c r="W554" s="615"/>
      <c r="X554" s="615"/>
      <c r="Y554" s="615"/>
      <c r="Z554" s="615"/>
      <c r="AA554" s="615"/>
    </row>
    <row r="555">
      <c r="A555" s="675"/>
      <c r="B555" s="615"/>
      <c r="C555" s="676"/>
      <c r="D555" s="677"/>
      <c r="E555" s="677"/>
      <c r="F555" s="615"/>
      <c r="G555" s="615"/>
      <c r="H555" s="615"/>
      <c r="I555" s="679"/>
      <c r="J555" s="615"/>
      <c r="K555" s="615"/>
      <c r="L555" s="615"/>
      <c r="M555" s="615"/>
      <c r="N555" s="615"/>
      <c r="O555" s="615"/>
      <c r="P555" s="615"/>
      <c r="Q555" s="615"/>
      <c r="R555" s="615"/>
      <c r="S555" s="615"/>
      <c r="T555" s="615"/>
      <c r="U555" s="615"/>
      <c r="V555" s="615"/>
      <c r="W555" s="615"/>
      <c r="X555" s="615"/>
      <c r="Y555" s="615"/>
      <c r="Z555" s="615"/>
      <c r="AA555" s="615"/>
    </row>
    <row r="556">
      <c r="A556" s="675"/>
      <c r="B556" s="615"/>
      <c r="C556" s="676"/>
      <c r="D556" s="677"/>
      <c r="E556" s="677"/>
      <c r="F556" s="615"/>
      <c r="G556" s="615"/>
      <c r="H556" s="615"/>
      <c r="I556" s="679"/>
      <c r="J556" s="615"/>
      <c r="K556" s="615"/>
      <c r="L556" s="615"/>
      <c r="M556" s="615"/>
      <c r="N556" s="615"/>
      <c r="O556" s="615"/>
      <c r="P556" s="615"/>
      <c r="Q556" s="615"/>
      <c r="R556" s="615"/>
      <c r="S556" s="615"/>
      <c r="T556" s="615"/>
      <c r="U556" s="615"/>
      <c r="V556" s="615"/>
      <c r="W556" s="615"/>
      <c r="X556" s="615"/>
      <c r="Y556" s="615"/>
      <c r="Z556" s="615"/>
      <c r="AA556" s="615"/>
    </row>
    <row r="557">
      <c r="A557" s="675"/>
      <c r="B557" s="615"/>
      <c r="C557" s="676"/>
      <c r="D557" s="677"/>
      <c r="E557" s="677"/>
      <c r="F557" s="615"/>
      <c r="G557" s="615"/>
      <c r="H557" s="615"/>
      <c r="I557" s="679"/>
      <c r="J557" s="615"/>
      <c r="K557" s="615"/>
      <c r="L557" s="615"/>
      <c r="M557" s="615"/>
      <c r="N557" s="615"/>
      <c r="O557" s="615"/>
      <c r="P557" s="615"/>
      <c r="Q557" s="615"/>
      <c r="R557" s="615"/>
      <c r="S557" s="615"/>
      <c r="T557" s="615"/>
      <c r="U557" s="615"/>
      <c r="V557" s="615"/>
      <c r="W557" s="615"/>
      <c r="X557" s="615"/>
      <c r="Y557" s="615"/>
      <c r="Z557" s="615"/>
      <c r="AA557" s="615"/>
    </row>
    <row r="558">
      <c r="A558" s="675"/>
      <c r="B558" s="615"/>
      <c r="C558" s="676"/>
      <c r="D558" s="677"/>
      <c r="E558" s="677"/>
      <c r="F558" s="615"/>
      <c r="G558" s="615"/>
      <c r="H558" s="615"/>
      <c r="I558" s="679"/>
      <c r="J558" s="615"/>
      <c r="K558" s="615"/>
      <c r="L558" s="615"/>
      <c r="M558" s="615"/>
      <c r="N558" s="615"/>
      <c r="O558" s="615"/>
      <c r="P558" s="615"/>
      <c r="Q558" s="615"/>
      <c r="R558" s="615"/>
      <c r="S558" s="615"/>
      <c r="T558" s="615"/>
      <c r="U558" s="615"/>
      <c r="V558" s="615"/>
      <c r="W558" s="615"/>
      <c r="X558" s="615"/>
      <c r="Y558" s="615"/>
      <c r="Z558" s="615"/>
      <c r="AA558" s="615"/>
    </row>
    <row r="559">
      <c r="A559" s="675"/>
      <c r="B559" s="615"/>
      <c r="C559" s="676"/>
      <c r="D559" s="677"/>
      <c r="E559" s="677"/>
      <c r="F559" s="615"/>
      <c r="G559" s="615"/>
      <c r="H559" s="615"/>
      <c r="I559" s="679"/>
      <c r="J559" s="615"/>
      <c r="K559" s="615"/>
      <c r="L559" s="615"/>
      <c r="M559" s="615"/>
      <c r="N559" s="615"/>
      <c r="O559" s="615"/>
      <c r="P559" s="615"/>
      <c r="Q559" s="615"/>
      <c r="R559" s="615"/>
      <c r="S559" s="615"/>
      <c r="T559" s="615"/>
      <c r="U559" s="615"/>
      <c r="V559" s="615"/>
      <c r="W559" s="615"/>
      <c r="X559" s="615"/>
      <c r="Y559" s="615"/>
      <c r="Z559" s="615"/>
      <c r="AA559" s="615"/>
    </row>
    <row r="560">
      <c r="A560" s="675"/>
      <c r="B560" s="615"/>
      <c r="C560" s="676"/>
      <c r="D560" s="677"/>
      <c r="E560" s="677"/>
      <c r="F560" s="615"/>
      <c r="G560" s="615"/>
      <c r="H560" s="615"/>
      <c r="I560" s="679"/>
      <c r="J560" s="615"/>
      <c r="K560" s="615"/>
      <c r="L560" s="615"/>
      <c r="M560" s="615"/>
      <c r="N560" s="615"/>
      <c r="O560" s="615"/>
      <c r="P560" s="615"/>
      <c r="Q560" s="615"/>
      <c r="R560" s="615"/>
      <c r="S560" s="615"/>
      <c r="T560" s="615"/>
      <c r="U560" s="615"/>
      <c r="V560" s="615"/>
      <c r="W560" s="615"/>
      <c r="X560" s="615"/>
      <c r="Y560" s="615"/>
      <c r="Z560" s="615"/>
      <c r="AA560" s="615"/>
    </row>
    <row r="561">
      <c r="A561" s="675"/>
      <c r="B561" s="615"/>
      <c r="C561" s="676"/>
      <c r="D561" s="677"/>
      <c r="E561" s="677"/>
      <c r="F561" s="615"/>
      <c r="G561" s="615"/>
      <c r="H561" s="615"/>
      <c r="I561" s="679"/>
      <c r="J561" s="615"/>
      <c r="K561" s="615"/>
      <c r="L561" s="615"/>
      <c r="M561" s="615"/>
      <c r="N561" s="615"/>
      <c r="O561" s="615"/>
      <c r="P561" s="615"/>
      <c r="Q561" s="615"/>
      <c r="R561" s="615"/>
      <c r="S561" s="615"/>
      <c r="T561" s="615"/>
      <c r="U561" s="615"/>
      <c r="V561" s="615"/>
      <c r="W561" s="615"/>
      <c r="X561" s="615"/>
      <c r="Y561" s="615"/>
      <c r="Z561" s="615"/>
      <c r="AA561" s="615"/>
    </row>
    <row r="562">
      <c r="A562" s="675"/>
      <c r="B562" s="615"/>
      <c r="C562" s="676"/>
      <c r="D562" s="677"/>
      <c r="E562" s="677"/>
      <c r="F562" s="615"/>
      <c r="G562" s="615"/>
      <c r="H562" s="615"/>
      <c r="I562" s="679"/>
      <c r="J562" s="615"/>
      <c r="K562" s="615"/>
      <c r="L562" s="615"/>
      <c r="M562" s="615"/>
      <c r="N562" s="615"/>
      <c r="O562" s="615"/>
      <c r="P562" s="615"/>
      <c r="Q562" s="615"/>
      <c r="R562" s="615"/>
      <c r="S562" s="615"/>
      <c r="T562" s="615"/>
      <c r="U562" s="615"/>
      <c r="V562" s="615"/>
      <c r="W562" s="615"/>
      <c r="X562" s="615"/>
      <c r="Y562" s="615"/>
      <c r="Z562" s="615"/>
      <c r="AA562" s="615"/>
    </row>
    <row r="563">
      <c r="A563" s="675"/>
      <c r="B563" s="615"/>
      <c r="C563" s="676"/>
      <c r="D563" s="677"/>
      <c r="E563" s="677"/>
      <c r="F563" s="615"/>
      <c r="G563" s="615"/>
      <c r="H563" s="615"/>
      <c r="I563" s="679"/>
      <c r="J563" s="615"/>
      <c r="K563" s="615"/>
      <c r="L563" s="615"/>
      <c r="M563" s="615"/>
      <c r="N563" s="615"/>
      <c r="O563" s="615"/>
      <c r="P563" s="615"/>
      <c r="Q563" s="615"/>
      <c r="R563" s="615"/>
      <c r="S563" s="615"/>
      <c r="T563" s="615"/>
      <c r="U563" s="615"/>
      <c r="V563" s="615"/>
      <c r="W563" s="615"/>
      <c r="X563" s="615"/>
      <c r="Y563" s="615"/>
      <c r="Z563" s="615"/>
      <c r="AA563" s="615"/>
    </row>
    <row r="564">
      <c r="A564" s="675"/>
      <c r="B564" s="615"/>
      <c r="C564" s="676"/>
      <c r="D564" s="677"/>
      <c r="E564" s="677"/>
      <c r="F564" s="615"/>
      <c r="G564" s="615"/>
      <c r="H564" s="615"/>
      <c r="I564" s="679"/>
      <c r="J564" s="615"/>
      <c r="K564" s="615"/>
      <c r="L564" s="615"/>
      <c r="M564" s="615"/>
      <c r="N564" s="615"/>
      <c r="O564" s="615"/>
      <c r="P564" s="615"/>
      <c r="Q564" s="615"/>
      <c r="R564" s="615"/>
      <c r="S564" s="615"/>
      <c r="T564" s="615"/>
      <c r="U564" s="615"/>
      <c r="V564" s="615"/>
      <c r="W564" s="615"/>
      <c r="X564" s="615"/>
      <c r="Y564" s="615"/>
      <c r="Z564" s="615"/>
      <c r="AA564" s="615"/>
    </row>
    <row r="565">
      <c r="A565" s="675"/>
      <c r="B565" s="615"/>
      <c r="C565" s="676"/>
      <c r="D565" s="677"/>
      <c r="E565" s="677"/>
      <c r="F565" s="615"/>
      <c r="G565" s="615"/>
      <c r="H565" s="615"/>
      <c r="I565" s="679"/>
      <c r="J565" s="615"/>
      <c r="K565" s="615"/>
      <c r="L565" s="615"/>
      <c r="M565" s="615"/>
      <c r="N565" s="615"/>
      <c r="O565" s="615"/>
      <c r="P565" s="615"/>
      <c r="Q565" s="615"/>
      <c r="R565" s="615"/>
      <c r="S565" s="615"/>
      <c r="T565" s="615"/>
      <c r="U565" s="615"/>
      <c r="V565" s="615"/>
      <c r="W565" s="615"/>
      <c r="X565" s="615"/>
      <c r="Y565" s="615"/>
      <c r="Z565" s="615"/>
      <c r="AA565" s="615"/>
    </row>
    <row r="566">
      <c r="A566" s="675"/>
      <c r="B566" s="615"/>
      <c r="C566" s="676"/>
      <c r="D566" s="677"/>
      <c r="E566" s="677"/>
      <c r="F566" s="615"/>
      <c r="G566" s="615"/>
      <c r="H566" s="615"/>
      <c r="I566" s="679"/>
      <c r="J566" s="615"/>
      <c r="K566" s="615"/>
      <c r="L566" s="615"/>
      <c r="M566" s="615"/>
      <c r="N566" s="615"/>
      <c r="O566" s="615"/>
      <c r="P566" s="615"/>
      <c r="Q566" s="615"/>
      <c r="R566" s="615"/>
      <c r="S566" s="615"/>
      <c r="T566" s="615"/>
      <c r="U566" s="615"/>
      <c r="V566" s="615"/>
      <c r="W566" s="615"/>
      <c r="X566" s="615"/>
      <c r="Y566" s="615"/>
      <c r="Z566" s="615"/>
      <c r="AA566" s="615"/>
    </row>
    <row r="567">
      <c r="A567" s="675"/>
      <c r="B567" s="615"/>
      <c r="C567" s="676"/>
      <c r="D567" s="677"/>
      <c r="E567" s="677"/>
      <c r="F567" s="615"/>
      <c r="G567" s="615"/>
      <c r="H567" s="615"/>
      <c r="I567" s="679"/>
      <c r="J567" s="615"/>
      <c r="K567" s="615"/>
      <c r="L567" s="615"/>
      <c r="M567" s="615"/>
      <c r="N567" s="615"/>
      <c r="O567" s="615"/>
      <c r="P567" s="615"/>
      <c r="Q567" s="615"/>
      <c r="R567" s="615"/>
      <c r="S567" s="615"/>
      <c r="T567" s="615"/>
      <c r="U567" s="615"/>
      <c r="V567" s="615"/>
      <c r="W567" s="615"/>
      <c r="X567" s="615"/>
      <c r="Y567" s="615"/>
      <c r="Z567" s="615"/>
      <c r="AA567" s="615"/>
    </row>
    <row r="568">
      <c r="A568" s="675"/>
      <c r="B568" s="615"/>
      <c r="C568" s="676"/>
      <c r="D568" s="677"/>
      <c r="E568" s="677"/>
      <c r="F568" s="615"/>
      <c r="G568" s="615"/>
      <c r="H568" s="615"/>
      <c r="I568" s="679"/>
      <c r="J568" s="615"/>
      <c r="K568" s="615"/>
      <c r="L568" s="615"/>
      <c r="M568" s="615"/>
      <c r="N568" s="615"/>
      <c r="O568" s="615"/>
      <c r="P568" s="615"/>
      <c r="Q568" s="615"/>
      <c r="R568" s="615"/>
      <c r="S568" s="615"/>
      <c r="T568" s="615"/>
      <c r="U568" s="615"/>
      <c r="V568" s="615"/>
      <c r="W568" s="615"/>
      <c r="X568" s="615"/>
      <c r="Y568" s="615"/>
      <c r="Z568" s="615"/>
      <c r="AA568" s="615"/>
    </row>
    <row r="569">
      <c r="A569" s="675"/>
      <c r="B569" s="615"/>
      <c r="C569" s="676"/>
      <c r="D569" s="677"/>
      <c r="E569" s="677"/>
      <c r="F569" s="615"/>
      <c r="G569" s="615"/>
      <c r="H569" s="615"/>
      <c r="I569" s="679"/>
      <c r="J569" s="615"/>
      <c r="K569" s="615"/>
      <c r="L569" s="615"/>
      <c r="M569" s="615"/>
      <c r="N569" s="615"/>
      <c r="O569" s="615"/>
      <c r="P569" s="615"/>
      <c r="Q569" s="615"/>
      <c r="R569" s="615"/>
      <c r="S569" s="615"/>
      <c r="T569" s="615"/>
      <c r="U569" s="615"/>
      <c r="V569" s="615"/>
      <c r="W569" s="615"/>
      <c r="X569" s="615"/>
      <c r="Y569" s="615"/>
      <c r="Z569" s="615"/>
      <c r="AA569" s="615"/>
    </row>
    <row r="570">
      <c r="A570" s="675"/>
      <c r="B570" s="615"/>
      <c r="C570" s="676"/>
      <c r="D570" s="677"/>
      <c r="E570" s="677"/>
      <c r="F570" s="615"/>
      <c r="G570" s="615"/>
      <c r="H570" s="615"/>
      <c r="I570" s="679"/>
      <c r="J570" s="615"/>
      <c r="K570" s="615"/>
      <c r="L570" s="615"/>
      <c r="M570" s="615"/>
      <c r="N570" s="615"/>
      <c r="O570" s="615"/>
      <c r="P570" s="615"/>
      <c r="Q570" s="615"/>
      <c r="R570" s="615"/>
      <c r="S570" s="615"/>
      <c r="T570" s="615"/>
      <c r="U570" s="615"/>
      <c r="V570" s="615"/>
      <c r="W570" s="615"/>
      <c r="X570" s="615"/>
      <c r="Y570" s="615"/>
      <c r="Z570" s="615"/>
      <c r="AA570" s="615"/>
    </row>
    <row r="571">
      <c r="A571" s="675"/>
      <c r="B571" s="615"/>
      <c r="C571" s="676"/>
      <c r="D571" s="677"/>
      <c r="E571" s="677"/>
      <c r="F571" s="615"/>
      <c r="G571" s="615"/>
      <c r="H571" s="615"/>
      <c r="I571" s="679"/>
      <c r="J571" s="615"/>
      <c r="K571" s="615"/>
      <c r="L571" s="615"/>
      <c r="M571" s="615"/>
      <c r="N571" s="615"/>
      <c r="O571" s="615"/>
      <c r="P571" s="615"/>
      <c r="Q571" s="615"/>
      <c r="R571" s="615"/>
      <c r="S571" s="615"/>
      <c r="T571" s="615"/>
      <c r="U571" s="615"/>
      <c r="V571" s="615"/>
      <c r="W571" s="615"/>
      <c r="X571" s="615"/>
      <c r="Y571" s="615"/>
      <c r="Z571" s="615"/>
      <c r="AA571" s="615"/>
    </row>
    <row r="572">
      <c r="A572" s="675"/>
      <c r="B572" s="615"/>
      <c r="C572" s="676"/>
      <c r="D572" s="677"/>
      <c r="E572" s="677"/>
      <c r="F572" s="615"/>
      <c r="G572" s="615"/>
      <c r="H572" s="615"/>
      <c r="I572" s="679"/>
      <c r="J572" s="615"/>
      <c r="K572" s="615"/>
      <c r="L572" s="615"/>
      <c r="M572" s="615"/>
      <c r="N572" s="615"/>
      <c r="O572" s="615"/>
      <c r="P572" s="615"/>
      <c r="Q572" s="615"/>
      <c r="R572" s="615"/>
      <c r="S572" s="615"/>
      <c r="T572" s="615"/>
      <c r="U572" s="615"/>
      <c r="V572" s="615"/>
      <c r="W572" s="615"/>
      <c r="X572" s="615"/>
      <c r="Y572" s="615"/>
      <c r="Z572" s="615"/>
      <c r="AA572" s="615"/>
    </row>
    <row r="573">
      <c r="A573" s="675"/>
      <c r="B573" s="615"/>
      <c r="C573" s="676"/>
      <c r="D573" s="677"/>
      <c r="E573" s="677"/>
      <c r="F573" s="615"/>
      <c r="G573" s="615"/>
      <c r="H573" s="615"/>
      <c r="I573" s="679"/>
      <c r="J573" s="615"/>
      <c r="K573" s="615"/>
      <c r="L573" s="615"/>
      <c r="M573" s="615"/>
      <c r="N573" s="615"/>
      <c r="O573" s="615"/>
      <c r="P573" s="615"/>
      <c r="Q573" s="615"/>
      <c r="R573" s="615"/>
      <c r="S573" s="615"/>
      <c r="T573" s="615"/>
      <c r="U573" s="615"/>
      <c r="V573" s="615"/>
      <c r="W573" s="615"/>
      <c r="X573" s="615"/>
      <c r="Y573" s="615"/>
      <c r="Z573" s="615"/>
      <c r="AA573" s="615"/>
    </row>
    <row r="574">
      <c r="A574" s="675"/>
      <c r="B574" s="615"/>
      <c r="C574" s="676"/>
      <c r="D574" s="677"/>
      <c r="E574" s="677"/>
      <c r="F574" s="615"/>
      <c r="G574" s="615"/>
      <c r="H574" s="615"/>
      <c r="I574" s="679"/>
      <c r="J574" s="615"/>
      <c r="K574" s="615"/>
      <c r="L574" s="615"/>
      <c r="M574" s="615"/>
      <c r="N574" s="615"/>
      <c r="O574" s="615"/>
      <c r="P574" s="615"/>
      <c r="Q574" s="615"/>
      <c r="R574" s="615"/>
      <c r="S574" s="615"/>
      <c r="T574" s="615"/>
      <c r="U574" s="615"/>
      <c r="V574" s="615"/>
      <c r="W574" s="615"/>
      <c r="X574" s="615"/>
      <c r="Y574" s="615"/>
      <c r="Z574" s="615"/>
      <c r="AA574" s="615"/>
    </row>
    <row r="575">
      <c r="A575" s="675"/>
      <c r="B575" s="615"/>
      <c r="C575" s="676"/>
      <c r="D575" s="677"/>
      <c r="E575" s="677"/>
      <c r="F575" s="615"/>
      <c r="G575" s="615"/>
      <c r="H575" s="615"/>
      <c r="I575" s="679"/>
      <c r="J575" s="615"/>
      <c r="K575" s="615"/>
      <c r="L575" s="615"/>
      <c r="M575" s="615"/>
      <c r="N575" s="615"/>
      <c r="O575" s="615"/>
      <c r="P575" s="615"/>
      <c r="Q575" s="615"/>
      <c r="R575" s="615"/>
      <c r="S575" s="615"/>
      <c r="T575" s="615"/>
      <c r="U575" s="615"/>
      <c r="V575" s="615"/>
      <c r="W575" s="615"/>
      <c r="X575" s="615"/>
      <c r="Y575" s="615"/>
      <c r="Z575" s="615"/>
      <c r="AA575" s="615"/>
    </row>
    <row r="576">
      <c r="A576" s="675"/>
      <c r="B576" s="615"/>
      <c r="C576" s="676"/>
      <c r="D576" s="677"/>
      <c r="E576" s="677"/>
      <c r="F576" s="615"/>
      <c r="G576" s="615"/>
      <c r="H576" s="615"/>
      <c r="I576" s="679"/>
      <c r="J576" s="615"/>
      <c r="K576" s="615"/>
      <c r="L576" s="615"/>
      <c r="M576" s="615"/>
      <c r="N576" s="615"/>
      <c r="O576" s="615"/>
      <c r="P576" s="615"/>
      <c r="Q576" s="615"/>
      <c r="R576" s="615"/>
      <c r="S576" s="615"/>
      <c r="T576" s="615"/>
      <c r="U576" s="615"/>
      <c r="V576" s="615"/>
      <c r="W576" s="615"/>
      <c r="X576" s="615"/>
      <c r="Y576" s="615"/>
      <c r="Z576" s="615"/>
      <c r="AA576" s="615"/>
    </row>
    <row r="577">
      <c r="A577" s="675"/>
      <c r="B577" s="615"/>
      <c r="C577" s="676"/>
      <c r="D577" s="677"/>
      <c r="E577" s="677"/>
      <c r="F577" s="615"/>
      <c r="G577" s="615"/>
      <c r="H577" s="615"/>
      <c r="I577" s="679"/>
      <c r="J577" s="615"/>
      <c r="K577" s="615"/>
      <c r="L577" s="615"/>
      <c r="M577" s="615"/>
      <c r="N577" s="615"/>
      <c r="O577" s="615"/>
      <c r="P577" s="615"/>
      <c r="Q577" s="615"/>
      <c r="R577" s="615"/>
      <c r="S577" s="615"/>
      <c r="T577" s="615"/>
      <c r="U577" s="615"/>
      <c r="V577" s="615"/>
      <c r="W577" s="615"/>
      <c r="X577" s="615"/>
      <c r="Y577" s="615"/>
      <c r="Z577" s="615"/>
      <c r="AA577" s="615"/>
    </row>
    <row r="578">
      <c r="A578" s="675"/>
      <c r="B578" s="615"/>
      <c r="C578" s="676"/>
      <c r="D578" s="677"/>
      <c r="E578" s="677"/>
      <c r="F578" s="615"/>
      <c r="G578" s="615"/>
      <c r="H578" s="615"/>
      <c r="I578" s="679"/>
      <c r="J578" s="615"/>
      <c r="K578" s="615"/>
      <c r="L578" s="615"/>
      <c r="M578" s="615"/>
      <c r="N578" s="615"/>
      <c r="O578" s="615"/>
      <c r="P578" s="615"/>
      <c r="Q578" s="615"/>
      <c r="R578" s="615"/>
      <c r="S578" s="615"/>
      <c r="T578" s="615"/>
      <c r="U578" s="615"/>
      <c r="V578" s="615"/>
      <c r="W578" s="615"/>
      <c r="X578" s="615"/>
      <c r="Y578" s="615"/>
      <c r="Z578" s="615"/>
      <c r="AA578" s="615"/>
    </row>
    <row r="579">
      <c r="A579" s="675"/>
      <c r="B579" s="615"/>
      <c r="C579" s="676"/>
      <c r="D579" s="677"/>
      <c r="E579" s="677"/>
      <c r="F579" s="615"/>
      <c r="G579" s="615"/>
      <c r="H579" s="615"/>
      <c r="I579" s="679"/>
      <c r="J579" s="615"/>
      <c r="K579" s="615"/>
      <c r="L579" s="615"/>
      <c r="M579" s="615"/>
      <c r="N579" s="615"/>
      <c r="O579" s="615"/>
      <c r="P579" s="615"/>
      <c r="Q579" s="615"/>
      <c r="R579" s="615"/>
      <c r="S579" s="615"/>
      <c r="T579" s="615"/>
      <c r="U579" s="615"/>
      <c r="V579" s="615"/>
      <c r="W579" s="615"/>
      <c r="X579" s="615"/>
      <c r="Y579" s="615"/>
      <c r="Z579" s="615"/>
      <c r="AA579" s="615"/>
    </row>
    <row r="580">
      <c r="A580" s="675"/>
      <c r="B580" s="615"/>
      <c r="C580" s="676"/>
      <c r="D580" s="677"/>
      <c r="E580" s="677"/>
      <c r="F580" s="615"/>
      <c r="G580" s="615"/>
      <c r="H580" s="615"/>
      <c r="I580" s="679"/>
      <c r="J580" s="615"/>
      <c r="K580" s="615"/>
      <c r="L580" s="615"/>
      <c r="M580" s="615"/>
      <c r="N580" s="615"/>
      <c r="O580" s="615"/>
      <c r="P580" s="615"/>
      <c r="Q580" s="615"/>
      <c r="R580" s="615"/>
      <c r="S580" s="615"/>
      <c r="T580" s="615"/>
      <c r="U580" s="615"/>
      <c r="V580" s="615"/>
      <c r="W580" s="615"/>
      <c r="X580" s="615"/>
      <c r="Y580" s="615"/>
      <c r="Z580" s="615"/>
      <c r="AA580" s="615"/>
    </row>
    <row r="581">
      <c r="A581" s="675"/>
      <c r="B581" s="615"/>
      <c r="C581" s="676"/>
      <c r="D581" s="677"/>
      <c r="E581" s="677"/>
      <c r="F581" s="615"/>
      <c r="G581" s="615"/>
      <c r="H581" s="615"/>
      <c r="I581" s="679"/>
      <c r="J581" s="615"/>
      <c r="K581" s="615"/>
      <c r="L581" s="615"/>
      <c r="M581" s="615"/>
      <c r="N581" s="615"/>
      <c r="O581" s="615"/>
      <c r="P581" s="615"/>
      <c r="Q581" s="615"/>
      <c r="R581" s="615"/>
      <c r="S581" s="615"/>
      <c r="T581" s="615"/>
      <c r="U581" s="615"/>
      <c r="V581" s="615"/>
      <c r="W581" s="615"/>
      <c r="X581" s="615"/>
      <c r="Y581" s="615"/>
      <c r="Z581" s="615"/>
      <c r="AA581" s="615"/>
    </row>
    <row r="582">
      <c r="A582" s="675"/>
      <c r="B582" s="615"/>
      <c r="C582" s="676"/>
      <c r="D582" s="677"/>
      <c r="E582" s="677"/>
      <c r="F582" s="615"/>
      <c r="G582" s="615"/>
      <c r="H582" s="615"/>
      <c r="I582" s="679"/>
      <c r="J582" s="615"/>
      <c r="K582" s="615"/>
      <c r="L582" s="615"/>
      <c r="M582" s="615"/>
      <c r="N582" s="615"/>
      <c r="O582" s="615"/>
      <c r="P582" s="615"/>
      <c r="Q582" s="615"/>
      <c r="R582" s="615"/>
      <c r="S582" s="615"/>
      <c r="T582" s="615"/>
      <c r="U582" s="615"/>
      <c r="V582" s="615"/>
      <c r="W582" s="615"/>
      <c r="X582" s="615"/>
      <c r="Y582" s="615"/>
      <c r="Z582" s="615"/>
      <c r="AA582" s="615"/>
    </row>
    <row r="583">
      <c r="A583" s="675"/>
      <c r="B583" s="615"/>
      <c r="C583" s="676"/>
      <c r="D583" s="677"/>
      <c r="E583" s="677"/>
      <c r="F583" s="615"/>
      <c r="G583" s="615"/>
      <c r="H583" s="615"/>
      <c r="I583" s="679"/>
      <c r="J583" s="615"/>
      <c r="K583" s="615"/>
      <c r="L583" s="615"/>
      <c r="M583" s="615"/>
      <c r="N583" s="615"/>
      <c r="O583" s="615"/>
      <c r="P583" s="615"/>
      <c r="Q583" s="615"/>
      <c r="R583" s="615"/>
      <c r="S583" s="615"/>
      <c r="T583" s="615"/>
      <c r="U583" s="615"/>
      <c r="V583" s="615"/>
      <c r="W583" s="615"/>
      <c r="X583" s="615"/>
      <c r="Y583" s="615"/>
      <c r="Z583" s="615"/>
      <c r="AA583" s="615"/>
    </row>
    <row r="584">
      <c r="A584" s="675"/>
      <c r="B584" s="615"/>
      <c r="C584" s="676"/>
      <c r="D584" s="677"/>
      <c r="E584" s="677"/>
      <c r="F584" s="615"/>
      <c r="G584" s="615"/>
      <c r="H584" s="615"/>
      <c r="I584" s="679"/>
      <c r="J584" s="615"/>
      <c r="K584" s="615"/>
      <c r="L584" s="615"/>
      <c r="M584" s="615"/>
      <c r="N584" s="615"/>
      <c r="O584" s="615"/>
      <c r="P584" s="615"/>
      <c r="Q584" s="615"/>
      <c r="R584" s="615"/>
      <c r="S584" s="615"/>
      <c r="T584" s="615"/>
      <c r="U584" s="615"/>
      <c r="V584" s="615"/>
      <c r="W584" s="615"/>
      <c r="X584" s="615"/>
      <c r="Y584" s="615"/>
      <c r="Z584" s="615"/>
      <c r="AA584" s="615"/>
    </row>
    <row r="585">
      <c r="A585" s="675"/>
      <c r="B585" s="615"/>
      <c r="C585" s="676"/>
      <c r="D585" s="677"/>
      <c r="E585" s="677"/>
      <c r="F585" s="615"/>
      <c r="G585" s="615"/>
      <c r="H585" s="615"/>
      <c r="I585" s="679"/>
      <c r="J585" s="615"/>
      <c r="K585" s="615"/>
      <c r="L585" s="615"/>
      <c r="M585" s="615"/>
      <c r="N585" s="615"/>
      <c r="O585" s="615"/>
      <c r="P585" s="615"/>
      <c r="Q585" s="615"/>
      <c r="R585" s="615"/>
      <c r="S585" s="615"/>
      <c r="T585" s="615"/>
      <c r="U585" s="615"/>
      <c r="V585" s="615"/>
      <c r="W585" s="615"/>
      <c r="X585" s="615"/>
      <c r="Y585" s="615"/>
      <c r="Z585" s="615"/>
      <c r="AA585" s="615"/>
    </row>
    <row r="586">
      <c r="A586" s="675"/>
      <c r="B586" s="615"/>
      <c r="C586" s="676"/>
      <c r="D586" s="677"/>
      <c r="E586" s="677"/>
      <c r="F586" s="615"/>
      <c r="G586" s="615"/>
      <c r="H586" s="615"/>
      <c r="I586" s="679"/>
      <c r="J586" s="615"/>
      <c r="K586" s="615"/>
      <c r="L586" s="615"/>
      <c r="M586" s="615"/>
      <c r="N586" s="615"/>
      <c r="O586" s="615"/>
      <c r="P586" s="615"/>
      <c r="Q586" s="615"/>
      <c r="R586" s="615"/>
      <c r="S586" s="615"/>
      <c r="T586" s="615"/>
      <c r="U586" s="615"/>
      <c r="V586" s="615"/>
      <c r="W586" s="615"/>
      <c r="X586" s="615"/>
      <c r="Y586" s="615"/>
      <c r="Z586" s="615"/>
      <c r="AA586" s="615"/>
    </row>
    <row r="587">
      <c r="A587" s="675"/>
      <c r="B587" s="615"/>
      <c r="C587" s="676"/>
      <c r="D587" s="677"/>
      <c r="E587" s="677"/>
      <c r="F587" s="615"/>
      <c r="G587" s="615"/>
      <c r="H587" s="615"/>
      <c r="I587" s="679"/>
      <c r="J587" s="615"/>
      <c r="K587" s="615"/>
      <c r="L587" s="615"/>
      <c r="M587" s="615"/>
      <c r="N587" s="615"/>
      <c r="O587" s="615"/>
      <c r="P587" s="615"/>
      <c r="Q587" s="615"/>
      <c r="R587" s="615"/>
      <c r="S587" s="615"/>
      <c r="T587" s="615"/>
      <c r="U587" s="615"/>
      <c r="V587" s="615"/>
      <c r="W587" s="615"/>
      <c r="X587" s="615"/>
      <c r="Y587" s="615"/>
      <c r="Z587" s="615"/>
      <c r="AA587" s="615"/>
    </row>
    <row r="588">
      <c r="A588" s="675"/>
      <c r="B588" s="615"/>
      <c r="C588" s="676"/>
      <c r="D588" s="677"/>
      <c r="E588" s="677"/>
      <c r="F588" s="615"/>
      <c r="G588" s="615"/>
      <c r="H588" s="615"/>
      <c r="I588" s="679"/>
      <c r="J588" s="615"/>
      <c r="K588" s="615"/>
      <c r="L588" s="615"/>
      <c r="M588" s="615"/>
      <c r="N588" s="615"/>
      <c r="O588" s="615"/>
      <c r="P588" s="615"/>
      <c r="Q588" s="615"/>
      <c r="R588" s="615"/>
      <c r="S588" s="615"/>
      <c r="T588" s="615"/>
      <c r="U588" s="615"/>
      <c r="V588" s="615"/>
      <c r="W588" s="615"/>
      <c r="X588" s="615"/>
      <c r="Y588" s="615"/>
      <c r="Z588" s="615"/>
      <c r="AA588" s="615"/>
    </row>
    <row r="589">
      <c r="A589" s="675"/>
      <c r="B589" s="615"/>
      <c r="C589" s="676"/>
      <c r="D589" s="677"/>
      <c r="E589" s="677"/>
      <c r="F589" s="615"/>
      <c r="G589" s="615"/>
      <c r="H589" s="615"/>
      <c r="I589" s="679"/>
      <c r="J589" s="615"/>
      <c r="K589" s="615"/>
      <c r="L589" s="615"/>
      <c r="M589" s="615"/>
      <c r="N589" s="615"/>
      <c r="O589" s="615"/>
      <c r="P589" s="615"/>
      <c r="Q589" s="615"/>
      <c r="R589" s="615"/>
      <c r="S589" s="615"/>
      <c r="T589" s="615"/>
      <c r="U589" s="615"/>
      <c r="V589" s="615"/>
      <c r="W589" s="615"/>
      <c r="X589" s="615"/>
      <c r="Y589" s="615"/>
      <c r="Z589" s="615"/>
      <c r="AA589" s="615"/>
    </row>
    <row r="590">
      <c r="A590" s="675"/>
      <c r="B590" s="615"/>
      <c r="C590" s="676"/>
      <c r="D590" s="677"/>
      <c r="E590" s="677"/>
      <c r="F590" s="615"/>
      <c r="G590" s="615"/>
      <c r="H590" s="615"/>
      <c r="I590" s="679"/>
      <c r="J590" s="615"/>
      <c r="K590" s="615"/>
      <c r="L590" s="615"/>
      <c r="M590" s="615"/>
      <c r="N590" s="615"/>
      <c r="O590" s="615"/>
      <c r="P590" s="615"/>
      <c r="Q590" s="615"/>
      <c r="R590" s="615"/>
      <c r="S590" s="615"/>
      <c r="T590" s="615"/>
      <c r="U590" s="615"/>
      <c r="V590" s="615"/>
      <c r="W590" s="615"/>
      <c r="X590" s="615"/>
      <c r="Y590" s="615"/>
      <c r="Z590" s="615"/>
      <c r="AA590" s="615"/>
    </row>
    <row r="591">
      <c r="A591" s="675"/>
      <c r="B591" s="615"/>
      <c r="C591" s="676"/>
      <c r="D591" s="677"/>
      <c r="E591" s="677"/>
      <c r="F591" s="615"/>
      <c r="G591" s="615"/>
      <c r="H591" s="615"/>
      <c r="I591" s="679"/>
      <c r="J591" s="615"/>
      <c r="K591" s="615"/>
      <c r="L591" s="615"/>
      <c r="M591" s="615"/>
      <c r="N591" s="615"/>
      <c r="O591" s="615"/>
      <c r="P591" s="615"/>
      <c r="Q591" s="615"/>
      <c r="R591" s="615"/>
      <c r="S591" s="615"/>
      <c r="T591" s="615"/>
      <c r="U591" s="615"/>
      <c r="V591" s="615"/>
      <c r="W591" s="615"/>
      <c r="X591" s="615"/>
      <c r="Y591" s="615"/>
      <c r="Z591" s="615"/>
      <c r="AA591" s="615"/>
    </row>
    <row r="592">
      <c r="A592" s="675"/>
      <c r="B592" s="615"/>
      <c r="C592" s="676"/>
      <c r="D592" s="677"/>
      <c r="E592" s="677"/>
      <c r="F592" s="615"/>
      <c r="G592" s="615"/>
      <c r="H592" s="615"/>
      <c r="I592" s="679"/>
      <c r="J592" s="615"/>
      <c r="K592" s="615"/>
      <c r="L592" s="615"/>
      <c r="M592" s="615"/>
      <c r="N592" s="615"/>
      <c r="O592" s="615"/>
      <c r="P592" s="615"/>
      <c r="Q592" s="615"/>
      <c r="R592" s="615"/>
      <c r="S592" s="615"/>
      <c r="T592" s="615"/>
      <c r="U592" s="615"/>
      <c r="V592" s="615"/>
      <c r="W592" s="615"/>
      <c r="X592" s="615"/>
      <c r="Y592" s="615"/>
      <c r="Z592" s="615"/>
      <c r="AA592" s="615"/>
    </row>
    <row r="593">
      <c r="A593" s="675"/>
      <c r="B593" s="615"/>
      <c r="C593" s="676"/>
      <c r="D593" s="677"/>
      <c r="E593" s="677"/>
      <c r="F593" s="615"/>
      <c r="G593" s="615"/>
      <c r="H593" s="615"/>
      <c r="I593" s="679"/>
      <c r="J593" s="615"/>
      <c r="K593" s="615"/>
      <c r="L593" s="615"/>
      <c r="M593" s="615"/>
      <c r="N593" s="615"/>
      <c r="O593" s="615"/>
      <c r="P593" s="615"/>
      <c r="Q593" s="615"/>
      <c r="R593" s="615"/>
      <c r="S593" s="615"/>
      <c r="T593" s="615"/>
      <c r="U593" s="615"/>
      <c r="V593" s="615"/>
      <c r="W593" s="615"/>
      <c r="X593" s="615"/>
      <c r="Y593" s="615"/>
      <c r="Z593" s="615"/>
      <c r="AA593" s="615"/>
    </row>
    <row r="594">
      <c r="A594" s="675"/>
      <c r="B594" s="615"/>
      <c r="C594" s="676"/>
      <c r="D594" s="677"/>
      <c r="E594" s="677"/>
      <c r="F594" s="615"/>
      <c r="G594" s="615"/>
      <c r="H594" s="615"/>
      <c r="I594" s="679"/>
      <c r="J594" s="615"/>
      <c r="K594" s="615"/>
      <c r="L594" s="615"/>
      <c r="M594" s="615"/>
      <c r="N594" s="615"/>
      <c r="O594" s="615"/>
      <c r="P594" s="615"/>
      <c r="Q594" s="615"/>
      <c r="R594" s="615"/>
      <c r="S594" s="615"/>
      <c r="T594" s="615"/>
      <c r="U594" s="615"/>
      <c r="V594" s="615"/>
      <c r="W594" s="615"/>
      <c r="X594" s="615"/>
      <c r="Y594" s="615"/>
      <c r="Z594" s="615"/>
      <c r="AA594" s="615"/>
    </row>
    <row r="595">
      <c r="A595" s="675"/>
      <c r="B595" s="615"/>
      <c r="C595" s="676"/>
      <c r="D595" s="677"/>
      <c r="E595" s="677"/>
      <c r="F595" s="615"/>
      <c r="G595" s="615"/>
      <c r="H595" s="615"/>
      <c r="I595" s="679"/>
      <c r="J595" s="615"/>
      <c r="K595" s="615"/>
      <c r="L595" s="615"/>
      <c r="M595" s="615"/>
      <c r="N595" s="615"/>
      <c r="O595" s="615"/>
      <c r="P595" s="615"/>
      <c r="Q595" s="615"/>
      <c r="R595" s="615"/>
      <c r="S595" s="615"/>
      <c r="T595" s="615"/>
      <c r="U595" s="615"/>
      <c r="V595" s="615"/>
      <c r="W595" s="615"/>
      <c r="X595" s="615"/>
      <c r="Y595" s="615"/>
      <c r="Z595" s="615"/>
      <c r="AA595" s="615"/>
    </row>
    <row r="596">
      <c r="A596" s="675"/>
      <c r="B596" s="615"/>
      <c r="C596" s="676"/>
      <c r="D596" s="677"/>
      <c r="E596" s="677"/>
      <c r="F596" s="615"/>
      <c r="G596" s="615"/>
      <c r="H596" s="615"/>
      <c r="I596" s="679"/>
      <c r="J596" s="615"/>
      <c r="K596" s="615"/>
      <c r="L596" s="615"/>
      <c r="M596" s="615"/>
      <c r="N596" s="615"/>
      <c r="O596" s="615"/>
      <c r="P596" s="615"/>
      <c r="Q596" s="615"/>
      <c r="R596" s="615"/>
      <c r="S596" s="615"/>
      <c r="T596" s="615"/>
      <c r="U596" s="615"/>
      <c r="V596" s="615"/>
      <c r="W596" s="615"/>
      <c r="X596" s="615"/>
      <c r="Y596" s="615"/>
      <c r="Z596" s="615"/>
      <c r="AA596" s="615"/>
    </row>
    <row r="597">
      <c r="A597" s="675"/>
      <c r="B597" s="615"/>
      <c r="C597" s="676"/>
      <c r="D597" s="677"/>
      <c r="E597" s="677"/>
      <c r="F597" s="615"/>
      <c r="G597" s="615"/>
      <c r="H597" s="615"/>
      <c r="I597" s="679"/>
      <c r="J597" s="615"/>
      <c r="K597" s="615"/>
      <c r="L597" s="615"/>
      <c r="M597" s="615"/>
      <c r="N597" s="615"/>
      <c r="O597" s="615"/>
      <c r="P597" s="615"/>
      <c r="Q597" s="615"/>
      <c r="R597" s="615"/>
      <c r="S597" s="615"/>
      <c r="T597" s="615"/>
      <c r="U597" s="615"/>
      <c r="V597" s="615"/>
      <c r="W597" s="615"/>
      <c r="X597" s="615"/>
      <c r="Y597" s="615"/>
      <c r="Z597" s="615"/>
      <c r="AA597" s="615"/>
    </row>
    <row r="598">
      <c r="A598" s="675"/>
      <c r="B598" s="615"/>
      <c r="C598" s="676"/>
      <c r="D598" s="677"/>
      <c r="E598" s="677"/>
      <c r="F598" s="615"/>
      <c r="G598" s="615"/>
      <c r="H598" s="615"/>
      <c r="I598" s="679"/>
      <c r="J598" s="615"/>
      <c r="K598" s="615"/>
      <c r="L598" s="615"/>
      <c r="M598" s="615"/>
      <c r="N598" s="615"/>
      <c r="O598" s="615"/>
      <c r="P598" s="615"/>
      <c r="Q598" s="615"/>
      <c r="R598" s="615"/>
      <c r="S598" s="615"/>
      <c r="T598" s="615"/>
      <c r="U598" s="615"/>
      <c r="V598" s="615"/>
      <c r="W598" s="615"/>
      <c r="X598" s="615"/>
      <c r="Y598" s="615"/>
      <c r="Z598" s="615"/>
      <c r="AA598" s="615"/>
    </row>
    <row r="599">
      <c r="A599" s="675"/>
      <c r="B599" s="615"/>
      <c r="C599" s="676"/>
      <c r="D599" s="677"/>
      <c r="E599" s="677"/>
      <c r="F599" s="615"/>
      <c r="G599" s="615"/>
      <c r="H599" s="615"/>
      <c r="I599" s="679"/>
      <c r="J599" s="615"/>
      <c r="K599" s="615"/>
      <c r="L599" s="615"/>
      <c r="M599" s="615"/>
      <c r="N599" s="615"/>
      <c r="O599" s="615"/>
      <c r="P599" s="615"/>
      <c r="Q599" s="615"/>
      <c r="R599" s="615"/>
      <c r="S599" s="615"/>
      <c r="T599" s="615"/>
      <c r="U599" s="615"/>
      <c r="V599" s="615"/>
      <c r="W599" s="615"/>
      <c r="X599" s="615"/>
      <c r="Y599" s="615"/>
      <c r="Z599" s="615"/>
      <c r="AA599" s="615"/>
    </row>
    <row r="600">
      <c r="A600" s="675"/>
      <c r="B600" s="615"/>
      <c r="C600" s="676"/>
      <c r="D600" s="677"/>
      <c r="E600" s="677"/>
      <c r="F600" s="615"/>
      <c r="G600" s="615"/>
      <c r="H600" s="615"/>
      <c r="I600" s="679"/>
      <c r="J600" s="615"/>
      <c r="K600" s="615"/>
      <c r="L600" s="615"/>
      <c r="M600" s="615"/>
      <c r="N600" s="615"/>
      <c r="O600" s="615"/>
      <c r="P600" s="615"/>
      <c r="Q600" s="615"/>
      <c r="R600" s="615"/>
      <c r="S600" s="615"/>
      <c r="T600" s="615"/>
      <c r="U600" s="615"/>
      <c r="V600" s="615"/>
      <c r="W600" s="615"/>
      <c r="X600" s="615"/>
      <c r="Y600" s="615"/>
      <c r="Z600" s="615"/>
      <c r="AA600" s="615"/>
    </row>
    <row r="601">
      <c r="A601" s="675"/>
      <c r="B601" s="615"/>
      <c r="C601" s="676"/>
      <c r="D601" s="677"/>
      <c r="E601" s="677"/>
      <c r="F601" s="615"/>
      <c r="G601" s="615"/>
      <c r="H601" s="615"/>
      <c r="I601" s="679"/>
      <c r="J601" s="615"/>
      <c r="K601" s="615"/>
      <c r="L601" s="615"/>
      <c r="M601" s="615"/>
      <c r="N601" s="615"/>
      <c r="O601" s="615"/>
      <c r="P601" s="615"/>
      <c r="Q601" s="615"/>
      <c r="R601" s="615"/>
      <c r="S601" s="615"/>
      <c r="T601" s="615"/>
      <c r="U601" s="615"/>
      <c r="V601" s="615"/>
      <c r="W601" s="615"/>
      <c r="X601" s="615"/>
      <c r="Y601" s="615"/>
      <c r="Z601" s="615"/>
      <c r="AA601" s="615"/>
    </row>
    <row r="602">
      <c r="A602" s="675"/>
      <c r="B602" s="615"/>
      <c r="C602" s="676"/>
      <c r="D602" s="677"/>
      <c r="E602" s="677"/>
      <c r="F602" s="615"/>
      <c r="G602" s="615"/>
      <c r="H602" s="615"/>
      <c r="I602" s="679"/>
      <c r="J602" s="615"/>
      <c r="K602" s="615"/>
      <c r="L602" s="615"/>
      <c r="M602" s="615"/>
      <c r="N602" s="615"/>
      <c r="O602" s="615"/>
      <c r="P602" s="615"/>
      <c r="Q602" s="615"/>
      <c r="R602" s="615"/>
      <c r="S602" s="615"/>
      <c r="T602" s="615"/>
      <c r="U602" s="615"/>
      <c r="V602" s="615"/>
      <c r="W602" s="615"/>
      <c r="X602" s="615"/>
      <c r="Y602" s="615"/>
      <c r="Z602" s="615"/>
      <c r="AA602" s="615"/>
    </row>
    <row r="603">
      <c r="A603" s="675"/>
      <c r="B603" s="615"/>
      <c r="C603" s="676"/>
      <c r="D603" s="677"/>
      <c r="E603" s="677"/>
      <c r="F603" s="615"/>
      <c r="G603" s="615"/>
      <c r="H603" s="615"/>
      <c r="I603" s="679"/>
      <c r="J603" s="615"/>
      <c r="K603" s="615"/>
      <c r="L603" s="615"/>
      <c r="M603" s="615"/>
      <c r="N603" s="615"/>
      <c r="O603" s="615"/>
      <c r="P603" s="615"/>
      <c r="Q603" s="615"/>
      <c r="R603" s="615"/>
      <c r="S603" s="615"/>
      <c r="T603" s="615"/>
      <c r="U603" s="615"/>
      <c r="V603" s="615"/>
      <c r="W603" s="615"/>
      <c r="X603" s="615"/>
      <c r="Y603" s="615"/>
      <c r="Z603" s="615"/>
      <c r="AA603" s="615"/>
    </row>
    <row r="604">
      <c r="A604" s="675"/>
      <c r="B604" s="615"/>
      <c r="C604" s="676"/>
      <c r="D604" s="677"/>
      <c r="E604" s="677"/>
      <c r="F604" s="615"/>
      <c r="G604" s="615"/>
      <c r="H604" s="615"/>
      <c r="I604" s="679"/>
      <c r="J604" s="615"/>
      <c r="K604" s="615"/>
      <c r="L604" s="615"/>
      <c r="M604" s="615"/>
      <c r="N604" s="615"/>
      <c r="O604" s="615"/>
      <c r="P604" s="615"/>
      <c r="Q604" s="615"/>
      <c r="R604" s="615"/>
      <c r="S604" s="615"/>
      <c r="T604" s="615"/>
      <c r="U604" s="615"/>
      <c r="V604" s="615"/>
      <c r="W604" s="615"/>
      <c r="X604" s="615"/>
      <c r="Y604" s="615"/>
      <c r="Z604" s="615"/>
      <c r="AA604" s="615"/>
    </row>
    <row r="605">
      <c r="A605" s="675"/>
      <c r="B605" s="615"/>
      <c r="C605" s="676"/>
      <c r="D605" s="677"/>
      <c r="E605" s="677"/>
      <c r="F605" s="615"/>
      <c r="G605" s="615"/>
      <c r="H605" s="615"/>
      <c r="I605" s="679"/>
      <c r="J605" s="615"/>
      <c r="K605" s="615"/>
      <c r="L605" s="615"/>
      <c r="M605" s="615"/>
      <c r="N605" s="615"/>
      <c r="O605" s="615"/>
      <c r="P605" s="615"/>
      <c r="Q605" s="615"/>
      <c r="R605" s="615"/>
      <c r="S605" s="615"/>
      <c r="T605" s="615"/>
      <c r="U605" s="615"/>
      <c r="V605" s="615"/>
      <c r="W605" s="615"/>
      <c r="X605" s="615"/>
      <c r="Y605" s="615"/>
      <c r="Z605" s="615"/>
      <c r="AA605" s="615"/>
    </row>
    <row r="606">
      <c r="A606" s="675"/>
      <c r="B606" s="615"/>
      <c r="C606" s="676"/>
      <c r="D606" s="677"/>
      <c r="E606" s="677"/>
      <c r="F606" s="615"/>
      <c r="G606" s="615"/>
      <c r="H606" s="615"/>
      <c r="I606" s="679"/>
      <c r="J606" s="615"/>
      <c r="K606" s="615"/>
      <c r="L606" s="615"/>
      <c r="M606" s="615"/>
      <c r="N606" s="615"/>
      <c r="O606" s="615"/>
      <c r="P606" s="615"/>
      <c r="Q606" s="615"/>
      <c r="R606" s="615"/>
      <c r="S606" s="615"/>
      <c r="T606" s="615"/>
      <c r="U606" s="615"/>
      <c r="V606" s="615"/>
      <c r="W606" s="615"/>
      <c r="X606" s="615"/>
      <c r="Y606" s="615"/>
      <c r="Z606" s="615"/>
      <c r="AA606" s="615"/>
    </row>
    <row r="607">
      <c r="A607" s="675"/>
      <c r="B607" s="615"/>
      <c r="C607" s="676"/>
      <c r="D607" s="677"/>
      <c r="E607" s="677"/>
      <c r="F607" s="615"/>
      <c r="G607" s="615"/>
      <c r="H607" s="615"/>
      <c r="I607" s="679"/>
      <c r="J607" s="615"/>
      <c r="K607" s="615"/>
      <c r="L607" s="615"/>
      <c r="M607" s="615"/>
      <c r="N607" s="615"/>
      <c r="O607" s="615"/>
      <c r="P607" s="615"/>
      <c r="Q607" s="615"/>
      <c r="R607" s="615"/>
      <c r="S607" s="615"/>
      <c r="T607" s="615"/>
      <c r="U607" s="615"/>
      <c r="V607" s="615"/>
      <c r="W607" s="615"/>
      <c r="X607" s="615"/>
      <c r="Y607" s="615"/>
      <c r="Z607" s="615"/>
      <c r="AA607" s="615"/>
    </row>
    <row r="608">
      <c r="A608" s="675"/>
      <c r="B608" s="615"/>
      <c r="C608" s="676"/>
      <c r="D608" s="677"/>
      <c r="E608" s="677"/>
      <c r="F608" s="615"/>
      <c r="G608" s="615"/>
      <c r="H608" s="615"/>
      <c r="I608" s="679"/>
      <c r="J608" s="615"/>
      <c r="K608" s="615"/>
      <c r="L608" s="615"/>
      <c r="M608" s="615"/>
      <c r="N608" s="615"/>
      <c r="O608" s="615"/>
      <c r="P608" s="615"/>
      <c r="Q608" s="615"/>
      <c r="R608" s="615"/>
      <c r="S608" s="615"/>
      <c r="T608" s="615"/>
      <c r="U608" s="615"/>
      <c r="V608" s="615"/>
      <c r="W608" s="615"/>
      <c r="X608" s="615"/>
      <c r="Y608" s="615"/>
      <c r="Z608" s="615"/>
      <c r="AA608" s="615"/>
    </row>
    <row r="609">
      <c r="A609" s="675"/>
      <c r="B609" s="615"/>
      <c r="C609" s="676"/>
      <c r="D609" s="677"/>
      <c r="E609" s="677"/>
      <c r="F609" s="615"/>
      <c r="G609" s="615"/>
      <c r="H609" s="615"/>
      <c r="I609" s="679"/>
      <c r="J609" s="615"/>
      <c r="K609" s="615"/>
      <c r="L609" s="615"/>
      <c r="M609" s="615"/>
      <c r="N609" s="615"/>
      <c r="O609" s="615"/>
      <c r="P609" s="615"/>
      <c r="Q609" s="615"/>
      <c r="R609" s="615"/>
      <c r="S609" s="615"/>
      <c r="T609" s="615"/>
      <c r="U609" s="615"/>
      <c r="V609" s="615"/>
      <c r="W609" s="615"/>
      <c r="X609" s="615"/>
      <c r="Y609" s="615"/>
      <c r="Z609" s="615"/>
      <c r="AA609" s="615"/>
    </row>
    <row r="610">
      <c r="A610" s="675"/>
      <c r="B610" s="615"/>
      <c r="C610" s="676"/>
      <c r="D610" s="677"/>
      <c r="E610" s="677"/>
      <c r="F610" s="615"/>
      <c r="G610" s="615"/>
      <c r="H610" s="615"/>
      <c r="I610" s="679"/>
      <c r="J610" s="615"/>
      <c r="K610" s="615"/>
      <c r="L610" s="615"/>
      <c r="M610" s="615"/>
      <c r="N610" s="615"/>
      <c r="O610" s="615"/>
      <c r="P610" s="615"/>
      <c r="Q610" s="615"/>
      <c r="R610" s="615"/>
      <c r="S610" s="615"/>
      <c r="T610" s="615"/>
      <c r="U610" s="615"/>
      <c r="V610" s="615"/>
      <c r="W610" s="615"/>
      <c r="X610" s="615"/>
      <c r="Y610" s="615"/>
      <c r="Z610" s="615"/>
      <c r="AA610" s="615"/>
    </row>
    <row r="611">
      <c r="A611" s="675"/>
      <c r="B611" s="615"/>
      <c r="C611" s="676"/>
      <c r="D611" s="677"/>
      <c r="E611" s="677"/>
      <c r="F611" s="615"/>
      <c r="G611" s="615"/>
      <c r="H611" s="615"/>
      <c r="I611" s="679"/>
      <c r="J611" s="615"/>
      <c r="K611" s="615"/>
      <c r="L611" s="615"/>
      <c r="M611" s="615"/>
      <c r="N611" s="615"/>
      <c r="O611" s="615"/>
      <c r="P611" s="615"/>
      <c r="Q611" s="615"/>
      <c r="R611" s="615"/>
      <c r="S611" s="615"/>
      <c r="T611" s="615"/>
      <c r="U611" s="615"/>
      <c r="V611" s="615"/>
      <c r="W611" s="615"/>
      <c r="X611" s="615"/>
      <c r="Y611" s="615"/>
      <c r="Z611" s="615"/>
      <c r="AA611" s="615"/>
    </row>
    <row r="612">
      <c r="A612" s="675"/>
      <c r="B612" s="615"/>
      <c r="C612" s="676"/>
      <c r="D612" s="677"/>
      <c r="E612" s="677"/>
      <c r="F612" s="615"/>
      <c r="G612" s="615"/>
      <c r="H612" s="615"/>
      <c r="I612" s="679"/>
      <c r="J612" s="615"/>
      <c r="K612" s="615"/>
      <c r="L612" s="615"/>
      <c r="M612" s="615"/>
      <c r="N612" s="615"/>
      <c r="O612" s="615"/>
      <c r="P612" s="615"/>
      <c r="Q612" s="615"/>
      <c r="R612" s="615"/>
      <c r="S612" s="615"/>
      <c r="T612" s="615"/>
      <c r="U612" s="615"/>
      <c r="V612" s="615"/>
      <c r="W612" s="615"/>
      <c r="X612" s="615"/>
      <c r="Y612" s="615"/>
      <c r="Z612" s="615"/>
      <c r="AA612" s="615"/>
    </row>
    <row r="613">
      <c r="A613" s="675"/>
      <c r="B613" s="615"/>
      <c r="C613" s="676"/>
      <c r="D613" s="677"/>
      <c r="E613" s="677"/>
      <c r="F613" s="615"/>
      <c r="G613" s="615"/>
      <c r="H613" s="615"/>
      <c r="I613" s="679"/>
      <c r="J613" s="615"/>
      <c r="K613" s="615"/>
      <c r="L613" s="615"/>
      <c r="M613" s="615"/>
      <c r="N613" s="615"/>
      <c r="O613" s="615"/>
      <c r="P613" s="615"/>
      <c r="Q613" s="615"/>
      <c r="R613" s="615"/>
      <c r="S613" s="615"/>
      <c r="T613" s="615"/>
      <c r="U613" s="615"/>
      <c r="V613" s="615"/>
      <c r="W613" s="615"/>
      <c r="X613" s="615"/>
      <c r="Y613" s="615"/>
      <c r="Z613" s="615"/>
      <c r="AA613" s="615"/>
    </row>
    <row r="614">
      <c r="A614" s="675"/>
      <c r="B614" s="615"/>
      <c r="C614" s="676"/>
      <c r="D614" s="677"/>
      <c r="E614" s="677"/>
      <c r="F614" s="615"/>
      <c r="G614" s="615"/>
      <c r="H614" s="615"/>
      <c r="I614" s="679"/>
      <c r="J614" s="615"/>
      <c r="K614" s="615"/>
      <c r="L614" s="615"/>
      <c r="M614" s="615"/>
      <c r="N614" s="615"/>
      <c r="O614" s="615"/>
      <c r="P614" s="615"/>
      <c r="Q614" s="615"/>
      <c r="R614" s="615"/>
      <c r="S614" s="615"/>
      <c r="T614" s="615"/>
      <c r="U614" s="615"/>
      <c r="V614" s="615"/>
      <c r="W614" s="615"/>
      <c r="X614" s="615"/>
      <c r="Y614" s="615"/>
      <c r="Z614" s="615"/>
      <c r="AA614" s="615"/>
    </row>
    <row r="615">
      <c r="A615" s="675"/>
      <c r="B615" s="615"/>
      <c r="C615" s="676"/>
      <c r="D615" s="677"/>
      <c r="E615" s="677"/>
      <c r="F615" s="615"/>
      <c r="G615" s="615"/>
      <c r="H615" s="615"/>
      <c r="I615" s="679"/>
      <c r="J615" s="615"/>
      <c r="K615" s="615"/>
      <c r="L615" s="615"/>
      <c r="M615" s="615"/>
      <c r="N615" s="615"/>
      <c r="O615" s="615"/>
      <c r="P615" s="615"/>
      <c r="Q615" s="615"/>
      <c r="R615" s="615"/>
      <c r="S615" s="615"/>
      <c r="T615" s="615"/>
      <c r="U615" s="615"/>
      <c r="V615" s="615"/>
      <c r="W615" s="615"/>
      <c r="X615" s="615"/>
      <c r="Y615" s="615"/>
      <c r="Z615" s="615"/>
      <c r="AA615" s="615"/>
    </row>
    <row r="616">
      <c r="A616" s="675"/>
      <c r="B616" s="615"/>
      <c r="C616" s="676"/>
      <c r="D616" s="677"/>
      <c r="E616" s="677"/>
      <c r="F616" s="615"/>
      <c r="G616" s="615"/>
      <c r="H616" s="615"/>
      <c r="I616" s="679"/>
      <c r="J616" s="615"/>
      <c r="K616" s="615"/>
      <c r="L616" s="615"/>
      <c r="M616" s="615"/>
      <c r="N616" s="615"/>
      <c r="O616" s="615"/>
      <c r="P616" s="615"/>
      <c r="Q616" s="615"/>
      <c r="R616" s="615"/>
      <c r="S616" s="615"/>
      <c r="T616" s="615"/>
      <c r="U616" s="615"/>
      <c r="V616" s="615"/>
      <c r="W616" s="615"/>
      <c r="X616" s="615"/>
      <c r="Y616" s="615"/>
      <c r="Z616" s="615"/>
      <c r="AA616" s="615"/>
    </row>
    <row r="617">
      <c r="A617" s="675"/>
      <c r="B617" s="615"/>
      <c r="C617" s="676"/>
      <c r="D617" s="677"/>
      <c r="E617" s="677"/>
      <c r="F617" s="615"/>
      <c r="G617" s="615"/>
      <c r="H617" s="615"/>
      <c r="I617" s="679"/>
      <c r="J617" s="615"/>
      <c r="K617" s="615"/>
      <c r="L617" s="615"/>
      <c r="M617" s="615"/>
      <c r="N617" s="615"/>
      <c r="O617" s="615"/>
      <c r="P617" s="615"/>
      <c r="Q617" s="615"/>
      <c r="R617" s="615"/>
      <c r="S617" s="615"/>
      <c r="T617" s="615"/>
      <c r="U617" s="615"/>
      <c r="V617" s="615"/>
      <c r="W617" s="615"/>
      <c r="X617" s="615"/>
      <c r="Y617" s="615"/>
      <c r="Z617" s="615"/>
      <c r="AA617" s="615"/>
    </row>
    <row r="618">
      <c r="A618" s="675"/>
      <c r="B618" s="615"/>
      <c r="C618" s="676"/>
      <c r="D618" s="677"/>
      <c r="E618" s="677"/>
      <c r="F618" s="615"/>
      <c r="G618" s="615"/>
      <c r="H618" s="615"/>
      <c r="I618" s="679"/>
      <c r="J618" s="615"/>
      <c r="K618" s="615"/>
      <c r="L618" s="615"/>
      <c r="M618" s="615"/>
      <c r="N618" s="615"/>
      <c r="O618" s="615"/>
      <c r="P618" s="615"/>
      <c r="Q618" s="615"/>
      <c r="R618" s="615"/>
      <c r="S618" s="615"/>
      <c r="T618" s="615"/>
      <c r="U618" s="615"/>
      <c r="V618" s="615"/>
      <c r="W618" s="615"/>
      <c r="X618" s="615"/>
      <c r="Y618" s="615"/>
      <c r="Z618" s="615"/>
      <c r="AA618" s="615"/>
    </row>
    <row r="619">
      <c r="A619" s="675"/>
      <c r="B619" s="615"/>
      <c r="C619" s="676"/>
      <c r="D619" s="677"/>
      <c r="E619" s="677"/>
      <c r="F619" s="615"/>
      <c r="G619" s="615"/>
      <c r="H619" s="615"/>
      <c r="I619" s="679"/>
      <c r="J619" s="615"/>
      <c r="K619" s="615"/>
      <c r="L619" s="615"/>
      <c r="M619" s="615"/>
      <c r="N619" s="615"/>
      <c r="O619" s="615"/>
      <c r="P619" s="615"/>
      <c r="Q619" s="615"/>
      <c r="R619" s="615"/>
      <c r="S619" s="615"/>
      <c r="T619" s="615"/>
      <c r="U619" s="615"/>
      <c r="V619" s="615"/>
      <c r="W619" s="615"/>
      <c r="X619" s="615"/>
      <c r="Y619" s="615"/>
      <c r="Z619" s="615"/>
      <c r="AA619" s="615"/>
    </row>
    <row r="620">
      <c r="A620" s="675"/>
      <c r="B620" s="615"/>
      <c r="C620" s="676"/>
      <c r="D620" s="677"/>
      <c r="E620" s="677"/>
      <c r="F620" s="615"/>
      <c r="G620" s="615"/>
      <c r="H620" s="615"/>
      <c r="I620" s="679"/>
      <c r="J620" s="615"/>
      <c r="K620" s="615"/>
      <c r="L620" s="615"/>
      <c r="M620" s="615"/>
      <c r="N620" s="615"/>
      <c r="O620" s="615"/>
      <c r="P620" s="615"/>
      <c r="Q620" s="615"/>
      <c r="R620" s="615"/>
      <c r="S620" s="615"/>
      <c r="T620" s="615"/>
      <c r="U620" s="615"/>
      <c r="V620" s="615"/>
      <c r="W620" s="615"/>
      <c r="X620" s="615"/>
      <c r="Y620" s="615"/>
      <c r="Z620" s="615"/>
      <c r="AA620" s="615"/>
    </row>
    <row r="621">
      <c r="A621" s="675"/>
      <c r="B621" s="615"/>
      <c r="C621" s="676"/>
      <c r="D621" s="677"/>
      <c r="E621" s="677"/>
      <c r="F621" s="615"/>
      <c r="G621" s="615"/>
      <c r="H621" s="615"/>
      <c r="I621" s="679"/>
      <c r="J621" s="615"/>
      <c r="K621" s="615"/>
      <c r="L621" s="615"/>
      <c r="M621" s="615"/>
      <c r="N621" s="615"/>
      <c r="O621" s="615"/>
      <c r="P621" s="615"/>
      <c r="Q621" s="615"/>
      <c r="R621" s="615"/>
      <c r="S621" s="615"/>
      <c r="T621" s="615"/>
      <c r="U621" s="615"/>
      <c r="V621" s="615"/>
      <c r="W621" s="615"/>
      <c r="X621" s="615"/>
      <c r="Y621" s="615"/>
      <c r="Z621" s="615"/>
      <c r="AA621" s="615"/>
    </row>
    <row r="622">
      <c r="A622" s="675"/>
      <c r="B622" s="615"/>
      <c r="C622" s="676"/>
      <c r="D622" s="677"/>
      <c r="E622" s="677"/>
      <c r="F622" s="615"/>
      <c r="G622" s="615"/>
      <c r="H622" s="615"/>
      <c r="I622" s="679"/>
      <c r="J622" s="615"/>
      <c r="K622" s="615"/>
      <c r="L622" s="615"/>
      <c r="M622" s="615"/>
      <c r="N622" s="615"/>
      <c r="O622" s="615"/>
      <c r="P622" s="615"/>
      <c r="Q622" s="615"/>
      <c r="R622" s="615"/>
      <c r="S622" s="615"/>
      <c r="T622" s="615"/>
      <c r="U622" s="615"/>
      <c r="V622" s="615"/>
      <c r="W622" s="615"/>
      <c r="X622" s="615"/>
      <c r="Y622" s="615"/>
      <c r="Z622" s="615"/>
      <c r="AA622" s="615"/>
    </row>
    <row r="623">
      <c r="A623" s="675"/>
      <c r="B623" s="615"/>
      <c r="C623" s="676"/>
      <c r="D623" s="677"/>
      <c r="E623" s="677"/>
      <c r="F623" s="615"/>
      <c r="G623" s="615"/>
      <c r="H623" s="615"/>
      <c r="I623" s="679"/>
      <c r="J623" s="615"/>
      <c r="K623" s="615"/>
      <c r="L623" s="615"/>
      <c r="M623" s="615"/>
      <c r="N623" s="615"/>
      <c r="O623" s="615"/>
      <c r="P623" s="615"/>
      <c r="Q623" s="615"/>
      <c r="R623" s="615"/>
      <c r="S623" s="615"/>
      <c r="T623" s="615"/>
      <c r="U623" s="615"/>
      <c r="V623" s="615"/>
      <c r="W623" s="615"/>
      <c r="X623" s="615"/>
      <c r="Y623" s="615"/>
      <c r="Z623" s="615"/>
      <c r="AA623" s="615"/>
    </row>
    <row r="624">
      <c r="A624" s="675"/>
      <c r="B624" s="615"/>
      <c r="C624" s="676"/>
      <c r="D624" s="677"/>
      <c r="E624" s="677"/>
      <c r="F624" s="615"/>
      <c r="G624" s="615"/>
      <c r="H624" s="615"/>
      <c r="I624" s="679"/>
      <c r="J624" s="615"/>
      <c r="K624" s="615"/>
      <c r="L624" s="615"/>
      <c r="M624" s="615"/>
      <c r="N624" s="615"/>
      <c r="O624" s="615"/>
      <c r="P624" s="615"/>
      <c r="Q624" s="615"/>
      <c r="R624" s="615"/>
      <c r="S624" s="615"/>
      <c r="T624" s="615"/>
      <c r="U624" s="615"/>
      <c r="V624" s="615"/>
      <c r="W624" s="615"/>
      <c r="X624" s="615"/>
      <c r="Y624" s="615"/>
      <c r="Z624" s="615"/>
      <c r="AA624" s="615"/>
    </row>
    <row r="625">
      <c r="A625" s="675"/>
      <c r="B625" s="615"/>
      <c r="C625" s="676"/>
      <c r="D625" s="677"/>
      <c r="E625" s="677"/>
      <c r="F625" s="615"/>
      <c r="G625" s="615"/>
      <c r="H625" s="615"/>
      <c r="I625" s="679"/>
      <c r="J625" s="615"/>
      <c r="K625" s="615"/>
      <c r="L625" s="615"/>
      <c r="M625" s="615"/>
      <c r="N625" s="615"/>
      <c r="O625" s="615"/>
      <c r="P625" s="615"/>
      <c r="Q625" s="615"/>
      <c r="R625" s="615"/>
      <c r="S625" s="615"/>
      <c r="T625" s="615"/>
      <c r="U625" s="615"/>
      <c r="V625" s="615"/>
      <c r="W625" s="615"/>
      <c r="X625" s="615"/>
      <c r="Y625" s="615"/>
      <c r="Z625" s="615"/>
      <c r="AA625" s="615"/>
    </row>
    <row r="626">
      <c r="A626" s="675"/>
      <c r="B626" s="615"/>
      <c r="C626" s="676"/>
      <c r="D626" s="677"/>
      <c r="E626" s="677"/>
      <c r="F626" s="615"/>
      <c r="G626" s="615"/>
      <c r="H626" s="615"/>
      <c r="I626" s="679"/>
      <c r="J626" s="615"/>
      <c r="K626" s="615"/>
      <c r="L626" s="615"/>
      <c r="M626" s="615"/>
      <c r="N626" s="615"/>
      <c r="O626" s="615"/>
      <c r="P626" s="615"/>
      <c r="Q626" s="615"/>
      <c r="R626" s="615"/>
      <c r="S626" s="615"/>
      <c r="T626" s="615"/>
      <c r="U626" s="615"/>
      <c r="V626" s="615"/>
      <c r="W626" s="615"/>
      <c r="X626" s="615"/>
      <c r="Y626" s="615"/>
      <c r="Z626" s="615"/>
      <c r="AA626" s="615"/>
    </row>
    <row r="627">
      <c r="A627" s="675"/>
      <c r="B627" s="615"/>
      <c r="C627" s="676"/>
      <c r="D627" s="677"/>
      <c r="E627" s="677"/>
      <c r="F627" s="615"/>
      <c r="G627" s="615"/>
      <c r="H627" s="615"/>
      <c r="I627" s="679"/>
      <c r="J627" s="615"/>
      <c r="K627" s="615"/>
      <c r="L627" s="615"/>
      <c r="M627" s="615"/>
      <c r="N627" s="615"/>
      <c r="O627" s="615"/>
      <c r="P627" s="615"/>
      <c r="Q627" s="615"/>
      <c r="R627" s="615"/>
      <c r="S627" s="615"/>
      <c r="T627" s="615"/>
      <c r="U627" s="615"/>
      <c r="V627" s="615"/>
      <c r="W627" s="615"/>
      <c r="X627" s="615"/>
      <c r="Y627" s="615"/>
      <c r="Z627" s="615"/>
      <c r="AA627" s="615"/>
    </row>
    <row r="628">
      <c r="A628" s="675"/>
      <c r="B628" s="615"/>
      <c r="C628" s="676"/>
      <c r="D628" s="677"/>
      <c r="E628" s="677"/>
      <c r="F628" s="615"/>
      <c r="G628" s="615"/>
      <c r="H628" s="615"/>
      <c r="I628" s="679"/>
      <c r="J628" s="615"/>
      <c r="K628" s="615"/>
      <c r="L628" s="615"/>
      <c r="M628" s="615"/>
      <c r="N628" s="615"/>
      <c r="O628" s="615"/>
      <c r="P628" s="615"/>
      <c r="Q628" s="615"/>
      <c r="R628" s="615"/>
      <c r="S628" s="615"/>
      <c r="T628" s="615"/>
      <c r="U628" s="615"/>
      <c r="V628" s="615"/>
      <c r="W628" s="615"/>
      <c r="X628" s="615"/>
      <c r="Y628" s="615"/>
      <c r="Z628" s="615"/>
      <c r="AA628" s="615"/>
    </row>
    <row r="629">
      <c r="A629" s="675"/>
      <c r="B629" s="615"/>
      <c r="C629" s="676"/>
      <c r="D629" s="677"/>
      <c r="E629" s="677"/>
      <c r="F629" s="615"/>
      <c r="G629" s="615"/>
      <c r="H629" s="615"/>
      <c r="I629" s="679"/>
      <c r="J629" s="615"/>
      <c r="K629" s="615"/>
      <c r="L629" s="615"/>
      <c r="M629" s="615"/>
      <c r="N629" s="615"/>
      <c r="O629" s="615"/>
      <c r="P629" s="615"/>
      <c r="Q629" s="615"/>
      <c r="R629" s="615"/>
      <c r="S629" s="615"/>
      <c r="T629" s="615"/>
      <c r="U629" s="615"/>
      <c r="V629" s="615"/>
      <c r="W629" s="615"/>
      <c r="X629" s="615"/>
      <c r="Y629" s="615"/>
      <c r="Z629" s="615"/>
      <c r="AA629" s="615"/>
    </row>
    <row r="630">
      <c r="A630" s="675"/>
      <c r="B630" s="615"/>
      <c r="C630" s="676"/>
      <c r="D630" s="677"/>
      <c r="E630" s="677"/>
      <c r="F630" s="615"/>
      <c r="G630" s="615"/>
      <c r="H630" s="615"/>
      <c r="I630" s="679"/>
      <c r="J630" s="615"/>
      <c r="K630" s="615"/>
      <c r="L630" s="615"/>
      <c r="M630" s="615"/>
      <c r="N630" s="615"/>
      <c r="O630" s="615"/>
      <c r="P630" s="615"/>
      <c r="Q630" s="615"/>
      <c r="R630" s="615"/>
      <c r="S630" s="615"/>
      <c r="T630" s="615"/>
      <c r="U630" s="615"/>
      <c r="V630" s="615"/>
      <c r="W630" s="615"/>
      <c r="X630" s="615"/>
      <c r="Y630" s="615"/>
      <c r="Z630" s="615"/>
      <c r="AA630" s="615"/>
    </row>
    <row r="631">
      <c r="A631" s="675"/>
      <c r="B631" s="615"/>
      <c r="C631" s="676"/>
      <c r="D631" s="677"/>
      <c r="E631" s="677"/>
      <c r="F631" s="615"/>
      <c r="G631" s="615"/>
      <c r="H631" s="615"/>
      <c r="I631" s="679"/>
      <c r="J631" s="615"/>
      <c r="K631" s="615"/>
      <c r="L631" s="615"/>
      <c r="M631" s="615"/>
      <c r="N631" s="615"/>
      <c r="O631" s="615"/>
      <c r="P631" s="615"/>
      <c r="Q631" s="615"/>
      <c r="R631" s="615"/>
      <c r="S631" s="615"/>
      <c r="T631" s="615"/>
      <c r="U631" s="615"/>
      <c r="V631" s="615"/>
      <c r="W631" s="615"/>
      <c r="X631" s="615"/>
      <c r="Y631" s="615"/>
      <c r="Z631" s="615"/>
      <c r="AA631" s="615"/>
    </row>
    <row r="632">
      <c r="A632" s="675"/>
      <c r="B632" s="615"/>
      <c r="C632" s="676"/>
      <c r="D632" s="677"/>
      <c r="E632" s="677"/>
      <c r="F632" s="615"/>
      <c r="G632" s="615"/>
      <c r="H632" s="615"/>
      <c r="I632" s="679"/>
      <c r="J632" s="615"/>
      <c r="K632" s="615"/>
      <c r="L632" s="615"/>
      <c r="M632" s="615"/>
      <c r="N632" s="615"/>
      <c r="O632" s="615"/>
      <c r="P632" s="615"/>
      <c r="Q632" s="615"/>
      <c r="R632" s="615"/>
      <c r="S632" s="615"/>
      <c r="T632" s="615"/>
      <c r="U632" s="615"/>
      <c r="V632" s="615"/>
      <c r="W632" s="615"/>
      <c r="X632" s="615"/>
      <c r="Y632" s="615"/>
      <c r="Z632" s="615"/>
      <c r="AA632" s="615"/>
    </row>
    <row r="633">
      <c r="A633" s="675"/>
      <c r="B633" s="615"/>
      <c r="C633" s="676"/>
      <c r="D633" s="677"/>
      <c r="E633" s="677"/>
      <c r="F633" s="615"/>
      <c r="G633" s="615"/>
      <c r="H633" s="615"/>
      <c r="I633" s="679"/>
      <c r="J633" s="615"/>
      <c r="K633" s="615"/>
      <c r="L633" s="615"/>
      <c r="M633" s="615"/>
      <c r="N633" s="615"/>
      <c r="O633" s="615"/>
      <c r="P633" s="615"/>
      <c r="Q633" s="615"/>
      <c r="R633" s="615"/>
      <c r="S633" s="615"/>
      <c r="T633" s="615"/>
      <c r="U633" s="615"/>
      <c r="V633" s="615"/>
      <c r="W633" s="615"/>
      <c r="X633" s="615"/>
      <c r="Y633" s="615"/>
      <c r="Z633" s="615"/>
      <c r="AA633" s="615"/>
    </row>
    <row r="634">
      <c r="A634" s="675"/>
      <c r="B634" s="615"/>
      <c r="C634" s="676"/>
      <c r="D634" s="677"/>
      <c r="E634" s="677"/>
      <c r="F634" s="615"/>
      <c r="G634" s="615"/>
      <c r="H634" s="615"/>
      <c r="I634" s="679"/>
      <c r="J634" s="615"/>
      <c r="K634" s="615"/>
      <c r="L634" s="615"/>
      <c r="M634" s="615"/>
      <c r="N634" s="615"/>
      <c r="O634" s="615"/>
      <c r="P634" s="615"/>
      <c r="Q634" s="615"/>
      <c r="R634" s="615"/>
      <c r="S634" s="615"/>
      <c r="T634" s="615"/>
      <c r="U634" s="615"/>
      <c r="V634" s="615"/>
      <c r="W634" s="615"/>
      <c r="X634" s="615"/>
      <c r="Y634" s="615"/>
      <c r="Z634" s="615"/>
      <c r="AA634" s="615"/>
    </row>
    <row r="635">
      <c r="A635" s="675"/>
      <c r="B635" s="615"/>
      <c r="C635" s="676"/>
      <c r="D635" s="677"/>
      <c r="E635" s="677"/>
      <c r="F635" s="615"/>
      <c r="G635" s="615"/>
      <c r="H635" s="615"/>
      <c r="I635" s="679"/>
      <c r="J635" s="615"/>
      <c r="K635" s="615"/>
      <c r="L635" s="615"/>
      <c r="M635" s="615"/>
      <c r="N635" s="615"/>
      <c r="O635" s="615"/>
      <c r="P635" s="615"/>
      <c r="Q635" s="615"/>
      <c r="R635" s="615"/>
      <c r="S635" s="615"/>
      <c r="T635" s="615"/>
      <c r="U635" s="615"/>
      <c r="V635" s="615"/>
      <c r="W635" s="615"/>
      <c r="X635" s="615"/>
      <c r="Y635" s="615"/>
      <c r="Z635" s="615"/>
      <c r="AA635" s="615"/>
    </row>
    <row r="636">
      <c r="A636" s="675"/>
      <c r="B636" s="615"/>
      <c r="C636" s="676"/>
      <c r="D636" s="677"/>
      <c r="E636" s="677"/>
      <c r="F636" s="615"/>
      <c r="G636" s="615"/>
      <c r="H636" s="615"/>
      <c r="I636" s="679"/>
      <c r="J636" s="615"/>
      <c r="K636" s="615"/>
      <c r="L636" s="615"/>
      <c r="M636" s="615"/>
      <c r="N636" s="615"/>
      <c r="O636" s="615"/>
      <c r="P636" s="615"/>
      <c r="Q636" s="615"/>
      <c r="R636" s="615"/>
      <c r="S636" s="615"/>
      <c r="T636" s="615"/>
      <c r="U636" s="615"/>
      <c r="V636" s="615"/>
      <c r="W636" s="615"/>
      <c r="X636" s="615"/>
      <c r="Y636" s="615"/>
      <c r="Z636" s="615"/>
      <c r="AA636" s="615"/>
    </row>
    <row r="637">
      <c r="A637" s="675"/>
      <c r="B637" s="615"/>
      <c r="C637" s="676"/>
      <c r="D637" s="677"/>
      <c r="E637" s="677"/>
      <c r="F637" s="615"/>
      <c r="G637" s="615"/>
      <c r="H637" s="615"/>
      <c r="I637" s="679"/>
      <c r="J637" s="615"/>
      <c r="K637" s="615"/>
      <c r="L637" s="615"/>
      <c r="M637" s="615"/>
      <c r="N637" s="615"/>
      <c r="O637" s="615"/>
      <c r="P637" s="615"/>
      <c r="Q637" s="615"/>
      <c r="R637" s="615"/>
      <c r="S637" s="615"/>
      <c r="T637" s="615"/>
      <c r="U637" s="615"/>
      <c r="V637" s="615"/>
      <c r="W637" s="615"/>
      <c r="X637" s="615"/>
      <c r="Y637" s="615"/>
      <c r="Z637" s="615"/>
      <c r="AA637" s="615"/>
    </row>
    <row r="638">
      <c r="A638" s="675"/>
      <c r="B638" s="615"/>
      <c r="C638" s="676"/>
      <c r="D638" s="677"/>
      <c r="E638" s="677"/>
      <c r="F638" s="615"/>
      <c r="G638" s="615"/>
      <c r="H638" s="615"/>
      <c r="I638" s="679"/>
      <c r="J638" s="615"/>
      <c r="K638" s="615"/>
      <c r="L638" s="615"/>
      <c r="M638" s="615"/>
      <c r="N638" s="615"/>
      <c r="O638" s="615"/>
      <c r="P638" s="615"/>
      <c r="Q638" s="615"/>
      <c r="R638" s="615"/>
      <c r="S638" s="615"/>
      <c r="T638" s="615"/>
      <c r="U638" s="615"/>
      <c r="V638" s="615"/>
      <c r="W638" s="615"/>
      <c r="X638" s="615"/>
      <c r="Y638" s="615"/>
      <c r="Z638" s="615"/>
      <c r="AA638" s="615"/>
    </row>
    <row r="639">
      <c r="A639" s="675"/>
      <c r="B639" s="615"/>
      <c r="C639" s="676"/>
      <c r="D639" s="677"/>
      <c r="E639" s="677"/>
      <c r="F639" s="615"/>
      <c r="G639" s="615"/>
      <c r="H639" s="615"/>
      <c r="I639" s="679"/>
      <c r="J639" s="615"/>
      <c r="K639" s="615"/>
      <c r="L639" s="615"/>
      <c r="M639" s="615"/>
      <c r="N639" s="615"/>
      <c r="O639" s="615"/>
      <c r="P639" s="615"/>
      <c r="Q639" s="615"/>
      <c r="R639" s="615"/>
      <c r="S639" s="615"/>
      <c r="T639" s="615"/>
      <c r="U639" s="615"/>
      <c r="V639" s="615"/>
      <c r="W639" s="615"/>
      <c r="X639" s="615"/>
      <c r="Y639" s="615"/>
      <c r="Z639" s="615"/>
      <c r="AA639" s="615"/>
    </row>
    <row r="640">
      <c r="A640" s="675"/>
      <c r="B640" s="615"/>
      <c r="C640" s="676"/>
      <c r="D640" s="677"/>
      <c r="E640" s="677"/>
      <c r="F640" s="615"/>
      <c r="G640" s="615"/>
      <c r="H640" s="615"/>
      <c r="I640" s="679"/>
      <c r="J640" s="615"/>
      <c r="K640" s="615"/>
      <c r="L640" s="615"/>
      <c r="M640" s="615"/>
      <c r="N640" s="615"/>
      <c r="O640" s="615"/>
      <c r="P640" s="615"/>
      <c r="Q640" s="615"/>
      <c r="R640" s="615"/>
      <c r="S640" s="615"/>
      <c r="T640" s="615"/>
      <c r="U640" s="615"/>
      <c r="V640" s="615"/>
      <c r="W640" s="615"/>
      <c r="X640" s="615"/>
      <c r="Y640" s="615"/>
      <c r="Z640" s="615"/>
      <c r="AA640" s="615"/>
    </row>
    <row r="641">
      <c r="A641" s="675"/>
      <c r="B641" s="615"/>
      <c r="C641" s="676"/>
      <c r="D641" s="677"/>
      <c r="E641" s="677"/>
      <c r="F641" s="615"/>
      <c r="G641" s="615"/>
      <c r="H641" s="615"/>
      <c r="I641" s="679"/>
      <c r="J641" s="615"/>
      <c r="K641" s="615"/>
      <c r="L641" s="615"/>
      <c r="M641" s="615"/>
      <c r="N641" s="615"/>
      <c r="O641" s="615"/>
      <c r="P641" s="615"/>
      <c r="Q641" s="615"/>
      <c r="R641" s="615"/>
      <c r="S641" s="615"/>
      <c r="T641" s="615"/>
      <c r="U641" s="615"/>
      <c r="V641" s="615"/>
      <c r="W641" s="615"/>
      <c r="X641" s="615"/>
      <c r="Y641" s="615"/>
      <c r="Z641" s="615"/>
      <c r="AA641" s="615"/>
    </row>
    <row r="642">
      <c r="A642" s="675"/>
      <c r="B642" s="615"/>
      <c r="C642" s="676"/>
      <c r="D642" s="677"/>
      <c r="E642" s="677"/>
      <c r="F642" s="615"/>
      <c r="G642" s="615"/>
      <c r="H642" s="615"/>
      <c r="I642" s="679"/>
      <c r="J642" s="615"/>
      <c r="K642" s="615"/>
      <c r="L642" s="615"/>
      <c r="M642" s="615"/>
      <c r="N642" s="615"/>
      <c r="O642" s="615"/>
      <c r="P642" s="615"/>
      <c r="Q642" s="615"/>
      <c r="R642" s="615"/>
      <c r="S642" s="615"/>
      <c r="T642" s="615"/>
      <c r="U642" s="615"/>
      <c r="V642" s="615"/>
      <c r="W642" s="615"/>
      <c r="X642" s="615"/>
      <c r="Y642" s="615"/>
      <c r="Z642" s="615"/>
      <c r="AA642" s="615"/>
    </row>
    <row r="643">
      <c r="A643" s="675"/>
      <c r="B643" s="615"/>
      <c r="C643" s="676"/>
      <c r="D643" s="677"/>
      <c r="E643" s="677"/>
      <c r="F643" s="615"/>
      <c r="G643" s="615"/>
      <c r="H643" s="615"/>
      <c r="I643" s="679"/>
      <c r="J643" s="615"/>
      <c r="K643" s="615"/>
      <c r="L643" s="615"/>
      <c r="M643" s="615"/>
      <c r="N643" s="615"/>
      <c r="O643" s="615"/>
      <c r="P643" s="615"/>
      <c r="Q643" s="615"/>
      <c r="R643" s="615"/>
      <c r="S643" s="615"/>
      <c r="T643" s="615"/>
      <c r="U643" s="615"/>
      <c r="V643" s="615"/>
      <c r="W643" s="615"/>
      <c r="X643" s="615"/>
      <c r="Y643" s="615"/>
      <c r="Z643" s="615"/>
      <c r="AA643" s="615"/>
    </row>
    <row r="644">
      <c r="A644" s="675"/>
      <c r="B644" s="615"/>
      <c r="C644" s="676"/>
      <c r="D644" s="677"/>
      <c r="E644" s="677"/>
      <c r="F644" s="615"/>
      <c r="G644" s="615"/>
      <c r="H644" s="615"/>
      <c r="I644" s="679"/>
      <c r="J644" s="615"/>
      <c r="K644" s="615"/>
      <c r="L644" s="615"/>
      <c r="M644" s="615"/>
      <c r="N644" s="615"/>
      <c r="O644" s="615"/>
      <c r="P644" s="615"/>
      <c r="Q644" s="615"/>
      <c r="R644" s="615"/>
      <c r="S644" s="615"/>
      <c r="T644" s="615"/>
      <c r="U644" s="615"/>
      <c r="V644" s="615"/>
      <c r="W644" s="615"/>
      <c r="X644" s="615"/>
      <c r="Y644" s="615"/>
      <c r="Z644" s="615"/>
      <c r="AA644" s="615"/>
    </row>
    <row r="645">
      <c r="A645" s="675"/>
      <c r="B645" s="615"/>
      <c r="C645" s="676"/>
      <c r="D645" s="677"/>
      <c r="E645" s="677"/>
      <c r="F645" s="615"/>
      <c r="G645" s="615"/>
      <c r="H645" s="615"/>
      <c r="I645" s="679"/>
      <c r="J645" s="615"/>
      <c r="K645" s="615"/>
      <c r="L645" s="615"/>
      <c r="M645" s="615"/>
      <c r="N645" s="615"/>
      <c r="O645" s="615"/>
      <c r="P645" s="615"/>
      <c r="Q645" s="615"/>
      <c r="R645" s="615"/>
      <c r="S645" s="615"/>
      <c r="T645" s="615"/>
      <c r="U645" s="615"/>
      <c r="V645" s="615"/>
      <c r="W645" s="615"/>
      <c r="X645" s="615"/>
      <c r="Y645" s="615"/>
      <c r="Z645" s="615"/>
      <c r="AA645" s="615"/>
    </row>
    <row r="646">
      <c r="A646" s="675"/>
      <c r="B646" s="615"/>
      <c r="C646" s="676"/>
      <c r="D646" s="677"/>
      <c r="E646" s="677"/>
      <c r="F646" s="615"/>
      <c r="G646" s="615"/>
      <c r="H646" s="615"/>
      <c r="I646" s="679"/>
      <c r="J646" s="615"/>
      <c r="K646" s="615"/>
      <c r="L646" s="615"/>
      <c r="M646" s="615"/>
      <c r="N646" s="615"/>
      <c r="O646" s="615"/>
      <c r="P646" s="615"/>
      <c r="Q646" s="615"/>
      <c r="R646" s="615"/>
      <c r="S646" s="615"/>
      <c r="T646" s="615"/>
      <c r="U646" s="615"/>
      <c r="V646" s="615"/>
      <c r="W646" s="615"/>
      <c r="X646" s="615"/>
      <c r="Y646" s="615"/>
      <c r="Z646" s="615"/>
      <c r="AA646" s="615"/>
    </row>
    <row r="647">
      <c r="A647" s="675"/>
      <c r="B647" s="615"/>
      <c r="C647" s="676"/>
      <c r="D647" s="677"/>
      <c r="E647" s="677"/>
      <c r="F647" s="615"/>
      <c r="G647" s="615"/>
      <c r="H647" s="615"/>
      <c r="I647" s="679"/>
      <c r="J647" s="615"/>
      <c r="K647" s="615"/>
      <c r="L647" s="615"/>
      <c r="M647" s="615"/>
      <c r="N647" s="615"/>
      <c r="O647" s="615"/>
      <c r="P647" s="615"/>
      <c r="Q647" s="615"/>
      <c r="R647" s="615"/>
      <c r="S647" s="615"/>
      <c r="T647" s="615"/>
      <c r="U647" s="615"/>
      <c r="V647" s="615"/>
      <c r="W647" s="615"/>
      <c r="X647" s="615"/>
      <c r="Y647" s="615"/>
      <c r="Z647" s="615"/>
      <c r="AA647" s="615"/>
    </row>
    <row r="648">
      <c r="A648" s="675"/>
      <c r="B648" s="615"/>
      <c r="C648" s="676"/>
      <c r="D648" s="677"/>
      <c r="E648" s="677"/>
      <c r="F648" s="615"/>
      <c r="G648" s="615"/>
      <c r="H648" s="615"/>
      <c r="I648" s="679"/>
      <c r="J648" s="615"/>
      <c r="K648" s="615"/>
      <c r="L648" s="615"/>
      <c r="M648" s="615"/>
      <c r="N648" s="615"/>
      <c r="O648" s="615"/>
      <c r="P648" s="615"/>
      <c r="Q648" s="615"/>
      <c r="R648" s="615"/>
      <c r="S648" s="615"/>
      <c r="T648" s="615"/>
      <c r="U648" s="615"/>
      <c r="V648" s="615"/>
      <c r="W648" s="615"/>
      <c r="X648" s="615"/>
      <c r="Y648" s="615"/>
      <c r="Z648" s="615"/>
      <c r="AA648" s="615"/>
    </row>
    <row r="649">
      <c r="A649" s="675"/>
      <c r="B649" s="615"/>
      <c r="C649" s="676"/>
      <c r="D649" s="677"/>
      <c r="E649" s="677"/>
      <c r="F649" s="615"/>
      <c r="G649" s="615"/>
      <c r="H649" s="615"/>
      <c r="I649" s="679"/>
      <c r="J649" s="615"/>
      <c r="K649" s="615"/>
      <c r="L649" s="615"/>
      <c r="M649" s="615"/>
      <c r="N649" s="615"/>
      <c r="O649" s="615"/>
      <c r="P649" s="615"/>
      <c r="Q649" s="615"/>
      <c r="R649" s="615"/>
      <c r="S649" s="615"/>
      <c r="T649" s="615"/>
      <c r="U649" s="615"/>
      <c r="V649" s="615"/>
      <c r="W649" s="615"/>
      <c r="X649" s="615"/>
      <c r="Y649" s="615"/>
      <c r="Z649" s="615"/>
      <c r="AA649" s="615"/>
    </row>
    <row r="650">
      <c r="A650" s="675"/>
      <c r="B650" s="615"/>
      <c r="C650" s="676"/>
      <c r="D650" s="677"/>
      <c r="E650" s="677"/>
      <c r="F650" s="615"/>
      <c r="G650" s="615"/>
      <c r="H650" s="615"/>
      <c r="I650" s="679"/>
      <c r="J650" s="615"/>
      <c r="K650" s="615"/>
      <c r="L650" s="615"/>
      <c r="M650" s="615"/>
      <c r="N650" s="615"/>
      <c r="O650" s="615"/>
      <c r="P650" s="615"/>
      <c r="Q650" s="615"/>
      <c r="R650" s="615"/>
      <c r="S650" s="615"/>
      <c r="T650" s="615"/>
      <c r="U650" s="615"/>
      <c r="V650" s="615"/>
      <c r="W650" s="615"/>
      <c r="X650" s="615"/>
      <c r="Y650" s="615"/>
      <c r="Z650" s="615"/>
      <c r="AA650" s="615"/>
    </row>
    <row r="651">
      <c r="A651" s="675"/>
      <c r="B651" s="615"/>
      <c r="C651" s="676"/>
      <c r="D651" s="677"/>
      <c r="E651" s="677"/>
      <c r="F651" s="615"/>
      <c r="G651" s="615"/>
      <c r="H651" s="615"/>
      <c r="I651" s="679"/>
      <c r="J651" s="615"/>
      <c r="K651" s="615"/>
      <c r="L651" s="615"/>
      <c r="M651" s="615"/>
      <c r="N651" s="615"/>
      <c r="O651" s="615"/>
      <c r="P651" s="615"/>
      <c r="Q651" s="615"/>
      <c r="R651" s="615"/>
      <c r="S651" s="615"/>
      <c r="T651" s="615"/>
      <c r="U651" s="615"/>
      <c r="V651" s="615"/>
      <c r="W651" s="615"/>
      <c r="X651" s="615"/>
      <c r="Y651" s="615"/>
      <c r="Z651" s="615"/>
      <c r="AA651" s="615"/>
    </row>
    <row r="652">
      <c r="A652" s="675"/>
      <c r="B652" s="615"/>
      <c r="C652" s="676"/>
      <c r="D652" s="677"/>
      <c r="E652" s="677"/>
      <c r="F652" s="615"/>
      <c r="G652" s="615"/>
      <c r="H652" s="615"/>
      <c r="I652" s="679"/>
      <c r="J652" s="615"/>
      <c r="K652" s="615"/>
      <c r="L652" s="615"/>
      <c r="M652" s="615"/>
      <c r="N652" s="615"/>
      <c r="O652" s="615"/>
      <c r="P652" s="615"/>
      <c r="Q652" s="615"/>
      <c r="R652" s="615"/>
      <c r="S652" s="615"/>
      <c r="T652" s="615"/>
      <c r="U652" s="615"/>
      <c r="V652" s="615"/>
      <c r="W652" s="615"/>
      <c r="X652" s="615"/>
      <c r="Y652" s="615"/>
      <c r="Z652" s="615"/>
      <c r="AA652" s="615"/>
    </row>
    <row r="653">
      <c r="A653" s="675"/>
      <c r="B653" s="615"/>
      <c r="C653" s="676"/>
      <c r="D653" s="677"/>
      <c r="E653" s="677"/>
      <c r="F653" s="615"/>
      <c r="G653" s="615"/>
      <c r="H653" s="615"/>
      <c r="I653" s="679"/>
      <c r="J653" s="615"/>
      <c r="K653" s="615"/>
      <c r="L653" s="615"/>
      <c r="M653" s="615"/>
      <c r="N653" s="615"/>
      <c r="O653" s="615"/>
      <c r="P653" s="615"/>
      <c r="Q653" s="615"/>
      <c r="R653" s="615"/>
      <c r="S653" s="615"/>
      <c r="T653" s="615"/>
      <c r="U653" s="615"/>
      <c r="V653" s="615"/>
      <c r="W653" s="615"/>
      <c r="X653" s="615"/>
      <c r="Y653" s="615"/>
      <c r="Z653" s="615"/>
      <c r="AA653" s="615"/>
    </row>
    <row r="654">
      <c r="A654" s="675"/>
      <c r="B654" s="615"/>
      <c r="C654" s="676"/>
      <c r="D654" s="677"/>
      <c r="E654" s="677"/>
      <c r="F654" s="615"/>
      <c r="G654" s="615"/>
      <c r="H654" s="615"/>
      <c r="I654" s="679"/>
      <c r="J654" s="615"/>
      <c r="K654" s="615"/>
      <c r="L654" s="615"/>
      <c r="M654" s="615"/>
      <c r="N654" s="615"/>
      <c r="O654" s="615"/>
      <c r="P654" s="615"/>
      <c r="Q654" s="615"/>
      <c r="R654" s="615"/>
      <c r="S654" s="615"/>
      <c r="T654" s="615"/>
      <c r="U654" s="615"/>
      <c r="V654" s="615"/>
      <c r="W654" s="615"/>
      <c r="X654" s="615"/>
      <c r="Y654" s="615"/>
      <c r="Z654" s="615"/>
      <c r="AA654" s="615"/>
    </row>
    <row r="655">
      <c r="A655" s="675"/>
      <c r="B655" s="615"/>
      <c r="C655" s="676"/>
      <c r="D655" s="677"/>
      <c r="E655" s="677"/>
      <c r="F655" s="615"/>
      <c r="G655" s="615"/>
      <c r="H655" s="615"/>
      <c r="I655" s="679"/>
      <c r="J655" s="615"/>
      <c r="K655" s="615"/>
      <c r="L655" s="615"/>
      <c r="M655" s="615"/>
      <c r="N655" s="615"/>
      <c r="O655" s="615"/>
      <c r="P655" s="615"/>
      <c r="Q655" s="615"/>
      <c r="R655" s="615"/>
      <c r="S655" s="615"/>
      <c r="T655" s="615"/>
      <c r="U655" s="615"/>
      <c r="V655" s="615"/>
      <c r="W655" s="615"/>
      <c r="X655" s="615"/>
      <c r="Y655" s="615"/>
      <c r="Z655" s="615"/>
      <c r="AA655" s="615"/>
    </row>
    <row r="656">
      <c r="A656" s="675"/>
      <c r="B656" s="615"/>
      <c r="C656" s="676"/>
      <c r="D656" s="677"/>
      <c r="E656" s="677"/>
      <c r="F656" s="615"/>
      <c r="G656" s="615"/>
      <c r="H656" s="615"/>
      <c r="I656" s="679"/>
      <c r="J656" s="615"/>
      <c r="K656" s="615"/>
      <c r="L656" s="615"/>
      <c r="M656" s="615"/>
      <c r="N656" s="615"/>
      <c r="O656" s="615"/>
      <c r="P656" s="615"/>
      <c r="Q656" s="615"/>
      <c r="R656" s="615"/>
      <c r="S656" s="615"/>
      <c r="T656" s="615"/>
      <c r="U656" s="615"/>
      <c r="V656" s="615"/>
      <c r="W656" s="615"/>
      <c r="X656" s="615"/>
      <c r="Y656" s="615"/>
      <c r="Z656" s="615"/>
      <c r="AA656" s="615"/>
    </row>
    <row r="657">
      <c r="A657" s="675"/>
      <c r="B657" s="615"/>
      <c r="C657" s="676"/>
      <c r="D657" s="677"/>
      <c r="E657" s="677"/>
      <c r="F657" s="615"/>
      <c r="G657" s="615"/>
      <c r="H657" s="615"/>
      <c r="I657" s="679"/>
      <c r="J657" s="615"/>
      <c r="K657" s="615"/>
      <c r="L657" s="615"/>
      <c r="M657" s="615"/>
      <c r="N657" s="615"/>
      <c r="O657" s="615"/>
      <c r="P657" s="615"/>
      <c r="Q657" s="615"/>
      <c r="R657" s="615"/>
      <c r="S657" s="615"/>
      <c r="T657" s="615"/>
      <c r="U657" s="615"/>
      <c r="V657" s="615"/>
      <c r="W657" s="615"/>
      <c r="X657" s="615"/>
      <c r="Y657" s="615"/>
      <c r="Z657" s="615"/>
      <c r="AA657" s="615"/>
    </row>
    <row r="658">
      <c r="A658" s="675"/>
      <c r="B658" s="615"/>
      <c r="C658" s="676"/>
      <c r="D658" s="677"/>
      <c r="E658" s="677"/>
      <c r="F658" s="615"/>
      <c r="G658" s="615"/>
      <c r="H658" s="615"/>
      <c r="I658" s="679"/>
      <c r="J658" s="615"/>
      <c r="K658" s="615"/>
      <c r="L658" s="615"/>
      <c r="M658" s="615"/>
      <c r="N658" s="615"/>
      <c r="O658" s="615"/>
      <c r="P658" s="615"/>
      <c r="Q658" s="615"/>
      <c r="R658" s="615"/>
      <c r="S658" s="615"/>
      <c r="T658" s="615"/>
      <c r="U658" s="615"/>
      <c r="V658" s="615"/>
      <c r="W658" s="615"/>
      <c r="X658" s="615"/>
      <c r="Y658" s="615"/>
      <c r="Z658" s="615"/>
      <c r="AA658" s="615"/>
    </row>
    <row r="659">
      <c r="A659" s="675"/>
      <c r="B659" s="615"/>
      <c r="C659" s="676"/>
      <c r="D659" s="677"/>
      <c r="E659" s="677"/>
      <c r="F659" s="615"/>
      <c r="G659" s="615"/>
      <c r="H659" s="615"/>
      <c r="I659" s="679"/>
      <c r="J659" s="615"/>
      <c r="K659" s="615"/>
      <c r="L659" s="615"/>
      <c r="M659" s="615"/>
      <c r="N659" s="615"/>
      <c r="O659" s="615"/>
      <c r="P659" s="615"/>
      <c r="Q659" s="615"/>
      <c r="R659" s="615"/>
      <c r="S659" s="615"/>
      <c r="T659" s="615"/>
      <c r="U659" s="615"/>
      <c r="V659" s="615"/>
      <c r="W659" s="615"/>
      <c r="X659" s="615"/>
      <c r="Y659" s="615"/>
      <c r="Z659" s="615"/>
      <c r="AA659" s="615"/>
    </row>
    <row r="660">
      <c r="A660" s="675"/>
      <c r="B660" s="615"/>
      <c r="C660" s="676"/>
      <c r="D660" s="677"/>
      <c r="E660" s="677"/>
      <c r="F660" s="615"/>
      <c r="G660" s="615"/>
      <c r="H660" s="615"/>
      <c r="I660" s="679"/>
      <c r="J660" s="615"/>
      <c r="K660" s="615"/>
      <c r="L660" s="615"/>
      <c r="M660" s="615"/>
      <c r="N660" s="615"/>
      <c r="O660" s="615"/>
      <c r="P660" s="615"/>
      <c r="Q660" s="615"/>
      <c r="R660" s="615"/>
      <c r="S660" s="615"/>
      <c r="T660" s="615"/>
      <c r="U660" s="615"/>
      <c r="V660" s="615"/>
      <c r="W660" s="615"/>
      <c r="X660" s="615"/>
      <c r="Y660" s="615"/>
      <c r="Z660" s="615"/>
      <c r="AA660" s="615"/>
    </row>
    <row r="661">
      <c r="A661" s="675"/>
      <c r="B661" s="615"/>
      <c r="C661" s="676"/>
      <c r="D661" s="677"/>
      <c r="E661" s="677"/>
      <c r="F661" s="615"/>
      <c r="G661" s="615"/>
      <c r="H661" s="615"/>
      <c r="I661" s="679"/>
      <c r="J661" s="615"/>
      <c r="K661" s="615"/>
      <c r="L661" s="615"/>
      <c r="M661" s="615"/>
      <c r="N661" s="615"/>
      <c r="O661" s="615"/>
      <c r="P661" s="615"/>
      <c r="Q661" s="615"/>
      <c r="R661" s="615"/>
      <c r="S661" s="615"/>
      <c r="T661" s="615"/>
      <c r="U661" s="615"/>
      <c r="V661" s="615"/>
      <c r="W661" s="615"/>
      <c r="X661" s="615"/>
      <c r="Y661" s="615"/>
      <c r="Z661" s="615"/>
      <c r="AA661" s="615"/>
    </row>
    <row r="662">
      <c r="A662" s="675"/>
      <c r="B662" s="615"/>
      <c r="C662" s="676"/>
      <c r="D662" s="677"/>
      <c r="E662" s="677"/>
      <c r="F662" s="615"/>
      <c r="G662" s="615"/>
      <c r="H662" s="615"/>
      <c r="I662" s="679"/>
      <c r="J662" s="615"/>
      <c r="K662" s="615"/>
      <c r="L662" s="615"/>
      <c r="M662" s="615"/>
      <c r="N662" s="615"/>
      <c r="O662" s="615"/>
      <c r="P662" s="615"/>
      <c r="Q662" s="615"/>
      <c r="R662" s="615"/>
      <c r="S662" s="615"/>
      <c r="T662" s="615"/>
      <c r="U662" s="615"/>
      <c r="V662" s="615"/>
      <c r="W662" s="615"/>
      <c r="X662" s="615"/>
      <c r="Y662" s="615"/>
      <c r="Z662" s="615"/>
      <c r="AA662" s="615"/>
    </row>
    <row r="663">
      <c r="A663" s="675"/>
      <c r="B663" s="615"/>
      <c r="C663" s="676"/>
      <c r="D663" s="677"/>
      <c r="E663" s="677"/>
      <c r="F663" s="615"/>
      <c r="G663" s="615"/>
      <c r="H663" s="615"/>
      <c r="I663" s="679"/>
      <c r="J663" s="615"/>
      <c r="K663" s="615"/>
      <c r="L663" s="615"/>
      <c r="M663" s="615"/>
      <c r="N663" s="615"/>
      <c r="O663" s="615"/>
      <c r="P663" s="615"/>
      <c r="Q663" s="615"/>
      <c r="R663" s="615"/>
      <c r="S663" s="615"/>
      <c r="T663" s="615"/>
      <c r="U663" s="615"/>
      <c r="V663" s="615"/>
      <c r="W663" s="615"/>
      <c r="X663" s="615"/>
      <c r="Y663" s="615"/>
      <c r="Z663" s="615"/>
      <c r="AA663" s="615"/>
    </row>
    <row r="664">
      <c r="A664" s="675"/>
      <c r="B664" s="615"/>
      <c r="C664" s="676"/>
      <c r="D664" s="677"/>
      <c r="E664" s="677"/>
      <c r="F664" s="615"/>
      <c r="G664" s="615"/>
      <c r="H664" s="615"/>
      <c r="I664" s="679"/>
      <c r="J664" s="615"/>
      <c r="K664" s="615"/>
      <c r="L664" s="615"/>
      <c r="M664" s="615"/>
      <c r="N664" s="615"/>
      <c r="O664" s="615"/>
      <c r="P664" s="615"/>
      <c r="Q664" s="615"/>
      <c r="R664" s="615"/>
      <c r="S664" s="615"/>
      <c r="T664" s="615"/>
      <c r="U664" s="615"/>
      <c r="V664" s="615"/>
      <c r="W664" s="615"/>
      <c r="X664" s="615"/>
      <c r="Y664" s="615"/>
      <c r="Z664" s="615"/>
      <c r="AA664" s="615"/>
    </row>
    <row r="665">
      <c r="A665" s="675"/>
      <c r="B665" s="615"/>
      <c r="C665" s="676"/>
      <c r="D665" s="677"/>
      <c r="E665" s="677"/>
      <c r="F665" s="615"/>
      <c r="G665" s="615"/>
      <c r="H665" s="615"/>
      <c r="I665" s="679"/>
      <c r="J665" s="615"/>
      <c r="K665" s="615"/>
      <c r="L665" s="615"/>
      <c r="M665" s="615"/>
      <c r="N665" s="615"/>
      <c r="O665" s="615"/>
      <c r="P665" s="615"/>
      <c r="Q665" s="615"/>
      <c r="R665" s="615"/>
      <c r="S665" s="615"/>
      <c r="T665" s="615"/>
      <c r="U665" s="615"/>
      <c r="V665" s="615"/>
      <c r="W665" s="615"/>
      <c r="X665" s="615"/>
      <c r="Y665" s="615"/>
      <c r="Z665" s="615"/>
      <c r="AA665" s="615"/>
    </row>
    <row r="666">
      <c r="A666" s="675"/>
      <c r="B666" s="615"/>
      <c r="C666" s="676"/>
      <c r="D666" s="677"/>
      <c r="E666" s="677"/>
      <c r="F666" s="615"/>
      <c r="G666" s="615"/>
      <c r="H666" s="615"/>
      <c r="I666" s="679"/>
      <c r="J666" s="615"/>
      <c r="K666" s="615"/>
      <c r="L666" s="615"/>
      <c r="M666" s="615"/>
      <c r="N666" s="615"/>
      <c r="O666" s="615"/>
      <c r="P666" s="615"/>
      <c r="Q666" s="615"/>
      <c r="R666" s="615"/>
      <c r="S666" s="615"/>
      <c r="T666" s="615"/>
      <c r="U666" s="615"/>
      <c r="V666" s="615"/>
      <c r="W666" s="615"/>
      <c r="X666" s="615"/>
      <c r="Y666" s="615"/>
      <c r="Z666" s="615"/>
      <c r="AA666" s="615"/>
    </row>
    <row r="667">
      <c r="A667" s="675"/>
      <c r="B667" s="615"/>
      <c r="C667" s="676"/>
      <c r="D667" s="677"/>
      <c r="E667" s="677"/>
      <c r="F667" s="615"/>
      <c r="G667" s="615"/>
      <c r="H667" s="615"/>
      <c r="I667" s="679"/>
      <c r="J667" s="615"/>
      <c r="K667" s="615"/>
      <c r="L667" s="615"/>
      <c r="M667" s="615"/>
      <c r="N667" s="615"/>
      <c r="O667" s="615"/>
      <c r="P667" s="615"/>
      <c r="Q667" s="615"/>
      <c r="R667" s="615"/>
      <c r="S667" s="615"/>
      <c r="T667" s="615"/>
      <c r="U667" s="615"/>
      <c r="V667" s="615"/>
      <c r="W667" s="615"/>
      <c r="X667" s="615"/>
      <c r="Y667" s="615"/>
      <c r="Z667" s="615"/>
      <c r="AA667" s="615"/>
    </row>
    <row r="668">
      <c r="A668" s="675"/>
      <c r="B668" s="615"/>
      <c r="C668" s="676"/>
      <c r="D668" s="677"/>
      <c r="E668" s="677"/>
      <c r="F668" s="615"/>
      <c r="G668" s="615"/>
      <c r="H668" s="615"/>
      <c r="I668" s="679"/>
      <c r="J668" s="615"/>
      <c r="K668" s="615"/>
      <c r="L668" s="615"/>
      <c r="M668" s="615"/>
      <c r="N668" s="615"/>
      <c r="O668" s="615"/>
      <c r="P668" s="615"/>
      <c r="Q668" s="615"/>
      <c r="R668" s="615"/>
      <c r="S668" s="615"/>
      <c r="T668" s="615"/>
      <c r="U668" s="615"/>
      <c r="V668" s="615"/>
      <c r="W668" s="615"/>
      <c r="X668" s="615"/>
      <c r="Y668" s="615"/>
      <c r="Z668" s="615"/>
      <c r="AA668" s="615"/>
    </row>
    <row r="669">
      <c r="A669" s="675"/>
      <c r="B669" s="615"/>
      <c r="C669" s="676"/>
      <c r="D669" s="677"/>
      <c r="E669" s="677"/>
      <c r="F669" s="615"/>
      <c r="G669" s="615"/>
      <c r="H669" s="615"/>
      <c r="I669" s="679"/>
      <c r="J669" s="615"/>
      <c r="K669" s="615"/>
      <c r="L669" s="615"/>
      <c r="M669" s="615"/>
      <c r="N669" s="615"/>
      <c r="O669" s="615"/>
      <c r="P669" s="615"/>
      <c r="Q669" s="615"/>
      <c r="R669" s="615"/>
      <c r="S669" s="615"/>
      <c r="T669" s="615"/>
      <c r="U669" s="615"/>
      <c r="V669" s="615"/>
      <c r="W669" s="615"/>
      <c r="X669" s="615"/>
      <c r="Y669" s="615"/>
      <c r="Z669" s="615"/>
      <c r="AA669" s="615"/>
    </row>
    <row r="670">
      <c r="A670" s="675"/>
      <c r="B670" s="615"/>
      <c r="C670" s="676"/>
      <c r="D670" s="677"/>
      <c r="E670" s="677"/>
      <c r="F670" s="615"/>
      <c r="G670" s="615"/>
      <c r="H670" s="615"/>
      <c r="I670" s="679"/>
      <c r="J670" s="615"/>
      <c r="K670" s="615"/>
      <c r="L670" s="615"/>
      <c r="M670" s="615"/>
      <c r="N670" s="615"/>
      <c r="O670" s="615"/>
      <c r="P670" s="615"/>
      <c r="Q670" s="615"/>
      <c r="R670" s="615"/>
      <c r="S670" s="615"/>
      <c r="T670" s="615"/>
      <c r="U670" s="615"/>
      <c r="V670" s="615"/>
      <c r="W670" s="615"/>
      <c r="X670" s="615"/>
      <c r="Y670" s="615"/>
      <c r="Z670" s="615"/>
      <c r="AA670" s="615"/>
    </row>
    <row r="671">
      <c r="A671" s="675"/>
      <c r="B671" s="615"/>
      <c r="C671" s="676"/>
      <c r="D671" s="677"/>
      <c r="E671" s="677"/>
      <c r="F671" s="615"/>
      <c r="G671" s="615"/>
      <c r="H671" s="615"/>
      <c r="I671" s="679"/>
      <c r="J671" s="615"/>
      <c r="K671" s="615"/>
      <c r="L671" s="615"/>
      <c r="M671" s="615"/>
      <c r="N671" s="615"/>
      <c r="O671" s="615"/>
      <c r="P671" s="615"/>
      <c r="Q671" s="615"/>
      <c r="R671" s="615"/>
      <c r="S671" s="615"/>
      <c r="T671" s="615"/>
      <c r="U671" s="615"/>
      <c r="V671" s="615"/>
      <c r="W671" s="615"/>
      <c r="X671" s="615"/>
      <c r="Y671" s="615"/>
      <c r="Z671" s="615"/>
      <c r="AA671" s="615"/>
    </row>
    <row r="672">
      <c r="A672" s="675"/>
      <c r="B672" s="615"/>
      <c r="C672" s="676"/>
      <c r="D672" s="677"/>
      <c r="E672" s="677"/>
      <c r="F672" s="615"/>
      <c r="G672" s="615"/>
      <c r="H672" s="615"/>
      <c r="I672" s="679"/>
      <c r="J672" s="615"/>
      <c r="K672" s="615"/>
      <c r="L672" s="615"/>
      <c r="M672" s="615"/>
      <c r="N672" s="615"/>
      <c r="O672" s="615"/>
      <c r="P672" s="615"/>
      <c r="Q672" s="615"/>
      <c r="R672" s="615"/>
      <c r="S672" s="615"/>
      <c r="T672" s="615"/>
      <c r="U672" s="615"/>
      <c r="V672" s="615"/>
      <c r="W672" s="615"/>
      <c r="X672" s="615"/>
      <c r="Y672" s="615"/>
      <c r="Z672" s="615"/>
      <c r="AA672" s="615"/>
    </row>
    <row r="673">
      <c r="A673" s="675"/>
      <c r="B673" s="615"/>
      <c r="C673" s="676"/>
      <c r="D673" s="677"/>
      <c r="E673" s="677"/>
      <c r="F673" s="615"/>
      <c r="G673" s="615"/>
      <c r="H673" s="615"/>
      <c r="I673" s="679"/>
      <c r="J673" s="615"/>
      <c r="K673" s="615"/>
      <c r="L673" s="615"/>
      <c r="M673" s="615"/>
      <c r="N673" s="615"/>
      <c r="O673" s="615"/>
      <c r="P673" s="615"/>
      <c r="Q673" s="615"/>
      <c r="R673" s="615"/>
      <c r="S673" s="615"/>
      <c r="T673" s="615"/>
      <c r="U673" s="615"/>
      <c r="V673" s="615"/>
      <c r="W673" s="615"/>
      <c r="X673" s="615"/>
      <c r="Y673" s="615"/>
      <c r="Z673" s="615"/>
      <c r="AA673" s="615"/>
    </row>
    <row r="674">
      <c r="A674" s="675"/>
      <c r="B674" s="615"/>
      <c r="C674" s="676"/>
      <c r="D674" s="677"/>
      <c r="E674" s="677"/>
      <c r="F674" s="615"/>
      <c r="G674" s="615"/>
      <c r="H674" s="615"/>
      <c r="I674" s="679"/>
      <c r="J674" s="615"/>
      <c r="K674" s="615"/>
      <c r="L674" s="615"/>
      <c r="M674" s="615"/>
      <c r="N674" s="615"/>
      <c r="O674" s="615"/>
      <c r="P674" s="615"/>
      <c r="Q674" s="615"/>
      <c r="R674" s="615"/>
      <c r="S674" s="615"/>
      <c r="T674" s="615"/>
      <c r="U674" s="615"/>
      <c r="V674" s="615"/>
      <c r="W674" s="615"/>
      <c r="X674" s="615"/>
      <c r="Y674" s="615"/>
      <c r="Z674" s="615"/>
      <c r="AA674" s="615"/>
    </row>
    <row r="675">
      <c r="A675" s="675"/>
      <c r="B675" s="615"/>
      <c r="C675" s="676"/>
      <c r="D675" s="677"/>
      <c r="E675" s="677"/>
      <c r="F675" s="615"/>
      <c r="G675" s="615"/>
      <c r="H675" s="615"/>
      <c r="I675" s="679"/>
      <c r="J675" s="615"/>
      <c r="K675" s="615"/>
      <c r="L675" s="615"/>
      <c r="M675" s="615"/>
      <c r="N675" s="615"/>
      <c r="O675" s="615"/>
      <c r="P675" s="615"/>
      <c r="Q675" s="615"/>
      <c r="R675" s="615"/>
      <c r="S675" s="615"/>
      <c r="T675" s="615"/>
      <c r="U675" s="615"/>
      <c r="V675" s="615"/>
      <c r="W675" s="615"/>
      <c r="X675" s="615"/>
      <c r="Y675" s="615"/>
      <c r="Z675" s="615"/>
      <c r="AA675" s="615"/>
    </row>
    <row r="676">
      <c r="A676" s="675"/>
      <c r="B676" s="615"/>
      <c r="C676" s="676"/>
      <c r="D676" s="677"/>
      <c r="E676" s="677"/>
      <c r="F676" s="615"/>
      <c r="G676" s="615"/>
      <c r="H676" s="615"/>
      <c r="I676" s="679"/>
      <c r="J676" s="615"/>
      <c r="K676" s="615"/>
      <c r="L676" s="615"/>
      <c r="M676" s="615"/>
      <c r="N676" s="615"/>
      <c r="O676" s="615"/>
      <c r="P676" s="615"/>
      <c r="Q676" s="615"/>
      <c r="R676" s="615"/>
      <c r="S676" s="615"/>
      <c r="T676" s="615"/>
      <c r="U676" s="615"/>
      <c r="V676" s="615"/>
      <c r="W676" s="615"/>
      <c r="X676" s="615"/>
      <c r="Y676" s="615"/>
      <c r="Z676" s="615"/>
      <c r="AA676" s="615"/>
    </row>
    <row r="677">
      <c r="A677" s="675"/>
      <c r="B677" s="615"/>
      <c r="C677" s="676"/>
      <c r="D677" s="677"/>
      <c r="E677" s="677"/>
      <c r="F677" s="615"/>
      <c r="G677" s="615"/>
      <c r="H677" s="615"/>
      <c r="I677" s="679"/>
      <c r="J677" s="615"/>
      <c r="K677" s="615"/>
      <c r="L677" s="615"/>
      <c r="M677" s="615"/>
      <c r="N677" s="615"/>
      <c r="O677" s="615"/>
      <c r="P677" s="615"/>
      <c r="Q677" s="615"/>
      <c r="R677" s="615"/>
      <c r="S677" s="615"/>
      <c r="T677" s="615"/>
      <c r="U677" s="615"/>
      <c r="V677" s="615"/>
      <c r="W677" s="615"/>
      <c r="X677" s="615"/>
      <c r="Y677" s="615"/>
      <c r="Z677" s="615"/>
      <c r="AA677" s="615"/>
    </row>
    <row r="678">
      <c r="A678" s="675"/>
      <c r="B678" s="615"/>
      <c r="C678" s="676"/>
      <c r="D678" s="677"/>
      <c r="E678" s="677"/>
      <c r="F678" s="615"/>
      <c r="G678" s="615"/>
      <c r="H678" s="615"/>
      <c r="I678" s="679"/>
      <c r="J678" s="615"/>
      <c r="K678" s="615"/>
      <c r="L678" s="615"/>
      <c r="M678" s="615"/>
      <c r="N678" s="615"/>
      <c r="O678" s="615"/>
      <c r="P678" s="615"/>
      <c r="Q678" s="615"/>
      <c r="R678" s="615"/>
      <c r="S678" s="615"/>
      <c r="T678" s="615"/>
      <c r="U678" s="615"/>
      <c r="V678" s="615"/>
      <c r="W678" s="615"/>
      <c r="X678" s="615"/>
      <c r="Y678" s="615"/>
      <c r="Z678" s="615"/>
      <c r="AA678" s="615"/>
    </row>
    <row r="679">
      <c r="A679" s="675"/>
      <c r="B679" s="615"/>
      <c r="C679" s="676"/>
      <c r="D679" s="677"/>
      <c r="E679" s="677"/>
      <c r="F679" s="615"/>
      <c r="G679" s="615"/>
      <c r="H679" s="615"/>
      <c r="I679" s="679"/>
      <c r="J679" s="615"/>
      <c r="K679" s="615"/>
      <c r="L679" s="615"/>
      <c r="M679" s="615"/>
      <c r="N679" s="615"/>
      <c r="O679" s="615"/>
      <c r="P679" s="615"/>
      <c r="Q679" s="615"/>
      <c r="R679" s="615"/>
      <c r="S679" s="615"/>
      <c r="T679" s="615"/>
      <c r="U679" s="615"/>
      <c r="V679" s="615"/>
      <c r="W679" s="615"/>
      <c r="X679" s="615"/>
      <c r="Y679" s="615"/>
      <c r="Z679" s="615"/>
      <c r="AA679" s="615"/>
    </row>
    <row r="680">
      <c r="A680" s="675"/>
      <c r="B680" s="615"/>
      <c r="C680" s="676"/>
      <c r="D680" s="677"/>
      <c r="E680" s="677"/>
      <c r="F680" s="615"/>
      <c r="G680" s="615"/>
      <c r="H680" s="615"/>
      <c r="I680" s="679"/>
      <c r="J680" s="615"/>
      <c r="K680" s="615"/>
      <c r="L680" s="615"/>
      <c r="M680" s="615"/>
      <c r="N680" s="615"/>
      <c r="O680" s="615"/>
      <c r="P680" s="615"/>
      <c r="Q680" s="615"/>
      <c r="R680" s="615"/>
      <c r="S680" s="615"/>
      <c r="T680" s="615"/>
      <c r="U680" s="615"/>
      <c r="V680" s="615"/>
      <c r="W680" s="615"/>
      <c r="X680" s="615"/>
      <c r="Y680" s="615"/>
      <c r="Z680" s="615"/>
      <c r="AA680" s="615"/>
    </row>
    <row r="681">
      <c r="A681" s="675"/>
      <c r="B681" s="615"/>
      <c r="C681" s="676"/>
      <c r="D681" s="677"/>
      <c r="E681" s="677"/>
      <c r="F681" s="615"/>
      <c r="G681" s="615"/>
      <c r="H681" s="615"/>
      <c r="I681" s="679"/>
      <c r="J681" s="615"/>
      <c r="K681" s="615"/>
      <c r="L681" s="615"/>
      <c r="M681" s="615"/>
      <c r="N681" s="615"/>
      <c r="O681" s="615"/>
      <c r="P681" s="615"/>
      <c r="Q681" s="615"/>
      <c r="R681" s="615"/>
      <c r="S681" s="615"/>
      <c r="T681" s="615"/>
      <c r="U681" s="615"/>
      <c r="V681" s="615"/>
      <c r="W681" s="615"/>
      <c r="X681" s="615"/>
      <c r="Y681" s="615"/>
      <c r="Z681" s="615"/>
      <c r="AA681" s="615"/>
    </row>
    <row r="682">
      <c r="A682" s="675"/>
      <c r="B682" s="615"/>
      <c r="C682" s="676"/>
      <c r="D682" s="677"/>
      <c r="E682" s="677"/>
      <c r="F682" s="615"/>
      <c r="G682" s="615"/>
      <c r="H682" s="615"/>
      <c r="I682" s="679"/>
      <c r="J682" s="615"/>
      <c r="K682" s="615"/>
      <c r="L682" s="615"/>
      <c r="M682" s="615"/>
      <c r="N682" s="615"/>
      <c r="O682" s="615"/>
      <c r="P682" s="615"/>
      <c r="Q682" s="615"/>
      <c r="R682" s="615"/>
      <c r="S682" s="615"/>
      <c r="T682" s="615"/>
      <c r="U682" s="615"/>
      <c r="V682" s="615"/>
      <c r="W682" s="615"/>
      <c r="X682" s="615"/>
      <c r="Y682" s="615"/>
      <c r="Z682" s="615"/>
      <c r="AA682" s="615"/>
    </row>
    <row r="683">
      <c r="A683" s="675"/>
      <c r="B683" s="615"/>
      <c r="C683" s="676"/>
      <c r="D683" s="677"/>
      <c r="E683" s="677"/>
      <c r="F683" s="615"/>
      <c r="G683" s="615"/>
      <c r="H683" s="615"/>
      <c r="I683" s="679"/>
      <c r="J683" s="615"/>
      <c r="K683" s="615"/>
      <c r="L683" s="615"/>
      <c r="M683" s="615"/>
      <c r="N683" s="615"/>
      <c r="O683" s="615"/>
      <c r="P683" s="615"/>
      <c r="Q683" s="615"/>
      <c r="R683" s="615"/>
      <c r="S683" s="615"/>
      <c r="T683" s="615"/>
      <c r="U683" s="615"/>
      <c r="V683" s="615"/>
      <c r="W683" s="615"/>
      <c r="X683" s="615"/>
      <c r="Y683" s="615"/>
      <c r="Z683" s="615"/>
      <c r="AA683" s="615"/>
    </row>
    <row r="684">
      <c r="A684" s="675"/>
      <c r="B684" s="615"/>
      <c r="C684" s="676"/>
      <c r="D684" s="677"/>
      <c r="E684" s="677"/>
      <c r="F684" s="615"/>
      <c r="G684" s="615"/>
      <c r="H684" s="615"/>
      <c r="I684" s="679"/>
      <c r="J684" s="615"/>
      <c r="K684" s="615"/>
      <c r="L684" s="615"/>
      <c r="M684" s="615"/>
      <c r="N684" s="615"/>
      <c r="O684" s="615"/>
      <c r="P684" s="615"/>
      <c r="Q684" s="615"/>
      <c r="R684" s="615"/>
      <c r="S684" s="615"/>
      <c r="T684" s="615"/>
      <c r="U684" s="615"/>
      <c r="V684" s="615"/>
      <c r="W684" s="615"/>
      <c r="X684" s="615"/>
      <c r="Y684" s="615"/>
      <c r="Z684" s="615"/>
      <c r="AA684" s="615"/>
    </row>
    <row r="685">
      <c r="A685" s="675"/>
      <c r="B685" s="615"/>
      <c r="C685" s="676"/>
      <c r="D685" s="677"/>
      <c r="E685" s="677"/>
      <c r="F685" s="615"/>
      <c r="G685" s="615"/>
      <c r="H685" s="615"/>
      <c r="I685" s="679"/>
      <c r="J685" s="615"/>
      <c r="K685" s="615"/>
      <c r="L685" s="615"/>
      <c r="M685" s="615"/>
      <c r="N685" s="615"/>
      <c r="O685" s="615"/>
      <c r="P685" s="615"/>
      <c r="Q685" s="615"/>
      <c r="R685" s="615"/>
      <c r="S685" s="615"/>
      <c r="T685" s="615"/>
      <c r="U685" s="615"/>
      <c r="V685" s="615"/>
      <c r="W685" s="615"/>
      <c r="X685" s="615"/>
      <c r="Y685" s="615"/>
      <c r="Z685" s="615"/>
      <c r="AA685" s="615"/>
    </row>
    <row r="686">
      <c r="A686" s="675"/>
      <c r="B686" s="615"/>
      <c r="C686" s="676"/>
      <c r="D686" s="677"/>
      <c r="E686" s="677"/>
      <c r="F686" s="615"/>
      <c r="G686" s="615"/>
      <c r="H686" s="615"/>
      <c r="I686" s="679"/>
      <c r="J686" s="615"/>
      <c r="K686" s="615"/>
      <c r="L686" s="615"/>
      <c r="M686" s="615"/>
      <c r="N686" s="615"/>
      <c r="O686" s="615"/>
      <c r="P686" s="615"/>
      <c r="Q686" s="615"/>
      <c r="R686" s="615"/>
      <c r="S686" s="615"/>
      <c r="T686" s="615"/>
      <c r="U686" s="615"/>
      <c r="V686" s="615"/>
      <c r="W686" s="615"/>
      <c r="X686" s="615"/>
      <c r="Y686" s="615"/>
      <c r="Z686" s="615"/>
      <c r="AA686" s="615"/>
    </row>
    <row r="687">
      <c r="A687" s="675"/>
      <c r="B687" s="615"/>
      <c r="C687" s="676"/>
      <c r="D687" s="677"/>
      <c r="E687" s="677"/>
      <c r="F687" s="615"/>
      <c r="G687" s="615"/>
      <c r="H687" s="615"/>
      <c r="I687" s="679"/>
      <c r="J687" s="615"/>
      <c r="K687" s="615"/>
      <c r="L687" s="615"/>
      <c r="M687" s="615"/>
      <c r="N687" s="615"/>
      <c r="O687" s="615"/>
      <c r="P687" s="615"/>
      <c r="Q687" s="615"/>
      <c r="R687" s="615"/>
      <c r="S687" s="615"/>
      <c r="T687" s="615"/>
      <c r="U687" s="615"/>
      <c r="V687" s="615"/>
      <c r="W687" s="615"/>
      <c r="X687" s="615"/>
      <c r="Y687" s="615"/>
      <c r="Z687" s="615"/>
      <c r="AA687" s="615"/>
    </row>
    <row r="688">
      <c r="A688" s="675"/>
      <c r="B688" s="615"/>
      <c r="C688" s="676"/>
      <c r="D688" s="677"/>
      <c r="E688" s="677"/>
      <c r="F688" s="615"/>
      <c r="G688" s="615"/>
      <c r="H688" s="615"/>
      <c r="I688" s="679"/>
      <c r="J688" s="615"/>
      <c r="K688" s="615"/>
      <c r="L688" s="615"/>
      <c r="M688" s="615"/>
      <c r="N688" s="615"/>
      <c r="O688" s="615"/>
      <c r="P688" s="615"/>
      <c r="Q688" s="615"/>
      <c r="R688" s="615"/>
      <c r="S688" s="615"/>
      <c r="T688" s="615"/>
      <c r="U688" s="615"/>
      <c r="V688" s="615"/>
      <c r="W688" s="615"/>
      <c r="X688" s="615"/>
      <c r="Y688" s="615"/>
      <c r="Z688" s="615"/>
      <c r="AA688" s="615"/>
    </row>
    <row r="689">
      <c r="A689" s="675"/>
      <c r="B689" s="615"/>
      <c r="C689" s="676"/>
      <c r="D689" s="677"/>
      <c r="E689" s="677"/>
      <c r="F689" s="615"/>
      <c r="G689" s="615"/>
      <c r="H689" s="615"/>
      <c r="I689" s="679"/>
      <c r="J689" s="615"/>
      <c r="K689" s="615"/>
      <c r="L689" s="615"/>
      <c r="M689" s="615"/>
      <c r="N689" s="615"/>
      <c r="O689" s="615"/>
      <c r="P689" s="615"/>
      <c r="Q689" s="615"/>
      <c r="R689" s="615"/>
      <c r="S689" s="615"/>
      <c r="T689" s="615"/>
      <c r="U689" s="615"/>
      <c r="V689" s="615"/>
      <c r="W689" s="615"/>
      <c r="X689" s="615"/>
      <c r="Y689" s="615"/>
      <c r="Z689" s="615"/>
      <c r="AA689" s="615"/>
    </row>
    <row r="690">
      <c r="A690" s="675"/>
      <c r="B690" s="615"/>
      <c r="C690" s="676"/>
      <c r="D690" s="677"/>
      <c r="E690" s="677"/>
      <c r="F690" s="615"/>
      <c r="G690" s="615"/>
      <c r="H690" s="615"/>
      <c r="I690" s="679"/>
      <c r="J690" s="615"/>
      <c r="K690" s="615"/>
      <c r="L690" s="615"/>
      <c r="M690" s="615"/>
      <c r="N690" s="615"/>
      <c r="O690" s="615"/>
      <c r="P690" s="615"/>
      <c r="Q690" s="615"/>
      <c r="R690" s="615"/>
      <c r="S690" s="615"/>
      <c r="T690" s="615"/>
      <c r="U690" s="615"/>
      <c r="V690" s="615"/>
      <c r="W690" s="615"/>
      <c r="X690" s="615"/>
      <c r="Y690" s="615"/>
      <c r="Z690" s="615"/>
      <c r="AA690" s="615"/>
    </row>
    <row r="691">
      <c r="A691" s="675"/>
      <c r="B691" s="615"/>
      <c r="C691" s="676"/>
      <c r="D691" s="677"/>
      <c r="E691" s="677"/>
      <c r="F691" s="615"/>
      <c r="G691" s="615"/>
      <c r="H691" s="615"/>
      <c r="I691" s="679"/>
      <c r="J691" s="615"/>
      <c r="K691" s="615"/>
      <c r="L691" s="615"/>
      <c r="M691" s="615"/>
      <c r="N691" s="615"/>
      <c r="O691" s="615"/>
      <c r="P691" s="615"/>
      <c r="Q691" s="615"/>
      <c r="R691" s="615"/>
      <c r="S691" s="615"/>
      <c r="T691" s="615"/>
      <c r="U691" s="615"/>
      <c r="V691" s="615"/>
      <c r="W691" s="615"/>
      <c r="X691" s="615"/>
      <c r="Y691" s="615"/>
      <c r="Z691" s="615"/>
      <c r="AA691" s="615"/>
    </row>
    <row r="692">
      <c r="A692" s="675"/>
      <c r="B692" s="615"/>
      <c r="C692" s="676"/>
      <c r="D692" s="677"/>
      <c r="E692" s="677"/>
      <c r="F692" s="615"/>
      <c r="G692" s="615"/>
      <c r="H692" s="615"/>
      <c r="I692" s="679"/>
      <c r="J692" s="615"/>
      <c r="K692" s="615"/>
      <c r="L692" s="615"/>
      <c r="M692" s="615"/>
      <c r="N692" s="615"/>
      <c r="O692" s="615"/>
      <c r="P692" s="615"/>
      <c r="Q692" s="615"/>
      <c r="R692" s="615"/>
      <c r="S692" s="615"/>
      <c r="T692" s="615"/>
      <c r="U692" s="615"/>
      <c r="V692" s="615"/>
      <c r="W692" s="615"/>
      <c r="X692" s="615"/>
      <c r="Y692" s="615"/>
      <c r="Z692" s="615"/>
      <c r="AA692" s="615"/>
    </row>
    <row r="693">
      <c r="A693" s="675"/>
      <c r="B693" s="615"/>
      <c r="C693" s="676"/>
      <c r="D693" s="677"/>
      <c r="E693" s="677"/>
      <c r="F693" s="615"/>
      <c r="G693" s="615"/>
      <c r="H693" s="615"/>
      <c r="I693" s="679"/>
      <c r="J693" s="615"/>
      <c r="K693" s="615"/>
      <c r="L693" s="615"/>
      <c r="M693" s="615"/>
      <c r="N693" s="615"/>
      <c r="O693" s="615"/>
      <c r="P693" s="615"/>
      <c r="Q693" s="615"/>
      <c r="R693" s="615"/>
      <c r="S693" s="615"/>
      <c r="T693" s="615"/>
      <c r="U693" s="615"/>
      <c r="V693" s="615"/>
      <c r="W693" s="615"/>
      <c r="X693" s="615"/>
      <c r="Y693" s="615"/>
      <c r="Z693" s="615"/>
      <c r="AA693" s="615"/>
    </row>
    <row r="694">
      <c r="A694" s="675"/>
      <c r="B694" s="615"/>
      <c r="C694" s="676"/>
      <c r="D694" s="677"/>
      <c r="E694" s="677"/>
      <c r="F694" s="615"/>
      <c r="G694" s="615"/>
      <c r="H694" s="615"/>
      <c r="I694" s="679"/>
      <c r="J694" s="615"/>
      <c r="K694" s="615"/>
      <c r="L694" s="615"/>
      <c r="M694" s="615"/>
      <c r="N694" s="615"/>
      <c r="O694" s="615"/>
      <c r="P694" s="615"/>
      <c r="Q694" s="615"/>
      <c r="R694" s="615"/>
      <c r="S694" s="615"/>
      <c r="T694" s="615"/>
      <c r="U694" s="615"/>
      <c r="V694" s="615"/>
      <c r="W694" s="615"/>
      <c r="X694" s="615"/>
      <c r="Y694" s="615"/>
      <c r="Z694" s="615"/>
      <c r="AA694" s="615"/>
    </row>
    <row r="695">
      <c r="A695" s="675"/>
      <c r="B695" s="615"/>
      <c r="C695" s="676"/>
      <c r="D695" s="677"/>
      <c r="E695" s="677"/>
      <c r="F695" s="615"/>
      <c r="G695" s="615"/>
      <c r="H695" s="615"/>
      <c r="I695" s="679"/>
      <c r="J695" s="615"/>
      <c r="K695" s="615"/>
      <c r="L695" s="615"/>
      <c r="M695" s="615"/>
      <c r="N695" s="615"/>
      <c r="O695" s="615"/>
      <c r="P695" s="615"/>
      <c r="Q695" s="615"/>
      <c r="R695" s="615"/>
      <c r="S695" s="615"/>
      <c r="T695" s="615"/>
      <c r="U695" s="615"/>
      <c r="V695" s="615"/>
      <c r="W695" s="615"/>
      <c r="X695" s="615"/>
      <c r="Y695" s="615"/>
      <c r="Z695" s="615"/>
      <c r="AA695" s="615"/>
    </row>
    <row r="696">
      <c r="A696" s="675"/>
      <c r="B696" s="615"/>
      <c r="C696" s="676"/>
      <c r="D696" s="677"/>
      <c r="E696" s="677"/>
      <c r="F696" s="615"/>
      <c r="G696" s="615"/>
      <c r="H696" s="615"/>
      <c r="I696" s="679"/>
      <c r="J696" s="615"/>
      <c r="K696" s="615"/>
      <c r="L696" s="615"/>
      <c r="M696" s="615"/>
      <c r="N696" s="615"/>
      <c r="O696" s="615"/>
      <c r="P696" s="615"/>
      <c r="Q696" s="615"/>
      <c r="R696" s="615"/>
      <c r="S696" s="615"/>
      <c r="T696" s="615"/>
      <c r="U696" s="615"/>
      <c r="V696" s="615"/>
      <c r="W696" s="615"/>
      <c r="X696" s="615"/>
      <c r="Y696" s="615"/>
      <c r="Z696" s="615"/>
      <c r="AA696" s="615"/>
    </row>
    <row r="697">
      <c r="A697" s="675"/>
      <c r="B697" s="615"/>
      <c r="C697" s="676"/>
      <c r="D697" s="677"/>
      <c r="E697" s="677"/>
      <c r="F697" s="615"/>
      <c r="G697" s="615"/>
      <c r="H697" s="615"/>
      <c r="I697" s="679"/>
      <c r="J697" s="615"/>
      <c r="K697" s="615"/>
      <c r="L697" s="615"/>
      <c r="M697" s="615"/>
      <c r="N697" s="615"/>
      <c r="O697" s="615"/>
      <c r="P697" s="615"/>
      <c r="Q697" s="615"/>
      <c r="R697" s="615"/>
      <c r="S697" s="615"/>
      <c r="T697" s="615"/>
      <c r="U697" s="615"/>
      <c r="V697" s="615"/>
      <c r="W697" s="615"/>
      <c r="X697" s="615"/>
      <c r="Y697" s="615"/>
      <c r="Z697" s="615"/>
      <c r="AA697" s="615"/>
    </row>
    <row r="698">
      <c r="A698" s="675"/>
      <c r="B698" s="615"/>
      <c r="C698" s="676"/>
      <c r="D698" s="677"/>
      <c r="E698" s="677"/>
      <c r="F698" s="615"/>
      <c r="G698" s="615"/>
      <c r="H698" s="615"/>
      <c r="I698" s="679"/>
      <c r="J698" s="615"/>
      <c r="K698" s="615"/>
      <c r="L698" s="615"/>
      <c r="M698" s="615"/>
      <c r="N698" s="615"/>
      <c r="O698" s="615"/>
      <c r="P698" s="615"/>
      <c r="Q698" s="615"/>
      <c r="R698" s="615"/>
      <c r="S698" s="615"/>
      <c r="T698" s="615"/>
      <c r="U698" s="615"/>
      <c r="V698" s="615"/>
      <c r="W698" s="615"/>
      <c r="X698" s="615"/>
      <c r="Y698" s="615"/>
      <c r="Z698" s="615"/>
      <c r="AA698" s="615"/>
    </row>
    <row r="699">
      <c r="A699" s="675"/>
      <c r="B699" s="615"/>
      <c r="C699" s="676"/>
      <c r="D699" s="677"/>
      <c r="E699" s="677"/>
      <c r="F699" s="615"/>
      <c r="G699" s="615"/>
      <c r="H699" s="615"/>
      <c r="I699" s="679"/>
      <c r="J699" s="615"/>
      <c r="K699" s="615"/>
      <c r="L699" s="615"/>
      <c r="M699" s="615"/>
      <c r="N699" s="615"/>
      <c r="O699" s="615"/>
      <c r="P699" s="615"/>
      <c r="Q699" s="615"/>
      <c r="R699" s="615"/>
      <c r="S699" s="615"/>
      <c r="T699" s="615"/>
      <c r="U699" s="615"/>
      <c r="V699" s="615"/>
      <c r="W699" s="615"/>
      <c r="X699" s="615"/>
      <c r="Y699" s="615"/>
      <c r="Z699" s="615"/>
      <c r="AA699" s="615"/>
    </row>
    <row r="700">
      <c r="A700" s="675"/>
      <c r="B700" s="615"/>
      <c r="C700" s="676"/>
      <c r="D700" s="677"/>
      <c r="E700" s="677"/>
      <c r="F700" s="615"/>
      <c r="G700" s="615"/>
      <c r="H700" s="615"/>
      <c r="I700" s="679"/>
      <c r="J700" s="615"/>
      <c r="K700" s="615"/>
      <c r="L700" s="615"/>
      <c r="M700" s="615"/>
      <c r="N700" s="615"/>
      <c r="O700" s="615"/>
      <c r="P700" s="615"/>
      <c r="Q700" s="615"/>
      <c r="R700" s="615"/>
      <c r="S700" s="615"/>
      <c r="T700" s="615"/>
      <c r="U700" s="615"/>
      <c r="V700" s="615"/>
      <c r="W700" s="615"/>
      <c r="X700" s="615"/>
      <c r="Y700" s="615"/>
      <c r="Z700" s="615"/>
      <c r="AA700" s="615"/>
    </row>
    <row r="701">
      <c r="A701" s="675"/>
      <c r="B701" s="615"/>
      <c r="C701" s="676"/>
      <c r="D701" s="677"/>
      <c r="E701" s="677"/>
      <c r="F701" s="615"/>
      <c r="G701" s="615"/>
      <c r="H701" s="615"/>
      <c r="I701" s="679"/>
      <c r="J701" s="615"/>
      <c r="K701" s="615"/>
      <c r="L701" s="615"/>
      <c r="M701" s="615"/>
      <c r="N701" s="615"/>
      <c r="O701" s="615"/>
      <c r="P701" s="615"/>
      <c r="Q701" s="615"/>
      <c r="R701" s="615"/>
      <c r="S701" s="615"/>
      <c r="T701" s="615"/>
      <c r="U701" s="615"/>
      <c r="V701" s="615"/>
      <c r="W701" s="615"/>
      <c r="X701" s="615"/>
      <c r="Y701" s="615"/>
      <c r="Z701" s="615"/>
      <c r="AA701" s="615"/>
    </row>
    <row r="702">
      <c r="A702" s="675"/>
      <c r="B702" s="615"/>
      <c r="C702" s="676"/>
      <c r="D702" s="677"/>
      <c r="E702" s="677"/>
      <c r="F702" s="615"/>
      <c r="G702" s="615"/>
      <c r="H702" s="615"/>
      <c r="I702" s="679"/>
      <c r="J702" s="615"/>
      <c r="K702" s="615"/>
      <c r="L702" s="615"/>
      <c r="M702" s="615"/>
      <c r="N702" s="615"/>
      <c r="O702" s="615"/>
      <c r="P702" s="615"/>
      <c r="Q702" s="615"/>
      <c r="R702" s="615"/>
      <c r="S702" s="615"/>
      <c r="T702" s="615"/>
      <c r="U702" s="615"/>
      <c r="V702" s="615"/>
      <c r="W702" s="615"/>
      <c r="X702" s="615"/>
      <c r="Y702" s="615"/>
      <c r="Z702" s="615"/>
      <c r="AA702" s="615"/>
    </row>
    <row r="703">
      <c r="A703" s="675"/>
      <c r="B703" s="615"/>
      <c r="C703" s="676"/>
      <c r="D703" s="677"/>
      <c r="E703" s="677"/>
      <c r="F703" s="615"/>
      <c r="G703" s="615"/>
      <c r="H703" s="615"/>
      <c r="I703" s="679"/>
      <c r="J703" s="615"/>
      <c r="K703" s="615"/>
      <c r="L703" s="615"/>
      <c r="M703" s="615"/>
      <c r="N703" s="615"/>
      <c r="O703" s="615"/>
      <c r="P703" s="615"/>
      <c r="Q703" s="615"/>
      <c r="R703" s="615"/>
      <c r="S703" s="615"/>
      <c r="T703" s="615"/>
      <c r="U703" s="615"/>
      <c r="V703" s="615"/>
      <c r="W703" s="615"/>
      <c r="X703" s="615"/>
      <c r="Y703" s="615"/>
      <c r="Z703" s="615"/>
      <c r="AA703" s="615"/>
    </row>
    <row r="704">
      <c r="A704" s="675"/>
      <c r="B704" s="615"/>
      <c r="C704" s="676"/>
      <c r="D704" s="677"/>
      <c r="E704" s="677"/>
      <c r="F704" s="615"/>
      <c r="G704" s="615"/>
      <c r="H704" s="615"/>
      <c r="I704" s="679"/>
      <c r="J704" s="615"/>
      <c r="K704" s="615"/>
      <c r="L704" s="615"/>
      <c r="M704" s="615"/>
      <c r="N704" s="615"/>
      <c r="O704" s="615"/>
      <c r="P704" s="615"/>
      <c r="Q704" s="615"/>
      <c r="R704" s="615"/>
      <c r="S704" s="615"/>
      <c r="T704" s="615"/>
      <c r="U704" s="615"/>
      <c r="V704" s="615"/>
      <c r="W704" s="615"/>
      <c r="X704" s="615"/>
      <c r="Y704" s="615"/>
      <c r="Z704" s="615"/>
      <c r="AA704" s="615"/>
    </row>
    <row r="705">
      <c r="A705" s="675"/>
      <c r="B705" s="615"/>
      <c r="C705" s="676"/>
      <c r="D705" s="677"/>
      <c r="E705" s="677"/>
      <c r="F705" s="615"/>
      <c r="G705" s="615"/>
      <c r="H705" s="615"/>
      <c r="I705" s="679"/>
      <c r="J705" s="615"/>
      <c r="K705" s="615"/>
      <c r="L705" s="615"/>
      <c r="M705" s="615"/>
      <c r="N705" s="615"/>
      <c r="O705" s="615"/>
      <c r="P705" s="615"/>
      <c r="Q705" s="615"/>
      <c r="R705" s="615"/>
      <c r="S705" s="615"/>
      <c r="T705" s="615"/>
      <c r="U705" s="615"/>
      <c r="V705" s="615"/>
      <c r="W705" s="615"/>
      <c r="X705" s="615"/>
      <c r="Y705" s="615"/>
      <c r="Z705" s="615"/>
      <c r="AA705" s="615"/>
    </row>
    <row r="706">
      <c r="A706" s="675"/>
      <c r="B706" s="615"/>
      <c r="C706" s="676"/>
      <c r="D706" s="677"/>
      <c r="E706" s="677"/>
      <c r="F706" s="615"/>
      <c r="G706" s="615"/>
      <c r="H706" s="615"/>
      <c r="I706" s="679"/>
      <c r="J706" s="615"/>
      <c r="K706" s="615"/>
      <c r="L706" s="615"/>
      <c r="M706" s="615"/>
      <c r="N706" s="615"/>
      <c r="O706" s="615"/>
      <c r="P706" s="615"/>
      <c r="Q706" s="615"/>
      <c r="R706" s="615"/>
      <c r="S706" s="615"/>
      <c r="T706" s="615"/>
      <c r="U706" s="615"/>
      <c r="V706" s="615"/>
      <c r="W706" s="615"/>
      <c r="X706" s="615"/>
      <c r="Y706" s="615"/>
      <c r="Z706" s="615"/>
      <c r="AA706" s="615"/>
    </row>
    <row r="707">
      <c r="A707" s="675"/>
      <c r="B707" s="615"/>
      <c r="C707" s="676"/>
      <c r="D707" s="677"/>
      <c r="E707" s="677"/>
      <c r="F707" s="615"/>
      <c r="G707" s="615"/>
      <c r="H707" s="615"/>
      <c r="I707" s="679"/>
      <c r="J707" s="615"/>
      <c r="K707" s="615"/>
      <c r="L707" s="615"/>
      <c r="M707" s="615"/>
      <c r="N707" s="615"/>
      <c r="O707" s="615"/>
      <c r="P707" s="615"/>
      <c r="Q707" s="615"/>
      <c r="R707" s="615"/>
      <c r="S707" s="615"/>
      <c r="T707" s="615"/>
      <c r="U707" s="615"/>
      <c r="V707" s="615"/>
      <c r="W707" s="615"/>
      <c r="X707" s="615"/>
      <c r="Y707" s="615"/>
      <c r="Z707" s="615"/>
      <c r="AA707" s="615"/>
    </row>
    <row r="708">
      <c r="A708" s="675"/>
      <c r="B708" s="615"/>
      <c r="C708" s="676"/>
      <c r="D708" s="677"/>
      <c r="E708" s="677"/>
      <c r="F708" s="615"/>
      <c r="G708" s="615"/>
      <c r="H708" s="615"/>
      <c r="I708" s="679"/>
      <c r="J708" s="615"/>
      <c r="K708" s="615"/>
      <c r="L708" s="615"/>
      <c r="M708" s="615"/>
      <c r="N708" s="615"/>
      <c r="O708" s="615"/>
      <c r="P708" s="615"/>
      <c r="Q708" s="615"/>
      <c r="R708" s="615"/>
      <c r="S708" s="615"/>
      <c r="T708" s="615"/>
      <c r="U708" s="615"/>
      <c r="V708" s="615"/>
      <c r="W708" s="615"/>
      <c r="X708" s="615"/>
      <c r="Y708" s="615"/>
      <c r="Z708" s="615"/>
      <c r="AA708" s="615"/>
    </row>
    <row r="709">
      <c r="A709" s="675"/>
      <c r="B709" s="615"/>
      <c r="C709" s="676"/>
      <c r="D709" s="677"/>
      <c r="E709" s="677"/>
      <c r="F709" s="615"/>
      <c r="G709" s="615"/>
      <c r="H709" s="615"/>
      <c r="I709" s="679"/>
      <c r="J709" s="615"/>
      <c r="K709" s="615"/>
      <c r="L709" s="615"/>
      <c r="M709" s="615"/>
      <c r="N709" s="615"/>
      <c r="O709" s="615"/>
      <c r="P709" s="615"/>
      <c r="Q709" s="615"/>
      <c r="R709" s="615"/>
      <c r="S709" s="615"/>
      <c r="T709" s="615"/>
      <c r="U709" s="615"/>
      <c r="V709" s="615"/>
      <c r="W709" s="615"/>
      <c r="X709" s="615"/>
      <c r="Y709" s="615"/>
      <c r="Z709" s="615"/>
      <c r="AA709" s="615"/>
    </row>
    <row r="710">
      <c r="A710" s="675"/>
      <c r="B710" s="615"/>
      <c r="C710" s="676"/>
      <c r="D710" s="677"/>
      <c r="E710" s="677"/>
      <c r="F710" s="615"/>
      <c r="G710" s="615"/>
      <c r="H710" s="615"/>
      <c r="I710" s="679"/>
      <c r="J710" s="615"/>
      <c r="K710" s="615"/>
      <c r="L710" s="615"/>
      <c r="M710" s="615"/>
      <c r="N710" s="615"/>
      <c r="O710" s="615"/>
      <c r="P710" s="615"/>
      <c r="Q710" s="615"/>
      <c r="R710" s="615"/>
      <c r="S710" s="615"/>
      <c r="T710" s="615"/>
      <c r="U710" s="615"/>
      <c r="V710" s="615"/>
      <c r="W710" s="615"/>
      <c r="X710" s="615"/>
      <c r="Y710" s="615"/>
      <c r="Z710" s="615"/>
      <c r="AA710" s="615"/>
    </row>
    <row r="711">
      <c r="A711" s="675"/>
      <c r="B711" s="615"/>
      <c r="C711" s="676"/>
      <c r="D711" s="677"/>
      <c r="E711" s="677"/>
      <c r="F711" s="615"/>
      <c r="G711" s="615"/>
      <c r="H711" s="615"/>
      <c r="I711" s="679"/>
      <c r="J711" s="615"/>
      <c r="K711" s="615"/>
      <c r="L711" s="615"/>
      <c r="M711" s="615"/>
      <c r="N711" s="615"/>
      <c r="O711" s="615"/>
      <c r="P711" s="615"/>
      <c r="Q711" s="615"/>
      <c r="R711" s="615"/>
      <c r="S711" s="615"/>
      <c r="T711" s="615"/>
      <c r="U711" s="615"/>
      <c r="V711" s="615"/>
      <c r="W711" s="615"/>
      <c r="X711" s="615"/>
      <c r="Y711" s="615"/>
      <c r="Z711" s="615"/>
      <c r="AA711" s="615"/>
    </row>
    <row r="712">
      <c r="A712" s="675"/>
      <c r="B712" s="615"/>
      <c r="C712" s="676"/>
      <c r="D712" s="677"/>
      <c r="E712" s="677"/>
      <c r="F712" s="615"/>
      <c r="G712" s="615"/>
      <c r="H712" s="615"/>
      <c r="I712" s="679"/>
      <c r="J712" s="615"/>
      <c r="K712" s="615"/>
      <c r="L712" s="615"/>
      <c r="M712" s="615"/>
      <c r="N712" s="615"/>
      <c r="O712" s="615"/>
      <c r="P712" s="615"/>
      <c r="Q712" s="615"/>
      <c r="R712" s="615"/>
      <c r="S712" s="615"/>
      <c r="T712" s="615"/>
      <c r="U712" s="615"/>
      <c r="V712" s="615"/>
      <c r="W712" s="615"/>
      <c r="X712" s="615"/>
      <c r="Y712" s="615"/>
      <c r="Z712" s="615"/>
      <c r="AA712" s="615"/>
    </row>
    <row r="713">
      <c r="A713" s="675"/>
      <c r="B713" s="615"/>
      <c r="C713" s="676"/>
      <c r="D713" s="677"/>
      <c r="E713" s="677"/>
      <c r="F713" s="615"/>
      <c r="G713" s="615"/>
      <c r="H713" s="615"/>
      <c r="I713" s="679"/>
      <c r="J713" s="615"/>
      <c r="K713" s="615"/>
      <c r="L713" s="615"/>
      <c r="M713" s="615"/>
      <c r="N713" s="615"/>
      <c r="O713" s="615"/>
      <c r="P713" s="615"/>
      <c r="Q713" s="615"/>
      <c r="R713" s="615"/>
      <c r="S713" s="615"/>
      <c r="T713" s="615"/>
      <c r="U713" s="615"/>
      <c r="V713" s="615"/>
      <c r="W713" s="615"/>
      <c r="X713" s="615"/>
      <c r="Y713" s="615"/>
      <c r="Z713" s="615"/>
      <c r="AA713" s="615"/>
    </row>
    <row r="714">
      <c r="A714" s="675"/>
      <c r="B714" s="615"/>
      <c r="C714" s="676"/>
      <c r="D714" s="677"/>
      <c r="E714" s="677"/>
      <c r="F714" s="615"/>
      <c r="G714" s="615"/>
      <c r="H714" s="615"/>
      <c r="I714" s="679"/>
      <c r="J714" s="615"/>
      <c r="K714" s="615"/>
      <c r="L714" s="615"/>
      <c r="M714" s="615"/>
      <c r="N714" s="615"/>
      <c r="O714" s="615"/>
      <c r="P714" s="615"/>
      <c r="Q714" s="615"/>
      <c r="R714" s="615"/>
      <c r="S714" s="615"/>
      <c r="T714" s="615"/>
      <c r="U714" s="615"/>
      <c r="V714" s="615"/>
      <c r="W714" s="615"/>
      <c r="X714" s="615"/>
      <c r="Y714" s="615"/>
      <c r="Z714" s="615"/>
      <c r="AA714" s="615"/>
    </row>
    <row r="715">
      <c r="A715" s="675"/>
      <c r="B715" s="615"/>
      <c r="C715" s="676"/>
      <c r="D715" s="677"/>
      <c r="E715" s="677"/>
      <c r="F715" s="615"/>
      <c r="G715" s="615"/>
      <c r="H715" s="615"/>
      <c r="I715" s="679"/>
      <c r="J715" s="615"/>
      <c r="K715" s="615"/>
      <c r="L715" s="615"/>
      <c r="M715" s="615"/>
      <c r="N715" s="615"/>
      <c r="O715" s="615"/>
      <c r="P715" s="615"/>
      <c r="Q715" s="615"/>
      <c r="R715" s="615"/>
      <c r="S715" s="615"/>
      <c r="T715" s="615"/>
      <c r="U715" s="615"/>
      <c r="V715" s="615"/>
      <c r="W715" s="615"/>
      <c r="X715" s="615"/>
      <c r="Y715" s="615"/>
      <c r="Z715" s="615"/>
      <c r="AA715" s="615"/>
    </row>
    <row r="716">
      <c r="A716" s="675"/>
      <c r="B716" s="615"/>
      <c r="C716" s="676"/>
      <c r="D716" s="677"/>
      <c r="E716" s="677"/>
      <c r="F716" s="615"/>
      <c r="G716" s="615"/>
      <c r="H716" s="615"/>
      <c r="I716" s="679"/>
      <c r="J716" s="615"/>
      <c r="K716" s="615"/>
      <c r="L716" s="615"/>
      <c r="M716" s="615"/>
      <c r="N716" s="615"/>
      <c r="O716" s="615"/>
      <c r="P716" s="615"/>
      <c r="Q716" s="615"/>
      <c r="R716" s="615"/>
      <c r="S716" s="615"/>
      <c r="T716" s="615"/>
      <c r="U716" s="615"/>
      <c r="V716" s="615"/>
      <c r="W716" s="615"/>
      <c r="X716" s="615"/>
      <c r="Y716" s="615"/>
      <c r="Z716" s="615"/>
      <c r="AA716" s="615"/>
    </row>
    <row r="717">
      <c r="A717" s="675"/>
      <c r="B717" s="615"/>
      <c r="C717" s="676"/>
      <c r="D717" s="677"/>
      <c r="E717" s="677"/>
      <c r="F717" s="615"/>
      <c r="G717" s="615"/>
      <c r="H717" s="615"/>
      <c r="I717" s="679"/>
      <c r="J717" s="615"/>
      <c r="K717" s="615"/>
      <c r="L717" s="615"/>
      <c r="M717" s="615"/>
      <c r="N717" s="615"/>
      <c r="O717" s="615"/>
      <c r="P717" s="615"/>
      <c r="Q717" s="615"/>
      <c r="R717" s="615"/>
      <c r="S717" s="615"/>
      <c r="T717" s="615"/>
      <c r="U717" s="615"/>
      <c r="V717" s="615"/>
      <c r="W717" s="615"/>
      <c r="X717" s="615"/>
      <c r="Y717" s="615"/>
      <c r="Z717" s="615"/>
      <c r="AA717" s="615"/>
    </row>
    <row r="718">
      <c r="A718" s="675"/>
      <c r="B718" s="615"/>
      <c r="C718" s="676"/>
      <c r="D718" s="677"/>
      <c r="E718" s="677"/>
      <c r="F718" s="615"/>
      <c r="G718" s="615"/>
      <c r="H718" s="615"/>
      <c r="I718" s="679"/>
      <c r="J718" s="615"/>
      <c r="K718" s="615"/>
      <c r="L718" s="615"/>
      <c r="M718" s="615"/>
      <c r="N718" s="615"/>
      <c r="O718" s="615"/>
      <c r="P718" s="615"/>
      <c r="Q718" s="615"/>
      <c r="R718" s="615"/>
      <c r="S718" s="615"/>
      <c r="T718" s="615"/>
      <c r="U718" s="615"/>
      <c r="V718" s="615"/>
      <c r="W718" s="615"/>
      <c r="X718" s="615"/>
      <c r="Y718" s="615"/>
      <c r="Z718" s="615"/>
      <c r="AA718" s="615"/>
    </row>
    <row r="719">
      <c r="A719" s="675"/>
      <c r="B719" s="615"/>
      <c r="C719" s="676"/>
      <c r="D719" s="677"/>
      <c r="E719" s="677"/>
      <c r="F719" s="615"/>
      <c r="G719" s="615"/>
      <c r="H719" s="615"/>
      <c r="I719" s="679"/>
      <c r="J719" s="615"/>
      <c r="K719" s="615"/>
      <c r="L719" s="615"/>
      <c r="M719" s="615"/>
      <c r="N719" s="615"/>
      <c r="O719" s="615"/>
      <c r="P719" s="615"/>
      <c r="Q719" s="615"/>
      <c r="R719" s="615"/>
      <c r="S719" s="615"/>
      <c r="T719" s="615"/>
      <c r="U719" s="615"/>
      <c r="V719" s="615"/>
      <c r="W719" s="615"/>
      <c r="X719" s="615"/>
      <c r="Y719" s="615"/>
      <c r="Z719" s="615"/>
      <c r="AA719" s="615"/>
    </row>
    <row r="720">
      <c r="A720" s="675"/>
      <c r="B720" s="615"/>
      <c r="C720" s="676"/>
      <c r="D720" s="677"/>
      <c r="E720" s="677"/>
      <c r="F720" s="615"/>
      <c r="G720" s="615"/>
      <c r="H720" s="615"/>
      <c r="I720" s="679"/>
      <c r="J720" s="615"/>
      <c r="K720" s="615"/>
      <c r="L720" s="615"/>
      <c r="M720" s="615"/>
      <c r="N720" s="615"/>
      <c r="O720" s="615"/>
      <c r="P720" s="615"/>
      <c r="Q720" s="615"/>
      <c r="R720" s="615"/>
      <c r="S720" s="615"/>
      <c r="T720" s="615"/>
      <c r="U720" s="615"/>
      <c r="V720" s="615"/>
      <c r="W720" s="615"/>
      <c r="X720" s="615"/>
      <c r="Y720" s="615"/>
      <c r="Z720" s="615"/>
      <c r="AA720" s="615"/>
    </row>
    <row r="721">
      <c r="A721" s="675"/>
      <c r="B721" s="615"/>
      <c r="C721" s="676"/>
      <c r="D721" s="677"/>
      <c r="E721" s="677"/>
      <c r="F721" s="615"/>
      <c r="G721" s="615"/>
      <c r="H721" s="615"/>
      <c r="I721" s="679"/>
      <c r="J721" s="615"/>
      <c r="K721" s="615"/>
      <c r="L721" s="615"/>
      <c r="M721" s="615"/>
      <c r="N721" s="615"/>
      <c r="O721" s="615"/>
      <c r="P721" s="615"/>
      <c r="Q721" s="615"/>
      <c r="R721" s="615"/>
      <c r="S721" s="615"/>
      <c r="T721" s="615"/>
      <c r="U721" s="615"/>
      <c r="V721" s="615"/>
      <c r="W721" s="615"/>
      <c r="X721" s="615"/>
      <c r="Y721" s="615"/>
      <c r="Z721" s="615"/>
      <c r="AA721" s="615"/>
    </row>
    <row r="722">
      <c r="A722" s="675"/>
      <c r="B722" s="615"/>
      <c r="C722" s="676"/>
      <c r="D722" s="677"/>
      <c r="E722" s="677"/>
      <c r="F722" s="615"/>
      <c r="G722" s="615"/>
      <c r="H722" s="615"/>
      <c r="I722" s="679"/>
      <c r="J722" s="615"/>
      <c r="K722" s="615"/>
      <c r="L722" s="615"/>
      <c r="M722" s="615"/>
      <c r="N722" s="615"/>
      <c r="O722" s="615"/>
      <c r="P722" s="615"/>
      <c r="Q722" s="615"/>
      <c r="R722" s="615"/>
      <c r="S722" s="615"/>
      <c r="T722" s="615"/>
      <c r="U722" s="615"/>
      <c r="V722" s="615"/>
      <c r="W722" s="615"/>
      <c r="X722" s="615"/>
      <c r="Y722" s="615"/>
      <c r="Z722" s="615"/>
      <c r="AA722" s="615"/>
    </row>
    <row r="723">
      <c r="A723" s="675"/>
      <c r="B723" s="615"/>
      <c r="C723" s="676"/>
      <c r="D723" s="677"/>
      <c r="E723" s="677"/>
      <c r="F723" s="615"/>
      <c r="G723" s="615"/>
      <c r="H723" s="615"/>
      <c r="I723" s="679"/>
      <c r="J723" s="615"/>
      <c r="K723" s="615"/>
      <c r="L723" s="615"/>
      <c r="M723" s="615"/>
      <c r="N723" s="615"/>
      <c r="O723" s="615"/>
      <c r="P723" s="615"/>
      <c r="Q723" s="615"/>
      <c r="R723" s="615"/>
      <c r="S723" s="615"/>
      <c r="T723" s="615"/>
      <c r="U723" s="615"/>
      <c r="V723" s="615"/>
      <c r="W723" s="615"/>
      <c r="X723" s="615"/>
      <c r="Y723" s="615"/>
      <c r="Z723" s="615"/>
      <c r="AA723" s="615"/>
    </row>
    <row r="724">
      <c r="A724" s="675"/>
      <c r="B724" s="615"/>
      <c r="C724" s="676"/>
      <c r="D724" s="677"/>
      <c r="E724" s="677"/>
      <c r="F724" s="615"/>
      <c r="G724" s="615"/>
      <c r="H724" s="615"/>
      <c r="I724" s="679"/>
      <c r="J724" s="615"/>
      <c r="K724" s="615"/>
      <c r="L724" s="615"/>
      <c r="M724" s="615"/>
      <c r="N724" s="615"/>
      <c r="O724" s="615"/>
      <c r="P724" s="615"/>
      <c r="Q724" s="615"/>
      <c r="R724" s="615"/>
      <c r="S724" s="615"/>
      <c r="T724" s="615"/>
      <c r="U724" s="615"/>
      <c r="V724" s="615"/>
      <c r="W724" s="615"/>
      <c r="X724" s="615"/>
      <c r="Y724" s="615"/>
      <c r="Z724" s="615"/>
      <c r="AA724" s="615"/>
    </row>
    <row r="725">
      <c r="A725" s="675"/>
      <c r="B725" s="615"/>
      <c r="C725" s="676"/>
      <c r="D725" s="677"/>
      <c r="E725" s="677"/>
      <c r="F725" s="615"/>
      <c r="G725" s="615"/>
      <c r="H725" s="615"/>
      <c r="I725" s="679"/>
      <c r="J725" s="615"/>
      <c r="K725" s="615"/>
      <c r="L725" s="615"/>
      <c r="M725" s="615"/>
      <c r="N725" s="615"/>
      <c r="O725" s="615"/>
      <c r="P725" s="615"/>
      <c r="Q725" s="615"/>
      <c r="R725" s="615"/>
      <c r="S725" s="615"/>
      <c r="T725" s="615"/>
      <c r="U725" s="615"/>
      <c r="V725" s="615"/>
      <c r="W725" s="615"/>
      <c r="X725" s="615"/>
      <c r="Y725" s="615"/>
      <c r="Z725" s="615"/>
      <c r="AA725" s="615"/>
    </row>
    <row r="726">
      <c r="A726" s="675"/>
      <c r="B726" s="615"/>
      <c r="C726" s="676"/>
      <c r="D726" s="677"/>
      <c r="E726" s="677"/>
      <c r="F726" s="615"/>
      <c r="G726" s="615"/>
      <c r="H726" s="615"/>
      <c r="I726" s="679"/>
      <c r="J726" s="615"/>
      <c r="K726" s="615"/>
      <c r="L726" s="615"/>
      <c r="M726" s="615"/>
      <c r="N726" s="615"/>
      <c r="O726" s="615"/>
      <c r="P726" s="615"/>
      <c r="Q726" s="615"/>
      <c r="R726" s="615"/>
      <c r="S726" s="615"/>
      <c r="T726" s="615"/>
      <c r="U726" s="615"/>
      <c r="V726" s="615"/>
      <c r="W726" s="615"/>
      <c r="X726" s="615"/>
      <c r="Y726" s="615"/>
      <c r="Z726" s="615"/>
      <c r="AA726" s="615"/>
    </row>
    <row r="727">
      <c r="A727" s="675"/>
      <c r="B727" s="615"/>
      <c r="C727" s="676"/>
      <c r="D727" s="677"/>
      <c r="E727" s="677"/>
      <c r="F727" s="615"/>
      <c r="G727" s="615"/>
      <c r="H727" s="615"/>
      <c r="I727" s="679"/>
      <c r="J727" s="615"/>
      <c r="K727" s="615"/>
      <c r="L727" s="615"/>
      <c r="M727" s="615"/>
      <c r="N727" s="615"/>
      <c r="O727" s="615"/>
      <c r="P727" s="615"/>
      <c r="Q727" s="615"/>
      <c r="R727" s="615"/>
      <c r="S727" s="615"/>
      <c r="T727" s="615"/>
      <c r="U727" s="615"/>
      <c r="V727" s="615"/>
      <c r="W727" s="615"/>
      <c r="X727" s="615"/>
      <c r="Y727" s="615"/>
      <c r="Z727" s="615"/>
      <c r="AA727" s="615"/>
    </row>
    <row r="728">
      <c r="A728" s="675"/>
      <c r="B728" s="615"/>
      <c r="C728" s="676"/>
      <c r="D728" s="677"/>
      <c r="E728" s="677"/>
      <c r="F728" s="615"/>
      <c r="G728" s="615"/>
      <c r="H728" s="615"/>
      <c r="I728" s="679"/>
      <c r="J728" s="615"/>
      <c r="K728" s="615"/>
      <c r="L728" s="615"/>
      <c r="M728" s="615"/>
      <c r="N728" s="615"/>
      <c r="O728" s="615"/>
      <c r="P728" s="615"/>
      <c r="Q728" s="615"/>
      <c r="R728" s="615"/>
      <c r="S728" s="615"/>
      <c r="T728" s="615"/>
      <c r="U728" s="615"/>
      <c r="V728" s="615"/>
      <c r="W728" s="615"/>
      <c r="X728" s="615"/>
      <c r="Y728" s="615"/>
      <c r="Z728" s="615"/>
      <c r="AA728" s="615"/>
    </row>
    <row r="729">
      <c r="A729" s="675"/>
      <c r="B729" s="615"/>
      <c r="C729" s="676"/>
      <c r="D729" s="677"/>
      <c r="E729" s="677"/>
      <c r="F729" s="615"/>
      <c r="G729" s="615"/>
      <c r="H729" s="615"/>
      <c r="I729" s="679"/>
      <c r="J729" s="615"/>
      <c r="K729" s="615"/>
      <c r="L729" s="615"/>
      <c r="M729" s="615"/>
      <c r="N729" s="615"/>
      <c r="O729" s="615"/>
      <c r="P729" s="615"/>
      <c r="Q729" s="615"/>
      <c r="R729" s="615"/>
      <c r="S729" s="615"/>
      <c r="T729" s="615"/>
      <c r="U729" s="615"/>
      <c r="V729" s="615"/>
      <c r="W729" s="615"/>
      <c r="X729" s="615"/>
      <c r="Y729" s="615"/>
      <c r="Z729" s="615"/>
      <c r="AA729" s="615"/>
    </row>
    <row r="730">
      <c r="A730" s="675"/>
      <c r="B730" s="615"/>
      <c r="C730" s="676"/>
      <c r="D730" s="677"/>
      <c r="E730" s="677"/>
      <c r="F730" s="615"/>
      <c r="G730" s="615"/>
      <c r="H730" s="615"/>
      <c r="I730" s="679"/>
      <c r="J730" s="615"/>
      <c r="K730" s="615"/>
      <c r="L730" s="615"/>
      <c r="M730" s="615"/>
      <c r="N730" s="615"/>
      <c r="O730" s="615"/>
      <c r="P730" s="615"/>
      <c r="Q730" s="615"/>
      <c r="R730" s="615"/>
      <c r="S730" s="615"/>
      <c r="T730" s="615"/>
      <c r="U730" s="615"/>
      <c r="V730" s="615"/>
      <c r="W730" s="615"/>
      <c r="X730" s="615"/>
      <c r="Y730" s="615"/>
      <c r="Z730" s="615"/>
      <c r="AA730" s="615"/>
    </row>
    <row r="731">
      <c r="A731" s="675"/>
      <c r="B731" s="615"/>
      <c r="C731" s="676"/>
      <c r="D731" s="677"/>
      <c r="E731" s="677"/>
      <c r="F731" s="615"/>
      <c r="G731" s="615"/>
      <c r="H731" s="615"/>
      <c r="I731" s="679"/>
      <c r="J731" s="615"/>
      <c r="K731" s="615"/>
      <c r="L731" s="615"/>
      <c r="M731" s="615"/>
      <c r="N731" s="615"/>
      <c r="O731" s="615"/>
      <c r="P731" s="615"/>
      <c r="Q731" s="615"/>
      <c r="R731" s="615"/>
      <c r="S731" s="615"/>
      <c r="T731" s="615"/>
      <c r="U731" s="615"/>
      <c r="V731" s="615"/>
      <c r="W731" s="615"/>
      <c r="X731" s="615"/>
      <c r="Y731" s="615"/>
      <c r="Z731" s="615"/>
      <c r="AA731" s="615"/>
    </row>
    <row r="732">
      <c r="A732" s="675"/>
      <c r="B732" s="615"/>
      <c r="C732" s="676"/>
      <c r="D732" s="677"/>
      <c r="E732" s="677"/>
      <c r="F732" s="615"/>
      <c r="G732" s="615"/>
      <c r="H732" s="615"/>
      <c r="I732" s="679"/>
      <c r="J732" s="615"/>
      <c r="K732" s="615"/>
      <c r="L732" s="615"/>
      <c r="M732" s="615"/>
      <c r="N732" s="615"/>
      <c r="O732" s="615"/>
      <c r="P732" s="615"/>
      <c r="Q732" s="615"/>
      <c r="R732" s="615"/>
      <c r="S732" s="615"/>
      <c r="T732" s="615"/>
      <c r="U732" s="615"/>
      <c r="V732" s="615"/>
      <c r="W732" s="615"/>
      <c r="X732" s="615"/>
      <c r="Y732" s="615"/>
      <c r="Z732" s="615"/>
      <c r="AA732" s="615"/>
    </row>
    <row r="733">
      <c r="A733" s="675"/>
      <c r="B733" s="615"/>
      <c r="C733" s="676"/>
      <c r="D733" s="677"/>
      <c r="E733" s="677"/>
      <c r="F733" s="615"/>
      <c r="G733" s="615"/>
      <c r="H733" s="615"/>
      <c r="I733" s="679"/>
      <c r="J733" s="615"/>
      <c r="K733" s="615"/>
      <c r="L733" s="615"/>
      <c r="M733" s="615"/>
      <c r="N733" s="615"/>
      <c r="O733" s="615"/>
      <c r="P733" s="615"/>
      <c r="Q733" s="615"/>
      <c r="R733" s="615"/>
      <c r="S733" s="615"/>
      <c r="T733" s="615"/>
      <c r="U733" s="615"/>
      <c r="V733" s="615"/>
      <c r="W733" s="615"/>
      <c r="X733" s="615"/>
      <c r="Y733" s="615"/>
      <c r="Z733" s="615"/>
      <c r="AA733" s="615"/>
    </row>
    <row r="734">
      <c r="A734" s="675"/>
      <c r="B734" s="615"/>
      <c r="C734" s="676"/>
      <c r="D734" s="677"/>
      <c r="E734" s="677"/>
      <c r="F734" s="615"/>
      <c r="G734" s="615"/>
      <c r="H734" s="615"/>
      <c r="I734" s="679"/>
      <c r="J734" s="615"/>
      <c r="K734" s="615"/>
      <c r="L734" s="615"/>
      <c r="M734" s="615"/>
      <c r="N734" s="615"/>
      <c r="O734" s="615"/>
      <c r="P734" s="615"/>
      <c r="Q734" s="615"/>
      <c r="R734" s="615"/>
      <c r="S734" s="615"/>
      <c r="T734" s="615"/>
      <c r="U734" s="615"/>
      <c r="V734" s="615"/>
      <c r="W734" s="615"/>
      <c r="X734" s="615"/>
      <c r="Y734" s="615"/>
      <c r="Z734" s="615"/>
      <c r="AA734" s="615"/>
    </row>
    <row r="735">
      <c r="A735" s="675"/>
      <c r="B735" s="615"/>
      <c r="C735" s="676"/>
      <c r="D735" s="677"/>
      <c r="E735" s="677"/>
      <c r="F735" s="615"/>
      <c r="G735" s="615"/>
      <c r="H735" s="615"/>
      <c r="I735" s="679"/>
      <c r="J735" s="615"/>
      <c r="K735" s="615"/>
      <c r="L735" s="615"/>
      <c r="M735" s="615"/>
      <c r="N735" s="615"/>
      <c r="O735" s="615"/>
      <c r="P735" s="615"/>
      <c r="Q735" s="615"/>
      <c r="R735" s="615"/>
      <c r="S735" s="615"/>
      <c r="T735" s="615"/>
      <c r="U735" s="615"/>
      <c r="V735" s="615"/>
      <c r="W735" s="615"/>
      <c r="X735" s="615"/>
      <c r="Y735" s="615"/>
      <c r="Z735" s="615"/>
      <c r="AA735" s="615"/>
    </row>
    <row r="736">
      <c r="A736" s="675"/>
      <c r="B736" s="615"/>
      <c r="C736" s="676"/>
      <c r="D736" s="677"/>
      <c r="E736" s="677"/>
      <c r="F736" s="615"/>
      <c r="G736" s="615"/>
      <c r="H736" s="615"/>
      <c r="I736" s="679"/>
      <c r="J736" s="615"/>
      <c r="K736" s="615"/>
      <c r="L736" s="615"/>
      <c r="M736" s="615"/>
      <c r="N736" s="615"/>
      <c r="O736" s="615"/>
      <c r="P736" s="615"/>
      <c r="Q736" s="615"/>
      <c r="R736" s="615"/>
      <c r="S736" s="615"/>
      <c r="T736" s="615"/>
      <c r="U736" s="615"/>
      <c r="V736" s="615"/>
      <c r="W736" s="615"/>
      <c r="X736" s="615"/>
      <c r="Y736" s="615"/>
      <c r="Z736" s="615"/>
      <c r="AA736" s="615"/>
    </row>
    <row r="737">
      <c r="A737" s="675"/>
      <c r="B737" s="615"/>
      <c r="C737" s="676"/>
      <c r="D737" s="677"/>
      <c r="E737" s="677"/>
      <c r="F737" s="615"/>
      <c r="G737" s="615"/>
      <c r="H737" s="615"/>
      <c r="I737" s="679"/>
      <c r="J737" s="615"/>
      <c r="K737" s="615"/>
      <c r="L737" s="615"/>
      <c r="M737" s="615"/>
      <c r="N737" s="615"/>
      <c r="O737" s="615"/>
      <c r="P737" s="615"/>
      <c r="Q737" s="615"/>
      <c r="R737" s="615"/>
      <c r="S737" s="615"/>
      <c r="T737" s="615"/>
      <c r="U737" s="615"/>
      <c r="V737" s="615"/>
      <c r="W737" s="615"/>
      <c r="X737" s="615"/>
      <c r="Y737" s="615"/>
      <c r="Z737" s="615"/>
      <c r="AA737" s="615"/>
    </row>
    <row r="738">
      <c r="A738" s="675"/>
      <c r="B738" s="615"/>
      <c r="C738" s="676"/>
      <c r="D738" s="677"/>
      <c r="E738" s="677"/>
      <c r="F738" s="615"/>
      <c r="G738" s="615"/>
      <c r="H738" s="615"/>
      <c r="I738" s="679"/>
      <c r="J738" s="615"/>
      <c r="K738" s="615"/>
      <c r="L738" s="615"/>
      <c r="M738" s="615"/>
      <c r="N738" s="615"/>
      <c r="O738" s="615"/>
      <c r="P738" s="615"/>
      <c r="Q738" s="615"/>
      <c r="R738" s="615"/>
      <c r="S738" s="615"/>
      <c r="T738" s="615"/>
      <c r="U738" s="615"/>
      <c r="V738" s="615"/>
      <c r="W738" s="615"/>
      <c r="X738" s="615"/>
      <c r="Y738" s="615"/>
      <c r="Z738" s="615"/>
      <c r="AA738" s="615"/>
    </row>
    <row r="739">
      <c r="A739" s="675"/>
      <c r="B739" s="615"/>
      <c r="C739" s="676"/>
      <c r="D739" s="677"/>
      <c r="E739" s="677"/>
      <c r="F739" s="615"/>
      <c r="G739" s="615"/>
      <c r="H739" s="615"/>
      <c r="I739" s="679"/>
      <c r="J739" s="615"/>
      <c r="K739" s="615"/>
      <c r="L739" s="615"/>
      <c r="M739" s="615"/>
      <c r="N739" s="615"/>
      <c r="O739" s="615"/>
      <c r="P739" s="615"/>
      <c r="Q739" s="615"/>
      <c r="R739" s="615"/>
      <c r="S739" s="615"/>
      <c r="T739" s="615"/>
      <c r="U739" s="615"/>
      <c r="V739" s="615"/>
      <c r="W739" s="615"/>
      <c r="X739" s="615"/>
      <c r="Y739" s="615"/>
      <c r="Z739" s="615"/>
      <c r="AA739" s="615"/>
    </row>
    <row r="740">
      <c r="A740" s="675"/>
      <c r="B740" s="615"/>
      <c r="C740" s="676"/>
      <c r="D740" s="677"/>
      <c r="E740" s="677"/>
      <c r="F740" s="615"/>
      <c r="G740" s="615"/>
      <c r="H740" s="615"/>
      <c r="I740" s="679"/>
      <c r="J740" s="615"/>
      <c r="K740" s="615"/>
      <c r="L740" s="615"/>
      <c r="M740" s="615"/>
      <c r="N740" s="615"/>
      <c r="O740" s="615"/>
      <c r="P740" s="615"/>
      <c r="Q740" s="615"/>
      <c r="R740" s="615"/>
      <c r="S740" s="615"/>
      <c r="T740" s="615"/>
      <c r="U740" s="615"/>
      <c r="V740" s="615"/>
      <c r="W740" s="615"/>
      <c r="X740" s="615"/>
      <c r="Y740" s="615"/>
      <c r="Z740" s="615"/>
      <c r="AA740" s="615"/>
    </row>
    <row r="741">
      <c r="A741" s="675"/>
      <c r="B741" s="615"/>
      <c r="C741" s="676"/>
      <c r="D741" s="677"/>
      <c r="E741" s="677"/>
      <c r="F741" s="615"/>
      <c r="G741" s="615"/>
      <c r="H741" s="615"/>
      <c r="I741" s="679"/>
      <c r="J741" s="615"/>
      <c r="K741" s="615"/>
      <c r="L741" s="615"/>
      <c r="M741" s="615"/>
      <c r="N741" s="615"/>
      <c r="O741" s="615"/>
      <c r="P741" s="615"/>
      <c r="Q741" s="615"/>
      <c r="R741" s="615"/>
      <c r="S741" s="615"/>
      <c r="T741" s="615"/>
      <c r="U741" s="615"/>
      <c r="V741" s="615"/>
      <c r="W741" s="615"/>
      <c r="X741" s="615"/>
      <c r="Y741" s="615"/>
      <c r="Z741" s="615"/>
      <c r="AA741" s="615"/>
    </row>
    <row r="742">
      <c r="A742" s="675"/>
      <c r="B742" s="615"/>
      <c r="C742" s="676"/>
      <c r="D742" s="677"/>
      <c r="E742" s="677"/>
      <c r="F742" s="615"/>
      <c r="G742" s="615"/>
      <c r="H742" s="615"/>
      <c r="I742" s="679"/>
      <c r="J742" s="615"/>
      <c r="K742" s="615"/>
      <c r="L742" s="615"/>
      <c r="M742" s="615"/>
      <c r="N742" s="615"/>
      <c r="O742" s="615"/>
      <c r="P742" s="615"/>
      <c r="Q742" s="615"/>
      <c r="R742" s="615"/>
      <c r="S742" s="615"/>
      <c r="T742" s="615"/>
      <c r="U742" s="615"/>
      <c r="V742" s="615"/>
      <c r="W742" s="615"/>
      <c r="X742" s="615"/>
      <c r="Y742" s="615"/>
      <c r="Z742" s="615"/>
      <c r="AA742" s="615"/>
    </row>
    <row r="743">
      <c r="A743" s="675"/>
      <c r="B743" s="615"/>
      <c r="C743" s="676"/>
      <c r="D743" s="677"/>
      <c r="E743" s="677"/>
      <c r="F743" s="615"/>
      <c r="G743" s="615"/>
      <c r="H743" s="615"/>
      <c r="I743" s="679"/>
      <c r="J743" s="615"/>
      <c r="K743" s="615"/>
      <c r="L743" s="615"/>
      <c r="M743" s="615"/>
      <c r="N743" s="615"/>
      <c r="O743" s="615"/>
      <c r="P743" s="615"/>
      <c r="Q743" s="615"/>
      <c r="R743" s="615"/>
      <c r="S743" s="615"/>
      <c r="T743" s="615"/>
      <c r="U743" s="615"/>
      <c r="V743" s="615"/>
      <c r="W743" s="615"/>
      <c r="X743" s="615"/>
      <c r="Y743" s="615"/>
      <c r="Z743" s="615"/>
      <c r="AA743" s="615"/>
    </row>
    <row r="744">
      <c r="A744" s="675"/>
      <c r="B744" s="615"/>
      <c r="C744" s="676"/>
      <c r="D744" s="677"/>
      <c r="E744" s="677"/>
      <c r="F744" s="615"/>
      <c r="G744" s="615"/>
      <c r="H744" s="615"/>
      <c r="I744" s="679"/>
      <c r="J744" s="615"/>
      <c r="K744" s="615"/>
      <c r="L744" s="615"/>
      <c r="M744" s="615"/>
      <c r="N744" s="615"/>
      <c r="O744" s="615"/>
      <c r="P744" s="615"/>
      <c r="Q744" s="615"/>
      <c r="R744" s="615"/>
      <c r="S744" s="615"/>
      <c r="T744" s="615"/>
      <c r="U744" s="615"/>
      <c r="V744" s="615"/>
      <c r="W744" s="615"/>
      <c r="X744" s="615"/>
      <c r="Y744" s="615"/>
      <c r="Z744" s="615"/>
      <c r="AA744" s="615"/>
    </row>
    <row r="745">
      <c r="A745" s="675"/>
      <c r="B745" s="615"/>
      <c r="C745" s="676"/>
      <c r="D745" s="677"/>
      <c r="E745" s="677"/>
      <c r="F745" s="615"/>
      <c r="G745" s="615"/>
      <c r="H745" s="615"/>
      <c r="I745" s="679"/>
      <c r="J745" s="615"/>
      <c r="K745" s="615"/>
      <c r="L745" s="615"/>
      <c r="M745" s="615"/>
      <c r="N745" s="615"/>
      <c r="O745" s="615"/>
      <c r="P745" s="615"/>
      <c r="Q745" s="615"/>
      <c r="R745" s="615"/>
      <c r="S745" s="615"/>
      <c r="T745" s="615"/>
      <c r="U745" s="615"/>
      <c r="V745" s="615"/>
      <c r="W745" s="615"/>
      <c r="X745" s="615"/>
      <c r="Y745" s="615"/>
      <c r="Z745" s="615"/>
      <c r="AA745" s="615"/>
    </row>
    <row r="746">
      <c r="A746" s="675"/>
      <c r="B746" s="615"/>
      <c r="C746" s="676"/>
      <c r="D746" s="677"/>
      <c r="E746" s="677"/>
      <c r="F746" s="615"/>
      <c r="G746" s="615"/>
      <c r="H746" s="615"/>
      <c r="I746" s="679"/>
      <c r="J746" s="615"/>
      <c r="K746" s="615"/>
      <c r="L746" s="615"/>
      <c r="M746" s="615"/>
      <c r="N746" s="615"/>
      <c r="O746" s="615"/>
      <c r="P746" s="615"/>
      <c r="Q746" s="615"/>
      <c r="R746" s="615"/>
      <c r="S746" s="615"/>
      <c r="T746" s="615"/>
      <c r="U746" s="615"/>
      <c r="V746" s="615"/>
      <c r="W746" s="615"/>
      <c r="X746" s="615"/>
      <c r="Y746" s="615"/>
      <c r="Z746" s="615"/>
      <c r="AA746" s="615"/>
    </row>
    <row r="747">
      <c r="A747" s="675"/>
      <c r="B747" s="615"/>
      <c r="C747" s="676"/>
      <c r="D747" s="677"/>
      <c r="E747" s="677"/>
      <c r="F747" s="615"/>
      <c r="G747" s="615"/>
      <c r="H747" s="615"/>
      <c r="I747" s="679"/>
      <c r="J747" s="615"/>
      <c r="K747" s="615"/>
      <c r="L747" s="615"/>
      <c r="M747" s="615"/>
      <c r="N747" s="615"/>
      <c r="O747" s="615"/>
      <c r="P747" s="615"/>
      <c r="Q747" s="615"/>
      <c r="R747" s="615"/>
      <c r="S747" s="615"/>
      <c r="T747" s="615"/>
      <c r="U747" s="615"/>
      <c r="V747" s="615"/>
      <c r="W747" s="615"/>
      <c r="X747" s="615"/>
      <c r="Y747" s="615"/>
      <c r="Z747" s="615"/>
      <c r="AA747" s="615"/>
    </row>
    <row r="748">
      <c r="A748" s="675"/>
      <c r="B748" s="615"/>
      <c r="C748" s="676"/>
      <c r="D748" s="677"/>
      <c r="E748" s="677"/>
      <c r="F748" s="615"/>
      <c r="G748" s="615"/>
      <c r="H748" s="615"/>
      <c r="I748" s="679"/>
      <c r="J748" s="615"/>
      <c r="K748" s="615"/>
      <c r="L748" s="615"/>
      <c r="M748" s="615"/>
      <c r="N748" s="615"/>
      <c r="O748" s="615"/>
      <c r="P748" s="615"/>
      <c r="Q748" s="615"/>
      <c r="R748" s="615"/>
      <c r="S748" s="615"/>
      <c r="T748" s="615"/>
      <c r="U748" s="615"/>
      <c r="V748" s="615"/>
      <c r="W748" s="615"/>
      <c r="X748" s="615"/>
      <c r="Y748" s="615"/>
      <c r="Z748" s="615"/>
      <c r="AA748" s="615"/>
    </row>
    <row r="749">
      <c r="A749" s="675"/>
      <c r="B749" s="615"/>
      <c r="C749" s="676"/>
      <c r="D749" s="677"/>
      <c r="E749" s="677"/>
      <c r="F749" s="615"/>
      <c r="G749" s="615"/>
      <c r="H749" s="615"/>
      <c r="I749" s="679"/>
      <c r="J749" s="615"/>
      <c r="K749" s="615"/>
      <c r="L749" s="615"/>
      <c r="M749" s="615"/>
      <c r="N749" s="615"/>
      <c r="O749" s="615"/>
      <c r="P749" s="615"/>
      <c r="Q749" s="615"/>
      <c r="R749" s="615"/>
      <c r="S749" s="615"/>
      <c r="T749" s="615"/>
      <c r="U749" s="615"/>
      <c r="V749" s="615"/>
      <c r="W749" s="615"/>
      <c r="X749" s="615"/>
      <c r="Y749" s="615"/>
      <c r="Z749" s="615"/>
      <c r="AA749" s="615"/>
    </row>
    <row r="750">
      <c r="A750" s="675"/>
      <c r="B750" s="615"/>
      <c r="C750" s="676"/>
      <c r="D750" s="677"/>
      <c r="E750" s="677"/>
      <c r="F750" s="615"/>
      <c r="G750" s="615"/>
      <c r="H750" s="615"/>
      <c r="I750" s="679"/>
      <c r="J750" s="615"/>
      <c r="K750" s="615"/>
      <c r="L750" s="615"/>
      <c r="M750" s="615"/>
      <c r="N750" s="615"/>
      <c r="O750" s="615"/>
      <c r="P750" s="615"/>
      <c r="Q750" s="615"/>
      <c r="R750" s="615"/>
      <c r="S750" s="615"/>
      <c r="T750" s="615"/>
      <c r="U750" s="615"/>
      <c r="V750" s="615"/>
      <c r="W750" s="615"/>
      <c r="X750" s="615"/>
      <c r="Y750" s="615"/>
      <c r="Z750" s="615"/>
      <c r="AA750" s="615"/>
    </row>
    <row r="751">
      <c r="A751" s="675"/>
      <c r="B751" s="615"/>
      <c r="C751" s="676"/>
      <c r="D751" s="677"/>
      <c r="E751" s="677"/>
      <c r="F751" s="615"/>
      <c r="G751" s="615"/>
      <c r="H751" s="615"/>
      <c r="I751" s="679"/>
      <c r="J751" s="615"/>
      <c r="K751" s="615"/>
      <c r="L751" s="615"/>
      <c r="M751" s="615"/>
      <c r="N751" s="615"/>
      <c r="O751" s="615"/>
      <c r="P751" s="615"/>
      <c r="Q751" s="615"/>
      <c r="R751" s="615"/>
      <c r="S751" s="615"/>
      <c r="T751" s="615"/>
      <c r="U751" s="615"/>
      <c r="V751" s="615"/>
      <c r="W751" s="615"/>
      <c r="X751" s="615"/>
      <c r="Y751" s="615"/>
      <c r="Z751" s="615"/>
      <c r="AA751" s="615"/>
    </row>
    <row r="752">
      <c r="A752" s="675"/>
      <c r="B752" s="615"/>
      <c r="C752" s="676"/>
      <c r="D752" s="677"/>
      <c r="E752" s="677"/>
      <c r="F752" s="615"/>
      <c r="G752" s="615"/>
      <c r="H752" s="615"/>
      <c r="I752" s="679"/>
      <c r="J752" s="615"/>
      <c r="K752" s="615"/>
      <c r="L752" s="615"/>
      <c r="M752" s="615"/>
      <c r="N752" s="615"/>
      <c r="O752" s="615"/>
      <c r="P752" s="615"/>
      <c r="Q752" s="615"/>
      <c r="R752" s="615"/>
      <c r="S752" s="615"/>
      <c r="T752" s="615"/>
      <c r="U752" s="615"/>
      <c r="V752" s="615"/>
      <c r="W752" s="615"/>
      <c r="X752" s="615"/>
      <c r="Y752" s="615"/>
      <c r="Z752" s="615"/>
      <c r="AA752" s="615"/>
    </row>
    <row r="753">
      <c r="A753" s="675"/>
      <c r="B753" s="615"/>
      <c r="C753" s="676"/>
      <c r="D753" s="677"/>
      <c r="E753" s="677"/>
      <c r="F753" s="615"/>
      <c r="G753" s="615"/>
      <c r="H753" s="615"/>
      <c r="I753" s="679"/>
      <c r="J753" s="615"/>
      <c r="K753" s="615"/>
      <c r="L753" s="615"/>
      <c r="M753" s="615"/>
      <c r="N753" s="615"/>
      <c r="O753" s="615"/>
      <c r="P753" s="615"/>
      <c r="Q753" s="615"/>
      <c r="R753" s="615"/>
      <c r="S753" s="615"/>
      <c r="T753" s="615"/>
      <c r="U753" s="615"/>
      <c r="V753" s="615"/>
      <c r="W753" s="615"/>
      <c r="X753" s="615"/>
      <c r="Y753" s="615"/>
      <c r="Z753" s="615"/>
      <c r="AA753" s="615"/>
    </row>
    <row r="754">
      <c r="A754" s="675"/>
      <c r="B754" s="615"/>
      <c r="C754" s="676"/>
      <c r="D754" s="677"/>
      <c r="E754" s="677"/>
      <c r="F754" s="615"/>
      <c r="G754" s="615"/>
      <c r="H754" s="615"/>
      <c r="I754" s="679"/>
      <c r="J754" s="615"/>
      <c r="K754" s="615"/>
      <c r="L754" s="615"/>
      <c r="M754" s="615"/>
      <c r="N754" s="615"/>
      <c r="O754" s="615"/>
      <c r="P754" s="615"/>
      <c r="Q754" s="615"/>
      <c r="R754" s="615"/>
      <c r="S754" s="615"/>
      <c r="T754" s="615"/>
      <c r="U754" s="615"/>
      <c r="V754" s="615"/>
      <c r="W754" s="615"/>
      <c r="X754" s="615"/>
      <c r="Y754" s="615"/>
      <c r="Z754" s="615"/>
      <c r="AA754" s="615"/>
    </row>
    <row r="755">
      <c r="A755" s="675"/>
      <c r="B755" s="615"/>
      <c r="C755" s="676"/>
      <c r="D755" s="677"/>
      <c r="E755" s="677"/>
      <c r="F755" s="615"/>
      <c r="G755" s="615"/>
      <c r="H755" s="615"/>
      <c r="I755" s="679"/>
      <c r="J755" s="615"/>
      <c r="K755" s="615"/>
      <c r="L755" s="615"/>
      <c r="M755" s="615"/>
      <c r="N755" s="615"/>
      <c r="O755" s="615"/>
      <c r="P755" s="615"/>
      <c r="Q755" s="615"/>
      <c r="R755" s="615"/>
      <c r="S755" s="615"/>
      <c r="T755" s="615"/>
      <c r="U755" s="615"/>
      <c r="V755" s="615"/>
      <c r="W755" s="615"/>
      <c r="X755" s="615"/>
      <c r="Y755" s="615"/>
      <c r="Z755" s="615"/>
      <c r="AA755" s="615"/>
    </row>
    <row r="756">
      <c r="A756" s="675"/>
      <c r="B756" s="615"/>
      <c r="C756" s="676"/>
      <c r="D756" s="677"/>
      <c r="E756" s="677"/>
      <c r="F756" s="615"/>
      <c r="G756" s="615"/>
      <c r="H756" s="615"/>
      <c r="I756" s="679"/>
      <c r="J756" s="615"/>
      <c r="K756" s="615"/>
      <c r="L756" s="615"/>
      <c r="M756" s="615"/>
      <c r="N756" s="615"/>
      <c r="O756" s="615"/>
      <c r="P756" s="615"/>
      <c r="Q756" s="615"/>
      <c r="R756" s="615"/>
      <c r="S756" s="615"/>
      <c r="T756" s="615"/>
      <c r="U756" s="615"/>
      <c r="V756" s="615"/>
      <c r="W756" s="615"/>
      <c r="X756" s="615"/>
      <c r="Y756" s="615"/>
      <c r="Z756" s="615"/>
      <c r="AA756" s="615"/>
    </row>
    <row r="757">
      <c r="A757" s="675"/>
      <c r="B757" s="615"/>
      <c r="C757" s="676"/>
      <c r="D757" s="677"/>
      <c r="E757" s="677"/>
      <c r="F757" s="615"/>
      <c r="G757" s="615"/>
      <c r="H757" s="615"/>
      <c r="I757" s="679"/>
      <c r="J757" s="615"/>
      <c r="K757" s="615"/>
      <c r="L757" s="615"/>
      <c r="M757" s="615"/>
      <c r="N757" s="615"/>
      <c r="O757" s="615"/>
      <c r="P757" s="615"/>
      <c r="Q757" s="615"/>
      <c r="R757" s="615"/>
      <c r="S757" s="615"/>
      <c r="T757" s="615"/>
      <c r="U757" s="615"/>
      <c r="V757" s="615"/>
      <c r="W757" s="615"/>
      <c r="X757" s="615"/>
      <c r="Y757" s="615"/>
      <c r="Z757" s="615"/>
      <c r="AA757" s="615"/>
    </row>
    <row r="758">
      <c r="A758" s="675"/>
      <c r="B758" s="615"/>
      <c r="C758" s="676"/>
      <c r="D758" s="677"/>
      <c r="E758" s="677"/>
      <c r="F758" s="615"/>
      <c r="G758" s="615"/>
      <c r="H758" s="615"/>
      <c r="I758" s="679"/>
      <c r="J758" s="615"/>
      <c r="K758" s="615"/>
      <c r="L758" s="615"/>
      <c r="M758" s="615"/>
      <c r="N758" s="615"/>
      <c r="O758" s="615"/>
      <c r="P758" s="615"/>
      <c r="Q758" s="615"/>
      <c r="R758" s="615"/>
      <c r="S758" s="615"/>
      <c r="T758" s="615"/>
      <c r="U758" s="615"/>
      <c r="V758" s="615"/>
      <c r="W758" s="615"/>
      <c r="X758" s="615"/>
      <c r="Y758" s="615"/>
      <c r="Z758" s="615"/>
      <c r="AA758" s="615"/>
    </row>
    <row r="759">
      <c r="A759" s="675"/>
      <c r="B759" s="615"/>
      <c r="C759" s="676"/>
      <c r="D759" s="677"/>
      <c r="E759" s="677"/>
      <c r="F759" s="615"/>
      <c r="G759" s="615"/>
      <c r="H759" s="615"/>
      <c r="I759" s="679"/>
      <c r="J759" s="615"/>
      <c r="K759" s="615"/>
      <c r="L759" s="615"/>
      <c r="M759" s="615"/>
      <c r="N759" s="615"/>
      <c r="O759" s="615"/>
      <c r="P759" s="615"/>
      <c r="Q759" s="615"/>
      <c r="R759" s="615"/>
      <c r="S759" s="615"/>
      <c r="T759" s="615"/>
      <c r="U759" s="615"/>
      <c r="V759" s="615"/>
      <c r="W759" s="615"/>
      <c r="X759" s="615"/>
      <c r="Y759" s="615"/>
      <c r="Z759" s="615"/>
      <c r="AA759" s="615"/>
    </row>
    <row r="760">
      <c r="A760" s="675"/>
      <c r="B760" s="615"/>
      <c r="C760" s="676"/>
      <c r="D760" s="677"/>
      <c r="E760" s="677"/>
      <c r="F760" s="615"/>
      <c r="G760" s="615"/>
      <c r="H760" s="615"/>
      <c r="I760" s="679"/>
      <c r="J760" s="615"/>
      <c r="K760" s="615"/>
      <c r="L760" s="615"/>
      <c r="M760" s="615"/>
      <c r="N760" s="615"/>
      <c r="O760" s="615"/>
      <c r="P760" s="615"/>
      <c r="Q760" s="615"/>
      <c r="R760" s="615"/>
      <c r="S760" s="615"/>
      <c r="T760" s="615"/>
      <c r="U760" s="615"/>
      <c r="V760" s="615"/>
      <c r="W760" s="615"/>
      <c r="X760" s="615"/>
      <c r="Y760" s="615"/>
      <c r="Z760" s="615"/>
      <c r="AA760" s="615"/>
    </row>
    <row r="761">
      <c r="A761" s="675"/>
      <c r="B761" s="615"/>
      <c r="C761" s="676"/>
      <c r="D761" s="677"/>
      <c r="E761" s="677"/>
      <c r="F761" s="615"/>
      <c r="G761" s="615"/>
      <c r="H761" s="615"/>
      <c r="I761" s="679"/>
      <c r="J761" s="615"/>
      <c r="K761" s="615"/>
      <c r="L761" s="615"/>
      <c r="M761" s="615"/>
      <c r="N761" s="615"/>
      <c r="O761" s="615"/>
      <c r="P761" s="615"/>
      <c r="Q761" s="615"/>
      <c r="R761" s="615"/>
      <c r="S761" s="615"/>
      <c r="T761" s="615"/>
      <c r="U761" s="615"/>
      <c r="V761" s="615"/>
      <c r="W761" s="615"/>
      <c r="X761" s="615"/>
      <c r="Y761" s="615"/>
      <c r="Z761" s="615"/>
      <c r="AA761" s="615"/>
    </row>
    <row r="762">
      <c r="A762" s="675"/>
      <c r="B762" s="615"/>
      <c r="C762" s="676"/>
      <c r="D762" s="677"/>
      <c r="E762" s="677"/>
      <c r="F762" s="615"/>
      <c r="G762" s="615"/>
      <c r="H762" s="615"/>
      <c r="I762" s="679"/>
      <c r="J762" s="615"/>
      <c r="K762" s="615"/>
      <c r="L762" s="615"/>
      <c r="M762" s="615"/>
      <c r="N762" s="615"/>
      <c r="O762" s="615"/>
      <c r="P762" s="615"/>
      <c r="Q762" s="615"/>
      <c r="R762" s="615"/>
      <c r="S762" s="615"/>
      <c r="T762" s="615"/>
      <c r="U762" s="615"/>
      <c r="V762" s="615"/>
      <c r="W762" s="615"/>
      <c r="X762" s="615"/>
      <c r="Y762" s="615"/>
      <c r="Z762" s="615"/>
      <c r="AA762" s="615"/>
    </row>
    <row r="763">
      <c r="A763" s="675"/>
      <c r="B763" s="615"/>
      <c r="C763" s="676"/>
      <c r="D763" s="677"/>
      <c r="E763" s="677"/>
      <c r="F763" s="615"/>
      <c r="G763" s="615"/>
      <c r="H763" s="615"/>
      <c r="I763" s="679"/>
      <c r="J763" s="615"/>
      <c r="K763" s="615"/>
      <c r="L763" s="615"/>
      <c r="M763" s="615"/>
      <c r="N763" s="615"/>
      <c r="O763" s="615"/>
      <c r="P763" s="615"/>
      <c r="Q763" s="615"/>
      <c r="R763" s="615"/>
      <c r="S763" s="615"/>
      <c r="T763" s="615"/>
      <c r="U763" s="615"/>
      <c r="V763" s="615"/>
      <c r="W763" s="615"/>
      <c r="X763" s="615"/>
      <c r="Y763" s="615"/>
      <c r="Z763" s="615"/>
      <c r="AA763" s="615"/>
    </row>
    <row r="764">
      <c r="A764" s="675"/>
      <c r="B764" s="615"/>
      <c r="C764" s="676"/>
      <c r="D764" s="677"/>
      <c r="E764" s="677"/>
      <c r="F764" s="615"/>
      <c r="G764" s="615"/>
      <c r="H764" s="615"/>
      <c r="I764" s="679"/>
      <c r="J764" s="615"/>
      <c r="K764" s="615"/>
      <c r="L764" s="615"/>
      <c r="M764" s="615"/>
      <c r="N764" s="615"/>
      <c r="O764" s="615"/>
      <c r="P764" s="615"/>
      <c r="Q764" s="615"/>
      <c r="R764" s="615"/>
      <c r="S764" s="615"/>
      <c r="T764" s="615"/>
      <c r="U764" s="615"/>
      <c r="V764" s="615"/>
      <c r="W764" s="615"/>
      <c r="X764" s="615"/>
      <c r="Y764" s="615"/>
      <c r="Z764" s="615"/>
      <c r="AA764" s="615"/>
    </row>
    <row r="765">
      <c r="A765" s="675"/>
      <c r="B765" s="615"/>
      <c r="C765" s="676"/>
      <c r="D765" s="677"/>
      <c r="E765" s="677"/>
      <c r="F765" s="615"/>
      <c r="G765" s="615"/>
      <c r="H765" s="615"/>
      <c r="I765" s="679"/>
      <c r="J765" s="615"/>
      <c r="K765" s="615"/>
      <c r="L765" s="615"/>
      <c r="M765" s="615"/>
      <c r="N765" s="615"/>
      <c r="O765" s="615"/>
      <c r="P765" s="615"/>
      <c r="Q765" s="615"/>
      <c r="R765" s="615"/>
      <c r="S765" s="615"/>
      <c r="T765" s="615"/>
      <c r="U765" s="615"/>
      <c r="V765" s="615"/>
      <c r="W765" s="615"/>
      <c r="X765" s="615"/>
      <c r="Y765" s="615"/>
      <c r="Z765" s="615"/>
      <c r="AA765" s="615"/>
    </row>
    <row r="766">
      <c r="A766" s="675"/>
      <c r="B766" s="615"/>
      <c r="C766" s="676"/>
      <c r="D766" s="677"/>
      <c r="E766" s="677"/>
      <c r="F766" s="615"/>
      <c r="G766" s="615"/>
      <c r="H766" s="615"/>
      <c r="I766" s="679"/>
      <c r="J766" s="615"/>
      <c r="K766" s="615"/>
      <c r="L766" s="615"/>
      <c r="M766" s="615"/>
      <c r="N766" s="615"/>
      <c r="O766" s="615"/>
      <c r="P766" s="615"/>
      <c r="Q766" s="615"/>
      <c r="R766" s="615"/>
      <c r="S766" s="615"/>
      <c r="T766" s="615"/>
      <c r="U766" s="615"/>
      <c r="V766" s="615"/>
      <c r="W766" s="615"/>
      <c r="X766" s="615"/>
      <c r="Y766" s="615"/>
      <c r="Z766" s="615"/>
      <c r="AA766" s="615"/>
    </row>
    <row r="767">
      <c r="A767" s="675"/>
      <c r="B767" s="615"/>
      <c r="C767" s="676"/>
      <c r="D767" s="677"/>
      <c r="E767" s="677"/>
      <c r="F767" s="615"/>
      <c r="G767" s="615"/>
      <c r="H767" s="615"/>
      <c r="I767" s="679"/>
      <c r="J767" s="615"/>
      <c r="K767" s="615"/>
      <c r="L767" s="615"/>
      <c r="M767" s="615"/>
      <c r="N767" s="615"/>
      <c r="O767" s="615"/>
      <c r="P767" s="615"/>
      <c r="Q767" s="615"/>
      <c r="R767" s="615"/>
      <c r="S767" s="615"/>
      <c r="T767" s="615"/>
      <c r="U767" s="615"/>
      <c r="V767" s="615"/>
      <c r="W767" s="615"/>
      <c r="X767" s="615"/>
      <c r="Y767" s="615"/>
      <c r="Z767" s="615"/>
      <c r="AA767" s="615"/>
    </row>
    <row r="768">
      <c r="A768" s="675"/>
      <c r="B768" s="615"/>
      <c r="C768" s="676"/>
      <c r="D768" s="677"/>
      <c r="E768" s="677"/>
      <c r="F768" s="615"/>
      <c r="G768" s="615"/>
      <c r="H768" s="615"/>
      <c r="I768" s="679"/>
      <c r="J768" s="615"/>
      <c r="K768" s="615"/>
      <c r="L768" s="615"/>
      <c r="M768" s="615"/>
      <c r="N768" s="615"/>
      <c r="O768" s="615"/>
      <c r="P768" s="615"/>
      <c r="Q768" s="615"/>
      <c r="R768" s="615"/>
      <c r="S768" s="615"/>
      <c r="T768" s="615"/>
      <c r="U768" s="615"/>
      <c r="V768" s="615"/>
      <c r="W768" s="615"/>
      <c r="X768" s="615"/>
      <c r="Y768" s="615"/>
      <c r="Z768" s="615"/>
      <c r="AA768" s="615"/>
    </row>
    <row r="769">
      <c r="A769" s="675"/>
      <c r="B769" s="615"/>
      <c r="C769" s="676"/>
      <c r="D769" s="677"/>
      <c r="E769" s="677"/>
      <c r="F769" s="615"/>
      <c r="G769" s="615"/>
      <c r="H769" s="615"/>
      <c r="I769" s="679"/>
      <c r="J769" s="615"/>
      <c r="K769" s="615"/>
      <c r="L769" s="615"/>
      <c r="M769" s="615"/>
      <c r="N769" s="615"/>
      <c r="O769" s="615"/>
      <c r="P769" s="615"/>
      <c r="Q769" s="615"/>
      <c r="R769" s="615"/>
      <c r="S769" s="615"/>
      <c r="T769" s="615"/>
      <c r="U769" s="615"/>
      <c r="V769" s="615"/>
      <c r="W769" s="615"/>
      <c r="X769" s="615"/>
      <c r="Y769" s="615"/>
      <c r="Z769" s="615"/>
      <c r="AA769" s="615"/>
    </row>
    <row r="770">
      <c r="A770" s="675"/>
      <c r="B770" s="615"/>
      <c r="C770" s="676"/>
      <c r="D770" s="677"/>
      <c r="E770" s="677"/>
      <c r="F770" s="615"/>
      <c r="G770" s="615"/>
      <c r="H770" s="615"/>
      <c r="I770" s="679"/>
      <c r="J770" s="615"/>
      <c r="K770" s="615"/>
      <c r="L770" s="615"/>
      <c r="M770" s="615"/>
      <c r="N770" s="615"/>
      <c r="O770" s="615"/>
      <c r="P770" s="615"/>
      <c r="Q770" s="615"/>
      <c r="R770" s="615"/>
      <c r="S770" s="615"/>
      <c r="T770" s="615"/>
      <c r="U770" s="615"/>
      <c r="V770" s="615"/>
      <c r="W770" s="615"/>
      <c r="X770" s="615"/>
      <c r="Y770" s="615"/>
      <c r="Z770" s="615"/>
      <c r="AA770" s="615"/>
    </row>
    <row r="771">
      <c r="A771" s="675"/>
      <c r="B771" s="615"/>
      <c r="C771" s="676"/>
      <c r="D771" s="677"/>
      <c r="E771" s="677"/>
      <c r="F771" s="615"/>
      <c r="G771" s="615"/>
      <c r="H771" s="615"/>
      <c r="I771" s="679"/>
      <c r="J771" s="615"/>
      <c r="K771" s="615"/>
      <c r="L771" s="615"/>
      <c r="M771" s="615"/>
      <c r="N771" s="615"/>
      <c r="O771" s="615"/>
      <c r="P771" s="615"/>
      <c r="Q771" s="615"/>
      <c r="R771" s="615"/>
      <c r="S771" s="615"/>
      <c r="T771" s="615"/>
      <c r="U771" s="615"/>
      <c r="V771" s="615"/>
      <c r="W771" s="615"/>
      <c r="X771" s="615"/>
      <c r="Y771" s="615"/>
      <c r="Z771" s="615"/>
      <c r="AA771" s="615"/>
    </row>
    <row r="772">
      <c r="A772" s="675"/>
      <c r="B772" s="615"/>
      <c r="C772" s="676"/>
      <c r="D772" s="677"/>
      <c r="E772" s="677"/>
      <c r="F772" s="615"/>
      <c r="G772" s="615"/>
      <c r="H772" s="615"/>
      <c r="I772" s="679"/>
      <c r="J772" s="615"/>
      <c r="K772" s="615"/>
      <c r="L772" s="615"/>
      <c r="M772" s="615"/>
      <c r="N772" s="615"/>
      <c r="O772" s="615"/>
      <c r="P772" s="615"/>
      <c r="Q772" s="615"/>
      <c r="R772" s="615"/>
      <c r="S772" s="615"/>
      <c r="T772" s="615"/>
      <c r="U772" s="615"/>
      <c r="V772" s="615"/>
      <c r="W772" s="615"/>
      <c r="X772" s="615"/>
      <c r="Y772" s="615"/>
      <c r="Z772" s="615"/>
      <c r="AA772" s="615"/>
    </row>
    <row r="773">
      <c r="A773" s="675"/>
      <c r="B773" s="615"/>
      <c r="C773" s="676"/>
      <c r="D773" s="677"/>
      <c r="E773" s="677"/>
      <c r="F773" s="615"/>
      <c r="G773" s="615"/>
      <c r="H773" s="615"/>
      <c r="I773" s="679"/>
      <c r="J773" s="615"/>
      <c r="K773" s="615"/>
      <c r="L773" s="615"/>
      <c r="M773" s="615"/>
      <c r="N773" s="615"/>
      <c r="O773" s="615"/>
      <c r="P773" s="615"/>
      <c r="Q773" s="615"/>
      <c r="R773" s="615"/>
      <c r="S773" s="615"/>
      <c r="T773" s="615"/>
      <c r="U773" s="615"/>
      <c r="V773" s="615"/>
      <c r="W773" s="615"/>
      <c r="X773" s="615"/>
      <c r="Y773" s="615"/>
      <c r="Z773" s="615"/>
      <c r="AA773" s="615"/>
    </row>
    <row r="774">
      <c r="A774" s="675"/>
      <c r="B774" s="615"/>
      <c r="C774" s="676"/>
      <c r="D774" s="677"/>
      <c r="E774" s="677"/>
      <c r="F774" s="615"/>
      <c r="G774" s="615"/>
      <c r="H774" s="615"/>
      <c r="I774" s="679"/>
      <c r="J774" s="615"/>
      <c r="K774" s="615"/>
      <c r="L774" s="615"/>
      <c r="M774" s="615"/>
      <c r="N774" s="615"/>
      <c r="O774" s="615"/>
      <c r="P774" s="615"/>
      <c r="Q774" s="615"/>
      <c r="R774" s="615"/>
      <c r="S774" s="615"/>
      <c r="T774" s="615"/>
      <c r="U774" s="615"/>
      <c r="V774" s="615"/>
      <c r="W774" s="615"/>
      <c r="X774" s="615"/>
      <c r="Y774" s="615"/>
      <c r="Z774" s="615"/>
      <c r="AA774" s="615"/>
    </row>
    <row r="775">
      <c r="A775" s="675"/>
      <c r="B775" s="615"/>
      <c r="C775" s="676"/>
      <c r="D775" s="677"/>
      <c r="E775" s="677"/>
      <c r="F775" s="615"/>
      <c r="G775" s="615"/>
      <c r="H775" s="615"/>
      <c r="I775" s="679"/>
      <c r="J775" s="615"/>
      <c r="K775" s="615"/>
      <c r="L775" s="615"/>
      <c r="M775" s="615"/>
      <c r="N775" s="615"/>
      <c r="O775" s="615"/>
      <c r="P775" s="615"/>
      <c r="Q775" s="615"/>
      <c r="R775" s="615"/>
      <c r="S775" s="615"/>
      <c r="T775" s="615"/>
      <c r="U775" s="615"/>
      <c r="V775" s="615"/>
      <c r="W775" s="615"/>
      <c r="X775" s="615"/>
      <c r="Y775" s="615"/>
      <c r="Z775" s="615"/>
      <c r="AA775" s="615"/>
    </row>
    <row r="776">
      <c r="A776" s="675"/>
      <c r="B776" s="615"/>
      <c r="C776" s="676"/>
      <c r="D776" s="677"/>
      <c r="E776" s="677"/>
      <c r="F776" s="615"/>
      <c r="G776" s="615"/>
      <c r="H776" s="615"/>
      <c r="I776" s="679"/>
      <c r="J776" s="615"/>
      <c r="K776" s="615"/>
      <c r="L776" s="615"/>
      <c r="M776" s="615"/>
      <c r="N776" s="615"/>
      <c r="O776" s="615"/>
      <c r="P776" s="615"/>
      <c r="Q776" s="615"/>
      <c r="R776" s="615"/>
      <c r="S776" s="615"/>
      <c r="T776" s="615"/>
      <c r="U776" s="615"/>
      <c r="V776" s="615"/>
      <c r="W776" s="615"/>
      <c r="X776" s="615"/>
      <c r="Y776" s="615"/>
      <c r="Z776" s="615"/>
      <c r="AA776" s="615"/>
    </row>
    <row r="777">
      <c r="A777" s="675"/>
      <c r="B777" s="615"/>
      <c r="C777" s="676"/>
      <c r="D777" s="677"/>
      <c r="E777" s="677"/>
      <c r="F777" s="615"/>
      <c r="G777" s="615"/>
      <c r="H777" s="615"/>
      <c r="I777" s="679"/>
      <c r="J777" s="615"/>
      <c r="K777" s="615"/>
      <c r="L777" s="615"/>
      <c r="M777" s="615"/>
      <c r="N777" s="615"/>
      <c r="O777" s="615"/>
      <c r="P777" s="615"/>
      <c r="Q777" s="615"/>
      <c r="R777" s="615"/>
      <c r="S777" s="615"/>
      <c r="T777" s="615"/>
      <c r="U777" s="615"/>
      <c r="V777" s="615"/>
      <c r="W777" s="615"/>
      <c r="X777" s="615"/>
      <c r="Y777" s="615"/>
      <c r="Z777" s="615"/>
      <c r="AA777" s="615"/>
    </row>
    <row r="778">
      <c r="A778" s="675"/>
      <c r="B778" s="615"/>
      <c r="C778" s="676"/>
      <c r="D778" s="677"/>
      <c r="E778" s="677"/>
      <c r="F778" s="615"/>
      <c r="G778" s="615"/>
      <c r="H778" s="615"/>
      <c r="I778" s="679"/>
      <c r="J778" s="615"/>
      <c r="K778" s="615"/>
      <c r="L778" s="615"/>
      <c r="M778" s="615"/>
      <c r="N778" s="615"/>
      <c r="O778" s="615"/>
      <c r="P778" s="615"/>
      <c r="Q778" s="615"/>
      <c r="R778" s="615"/>
      <c r="S778" s="615"/>
      <c r="T778" s="615"/>
      <c r="U778" s="615"/>
      <c r="V778" s="615"/>
      <c r="W778" s="615"/>
      <c r="X778" s="615"/>
      <c r="Y778" s="615"/>
      <c r="Z778" s="615"/>
      <c r="AA778" s="615"/>
    </row>
    <row r="779">
      <c r="A779" s="675"/>
      <c r="B779" s="615"/>
      <c r="C779" s="676"/>
      <c r="D779" s="677"/>
      <c r="E779" s="677"/>
      <c r="F779" s="615"/>
      <c r="G779" s="615"/>
      <c r="H779" s="615"/>
      <c r="I779" s="679"/>
      <c r="J779" s="615"/>
      <c r="K779" s="615"/>
      <c r="L779" s="615"/>
      <c r="M779" s="615"/>
      <c r="N779" s="615"/>
      <c r="O779" s="615"/>
      <c r="P779" s="615"/>
      <c r="Q779" s="615"/>
      <c r="R779" s="615"/>
      <c r="S779" s="615"/>
      <c r="T779" s="615"/>
      <c r="U779" s="615"/>
      <c r="V779" s="615"/>
      <c r="W779" s="615"/>
      <c r="X779" s="615"/>
      <c r="Y779" s="615"/>
      <c r="Z779" s="615"/>
      <c r="AA779" s="615"/>
    </row>
    <row r="780">
      <c r="A780" s="675"/>
      <c r="B780" s="615"/>
      <c r="C780" s="676"/>
      <c r="D780" s="677"/>
      <c r="E780" s="677"/>
      <c r="F780" s="615"/>
      <c r="G780" s="615"/>
      <c r="H780" s="615"/>
      <c r="I780" s="679"/>
      <c r="J780" s="615"/>
      <c r="K780" s="615"/>
      <c r="L780" s="615"/>
      <c r="M780" s="615"/>
      <c r="N780" s="615"/>
      <c r="O780" s="615"/>
      <c r="P780" s="615"/>
      <c r="Q780" s="615"/>
      <c r="R780" s="615"/>
      <c r="S780" s="615"/>
      <c r="T780" s="615"/>
      <c r="U780" s="615"/>
      <c r="V780" s="615"/>
      <c r="W780" s="615"/>
      <c r="X780" s="615"/>
      <c r="Y780" s="615"/>
      <c r="Z780" s="615"/>
      <c r="AA780" s="615"/>
    </row>
    <row r="781">
      <c r="A781" s="675"/>
      <c r="B781" s="615"/>
      <c r="C781" s="676"/>
      <c r="D781" s="677"/>
      <c r="E781" s="677"/>
      <c r="F781" s="615"/>
      <c r="G781" s="615"/>
      <c r="H781" s="615"/>
      <c r="I781" s="679"/>
      <c r="J781" s="615"/>
      <c r="K781" s="615"/>
      <c r="L781" s="615"/>
      <c r="M781" s="615"/>
      <c r="N781" s="615"/>
      <c r="O781" s="615"/>
      <c r="P781" s="615"/>
      <c r="Q781" s="615"/>
      <c r="R781" s="615"/>
      <c r="S781" s="615"/>
      <c r="T781" s="615"/>
      <c r="U781" s="615"/>
      <c r="V781" s="615"/>
      <c r="W781" s="615"/>
      <c r="X781" s="615"/>
      <c r="Y781" s="615"/>
      <c r="Z781" s="615"/>
      <c r="AA781" s="615"/>
    </row>
    <row r="782">
      <c r="A782" s="675"/>
      <c r="B782" s="615"/>
      <c r="C782" s="676"/>
      <c r="D782" s="677"/>
      <c r="E782" s="677"/>
      <c r="F782" s="615"/>
      <c r="G782" s="615"/>
      <c r="H782" s="615"/>
      <c r="I782" s="679"/>
      <c r="J782" s="615"/>
      <c r="K782" s="615"/>
      <c r="L782" s="615"/>
      <c r="M782" s="615"/>
      <c r="N782" s="615"/>
      <c r="O782" s="615"/>
      <c r="P782" s="615"/>
      <c r="Q782" s="615"/>
      <c r="R782" s="615"/>
      <c r="S782" s="615"/>
      <c r="T782" s="615"/>
      <c r="U782" s="615"/>
      <c r="V782" s="615"/>
      <c r="W782" s="615"/>
      <c r="X782" s="615"/>
      <c r="Y782" s="615"/>
      <c r="Z782" s="615"/>
      <c r="AA782" s="615"/>
    </row>
    <row r="783">
      <c r="A783" s="675"/>
      <c r="B783" s="615"/>
      <c r="C783" s="676"/>
      <c r="D783" s="677"/>
      <c r="E783" s="677"/>
      <c r="F783" s="615"/>
      <c r="G783" s="615"/>
      <c r="H783" s="615"/>
      <c r="I783" s="679"/>
      <c r="J783" s="615"/>
      <c r="K783" s="615"/>
      <c r="L783" s="615"/>
      <c r="M783" s="615"/>
      <c r="N783" s="615"/>
      <c r="O783" s="615"/>
      <c r="P783" s="615"/>
      <c r="Q783" s="615"/>
      <c r="R783" s="615"/>
      <c r="S783" s="615"/>
      <c r="T783" s="615"/>
      <c r="U783" s="615"/>
      <c r="V783" s="615"/>
      <c r="W783" s="615"/>
      <c r="X783" s="615"/>
      <c r="Y783" s="615"/>
      <c r="Z783" s="615"/>
      <c r="AA783" s="615"/>
    </row>
    <row r="784">
      <c r="A784" s="675"/>
      <c r="B784" s="615"/>
      <c r="C784" s="676"/>
      <c r="D784" s="677"/>
      <c r="E784" s="677"/>
      <c r="F784" s="615"/>
      <c r="G784" s="615"/>
      <c r="H784" s="615"/>
      <c r="I784" s="679"/>
      <c r="J784" s="615"/>
      <c r="K784" s="615"/>
      <c r="L784" s="615"/>
      <c r="M784" s="615"/>
      <c r="N784" s="615"/>
      <c r="O784" s="615"/>
      <c r="P784" s="615"/>
      <c r="Q784" s="615"/>
      <c r="R784" s="615"/>
      <c r="S784" s="615"/>
      <c r="T784" s="615"/>
      <c r="U784" s="615"/>
      <c r="V784" s="615"/>
      <c r="W784" s="615"/>
      <c r="X784" s="615"/>
      <c r="Y784" s="615"/>
      <c r="Z784" s="615"/>
      <c r="AA784" s="615"/>
    </row>
    <row r="785">
      <c r="A785" s="675"/>
      <c r="B785" s="615"/>
      <c r="C785" s="676"/>
      <c r="D785" s="677"/>
      <c r="E785" s="677"/>
      <c r="F785" s="615"/>
      <c r="G785" s="615"/>
      <c r="H785" s="615"/>
      <c r="I785" s="679"/>
      <c r="J785" s="615"/>
      <c r="K785" s="615"/>
      <c r="L785" s="615"/>
      <c r="M785" s="615"/>
      <c r="N785" s="615"/>
      <c r="O785" s="615"/>
      <c r="P785" s="615"/>
      <c r="Q785" s="615"/>
      <c r="R785" s="615"/>
      <c r="S785" s="615"/>
      <c r="T785" s="615"/>
      <c r="U785" s="615"/>
      <c r="V785" s="615"/>
      <c r="W785" s="615"/>
      <c r="X785" s="615"/>
      <c r="Y785" s="615"/>
      <c r="Z785" s="615"/>
      <c r="AA785" s="615"/>
    </row>
    <row r="786">
      <c r="A786" s="675"/>
      <c r="B786" s="615"/>
      <c r="C786" s="676"/>
      <c r="D786" s="677"/>
      <c r="E786" s="677"/>
      <c r="F786" s="615"/>
      <c r="G786" s="615"/>
      <c r="H786" s="615"/>
      <c r="I786" s="679"/>
      <c r="J786" s="615"/>
      <c r="K786" s="615"/>
      <c r="L786" s="615"/>
      <c r="M786" s="615"/>
      <c r="N786" s="615"/>
      <c r="O786" s="615"/>
      <c r="P786" s="615"/>
      <c r="Q786" s="615"/>
      <c r="R786" s="615"/>
      <c r="S786" s="615"/>
      <c r="T786" s="615"/>
      <c r="U786" s="615"/>
      <c r="V786" s="615"/>
      <c r="W786" s="615"/>
      <c r="X786" s="615"/>
      <c r="Y786" s="615"/>
      <c r="Z786" s="615"/>
      <c r="AA786" s="615"/>
    </row>
    <row r="787">
      <c r="A787" s="675"/>
      <c r="B787" s="615"/>
      <c r="C787" s="676"/>
      <c r="D787" s="677"/>
      <c r="E787" s="677"/>
      <c r="F787" s="615"/>
      <c r="G787" s="615"/>
      <c r="H787" s="615"/>
      <c r="I787" s="679"/>
      <c r="J787" s="615"/>
      <c r="K787" s="615"/>
      <c r="L787" s="615"/>
      <c r="M787" s="615"/>
      <c r="N787" s="615"/>
      <c r="O787" s="615"/>
      <c r="P787" s="615"/>
      <c r="Q787" s="615"/>
      <c r="R787" s="615"/>
      <c r="S787" s="615"/>
      <c r="T787" s="615"/>
      <c r="U787" s="615"/>
      <c r="V787" s="615"/>
      <c r="W787" s="615"/>
      <c r="X787" s="615"/>
      <c r="Y787" s="615"/>
      <c r="Z787" s="615"/>
      <c r="AA787" s="615"/>
    </row>
    <row r="788">
      <c r="A788" s="675"/>
      <c r="B788" s="615"/>
      <c r="C788" s="676"/>
      <c r="D788" s="677"/>
      <c r="E788" s="677"/>
      <c r="F788" s="615"/>
      <c r="G788" s="615"/>
      <c r="H788" s="615"/>
      <c r="I788" s="679"/>
      <c r="J788" s="615"/>
      <c r="K788" s="615"/>
      <c r="L788" s="615"/>
      <c r="M788" s="615"/>
      <c r="N788" s="615"/>
      <c r="O788" s="615"/>
      <c r="P788" s="615"/>
      <c r="Q788" s="615"/>
      <c r="R788" s="615"/>
      <c r="S788" s="615"/>
      <c r="T788" s="615"/>
      <c r="U788" s="615"/>
      <c r="V788" s="615"/>
      <c r="W788" s="615"/>
      <c r="X788" s="615"/>
      <c r="Y788" s="615"/>
      <c r="Z788" s="615"/>
      <c r="AA788" s="615"/>
    </row>
    <row r="789">
      <c r="A789" s="675"/>
      <c r="B789" s="615"/>
      <c r="C789" s="676"/>
      <c r="D789" s="677"/>
      <c r="E789" s="677"/>
      <c r="F789" s="615"/>
      <c r="G789" s="615"/>
      <c r="H789" s="615"/>
      <c r="I789" s="679"/>
      <c r="J789" s="615"/>
      <c r="K789" s="615"/>
      <c r="L789" s="615"/>
      <c r="M789" s="615"/>
      <c r="N789" s="615"/>
      <c r="O789" s="615"/>
      <c r="P789" s="615"/>
      <c r="Q789" s="615"/>
      <c r="R789" s="615"/>
      <c r="S789" s="615"/>
      <c r="T789" s="615"/>
      <c r="U789" s="615"/>
      <c r="V789" s="615"/>
      <c r="W789" s="615"/>
      <c r="X789" s="615"/>
      <c r="Y789" s="615"/>
      <c r="Z789" s="615"/>
      <c r="AA789" s="615"/>
    </row>
    <row r="790">
      <c r="A790" s="675"/>
      <c r="B790" s="615"/>
      <c r="C790" s="676"/>
      <c r="D790" s="677"/>
      <c r="E790" s="677"/>
      <c r="F790" s="615"/>
      <c r="G790" s="615"/>
      <c r="H790" s="615"/>
      <c r="I790" s="679"/>
      <c r="J790" s="615"/>
      <c r="K790" s="615"/>
      <c r="L790" s="615"/>
      <c r="M790" s="615"/>
      <c r="N790" s="615"/>
      <c r="O790" s="615"/>
      <c r="P790" s="615"/>
      <c r="Q790" s="615"/>
      <c r="R790" s="615"/>
      <c r="S790" s="615"/>
      <c r="T790" s="615"/>
      <c r="U790" s="615"/>
      <c r="V790" s="615"/>
      <c r="W790" s="615"/>
      <c r="X790" s="615"/>
      <c r="Y790" s="615"/>
      <c r="Z790" s="615"/>
      <c r="AA790" s="615"/>
    </row>
    <row r="791">
      <c r="A791" s="675"/>
      <c r="B791" s="615"/>
      <c r="C791" s="676"/>
      <c r="D791" s="677"/>
      <c r="E791" s="677"/>
      <c r="F791" s="615"/>
      <c r="G791" s="615"/>
      <c r="H791" s="615"/>
      <c r="I791" s="679"/>
      <c r="J791" s="615"/>
      <c r="K791" s="615"/>
      <c r="L791" s="615"/>
      <c r="M791" s="615"/>
      <c r="N791" s="615"/>
      <c r="O791" s="615"/>
      <c r="P791" s="615"/>
      <c r="Q791" s="615"/>
      <c r="R791" s="615"/>
      <c r="S791" s="615"/>
      <c r="T791" s="615"/>
      <c r="U791" s="615"/>
      <c r="V791" s="615"/>
      <c r="W791" s="615"/>
      <c r="X791" s="615"/>
      <c r="Y791" s="615"/>
      <c r="Z791" s="615"/>
      <c r="AA791" s="615"/>
    </row>
    <row r="792">
      <c r="A792" s="675"/>
      <c r="B792" s="615"/>
      <c r="C792" s="676"/>
      <c r="D792" s="677"/>
      <c r="E792" s="677"/>
      <c r="F792" s="615"/>
      <c r="G792" s="615"/>
      <c r="H792" s="615"/>
      <c r="I792" s="679"/>
      <c r="J792" s="615"/>
      <c r="K792" s="615"/>
      <c r="L792" s="615"/>
      <c r="M792" s="615"/>
      <c r="N792" s="615"/>
      <c r="O792" s="615"/>
      <c r="P792" s="615"/>
      <c r="Q792" s="615"/>
      <c r="R792" s="615"/>
      <c r="S792" s="615"/>
      <c r="T792" s="615"/>
      <c r="U792" s="615"/>
      <c r="V792" s="615"/>
      <c r="W792" s="615"/>
      <c r="X792" s="615"/>
      <c r="Y792" s="615"/>
      <c r="Z792" s="615"/>
      <c r="AA792" s="615"/>
    </row>
    <row r="793">
      <c r="A793" s="675"/>
      <c r="B793" s="615"/>
      <c r="C793" s="676"/>
      <c r="D793" s="677"/>
      <c r="E793" s="677"/>
      <c r="F793" s="615"/>
      <c r="G793" s="615"/>
      <c r="H793" s="615"/>
      <c r="I793" s="679"/>
      <c r="J793" s="615"/>
      <c r="K793" s="615"/>
      <c r="L793" s="615"/>
      <c r="M793" s="615"/>
      <c r="N793" s="615"/>
      <c r="O793" s="615"/>
      <c r="P793" s="615"/>
      <c r="Q793" s="615"/>
      <c r="R793" s="615"/>
      <c r="S793" s="615"/>
      <c r="T793" s="615"/>
      <c r="U793" s="615"/>
      <c r="V793" s="615"/>
      <c r="W793" s="615"/>
      <c r="X793" s="615"/>
      <c r="Y793" s="615"/>
      <c r="Z793" s="615"/>
      <c r="AA793" s="615"/>
    </row>
    <row r="794">
      <c r="A794" s="675"/>
      <c r="B794" s="615"/>
      <c r="C794" s="676"/>
      <c r="D794" s="677"/>
      <c r="E794" s="677"/>
      <c r="F794" s="615"/>
      <c r="G794" s="615"/>
      <c r="H794" s="615"/>
      <c r="I794" s="679"/>
      <c r="J794" s="615"/>
      <c r="K794" s="615"/>
      <c r="L794" s="615"/>
      <c r="M794" s="615"/>
      <c r="N794" s="615"/>
      <c r="O794" s="615"/>
      <c r="P794" s="615"/>
      <c r="Q794" s="615"/>
      <c r="R794" s="615"/>
      <c r="S794" s="615"/>
      <c r="T794" s="615"/>
      <c r="U794" s="615"/>
      <c r="V794" s="615"/>
      <c r="W794" s="615"/>
      <c r="X794" s="615"/>
      <c r="Y794" s="615"/>
      <c r="Z794" s="615"/>
      <c r="AA794" s="615"/>
    </row>
    <row r="795">
      <c r="A795" s="675"/>
      <c r="B795" s="615"/>
      <c r="C795" s="676"/>
      <c r="D795" s="677"/>
      <c r="E795" s="677"/>
      <c r="F795" s="615"/>
      <c r="G795" s="615"/>
      <c r="H795" s="615"/>
      <c r="I795" s="679"/>
      <c r="J795" s="615"/>
      <c r="K795" s="615"/>
      <c r="L795" s="615"/>
      <c r="M795" s="615"/>
      <c r="N795" s="615"/>
      <c r="O795" s="615"/>
      <c r="P795" s="615"/>
      <c r="Q795" s="615"/>
      <c r="R795" s="615"/>
      <c r="S795" s="615"/>
      <c r="T795" s="615"/>
      <c r="U795" s="615"/>
      <c r="V795" s="615"/>
      <c r="W795" s="615"/>
      <c r="X795" s="615"/>
      <c r="Y795" s="615"/>
      <c r="Z795" s="615"/>
      <c r="AA795" s="615"/>
    </row>
    <row r="796">
      <c r="A796" s="675"/>
      <c r="B796" s="615"/>
      <c r="C796" s="676"/>
      <c r="D796" s="677"/>
      <c r="E796" s="677"/>
      <c r="F796" s="615"/>
      <c r="G796" s="615"/>
      <c r="H796" s="615"/>
      <c r="I796" s="679"/>
      <c r="J796" s="615"/>
      <c r="K796" s="615"/>
      <c r="L796" s="615"/>
      <c r="M796" s="615"/>
      <c r="N796" s="615"/>
      <c r="O796" s="615"/>
      <c r="P796" s="615"/>
      <c r="Q796" s="615"/>
      <c r="R796" s="615"/>
      <c r="S796" s="615"/>
      <c r="T796" s="615"/>
      <c r="U796" s="615"/>
      <c r="V796" s="615"/>
      <c r="W796" s="615"/>
      <c r="X796" s="615"/>
      <c r="Y796" s="615"/>
      <c r="Z796" s="615"/>
      <c r="AA796" s="615"/>
    </row>
    <row r="797">
      <c r="A797" s="675"/>
      <c r="B797" s="615"/>
      <c r="C797" s="676"/>
      <c r="D797" s="677"/>
      <c r="E797" s="677"/>
      <c r="F797" s="615"/>
      <c r="G797" s="615"/>
      <c r="H797" s="615"/>
      <c r="I797" s="679"/>
      <c r="J797" s="615"/>
      <c r="K797" s="615"/>
      <c r="L797" s="615"/>
      <c r="M797" s="615"/>
      <c r="N797" s="615"/>
      <c r="O797" s="615"/>
      <c r="P797" s="615"/>
      <c r="Q797" s="615"/>
      <c r="R797" s="615"/>
      <c r="S797" s="615"/>
      <c r="T797" s="615"/>
      <c r="U797" s="615"/>
      <c r="V797" s="615"/>
      <c r="W797" s="615"/>
      <c r="X797" s="615"/>
      <c r="Y797" s="615"/>
      <c r="Z797" s="615"/>
      <c r="AA797" s="615"/>
    </row>
    <row r="798">
      <c r="A798" s="675"/>
      <c r="B798" s="615"/>
      <c r="C798" s="676"/>
      <c r="D798" s="677"/>
      <c r="E798" s="677"/>
      <c r="F798" s="615"/>
      <c r="G798" s="615"/>
      <c r="H798" s="615"/>
      <c r="I798" s="679"/>
      <c r="J798" s="615"/>
      <c r="K798" s="615"/>
      <c r="L798" s="615"/>
      <c r="M798" s="615"/>
      <c r="N798" s="615"/>
      <c r="O798" s="615"/>
      <c r="P798" s="615"/>
      <c r="Q798" s="615"/>
      <c r="R798" s="615"/>
      <c r="S798" s="615"/>
      <c r="T798" s="615"/>
      <c r="U798" s="615"/>
      <c r="V798" s="615"/>
      <c r="W798" s="615"/>
      <c r="X798" s="615"/>
      <c r="Y798" s="615"/>
      <c r="Z798" s="615"/>
      <c r="AA798" s="615"/>
    </row>
    <row r="799">
      <c r="A799" s="675"/>
      <c r="B799" s="615"/>
      <c r="C799" s="676"/>
      <c r="D799" s="677"/>
      <c r="E799" s="677"/>
      <c r="F799" s="615"/>
      <c r="G799" s="615"/>
      <c r="H799" s="615"/>
      <c r="I799" s="679"/>
      <c r="J799" s="615"/>
      <c r="K799" s="615"/>
      <c r="L799" s="615"/>
      <c r="M799" s="615"/>
      <c r="N799" s="615"/>
      <c r="O799" s="615"/>
      <c r="P799" s="615"/>
      <c r="Q799" s="615"/>
      <c r="R799" s="615"/>
      <c r="S799" s="615"/>
      <c r="T799" s="615"/>
      <c r="U799" s="615"/>
      <c r="V799" s="615"/>
      <c r="W799" s="615"/>
      <c r="X799" s="615"/>
      <c r="Y799" s="615"/>
      <c r="Z799" s="615"/>
      <c r="AA799" s="615"/>
    </row>
    <row r="800">
      <c r="A800" s="675"/>
      <c r="B800" s="615"/>
      <c r="C800" s="676"/>
      <c r="D800" s="677"/>
      <c r="E800" s="677"/>
      <c r="F800" s="615"/>
      <c r="G800" s="615"/>
      <c r="H800" s="615"/>
      <c r="I800" s="679"/>
      <c r="J800" s="615"/>
      <c r="K800" s="615"/>
      <c r="L800" s="615"/>
      <c r="M800" s="615"/>
      <c r="N800" s="615"/>
      <c r="O800" s="615"/>
      <c r="P800" s="615"/>
      <c r="Q800" s="615"/>
      <c r="R800" s="615"/>
      <c r="S800" s="615"/>
      <c r="T800" s="615"/>
      <c r="U800" s="615"/>
      <c r="V800" s="615"/>
      <c r="W800" s="615"/>
      <c r="X800" s="615"/>
      <c r="Y800" s="615"/>
      <c r="Z800" s="615"/>
      <c r="AA800" s="615"/>
    </row>
    <row r="801">
      <c r="A801" s="675"/>
      <c r="B801" s="615"/>
      <c r="C801" s="676"/>
      <c r="D801" s="677"/>
      <c r="E801" s="677"/>
      <c r="F801" s="615"/>
      <c r="G801" s="615"/>
      <c r="H801" s="615"/>
      <c r="I801" s="679"/>
      <c r="J801" s="615"/>
      <c r="K801" s="615"/>
      <c r="L801" s="615"/>
      <c r="M801" s="615"/>
      <c r="N801" s="615"/>
      <c r="O801" s="615"/>
      <c r="P801" s="615"/>
      <c r="Q801" s="615"/>
      <c r="R801" s="615"/>
      <c r="S801" s="615"/>
      <c r="T801" s="615"/>
      <c r="U801" s="615"/>
      <c r="V801" s="615"/>
      <c r="W801" s="615"/>
      <c r="X801" s="615"/>
      <c r="Y801" s="615"/>
      <c r="Z801" s="615"/>
      <c r="AA801" s="615"/>
    </row>
    <row r="802">
      <c r="A802" s="675"/>
      <c r="B802" s="615"/>
      <c r="C802" s="676"/>
      <c r="D802" s="677"/>
      <c r="E802" s="677"/>
      <c r="F802" s="615"/>
      <c r="G802" s="615"/>
      <c r="H802" s="615"/>
      <c r="I802" s="679"/>
      <c r="J802" s="615"/>
      <c r="K802" s="615"/>
      <c r="L802" s="615"/>
      <c r="M802" s="615"/>
      <c r="N802" s="615"/>
      <c r="O802" s="615"/>
      <c r="P802" s="615"/>
      <c r="Q802" s="615"/>
      <c r="R802" s="615"/>
      <c r="S802" s="615"/>
      <c r="T802" s="615"/>
      <c r="U802" s="615"/>
      <c r="V802" s="615"/>
      <c r="W802" s="615"/>
      <c r="X802" s="615"/>
      <c r="Y802" s="615"/>
      <c r="Z802" s="615"/>
      <c r="AA802" s="615"/>
    </row>
    <row r="803">
      <c r="A803" s="675"/>
      <c r="B803" s="615"/>
      <c r="C803" s="676"/>
      <c r="D803" s="677"/>
      <c r="E803" s="677"/>
      <c r="F803" s="615"/>
      <c r="G803" s="615"/>
      <c r="H803" s="615"/>
      <c r="I803" s="679"/>
      <c r="J803" s="615"/>
      <c r="K803" s="615"/>
      <c r="L803" s="615"/>
      <c r="M803" s="615"/>
      <c r="N803" s="615"/>
      <c r="O803" s="615"/>
      <c r="P803" s="615"/>
      <c r="Q803" s="615"/>
      <c r="R803" s="615"/>
      <c r="S803" s="615"/>
      <c r="T803" s="615"/>
      <c r="U803" s="615"/>
      <c r="V803" s="615"/>
      <c r="W803" s="615"/>
      <c r="X803" s="615"/>
      <c r="Y803" s="615"/>
      <c r="Z803" s="615"/>
      <c r="AA803" s="615"/>
    </row>
    <row r="804">
      <c r="A804" s="675"/>
      <c r="B804" s="615"/>
      <c r="C804" s="676"/>
      <c r="D804" s="677"/>
      <c r="E804" s="677"/>
      <c r="F804" s="615"/>
      <c r="G804" s="615"/>
      <c r="H804" s="615"/>
      <c r="I804" s="679"/>
      <c r="J804" s="615"/>
      <c r="K804" s="615"/>
      <c r="L804" s="615"/>
      <c r="M804" s="615"/>
      <c r="N804" s="615"/>
      <c r="O804" s="615"/>
      <c r="P804" s="615"/>
      <c r="Q804" s="615"/>
      <c r="R804" s="615"/>
      <c r="S804" s="615"/>
      <c r="T804" s="615"/>
      <c r="U804" s="615"/>
      <c r="V804" s="615"/>
      <c r="W804" s="615"/>
      <c r="X804" s="615"/>
      <c r="Y804" s="615"/>
      <c r="Z804" s="615"/>
      <c r="AA804" s="615"/>
    </row>
    <row r="805">
      <c r="A805" s="675"/>
      <c r="B805" s="615"/>
      <c r="C805" s="676"/>
      <c r="D805" s="677"/>
      <c r="E805" s="677"/>
      <c r="F805" s="615"/>
      <c r="G805" s="615"/>
      <c r="H805" s="615"/>
      <c r="I805" s="679"/>
      <c r="J805" s="615"/>
      <c r="K805" s="615"/>
      <c r="L805" s="615"/>
      <c r="M805" s="615"/>
      <c r="N805" s="615"/>
      <c r="O805" s="615"/>
      <c r="P805" s="615"/>
      <c r="Q805" s="615"/>
      <c r="R805" s="615"/>
      <c r="S805" s="615"/>
      <c r="T805" s="615"/>
      <c r="U805" s="615"/>
      <c r="V805" s="615"/>
      <c r="W805" s="615"/>
      <c r="X805" s="615"/>
      <c r="Y805" s="615"/>
      <c r="Z805" s="615"/>
      <c r="AA805" s="615"/>
    </row>
    <row r="806">
      <c r="A806" s="675"/>
      <c r="B806" s="615"/>
      <c r="C806" s="676"/>
      <c r="D806" s="677"/>
      <c r="E806" s="677"/>
      <c r="F806" s="615"/>
      <c r="G806" s="615"/>
      <c r="H806" s="615"/>
      <c r="I806" s="679"/>
      <c r="J806" s="615"/>
      <c r="K806" s="615"/>
      <c r="L806" s="615"/>
      <c r="M806" s="615"/>
      <c r="N806" s="615"/>
      <c r="O806" s="615"/>
      <c r="P806" s="615"/>
      <c r="Q806" s="615"/>
      <c r="R806" s="615"/>
      <c r="S806" s="615"/>
      <c r="T806" s="615"/>
      <c r="U806" s="615"/>
      <c r="V806" s="615"/>
      <c r="W806" s="615"/>
      <c r="X806" s="615"/>
      <c r="Y806" s="615"/>
      <c r="Z806" s="615"/>
      <c r="AA806" s="615"/>
    </row>
    <row r="807">
      <c r="A807" s="675"/>
      <c r="B807" s="615"/>
      <c r="C807" s="676"/>
      <c r="D807" s="677"/>
      <c r="E807" s="677"/>
      <c r="F807" s="615"/>
      <c r="G807" s="615"/>
      <c r="H807" s="615"/>
      <c r="I807" s="679"/>
      <c r="J807" s="615"/>
      <c r="K807" s="615"/>
      <c r="L807" s="615"/>
      <c r="M807" s="615"/>
      <c r="N807" s="615"/>
      <c r="O807" s="615"/>
      <c r="P807" s="615"/>
      <c r="Q807" s="615"/>
      <c r="R807" s="615"/>
      <c r="S807" s="615"/>
      <c r="T807" s="615"/>
      <c r="U807" s="615"/>
      <c r="V807" s="615"/>
      <c r="W807" s="615"/>
      <c r="X807" s="615"/>
      <c r="Y807" s="615"/>
      <c r="Z807" s="615"/>
      <c r="AA807" s="615"/>
    </row>
    <row r="808">
      <c r="A808" s="675"/>
      <c r="B808" s="615"/>
      <c r="C808" s="676"/>
      <c r="D808" s="677"/>
      <c r="E808" s="677"/>
      <c r="F808" s="615"/>
      <c r="G808" s="615"/>
      <c r="H808" s="615"/>
      <c r="I808" s="679"/>
      <c r="J808" s="615"/>
      <c r="K808" s="615"/>
      <c r="L808" s="615"/>
      <c r="M808" s="615"/>
      <c r="N808" s="615"/>
      <c r="O808" s="615"/>
      <c r="P808" s="615"/>
      <c r="Q808" s="615"/>
      <c r="R808" s="615"/>
      <c r="S808" s="615"/>
      <c r="T808" s="615"/>
      <c r="U808" s="615"/>
      <c r="V808" s="615"/>
      <c r="W808" s="615"/>
      <c r="X808" s="615"/>
      <c r="Y808" s="615"/>
      <c r="Z808" s="615"/>
      <c r="AA808" s="615"/>
    </row>
    <row r="809">
      <c r="A809" s="675"/>
      <c r="B809" s="615"/>
      <c r="C809" s="676"/>
      <c r="D809" s="677"/>
      <c r="E809" s="677"/>
      <c r="F809" s="615"/>
      <c r="G809" s="615"/>
      <c r="H809" s="615"/>
      <c r="I809" s="679"/>
      <c r="J809" s="615"/>
      <c r="K809" s="615"/>
      <c r="L809" s="615"/>
      <c r="M809" s="615"/>
      <c r="N809" s="615"/>
      <c r="O809" s="615"/>
      <c r="P809" s="615"/>
      <c r="Q809" s="615"/>
      <c r="R809" s="615"/>
      <c r="S809" s="615"/>
      <c r="T809" s="615"/>
      <c r="U809" s="615"/>
      <c r="V809" s="615"/>
      <c r="W809" s="615"/>
      <c r="X809" s="615"/>
      <c r="Y809" s="615"/>
      <c r="Z809" s="615"/>
      <c r="AA809" s="615"/>
    </row>
    <row r="810">
      <c r="A810" s="675"/>
      <c r="B810" s="615"/>
      <c r="C810" s="676"/>
      <c r="D810" s="677"/>
      <c r="E810" s="677"/>
      <c r="F810" s="615"/>
      <c r="G810" s="615"/>
      <c r="H810" s="615"/>
      <c r="I810" s="679"/>
      <c r="J810" s="615"/>
      <c r="K810" s="615"/>
      <c r="L810" s="615"/>
      <c r="M810" s="615"/>
      <c r="N810" s="615"/>
      <c r="O810" s="615"/>
      <c r="P810" s="615"/>
      <c r="Q810" s="615"/>
      <c r="R810" s="615"/>
      <c r="S810" s="615"/>
      <c r="T810" s="615"/>
      <c r="U810" s="615"/>
      <c r="V810" s="615"/>
      <c r="W810" s="615"/>
      <c r="X810" s="615"/>
      <c r="Y810" s="615"/>
      <c r="Z810" s="615"/>
      <c r="AA810" s="615"/>
    </row>
    <row r="811">
      <c r="A811" s="675"/>
      <c r="B811" s="615"/>
      <c r="C811" s="676"/>
      <c r="D811" s="677"/>
      <c r="E811" s="677"/>
      <c r="F811" s="615"/>
      <c r="G811" s="615"/>
      <c r="H811" s="615"/>
      <c r="I811" s="679"/>
      <c r="J811" s="615"/>
      <c r="K811" s="615"/>
      <c r="L811" s="615"/>
      <c r="M811" s="615"/>
      <c r="N811" s="615"/>
      <c r="O811" s="615"/>
      <c r="P811" s="615"/>
      <c r="Q811" s="615"/>
      <c r="R811" s="615"/>
      <c r="S811" s="615"/>
      <c r="T811" s="615"/>
      <c r="U811" s="615"/>
      <c r="V811" s="615"/>
      <c r="W811" s="615"/>
      <c r="X811" s="615"/>
      <c r="Y811" s="615"/>
      <c r="Z811" s="615"/>
      <c r="AA811" s="615"/>
    </row>
    <row r="812">
      <c r="A812" s="675"/>
      <c r="B812" s="615"/>
      <c r="C812" s="676"/>
      <c r="D812" s="677"/>
      <c r="E812" s="677"/>
      <c r="F812" s="615"/>
      <c r="G812" s="615"/>
      <c r="H812" s="615"/>
      <c r="I812" s="679"/>
      <c r="J812" s="615"/>
      <c r="K812" s="615"/>
      <c r="L812" s="615"/>
      <c r="M812" s="615"/>
      <c r="N812" s="615"/>
      <c r="O812" s="615"/>
      <c r="P812" s="615"/>
      <c r="Q812" s="615"/>
      <c r="R812" s="615"/>
      <c r="S812" s="615"/>
      <c r="T812" s="615"/>
      <c r="U812" s="615"/>
      <c r="V812" s="615"/>
      <c r="W812" s="615"/>
      <c r="X812" s="615"/>
      <c r="Y812" s="615"/>
      <c r="Z812" s="615"/>
      <c r="AA812" s="615"/>
    </row>
    <row r="813">
      <c r="A813" s="675"/>
      <c r="B813" s="615"/>
      <c r="C813" s="676"/>
      <c r="D813" s="677"/>
      <c r="E813" s="677"/>
      <c r="F813" s="615"/>
      <c r="G813" s="615"/>
      <c r="H813" s="615"/>
      <c r="I813" s="679"/>
      <c r="J813" s="615"/>
      <c r="K813" s="615"/>
      <c r="L813" s="615"/>
      <c r="M813" s="615"/>
      <c r="N813" s="615"/>
      <c r="O813" s="615"/>
      <c r="P813" s="615"/>
      <c r="Q813" s="615"/>
      <c r="R813" s="615"/>
      <c r="S813" s="615"/>
      <c r="T813" s="615"/>
      <c r="U813" s="615"/>
      <c r="V813" s="615"/>
      <c r="W813" s="615"/>
      <c r="X813" s="615"/>
      <c r="Y813" s="615"/>
      <c r="Z813" s="615"/>
      <c r="AA813" s="615"/>
    </row>
    <row r="814">
      <c r="A814" s="675"/>
      <c r="B814" s="615"/>
      <c r="C814" s="676"/>
      <c r="D814" s="677"/>
      <c r="E814" s="677"/>
      <c r="F814" s="615"/>
      <c r="G814" s="615"/>
      <c r="H814" s="615"/>
      <c r="I814" s="679"/>
      <c r="J814" s="615"/>
      <c r="K814" s="615"/>
      <c r="L814" s="615"/>
      <c r="M814" s="615"/>
      <c r="N814" s="615"/>
      <c r="O814" s="615"/>
      <c r="P814" s="615"/>
      <c r="Q814" s="615"/>
      <c r="R814" s="615"/>
      <c r="S814" s="615"/>
      <c r="T814" s="615"/>
      <c r="U814" s="615"/>
      <c r="V814" s="615"/>
      <c r="W814" s="615"/>
      <c r="X814" s="615"/>
      <c r="Y814" s="615"/>
      <c r="Z814" s="615"/>
      <c r="AA814" s="615"/>
    </row>
    <row r="815">
      <c r="A815" s="675"/>
      <c r="B815" s="615"/>
      <c r="C815" s="676"/>
      <c r="D815" s="677"/>
      <c r="E815" s="677"/>
      <c r="F815" s="615"/>
      <c r="G815" s="615"/>
      <c r="H815" s="615"/>
      <c r="I815" s="679"/>
      <c r="J815" s="615"/>
      <c r="K815" s="615"/>
      <c r="L815" s="615"/>
      <c r="M815" s="615"/>
      <c r="N815" s="615"/>
      <c r="O815" s="615"/>
      <c r="P815" s="615"/>
      <c r="Q815" s="615"/>
      <c r="R815" s="615"/>
      <c r="S815" s="615"/>
      <c r="T815" s="615"/>
      <c r="U815" s="615"/>
      <c r="V815" s="615"/>
      <c r="W815" s="615"/>
      <c r="X815" s="615"/>
      <c r="Y815" s="615"/>
      <c r="Z815" s="615"/>
      <c r="AA815" s="615"/>
    </row>
    <row r="816">
      <c r="A816" s="675"/>
      <c r="B816" s="615"/>
      <c r="C816" s="676"/>
      <c r="D816" s="677"/>
      <c r="E816" s="677"/>
      <c r="F816" s="615"/>
      <c r="G816" s="615"/>
      <c r="H816" s="615"/>
      <c r="I816" s="679"/>
      <c r="J816" s="615"/>
      <c r="K816" s="615"/>
      <c r="L816" s="615"/>
      <c r="M816" s="615"/>
      <c r="N816" s="615"/>
      <c r="O816" s="615"/>
      <c r="P816" s="615"/>
      <c r="Q816" s="615"/>
      <c r="R816" s="615"/>
      <c r="S816" s="615"/>
      <c r="T816" s="615"/>
      <c r="U816" s="615"/>
      <c r="V816" s="615"/>
      <c r="W816" s="615"/>
      <c r="X816" s="615"/>
      <c r="Y816" s="615"/>
      <c r="Z816" s="615"/>
      <c r="AA816" s="615"/>
    </row>
    <row r="817">
      <c r="A817" s="675"/>
      <c r="B817" s="615"/>
      <c r="C817" s="676"/>
      <c r="D817" s="677"/>
      <c r="E817" s="677"/>
      <c r="F817" s="615"/>
      <c r="G817" s="615"/>
      <c r="H817" s="615"/>
      <c r="I817" s="679"/>
      <c r="J817" s="615"/>
      <c r="K817" s="615"/>
      <c r="L817" s="615"/>
      <c r="M817" s="615"/>
      <c r="N817" s="615"/>
      <c r="O817" s="615"/>
      <c r="P817" s="615"/>
      <c r="Q817" s="615"/>
      <c r="R817" s="615"/>
      <c r="S817" s="615"/>
      <c r="T817" s="615"/>
      <c r="U817" s="615"/>
      <c r="V817" s="615"/>
      <c r="W817" s="615"/>
      <c r="X817" s="615"/>
      <c r="Y817" s="615"/>
      <c r="Z817" s="615"/>
      <c r="AA817" s="615"/>
    </row>
    <row r="818">
      <c r="A818" s="675"/>
      <c r="B818" s="615"/>
      <c r="C818" s="676"/>
      <c r="D818" s="677"/>
      <c r="E818" s="677"/>
      <c r="F818" s="615"/>
      <c r="G818" s="615"/>
      <c r="H818" s="615"/>
      <c r="I818" s="679"/>
      <c r="J818" s="615"/>
      <c r="K818" s="615"/>
      <c r="L818" s="615"/>
      <c r="M818" s="615"/>
      <c r="N818" s="615"/>
      <c r="O818" s="615"/>
      <c r="P818" s="615"/>
      <c r="Q818" s="615"/>
      <c r="R818" s="615"/>
      <c r="S818" s="615"/>
      <c r="T818" s="615"/>
      <c r="U818" s="615"/>
      <c r="V818" s="615"/>
      <c r="W818" s="615"/>
      <c r="X818" s="615"/>
      <c r="Y818" s="615"/>
      <c r="Z818" s="615"/>
      <c r="AA818" s="615"/>
    </row>
    <row r="819">
      <c r="A819" s="675"/>
      <c r="B819" s="615"/>
      <c r="C819" s="676"/>
      <c r="D819" s="677"/>
      <c r="E819" s="677"/>
      <c r="F819" s="615"/>
      <c r="G819" s="615"/>
      <c r="H819" s="615"/>
      <c r="I819" s="679"/>
      <c r="J819" s="615"/>
      <c r="K819" s="615"/>
      <c r="L819" s="615"/>
      <c r="M819" s="615"/>
      <c r="N819" s="615"/>
      <c r="O819" s="615"/>
      <c r="P819" s="615"/>
      <c r="Q819" s="615"/>
      <c r="R819" s="615"/>
      <c r="S819" s="615"/>
      <c r="T819" s="615"/>
      <c r="U819" s="615"/>
      <c r="V819" s="615"/>
      <c r="W819" s="615"/>
      <c r="X819" s="615"/>
      <c r="Y819" s="615"/>
      <c r="Z819" s="615"/>
      <c r="AA819" s="615"/>
    </row>
    <row r="820">
      <c r="A820" s="675"/>
      <c r="B820" s="615"/>
      <c r="C820" s="676"/>
      <c r="D820" s="677"/>
      <c r="E820" s="677"/>
      <c r="F820" s="615"/>
      <c r="G820" s="615"/>
      <c r="H820" s="615"/>
      <c r="I820" s="679"/>
      <c r="J820" s="615"/>
      <c r="K820" s="615"/>
      <c r="L820" s="615"/>
      <c r="M820" s="615"/>
      <c r="N820" s="615"/>
      <c r="O820" s="615"/>
      <c r="P820" s="615"/>
      <c r="Q820" s="615"/>
      <c r="R820" s="615"/>
      <c r="S820" s="615"/>
      <c r="T820" s="615"/>
      <c r="U820" s="615"/>
      <c r="V820" s="615"/>
      <c r="W820" s="615"/>
      <c r="X820" s="615"/>
      <c r="Y820" s="615"/>
      <c r="Z820" s="615"/>
      <c r="AA820" s="615"/>
    </row>
    <row r="821">
      <c r="A821" s="675"/>
      <c r="B821" s="615"/>
      <c r="C821" s="676"/>
      <c r="D821" s="677"/>
      <c r="E821" s="677"/>
      <c r="F821" s="615"/>
      <c r="G821" s="615"/>
      <c r="H821" s="615"/>
      <c r="I821" s="679"/>
      <c r="J821" s="615"/>
      <c r="K821" s="615"/>
      <c r="L821" s="615"/>
      <c r="M821" s="615"/>
      <c r="N821" s="615"/>
      <c r="O821" s="615"/>
      <c r="P821" s="615"/>
      <c r="Q821" s="615"/>
      <c r="R821" s="615"/>
      <c r="S821" s="615"/>
      <c r="T821" s="615"/>
      <c r="U821" s="615"/>
      <c r="V821" s="615"/>
      <c r="W821" s="615"/>
      <c r="X821" s="615"/>
      <c r="Y821" s="615"/>
      <c r="Z821" s="615"/>
      <c r="AA821" s="615"/>
    </row>
    <row r="822">
      <c r="A822" s="675"/>
      <c r="B822" s="615"/>
      <c r="C822" s="676"/>
      <c r="D822" s="677"/>
      <c r="E822" s="677"/>
      <c r="F822" s="615"/>
      <c r="G822" s="615"/>
      <c r="H822" s="615"/>
      <c r="I822" s="679"/>
      <c r="J822" s="615"/>
      <c r="K822" s="615"/>
      <c r="L822" s="615"/>
      <c r="M822" s="615"/>
      <c r="N822" s="615"/>
      <c r="O822" s="615"/>
      <c r="P822" s="615"/>
      <c r="Q822" s="615"/>
      <c r="R822" s="615"/>
      <c r="S822" s="615"/>
      <c r="T822" s="615"/>
      <c r="U822" s="615"/>
      <c r="V822" s="615"/>
      <c r="W822" s="615"/>
      <c r="X822" s="615"/>
      <c r="Y822" s="615"/>
      <c r="Z822" s="615"/>
      <c r="AA822" s="615"/>
    </row>
    <row r="823">
      <c r="A823" s="675"/>
      <c r="B823" s="615"/>
      <c r="C823" s="676"/>
      <c r="D823" s="677"/>
      <c r="E823" s="677"/>
      <c r="F823" s="615"/>
      <c r="G823" s="615"/>
      <c r="H823" s="615"/>
      <c r="I823" s="679"/>
      <c r="J823" s="615"/>
      <c r="K823" s="615"/>
      <c r="L823" s="615"/>
      <c r="M823" s="615"/>
      <c r="N823" s="615"/>
      <c r="O823" s="615"/>
      <c r="P823" s="615"/>
      <c r="Q823" s="615"/>
      <c r="R823" s="615"/>
      <c r="S823" s="615"/>
      <c r="T823" s="615"/>
      <c r="U823" s="615"/>
      <c r="V823" s="615"/>
      <c r="W823" s="615"/>
      <c r="X823" s="615"/>
      <c r="Y823" s="615"/>
      <c r="Z823" s="615"/>
      <c r="AA823" s="615"/>
    </row>
    <row r="824">
      <c r="A824" s="675"/>
      <c r="B824" s="615"/>
      <c r="C824" s="676"/>
      <c r="D824" s="677"/>
      <c r="E824" s="677"/>
      <c r="F824" s="615"/>
      <c r="G824" s="615"/>
      <c r="H824" s="615"/>
      <c r="I824" s="679"/>
      <c r="J824" s="615"/>
      <c r="K824" s="615"/>
      <c r="L824" s="615"/>
      <c r="M824" s="615"/>
      <c r="N824" s="615"/>
      <c r="O824" s="615"/>
      <c r="P824" s="615"/>
      <c r="Q824" s="615"/>
      <c r="R824" s="615"/>
      <c r="S824" s="615"/>
      <c r="T824" s="615"/>
      <c r="U824" s="615"/>
      <c r="V824" s="615"/>
      <c r="W824" s="615"/>
      <c r="X824" s="615"/>
      <c r="Y824" s="615"/>
      <c r="Z824" s="615"/>
      <c r="AA824" s="615"/>
    </row>
    <row r="825">
      <c r="A825" s="675"/>
      <c r="B825" s="615"/>
      <c r="C825" s="676"/>
      <c r="D825" s="677"/>
      <c r="E825" s="677"/>
      <c r="F825" s="615"/>
      <c r="G825" s="615"/>
      <c r="H825" s="615"/>
      <c r="I825" s="679"/>
      <c r="J825" s="615"/>
      <c r="K825" s="615"/>
      <c r="L825" s="615"/>
      <c r="M825" s="615"/>
      <c r="N825" s="615"/>
      <c r="O825" s="615"/>
      <c r="P825" s="615"/>
      <c r="Q825" s="615"/>
      <c r="R825" s="615"/>
      <c r="S825" s="615"/>
      <c r="T825" s="615"/>
      <c r="U825" s="615"/>
      <c r="V825" s="615"/>
      <c r="W825" s="615"/>
      <c r="X825" s="615"/>
      <c r="Y825" s="615"/>
      <c r="Z825" s="615"/>
      <c r="AA825" s="615"/>
    </row>
    <row r="826">
      <c r="A826" s="675"/>
      <c r="B826" s="615"/>
      <c r="C826" s="676"/>
      <c r="D826" s="677"/>
      <c r="E826" s="677"/>
      <c r="F826" s="615"/>
      <c r="G826" s="615"/>
      <c r="H826" s="615"/>
      <c r="I826" s="679"/>
      <c r="J826" s="615"/>
      <c r="K826" s="615"/>
      <c r="L826" s="615"/>
      <c r="M826" s="615"/>
      <c r="N826" s="615"/>
      <c r="O826" s="615"/>
      <c r="P826" s="615"/>
      <c r="Q826" s="615"/>
      <c r="R826" s="615"/>
      <c r="S826" s="615"/>
      <c r="T826" s="615"/>
      <c r="U826" s="615"/>
      <c r="V826" s="615"/>
      <c r="W826" s="615"/>
      <c r="X826" s="615"/>
      <c r="Y826" s="615"/>
      <c r="Z826" s="615"/>
      <c r="AA826" s="615"/>
    </row>
    <row r="827">
      <c r="A827" s="675"/>
      <c r="B827" s="615"/>
      <c r="C827" s="676"/>
      <c r="D827" s="677"/>
      <c r="E827" s="677"/>
      <c r="F827" s="615"/>
      <c r="G827" s="615"/>
      <c r="H827" s="615"/>
      <c r="I827" s="679"/>
      <c r="J827" s="615"/>
      <c r="K827" s="615"/>
      <c r="L827" s="615"/>
      <c r="M827" s="615"/>
      <c r="N827" s="615"/>
      <c r="O827" s="615"/>
      <c r="P827" s="615"/>
      <c r="Q827" s="615"/>
      <c r="R827" s="615"/>
      <c r="S827" s="615"/>
      <c r="T827" s="615"/>
      <c r="U827" s="615"/>
      <c r="V827" s="615"/>
      <c r="W827" s="615"/>
      <c r="X827" s="615"/>
      <c r="Y827" s="615"/>
      <c r="Z827" s="615"/>
      <c r="AA827" s="615"/>
    </row>
    <row r="828">
      <c r="A828" s="675"/>
      <c r="B828" s="615"/>
      <c r="C828" s="676"/>
      <c r="D828" s="677"/>
      <c r="E828" s="677"/>
      <c r="F828" s="615"/>
      <c r="G828" s="615"/>
      <c r="H828" s="615"/>
      <c r="I828" s="679"/>
      <c r="J828" s="615"/>
      <c r="K828" s="615"/>
      <c r="L828" s="615"/>
      <c r="M828" s="615"/>
      <c r="N828" s="615"/>
      <c r="O828" s="615"/>
      <c r="P828" s="615"/>
      <c r="Q828" s="615"/>
      <c r="R828" s="615"/>
      <c r="S828" s="615"/>
      <c r="T828" s="615"/>
      <c r="U828" s="615"/>
      <c r="V828" s="615"/>
      <c r="W828" s="615"/>
      <c r="X828" s="615"/>
      <c r="Y828" s="615"/>
      <c r="Z828" s="615"/>
      <c r="AA828" s="615"/>
    </row>
    <row r="829">
      <c r="A829" s="675"/>
      <c r="B829" s="615"/>
      <c r="C829" s="676"/>
      <c r="D829" s="677"/>
      <c r="E829" s="677"/>
      <c r="F829" s="615"/>
      <c r="G829" s="615"/>
      <c r="H829" s="615"/>
      <c r="I829" s="679"/>
      <c r="J829" s="615"/>
      <c r="K829" s="615"/>
      <c r="L829" s="615"/>
      <c r="M829" s="615"/>
      <c r="N829" s="615"/>
      <c r="O829" s="615"/>
      <c r="P829" s="615"/>
      <c r="Q829" s="615"/>
      <c r="R829" s="615"/>
      <c r="S829" s="615"/>
      <c r="T829" s="615"/>
      <c r="U829" s="615"/>
      <c r="V829" s="615"/>
      <c r="W829" s="615"/>
      <c r="X829" s="615"/>
      <c r="Y829" s="615"/>
      <c r="Z829" s="615"/>
      <c r="AA829" s="615"/>
    </row>
    <row r="830">
      <c r="A830" s="675"/>
      <c r="B830" s="615"/>
      <c r="C830" s="676"/>
      <c r="D830" s="677"/>
      <c r="E830" s="677"/>
      <c r="F830" s="615"/>
      <c r="G830" s="615"/>
      <c r="H830" s="615"/>
      <c r="I830" s="679"/>
      <c r="J830" s="615"/>
      <c r="K830" s="615"/>
      <c r="L830" s="615"/>
      <c r="M830" s="615"/>
      <c r="N830" s="615"/>
      <c r="O830" s="615"/>
      <c r="P830" s="615"/>
      <c r="Q830" s="615"/>
      <c r="R830" s="615"/>
      <c r="S830" s="615"/>
      <c r="T830" s="615"/>
      <c r="U830" s="615"/>
      <c r="V830" s="615"/>
      <c r="W830" s="615"/>
      <c r="X830" s="615"/>
      <c r="Y830" s="615"/>
      <c r="Z830" s="615"/>
      <c r="AA830" s="615"/>
    </row>
    <row r="831">
      <c r="A831" s="675"/>
      <c r="B831" s="615"/>
      <c r="C831" s="676"/>
      <c r="D831" s="677"/>
      <c r="E831" s="677"/>
      <c r="F831" s="615"/>
      <c r="G831" s="615"/>
      <c r="H831" s="615"/>
      <c r="I831" s="679"/>
      <c r="J831" s="615"/>
      <c r="K831" s="615"/>
      <c r="L831" s="615"/>
      <c r="M831" s="615"/>
      <c r="N831" s="615"/>
      <c r="O831" s="615"/>
      <c r="P831" s="615"/>
      <c r="Q831" s="615"/>
      <c r="R831" s="615"/>
      <c r="S831" s="615"/>
      <c r="T831" s="615"/>
      <c r="U831" s="615"/>
      <c r="V831" s="615"/>
      <c r="W831" s="615"/>
      <c r="X831" s="615"/>
      <c r="Y831" s="615"/>
      <c r="Z831" s="615"/>
      <c r="AA831" s="615"/>
    </row>
    <row r="832">
      <c r="A832" s="675"/>
      <c r="B832" s="615"/>
      <c r="C832" s="676"/>
      <c r="D832" s="677"/>
      <c r="E832" s="677"/>
      <c r="F832" s="615"/>
      <c r="G832" s="615"/>
      <c r="H832" s="615"/>
      <c r="I832" s="679"/>
      <c r="J832" s="615"/>
      <c r="K832" s="615"/>
      <c r="L832" s="615"/>
      <c r="M832" s="615"/>
      <c r="N832" s="615"/>
      <c r="O832" s="615"/>
      <c r="P832" s="615"/>
      <c r="Q832" s="615"/>
      <c r="R832" s="615"/>
      <c r="S832" s="615"/>
      <c r="T832" s="615"/>
      <c r="U832" s="615"/>
      <c r="V832" s="615"/>
      <c r="W832" s="615"/>
      <c r="X832" s="615"/>
      <c r="Y832" s="615"/>
      <c r="Z832" s="615"/>
      <c r="AA832" s="615"/>
    </row>
    <row r="833">
      <c r="A833" s="675"/>
      <c r="B833" s="615"/>
      <c r="C833" s="676"/>
      <c r="D833" s="677"/>
      <c r="E833" s="677"/>
      <c r="F833" s="615"/>
      <c r="G833" s="615"/>
      <c r="H833" s="615"/>
      <c r="I833" s="679"/>
      <c r="J833" s="615"/>
      <c r="K833" s="615"/>
      <c r="L833" s="615"/>
      <c r="M833" s="615"/>
      <c r="N833" s="615"/>
      <c r="O833" s="615"/>
      <c r="P833" s="615"/>
      <c r="Q833" s="615"/>
      <c r="R833" s="615"/>
      <c r="S833" s="615"/>
      <c r="T833" s="615"/>
      <c r="U833" s="615"/>
      <c r="V833" s="615"/>
      <c r="W833" s="615"/>
      <c r="X833" s="615"/>
      <c r="Y833" s="615"/>
      <c r="Z833" s="615"/>
      <c r="AA833" s="615"/>
    </row>
    <row r="834">
      <c r="A834" s="675"/>
      <c r="B834" s="615"/>
      <c r="C834" s="676"/>
      <c r="D834" s="677"/>
      <c r="E834" s="677"/>
      <c r="F834" s="615"/>
      <c r="G834" s="615"/>
      <c r="H834" s="615"/>
      <c r="I834" s="679"/>
      <c r="J834" s="615"/>
      <c r="K834" s="615"/>
      <c r="L834" s="615"/>
      <c r="M834" s="615"/>
      <c r="N834" s="615"/>
      <c r="O834" s="615"/>
      <c r="P834" s="615"/>
      <c r="Q834" s="615"/>
      <c r="R834" s="615"/>
      <c r="S834" s="615"/>
      <c r="T834" s="615"/>
      <c r="U834" s="615"/>
      <c r="V834" s="615"/>
      <c r="W834" s="615"/>
      <c r="X834" s="615"/>
      <c r="Y834" s="615"/>
      <c r="Z834" s="615"/>
      <c r="AA834" s="615"/>
    </row>
    <row r="835">
      <c r="A835" s="675"/>
      <c r="B835" s="615"/>
      <c r="C835" s="676"/>
      <c r="D835" s="677"/>
      <c r="E835" s="677"/>
      <c r="F835" s="615"/>
      <c r="G835" s="615"/>
      <c r="H835" s="615"/>
      <c r="I835" s="679"/>
      <c r="J835" s="615"/>
      <c r="K835" s="615"/>
      <c r="L835" s="615"/>
      <c r="M835" s="615"/>
      <c r="N835" s="615"/>
      <c r="O835" s="615"/>
      <c r="P835" s="615"/>
      <c r="Q835" s="615"/>
      <c r="R835" s="615"/>
      <c r="S835" s="615"/>
      <c r="T835" s="615"/>
      <c r="U835" s="615"/>
      <c r="V835" s="615"/>
      <c r="W835" s="615"/>
      <c r="X835" s="615"/>
      <c r="Y835" s="615"/>
      <c r="Z835" s="615"/>
      <c r="AA835" s="615"/>
    </row>
    <row r="836">
      <c r="A836" s="675"/>
      <c r="B836" s="615"/>
      <c r="C836" s="676"/>
      <c r="D836" s="677"/>
      <c r="E836" s="677"/>
      <c r="F836" s="615"/>
      <c r="G836" s="615"/>
      <c r="H836" s="615"/>
      <c r="I836" s="679"/>
      <c r="J836" s="615"/>
      <c r="K836" s="615"/>
      <c r="L836" s="615"/>
      <c r="M836" s="615"/>
      <c r="N836" s="615"/>
      <c r="O836" s="615"/>
      <c r="P836" s="615"/>
      <c r="Q836" s="615"/>
      <c r="R836" s="615"/>
      <c r="S836" s="615"/>
      <c r="T836" s="615"/>
      <c r="U836" s="615"/>
      <c r="V836" s="615"/>
      <c r="W836" s="615"/>
      <c r="X836" s="615"/>
      <c r="Y836" s="615"/>
      <c r="Z836" s="615"/>
      <c r="AA836" s="615"/>
    </row>
    <row r="837">
      <c r="A837" s="675"/>
      <c r="B837" s="615"/>
      <c r="C837" s="676"/>
      <c r="D837" s="677"/>
      <c r="E837" s="677"/>
      <c r="F837" s="615"/>
      <c r="G837" s="615"/>
      <c r="H837" s="615"/>
      <c r="I837" s="679"/>
      <c r="J837" s="615"/>
      <c r="K837" s="615"/>
      <c r="L837" s="615"/>
      <c r="M837" s="615"/>
      <c r="N837" s="615"/>
      <c r="O837" s="615"/>
      <c r="P837" s="615"/>
      <c r="Q837" s="615"/>
      <c r="R837" s="615"/>
      <c r="S837" s="615"/>
      <c r="T837" s="615"/>
      <c r="U837" s="615"/>
      <c r="V837" s="615"/>
      <c r="W837" s="615"/>
      <c r="X837" s="615"/>
      <c r="Y837" s="615"/>
      <c r="Z837" s="615"/>
      <c r="AA837" s="615"/>
    </row>
    <row r="838">
      <c r="A838" s="675"/>
      <c r="B838" s="615"/>
      <c r="C838" s="676"/>
      <c r="D838" s="677"/>
      <c r="E838" s="677"/>
      <c r="F838" s="615"/>
      <c r="G838" s="615"/>
      <c r="H838" s="615"/>
      <c r="I838" s="679"/>
      <c r="J838" s="615"/>
      <c r="K838" s="615"/>
      <c r="L838" s="615"/>
      <c r="M838" s="615"/>
      <c r="N838" s="615"/>
      <c r="O838" s="615"/>
      <c r="P838" s="615"/>
      <c r="Q838" s="615"/>
      <c r="R838" s="615"/>
      <c r="S838" s="615"/>
      <c r="T838" s="615"/>
      <c r="U838" s="615"/>
      <c r="V838" s="615"/>
      <c r="W838" s="615"/>
      <c r="X838" s="615"/>
      <c r="Y838" s="615"/>
      <c r="Z838" s="615"/>
      <c r="AA838" s="615"/>
    </row>
    <row r="839">
      <c r="A839" s="675"/>
      <c r="B839" s="615"/>
      <c r="C839" s="676"/>
      <c r="D839" s="677"/>
      <c r="E839" s="677"/>
      <c r="F839" s="615"/>
      <c r="G839" s="615"/>
      <c r="H839" s="615"/>
      <c r="I839" s="679"/>
      <c r="J839" s="615"/>
      <c r="K839" s="615"/>
      <c r="L839" s="615"/>
      <c r="M839" s="615"/>
      <c r="N839" s="615"/>
      <c r="O839" s="615"/>
      <c r="P839" s="615"/>
      <c r="Q839" s="615"/>
      <c r="R839" s="615"/>
      <c r="S839" s="615"/>
      <c r="T839" s="615"/>
      <c r="U839" s="615"/>
      <c r="V839" s="615"/>
      <c r="W839" s="615"/>
      <c r="X839" s="615"/>
      <c r="Y839" s="615"/>
      <c r="Z839" s="615"/>
      <c r="AA839" s="615"/>
    </row>
    <row r="840">
      <c r="A840" s="675"/>
      <c r="B840" s="615"/>
      <c r="C840" s="676"/>
      <c r="D840" s="677"/>
      <c r="E840" s="677"/>
      <c r="F840" s="615"/>
      <c r="G840" s="615"/>
      <c r="H840" s="615"/>
      <c r="I840" s="679"/>
      <c r="J840" s="615"/>
      <c r="K840" s="615"/>
      <c r="L840" s="615"/>
      <c r="M840" s="615"/>
      <c r="N840" s="615"/>
      <c r="O840" s="615"/>
      <c r="P840" s="615"/>
      <c r="Q840" s="615"/>
      <c r="R840" s="615"/>
      <c r="S840" s="615"/>
      <c r="T840" s="615"/>
      <c r="U840" s="615"/>
      <c r="V840" s="615"/>
      <c r="W840" s="615"/>
      <c r="X840" s="615"/>
      <c r="Y840" s="615"/>
      <c r="Z840" s="615"/>
      <c r="AA840" s="615"/>
    </row>
    <row r="841">
      <c r="A841" s="675"/>
      <c r="B841" s="615"/>
      <c r="C841" s="676"/>
      <c r="D841" s="677"/>
      <c r="E841" s="677"/>
      <c r="F841" s="615"/>
      <c r="G841" s="615"/>
      <c r="H841" s="615"/>
      <c r="I841" s="679"/>
      <c r="J841" s="615"/>
      <c r="K841" s="615"/>
      <c r="L841" s="615"/>
      <c r="M841" s="615"/>
      <c r="N841" s="615"/>
      <c r="O841" s="615"/>
      <c r="P841" s="615"/>
      <c r="Q841" s="615"/>
      <c r="R841" s="615"/>
      <c r="S841" s="615"/>
      <c r="T841" s="615"/>
      <c r="U841" s="615"/>
      <c r="V841" s="615"/>
      <c r="W841" s="615"/>
      <c r="X841" s="615"/>
      <c r="Y841" s="615"/>
      <c r="Z841" s="615"/>
      <c r="AA841" s="615"/>
    </row>
    <row r="842">
      <c r="A842" s="675"/>
      <c r="B842" s="615"/>
      <c r="C842" s="676"/>
      <c r="D842" s="677"/>
      <c r="E842" s="677"/>
      <c r="F842" s="615"/>
      <c r="G842" s="615"/>
      <c r="H842" s="615"/>
      <c r="I842" s="679"/>
      <c r="J842" s="615"/>
      <c r="K842" s="615"/>
      <c r="L842" s="615"/>
      <c r="M842" s="615"/>
      <c r="N842" s="615"/>
      <c r="O842" s="615"/>
      <c r="P842" s="615"/>
      <c r="Q842" s="615"/>
      <c r="R842" s="615"/>
      <c r="S842" s="615"/>
      <c r="T842" s="615"/>
      <c r="U842" s="615"/>
      <c r="V842" s="615"/>
      <c r="W842" s="615"/>
      <c r="X842" s="615"/>
      <c r="Y842" s="615"/>
      <c r="Z842" s="615"/>
      <c r="AA842" s="615"/>
    </row>
    <row r="843">
      <c r="A843" s="675"/>
      <c r="B843" s="615"/>
      <c r="C843" s="676"/>
      <c r="D843" s="677"/>
      <c r="E843" s="677"/>
      <c r="F843" s="615"/>
      <c r="G843" s="615"/>
      <c r="H843" s="615"/>
      <c r="I843" s="679"/>
      <c r="J843" s="615"/>
      <c r="K843" s="615"/>
      <c r="L843" s="615"/>
      <c r="M843" s="615"/>
      <c r="N843" s="615"/>
      <c r="O843" s="615"/>
      <c r="P843" s="615"/>
      <c r="Q843" s="615"/>
      <c r="R843" s="615"/>
      <c r="S843" s="615"/>
      <c r="T843" s="615"/>
      <c r="U843" s="615"/>
      <c r="V843" s="615"/>
      <c r="W843" s="615"/>
      <c r="X843" s="615"/>
      <c r="Y843" s="615"/>
      <c r="Z843" s="615"/>
      <c r="AA843" s="615"/>
    </row>
    <row r="844">
      <c r="A844" s="675"/>
      <c r="B844" s="615"/>
      <c r="C844" s="676"/>
      <c r="D844" s="677"/>
      <c r="E844" s="677"/>
      <c r="F844" s="615"/>
      <c r="G844" s="615"/>
      <c r="H844" s="615"/>
      <c r="I844" s="679"/>
      <c r="J844" s="615"/>
      <c r="K844" s="615"/>
      <c r="L844" s="615"/>
      <c r="M844" s="615"/>
      <c r="N844" s="615"/>
      <c r="O844" s="615"/>
      <c r="P844" s="615"/>
      <c r="Q844" s="615"/>
      <c r="R844" s="615"/>
      <c r="S844" s="615"/>
      <c r="T844" s="615"/>
      <c r="U844" s="615"/>
      <c r="V844" s="615"/>
      <c r="W844" s="615"/>
      <c r="X844" s="615"/>
      <c r="Y844" s="615"/>
      <c r="Z844" s="615"/>
      <c r="AA844" s="615"/>
    </row>
    <row r="845">
      <c r="A845" s="675"/>
      <c r="B845" s="615"/>
      <c r="C845" s="676"/>
      <c r="D845" s="677"/>
      <c r="E845" s="677"/>
      <c r="F845" s="615"/>
      <c r="G845" s="615"/>
      <c r="H845" s="615"/>
      <c r="I845" s="679"/>
      <c r="J845" s="615"/>
      <c r="K845" s="615"/>
      <c r="L845" s="615"/>
      <c r="M845" s="615"/>
      <c r="N845" s="615"/>
      <c r="O845" s="615"/>
      <c r="P845" s="615"/>
      <c r="Q845" s="615"/>
      <c r="R845" s="615"/>
      <c r="S845" s="615"/>
      <c r="T845" s="615"/>
      <c r="U845" s="615"/>
      <c r="V845" s="615"/>
      <c r="W845" s="615"/>
      <c r="X845" s="615"/>
      <c r="Y845" s="615"/>
      <c r="Z845" s="615"/>
      <c r="AA845" s="615"/>
    </row>
    <row r="846">
      <c r="A846" s="675"/>
      <c r="B846" s="615"/>
      <c r="C846" s="676"/>
      <c r="D846" s="677"/>
      <c r="E846" s="677"/>
      <c r="F846" s="615"/>
      <c r="G846" s="615"/>
      <c r="H846" s="615"/>
      <c r="I846" s="679"/>
      <c r="J846" s="615"/>
      <c r="K846" s="615"/>
      <c r="L846" s="615"/>
      <c r="M846" s="615"/>
      <c r="N846" s="615"/>
      <c r="O846" s="615"/>
      <c r="P846" s="615"/>
      <c r="Q846" s="615"/>
      <c r="R846" s="615"/>
      <c r="S846" s="615"/>
      <c r="T846" s="615"/>
      <c r="U846" s="615"/>
      <c r="V846" s="615"/>
      <c r="W846" s="615"/>
      <c r="X846" s="615"/>
      <c r="Y846" s="615"/>
      <c r="Z846" s="615"/>
      <c r="AA846" s="615"/>
    </row>
    <row r="847">
      <c r="A847" s="675"/>
      <c r="B847" s="615"/>
      <c r="C847" s="676"/>
      <c r="D847" s="677"/>
      <c r="E847" s="677"/>
      <c r="F847" s="615"/>
      <c r="G847" s="615"/>
      <c r="H847" s="615"/>
      <c r="I847" s="679"/>
      <c r="J847" s="615"/>
      <c r="K847" s="615"/>
      <c r="L847" s="615"/>
      <c r="M847" s="615"/>
      <c r="N847" s="615"/>
      <c r="O847" s="615"/>
      <c r="P847" s="615"/>
      <c r="Q847" s="615"/>
      <c r="R847" s="615"/>
      <c r="S847" s="615"/>
      <c r="T847" s="615"/>
      <c r="U847" s="615"/>
      <c r="V847" s="615"/>
      <c r="W847" s="615"/>
      <c r="X847" s="615"/>
      <c r="Y847" s="615"/>
      <c r="Z847" s="615"/>
      <c r="AA847" s="615"/>
    </row>
    <row r="848">
      <c r="A848" s="675"/>
      <c r="B848" s="615"/>
      <c r="C848" s="676"/>
      <c r="D848" s="677"/>
      <c r="E848" s="677"/>
      <c r="F848" s="615"/>
      <c r="G848" s="615"/>
      <c r="H848" s="615"/>
      <c r="I848" s="679"/>
      <c r="J848" s="615"/>
      <c r="K848" s="615"/>
      <c r="L848" s="615"/>
      <c r="M848" s="615"/>
      <c r="N848" s="615"/>
      <c r="O848" s="615"/>
      <c r="P848" s="615"/>
      <c r="Q848" s="615"/>
      <c r="R848" s="615"/>
      <c r="S848" s="615"/>
      <c r="T848" s="615"/>
      <c r="U848" s="615"/>
      <c r="V848" s="615"/>
      <c r="W848" s="615"/>
      <c r="X848" s="615"/>
      <c r="Y848" s="615"/>
      <c r="Z848" s="615"/>
      <c r="AA848" s="615"/>
    </row>
    <row r="849">
      <c r="A849" s="675"/>
      <c r="B849" s="615"/>
      <c r="C849" s="676"/>
      <c r="D849" s="677"/>
      <c r="E849" s="677"/>
      <c r="F849" s="615"/>
      <c r="G849" s="615"/>
      <c r="H849" s="615"/>
      <c r="I849" s="679"/>
      <c r="J849" s="615"/>
      <c r="K849" s="615"/>
      <c r="L849" s="615"/>
      <c r="M849" s="615"/>
      <c r="N849" s="615"/>
      <c r="O849" s="615"/>
      <c r="P849" s="615"/>
      <c r="Q849" s="615"/>
      <c r="R849" s="615"/>
      <c r="S849" s="615"/>
      <c r="T849" s="615"/>
      <c r="U849" s="615"/>
      <c r="V849" s="615"/>
      <c r="W849" s="615"/>
      <c r="X849" s="615"/>
      <c r="Y849" s="615"/>
      <c r="Z849" s="615"/>
      <c r="AA849" s="615"/>
    </row>
    <row r="850">
      <c r="A850" s="675"/>
      <c r="B850" s="615"/>
      <c r="C850" s="676"/>
      <c r="D850" s="677"/>
      <c r="E850" s="677"/>
      <c r="F850" s="615"/>
      <c r="G850" s="615"/>
      <c r="H850" s="615"/>
      <c r="I850" s="679"/>
      <c r="J850" s="615"/>
      <c r="K850" s="615"/>
      <c r="L850" s="615"/>
      <c r="M850" s="615"/>
      <c r="N850" s="615"/>
      <c r="O850" s="615"/>
      <c r="P850" s="615"/>
      <c r="Q850" s="615"/>
      <c r="R850" s="615"/>
      <c r="S850" s="615"/>
      <c r="T850" s="615"/>
      <c r="U850" s="615"/>
      <c r="V850" s="615"/>
      <c r="W850" s="615"/>
      <c r="X850" s="615"/>
      <c r="Y850" s="615"/>
      <c r="Z850" s="615"/>
      <c r="AA850" s="615"/>
    </row>
    <row r="851">
      <c r="A851" s="675"/>
      <c r="B851" s="615"/>
      <c r="C851" s="676"/>
      <c r="D851" s="677"/>
      <c r="E851" s="677"/>
      <c r="F851" s="615"/>
      <c r="G851" s="615"/>
      <c r="H851" s="615"/>
      <c r="I851" s="679"/>
      <c r="J851" s="615"/>
      <c r="K851" s="615"/>
      <c r="L851" s="615"/>
      <c r="M851" s="615"/>
      <c r="N851" s="615"/>
      <c r="O851" s="615"/>
      <c r="P851" s="615"/>
      <c r="Q851" s="615"/>
      <c r="R851" s="615"/>
      <c r="S851" s="615"/>
      <c r="T851" s="615"/>
      <c r="U851" s="615"/>
      <c r="V851" s="615"/>
      <c r="W851" s="615"/>
      <c r="X851" s="615"/>
      <c r="Y851" s="615"/>
      <c r="Z851" s="615"/>
      <c r="AA851" s="615"/>
    </row>
    <row r="852">
      <c r="A852" s="675"/>
      <c r="B852" s="615"/>
      <c r="C852" s="676"/>
      <c r="D852" s="677"/>
      <c r="E852" s="677"/>
      <c r="F852" s="615"/>
      <c r="G852" s="615"/>
      <c r="H852" s="615"/>
      <c r="I852" s="679"/>
      <c r="J852" s="615"/>
      <c r="K852" s="615"/>
      <c r="L852" s="615"/>
      <c r="M852" s="615"/>
      <c r="N852" s="615"/>
      <c r="O852" s="615"/>
      <c r="P852" s="615"/>
      <c r="Q852" s="615"/>
      <c r="R852" s="615"/>
      <c r="S852" s="615"/>
      <c r="T852" s="615"/>
      <c r="U852" s="615"/>
      <c r="V852" s="615"/>
      <c r="W852" s="615"/>
      <c r="X852" s="615"/>
      <c r="Y852" s="615"/>
      <c r="Z852" s="615"/>
      <c r="AA852" s="615"/>
    </row>
    <row r="853">
      <c r="A853" s="675"/>
      <c r="B853" s="615"/>
      <c r="C853" s="676"/>
      <c r="D853" s="677"/>
      <c r="E853" s="677"/>
      <c r="F853" s="615"/>
      <c r="G853" s="615"/>
      <c r="H853" s="615"/>
      <c r="I853" s="679"/>
      <c r="J853" s="615"/>
      <c r="K853" s="615"/>
      <c r="L853" s="615"/>
      <c r="M853" s="615"/>
      <c r="N853" s="615"/>
      <c r="O853" s="615"/>
      <c r="P853" s="615"/>
      <c r="Q853" s="615"/>
      <c r="R853" s="615"/>
      <c r="S853" s="615"/>
      <c r="T853" s="615"/>
      <c r="U853" s="615"/>
      <c r="V853" s="615"/>
      <c r="W853" s="615"/>
      <c r="X853" s="615"/>
      <c r="Y853" s="615"/>
      <c r="Z853" s="615"/>
      <c r="AA853" s="615"/>
    </row>
    <row r="854">
      <c r="A854" s="675"/>
      <c r="B854" s="615"/>
      <c r="C854" s="676"/>
      <c r="D854" s="677"/>
      <c r="E854" s="677"/>
      <c r="F854" s="615"/>
      <c r="G854" s="615"/>
      <c r="H854" s="615"/>
      <c r="I854" s="679"/>
      <c r="J854" s="615"/>
      <c r="K854" s="615"/>
      <c r="L854" s="615"/>
      <c r="M854" s="615"/>
      <c r="N854" s="615"/>
      <c r="O854" s="615"/>
      <c r="P854" s="615"/>
      <c r="Q854" s="615"/>
      <c r="R854" s="615"/>
      <c r="S854" s="615"/>
      <c r="T854" s="615"/>
      <c r="U854" s="615"/>
      <c r="V854" s="615"/>
      <c r="W854" s="615"/>
      <c r="X854" s="615"/>
      <c r="Y854" s="615"/>
      <c r="Z854" s="615"/>
      <c r="AA854" s="615"/>
    </row>
    <row r="855">
      <c r="A855" s="675"/>
      <c r="B855" s="615"/>
      <c r="C855" s="676"/>
      <c r="D855" s="677"/>
      <c r="E855" s="677"/>
      <c r="F855" s="615"/>
      <c r="G855" s="615"/>
      <c r="H855" s="615"/>
      <c r="I855" s="679"/>
      <c r="J855" s="615"/>
      <c r="K855" s="615"/>
      <c r="L855" s="615"/>
      <c r="M855" s="615"/>
      <c r="N855" s="615"/>
      <c r="O855" s="615"/>
      <c r="P855" s="615"/>
      <c r="Q855" s="615"/>
      <c r="R855" s="615"/>
      <c r="S855" s="615"/>
      <c r="T855" s="615"/>
      <c r="U855" s="615"/>
      <c r="V855" s="615"/>
      <c r="W855" s="615"/>
      <c r="X855" s="615"/>
      <c r="Y855" s="615"/>
      <c r="Z855" s="615"/>
      <c r="AA855" s="615"/>
    </row>
    <row r="856">
      <c r="A856" s="675"/>
      <c r="B856" s="615"/>
      <c r="C856" s="676"/>
      <c r="D856" s="677"/>
      <c r="E856" s="677"/>
      <c r="F856" s="615"/>
      <c r="G856" s="615"/>
      <c r="H856" s="615"/>
      <c r="I856" s="679"/>
      <c r="J856" s="615"/>
      <c r="K856" s="615"/>
      <c r="L856" s="615"/>
      <c r="M856" s="615"/>
      <c r="N856" s="615"/>
      <c r="O856" s="615"/>
      <c r="P856" s="615"/>
      <c r="Q856" s="615"/>
      <c r="R856" s="615"/>
      <c r="S856" s="615"/>
      <c r="T856" s="615"/>
      <c r="U856" s="615"/>
      <c r="V856" s="615"/>
      <c r="W856" s="615"/>
      <c r="X856" s="615"/>
      <c r="Y856" s="615"/>
      <c r="Z856" s="615"/>
      <c r="AA856" s="615"/>
    </row>
    <row r="857">
      <c r="A857" s="675"/>
      <c r="B857" s="615"/>
      <c r="C857" s="676"/>
      <c r="D857" s="677"/>
      <c r="E857" s="677"/>
      <c r="F857" s="615"/>
      <c r="G857" s="615"/>
      <c r="H857" s="615"/>
      <c r="I857" s="679"/>
      <c r="J857" s="615"/>
      <c r="K857" s="615"/>
      <c r="L857" s="615"/>
      <c r="M857" s="615"/>
      <c r="N857" s="615"/>
      <c r="O857" s="615"/>
      <c r="P857" s="615"/>
      <c r="Q857" s="615"/>
      <c r="R857" s="615"/>
      <c r="S857" s="615"/>
      <c r="T857" s="615"/>
      <c r="U857" s="615"/>
      <c r="V857" s="615"/>
      <c r="W857" s="615"/>
      <c r="X857" s="615"/>
      <c r="Y857" s="615"/>
      <c r="Z857" s="615"/>
      <c r="AA857" s="615"/>
    </row>
    <row r="858">
      <c r="A858" s="675"/>
      <c r="B858" s="615"/>
      <c r="C858" s="676"/>
      <c r="D858" s="677"/>
      <c r="E858" s="677"/>
      <c r="F858" s="615"/>
      <c r="G858" s="615"/>
      <c r="H858" s="615"/>
      <c r="I858" s="679"/>
      <c r="J858" s="615"/>
      <c r="K858" s="615"/>
      <c r="L858" s="615"/>
      <c r="M858" s="615"/>
      <c r="N858" s="615"/>
      <c r="O858" s="615"/>
      <c r="P858" s="615"/>
      <c r="Q858" s="615"/>
      <c r="R858" s="615"/>
      <c r="S858" s="615"/>
      <c r="T858" s="615"/>
      <c r="U858" s="615"/>
      <c r="V858" s="615"/>
      <c r="W858" s="615"/>
      <c r="X858" s="615"/>
      <c r="Y858" s="615"/>
      <c r="Z858" s="615"/>
      <c r="AA858" s="615"/>
    </row>
    <row r="859">
      <c r="A859" s="675"/>
      <c r="B859" s="615"/>
      <c r="C859" s="676"/>
      <c r="D859" s="677"/>
      <c r="E859" s="677"/>
      <c r="F859" s="615"/>
      <c r="G859" s="615"/>
      <c r="H859" s="615"/>
      <c r="I859" s="679"/>
      <c r="J859" s="615"/>
      <c r="K859" s="615"/>
      <c r="L859" s="615"/>
      <c r="M859" s="615"/>
      <c r="N859" s="615"/>
      <c r="O859" s="615"/>
      <c r="P859" s="615"/>
      <c r="Q859" s="615"/>
      <c r="R859" s="615"/>
      <c r="S859" s="615"/>
      <c r="T859" s="615"/>
      <c r="U859" s="615"/>
      <c r="V859" s="615"/>
      <c r="W859" s="615"/>
      <c r="X859" s="615"/>
      <c r="Y859" s="615"/>
      <c r="Z859" s="615"/>
      <c r="AA859" s="615"/>
    </row>
    <row r="860">
      <c r="A860" s="675"/>
      <c r="B860" s="615"/>
      <c r="C860" s="676"/>
      <c r="D860" s="677"/>
      <c r="E860" s="677"/>
      <c r="F860" s="615"/>
      <c r="G860" s="615"/>
      <c r="H860" s="615"/>
      <c r="I860" s="679"/>
      <c r="J860" s="615"/>
      <c r="K860" s="615"/>
      <c r="L860" s="615"/>
      <c r="M860" s="615"/>
      <c r="N860" s="615"/>
      <c r="O860" s="615"/>
      <c r="P860" s="615"/>
      <c r="Q860" s="615"/>
      <c r="R860" s="615"/>
      <c r="S860" s="615"/>
      <c r="T860" s="615"/>
      <c r="U860" s="615"/>
      <c r="V860" s="615"/>
      <c r="W860" s="615"/>
      <c r="X860" s="615"/>
      <c r="Y860" s="615"/>
      <c r="Z860" s="615"/>
      <c r="AA860" s="615"/>
    </row>
    <row r="861">
      <c r="A861" s="675"/>
      <c r="B861" s="615"/>
      <c r="C861" s="676"/>
      <c r="D861" s="677"/>
      <c r="E861" s="677"/>
      <c r="F861" s="615"/>
      <c r="G861" s="615"/>
      <c r="H861" s="615"/>
      <c r="I861" s="679"/>
      <c r="J861" s="615"/>
      <c r="K861" s="615"/>
      <c r="L861" s="615"/>
      <c r="M861" s="615"/>
      <c r="N861" s="615"/>
      <c r="O861" s="615"/>
      <c r="P861" s="615"/>
      <c r="Q861" s="615"/>
      <c r="R861" s="615"/>
      <c r="S861" s="615"/>
      <c r="T861" s="615"/>
      <c r="U861" s="615"/>
      <c r="V861" s="615"/>
      <c r="W861" s="615"/>
      <c r="X861" s="615"/>
      <c r="Y861" s="615"/>
      <c r="Z861" s="615"/>
      <c r="AA861" s="615"/>
    </row>
    <row r="862">
      <c r="A862" s="675"/>
      <c r="B862" s="615"/>
      <c r="C862" s="676"/>
      <c r="D862" s="677"/>
      <c r="E862" s="677"/>
      <c r="F862" s="615"/>
      <c r="G862" s="615"/>
      <c r="H862" s="615"/>
      <c r="I862" s="679"/>
      <c r="J862" s="615"/>
      <c r="K862" s="615"/>
      <c r="L862" s="615"/>
      <c r="M862" s="615"/>
      <c r="N862" s="615"/>
      <c r="O862" s="615"/>
      <c r="P862" s="615"/>
      <c r="Q862" s="615"/>
      <c r="R862" s="615"/>
      <c r="S862" s="615"/>
      <c r="T862" s="615"/>
      <c r="U862" s="615"/>
      <c r="V862" s="615"/>
      <c r="W862" s="615"/>
      <c r="X862" s="615"/>
      <c r="Y862" s="615"/>
      <c r="Z862" s="615"/>
      <c r="AA862" s="615"/>
    </row>
    <row r="863">
      <c r="A863" s="675"/>
      <c r="B863" s="615"/>
      <c r="C863" s="676"/>
      <c r="D863" s="677"/>
      <c r="E863" s="677"/>
      <c r="F863" s="615"/>
      <c r="G863" s="615"/>
      <c r="H863" s="615"/>
      <c r="I863" s="679"/>
      <c r="J863" s="615"/>
      <c r="K863" s="615"/>
      <c r="L863" s="615"/>
      <c r="M863" s="615"/>
      <c r="N863" s="615"/>
      <c r="O863" s="615"/>
      <c r="P863" s="615"/>
      <c r="Q863" s="615"/>
      <c r="R863" s="615"/>
      <c r="S863" s="615"/>
      <c r="T863" s="615"/>
      <c r="U863" s="615"/>
      <c r="V863" s="615"/>
      <c r="W863" s="615"/>
      <c r="X863" s="615"/>
      <c r="Y863" s="615"/>
      <c r="Z863" s="615"/>
      <c r="AA863" s="615"/>
    </row>
    <row r="864">
      <c r="A864" s="675"/>
      <c r="B864" s="615"/>
      <c r="C864" s="676"/>
      <c r="D864" s="677"/>
      <c r="E864" s="677"/>
      <c r="F864" s="615"/>
      <c r="G864" s="615"/>
      <c r="H864" s="615"/>
      <c r="I864" s="679"/>
      <c r="J864" s="615"/>
      <c r="K864" s="615"/>
      <c r="L864" s="615"/>
      <c r="M864" s="615"/>
      <c r="N864" s="615"/>
      <c r="O864" s="615"/>
      <c r="P864" s="615"/>
      <c r="Q864" s="615"/>
      <c r="R864" s="615"/>
      <c r="S864" s="615"/>
      <c r="T864" s="615"/>
      <c r="U864" s="615"/>
      <c r="V864" s="615"/>
      <c r="W864" s="615"/>
      <c r="X864" s="615"/>
      <c r="Y864" s="615"/>
      <c r="Z864" s="615"/>
      <c r="AA864" s="615"/>
    </row>
    <row r="865">
      <c r="A865" s="675"/>
      <c r="B865" s="615"/>
      <c r="C865" s="676"/>
      <c r="D865" s="677"/>
      <c r="E865" s="677"/>
      <c r="F865" s="615"/>
      <c r="G865" s="615"/>
      <c r="H865" s="615"/>
      <c r="I865" s="679"/>
      <c r="J865" s="615"/>
      <c r="K865" s="615"/>
      <c r="L865" s="615"/>
      <c r="M865" s="615"/>
      <c r="N865" s="615"/>
      <c r="O865" s="615"/>
      <c r="P865" s="615"/>
      <c r="Q865" s="615"/>
      <c r="R865" s="615"/>
      <c r="S865" s="615"/>
      <c r="T865" s="615"/>
      <c r="U865" s="615"/>
      <c r="V865" s="615"/>
      <c r="W865" s="615"/>
      <c r="X865" s="615"/>
      <c r="Y865" s="615"/>
      <c r="Z865" s="615"/>
      <c r="AA865" s="615"/>
    </row>
    <row r="866">
      <c r="A866" s="675"/>
      <c r="B866" s="615"/>
      <c r="C866" s="676"/>
      <c r="D866" s="677"/>
      <c r="E866" s="677"/>
      <c r="F866" s="615"/>
      <c r="G866" s="615"/>
      <c r="H866" s="615"/>
      <c r="I866" s="679"/>
      <c r="J866" s="615"/>
      <c r="K866" s="615"/>
      <c r="L866" s="615"/>
      <c r="M866" s="615"/>
      <c r="N866" s="615"/>
      <c r="O866" s="615"/>
      <c r="P866" s="615"/>
      <c r="Q866" s="615"/>
      <c r="R866" s="615"/>
      <c r="S866" s="615"/>
      <c r="T866" s="615"/>
      <c r="U866" s="615"/>
      <c r="V866" s="615"/>
      <c r="W866" s="615"/>
      <c r="X866" s="615"/>
      <c r="Y866" s="615"/>
      <c r="Z866" s="615"/>
      <c r="AA866" s="615"/>
    </row>
    <row r="867">
      <c r="A867" s="675"/>
      <c r="B867" s="615"/>
      <c r="C867" s="676"/>
      <c r="D867" s="677"/>
      <c r="E867" s="677"/>
      <c r="F867" s="615"/>
      <c r="G867" s="615"/>
      <c r="H867" s="615"/>
      <c r="I867" s="679"/>
      <c r="J867" s="615"/>
      <c r="K867" s="615"/>
      <c r="L867" s="615"/>
      <c r="M867" s="615"/>
      <c r="N867" s="615"/>
      <c r="O867" s="615"/>
      <c r="P867" s="615"/>
      <c r="Q867" s="615"/>
      <c r="R867" s="615"/>
      <c r="S867" s="615"/>
      <c r="T867" s="615"/>
      <c r="U867" s="615"/>
      <c r="V867" s="615"/>
      <c r="W867" s="615"/>
      <c r="X867" s="615"/>
      <c r="Y867" s="615"/>
      <c r="Z867" s="615"/>
      <c r="AA867" s="615"/>
    </row>
    <row r="868">
      <c r="A868" s="675"/>
      <c r="B868" s="615"/>
      <c r="C868" s="676"/>
      <c r="D868" s="677"/>
      <c r="E868" s="677"/>
      <c r="F868" s="615"/>
      <c r="G868" s="615"/>
      <c r="H868" s="615"/>
      <c r="I868" s="679"/>
      <c r="J868" s="615"/>
      <c r="K868" s="615"/>
      <c r="L868" s="615"/>
      <c r="M868" s="615"/>
      <c r="N868" s="615"/>
      <c r="O868" s="615"/>
      <c r="P868" s="615"/>
      <c r="Q868" s="615"/>
      <c r="R868" s="615"/>
      <c r="S868" s="615"/>
      <c r="T868" s="615"/>
      <c r="U868" s="615"/>
      <c r="V868" s="615"/>
      <c r="W868" s="615"/>
      <c r="X868" s="615"/>
      <c r="Y868" s="615"/>
      <c r="Z868" s="615"/>
      <c r="AA868" s="615"/>
    </row>
    <row r="869">
      <c r="A869" s="675"/>
      <c r="B869" s="615"/>
      <c r="C869" s="676"/>
      <c r="D869" s="677"/>
      <c r="E869" s="677"/>
      <c r="F869" s="615"/>
      <c r="G869" s="615"/>
      <c r="H869" s="615"/>
      <c r="I869" s="679"/>
      <c r="J869" s="615"/>
      <c r="K869" s="615"/>
      <c r="L869" s="615"/>
      <c r="M869" s="615"/>
      <c r="N869" s="615"/>
      <c r="O869" s="615"/>
      <c r="P869" s="615"/>
      <c r="Q869" s="615"/>
      <c r="R869" s="615"/>
      <c r="S869" s="615"/>
      <c r="T869" s="615"/>
      <c r="U869" s="615"/>
      <c r="V869" s="615"/>
      <c r="W869" s="615"/>
      <c r="X869" s="615"/>
      <c r="Y869" s="615"/>
      <c r="Z869" s="615"/>
      <c r="AA869" s="615"/>
    </row>
    <row r="870">
      <c r="A870" s="675"/>
      <c r="B870" s="615"/>
      <c r="C870" s="676"/>
      <c r="D870" s="677"/>
      <c r="E870" s="677"/>
      <c r="F870" s="615"/>
      <c r="G870" s="615"/>
      <c r="H870" s="615"/>
      <c r="I870" s="679"/>
      <c r="J870" s="615"/>
      <c r="K870" s="615"/>
      <c r="L870" s="615"/>
      <c r="M870" s="615"/>
      <c r="N870" s="615"/>
      <c r="O870" s="615"/>
      <c r="P870" s="615"/>
      <c r="Q870" s="615"/>
      <c r="R870" s="615"/>
      <c r="S870" s="615"/>
      <c r="T870" s="615"/>
      <c r="U870" s="615"/>
      <c r="V870" s="615"/>
      <c r="W870" s="615"/>
      <c r="X870" s="615"/>
      <c r="Y870" s="615"/>
      <c r="Z870" s="615"/>
      <c r="AA870" s="615"/>
    </row>
    <row r="871">
      <c r="A871" s="675"/>
      <c r="B871" s="615"/>
      <c r="C871" s="676"/>
      <c r="D871" s="677"/>
      <c r="E871" s="677"/>
      <c r="F871" s="615"/>
      <c r="G871" s="615"/>
      <c r="H871" s="615"/>
      <c r="I871" s="679"/>
      <c r="J871" s="615"/>
      <c r="K871" s="615"/>
      <c r="L871" s="615"/>
      <c r="M871" s="615"/>
      <c r="N871" s="615"/>
      <c r="O871" s="615"/>
      <c r="P871" s="615"/>
      <c r="Q871" s="615"/>
      <c r="R871" s="615"/>
      <c r="S871" s="615"/>
      <c r="T871" s="615"/>
      <c r="U871" s="615"/>
      <c r="V871" s="615"/>
      <c r="W871" s="615"/>
      <c r="X871" s="615"/>
      <c r="Y871" s="615"/>
      <c r="Z871" s="615"/>
      <c r="AA871" s="615"/>
    </row>
    <row r="872">
      <c r="A872" s="675"/>
      <c r="B872" s="615"/>
      <c r="C872" s="676"/>
      <c r="D872" s="677"/>
      <c r="E872" s="677"/>
      <c r="F872" s="615"/>
      <c r="G872" s="615"/>
      <c r="H872" s="615"/>
      <c r="I872" s="679"/>
      <c r="J872" s="615"/>
      <c r="K872" s="615"/>
      <c r="L872" s="615"/>
      <c r="M872" s="615"/>
      <c r="N872" s="615"/>
      <c r="O872" s="615"/>
      <c r="P872" s="615"/>
      <c r="Q872" s="615"/>
      <c r="R872" s="615"/>
      <c r="S872" s="615"/>
      <c r="T872" s="615"/>
      <c r="U872" s="615"/>
      <c r="V872" s="615"/>
      <c r="W872" s="615"/>
      <c r="X872" s="615"/>
      <c r="Y872" s="615"/>
      <c r="Z872" s="615"/>
      <c r="AA872" s="615"/>
    </row>
    <row r="873">
      <c r="A873" s="675"/>
      <c r="B873" s="615"/>
      <c r="C873" s="676"/>
      <c r="D873" s="677"/>
      <c r="E873" s="677"/>
      <c r="F873" s="615"/>
      <c r="G873" s="615"/>
      <c r="H873" s="615"/>
      <c r="I873" s="679"/>
      <c r="J873" s="615"/>
      <c r="K873" s="615"/>
      <c r="L873" s="615"/>
      <c r="M873" s="615"/>
      <c r="N873" s="615"/>
      <c r="O873" s="615"/>
      <c r="P873" s="615"/>
      <c r="Q873" s="615"/>
      <c r="R873" s="615"/>
      <c r="S873" s="615"/>
      <c r="T873" s="615"/>
      <c r="U873" s="615"/>
      <c r="V873" s="615"/>
      <c r="W873" s="615"/>
      <c r="X873" s="615"/>
      <c r="Y873" s="615"/>
      <c r="Z873" s="615"/>
      <c r="AA873" s="615"/>
    </row>
    <row r="874">
      <c r="A874" s="675"/>
      <c r="B874" s="615"/>
      <c r="C874" s="676"/>
      <c r="D874" s="677"/>
      <c r="E874" s="677"/>
      <c r="F874" s="615"/>
      <c r="G874" s="615"/>
      <c r="H874" s="615"/>
      <c r="I874" s="679"/>
      <c r="J874" s="615"/>
      <c r="K874" s="615"/>
      <c r="L874" s="615"/>
      <c r="M874" s="615"/>
      <c r="N874" s="615"/>
      <c r="O874" s="615"/>
      <c r="P874" s="615"/>
      <c r="Q874" s="615"/>
      <c r="R874" s="615"/>
      <c r="S874" s="615"/>
      <c r="T874" s="615"/>
      <c r="U874" s="615"/>
      <c r="V874" s="615"/>
      <c r="W874" s="615"/>
      <c r="X874" s="615"/>
      <c r="Y874" s="615"/>
      <c r="Z874" s="615"/>
      <c r="AA874" s="615"/>
    </row>
    <row r="875">
      <c r="A875" s="675"/>
      <c r="B875" s="615"/>
      <c r="C875" s="676"/>
      <c r="D875" s="677"/>
      <c r="E875" s="677"/>
      <c r="F875" s="615"/>
      <c r="G875" s="615"/>
      <c r="H875" s="615"/>
      <c r="I875" s="679"/>
      <c r="J875" s="615"/>
      <c r="K875" s="615"/>
      <c r="L875" s="615"/>
      <c r="M875" s="615"/>
      <c r="N875" s="615"/>
      <c r="O875" s="615"/>
      <c r="P875" s="615"/>
      <c r="Q875" s="615"/>
      <c r="R875" s="615"/>
      <c r="S875" s="615"/>
      <c r="T875" s="615"/>
      <c r="U875" s="615"/>
      <c r="V875" s="615"/>
      <c r="W875" s="615"/>
      <c r="X875" s="615"/>
      <c r="Y875" s="615"/>
      <c r="Z875" s="615"/>
      <c r="AA875" s="615"/>
    </row>
    <row r="876">
      <c r="A876" s="675"/>
      <c r="B876" s="615"/>
      <c r="C876" s="676"/>
      <c r="D876" s="677"/>
      <c r="E876" s="677"/>
      <c r="F876" s="615"/>
      <c r="G876" s="615"/>
      <c r="H876" s="615"/>
      <c r="I876" s="679"/>
      <c r="J876" s="615"/>
      <c r="K876" s="615"/>
      <c r="L876" s="615"/>
      <c r="M876" s="615"/>
      <c r="N876" s="615"/>
      <c r="O876" s="615"/>
      <c r="P876" s="615"/>
      <c r="Q876" s="615"/>
      <c r="R876" s="615"/>
      <c r="S876" s="615"/>
      <c r="T876" s="615"/>
      <c r="U876" s="615"/>
      <c r="V876" s="615"/>
      <c r="W876" s="615"/>
      <c r="X876" s="615"/>
      <c r="Y876" s="615"/>
      <c r="Z876" s="615"/>
      <c r="AA876" s="615"/>
    </row>
    <row r="877">
      <c r="A877" s="675"/>
      <c r="B877" s="615"/>
      <c r="C877" s="676"/>
      <c r="D877" s="677"/>
      <c r="E877" s="677"/>
      <c r="F877" s="615"/>
      <c r="G877" s="615"/>
      <c r="H877" s="615"/>
      <c r="I877" s="679"/>
      <c r="J877" s="615"/>
      <c r="K877" s="615"/>
      <c r="L877" s="615"/>
      <c r="M877" s="615"/>
      <c r="N877" s="615"/>
      <c r="O877" s="615"/>
      <c r="P877" s="615"/>
      <c r="Q877" s="615"/>
      <c r="R877" s="615"/>
      <c r="S877" s="615"/>
      <c r="T877" s="615"/>
      <c r="U877" s="615"/>
      <c r="V877" s="615"/>
      <c r="W877" s="615"/>
      <c r="X877" s="615"/>
      <c r="Y877" s="615"/>
      <c r="Z877" s="615"/>
      <c r="AA877" s="615"/>
    </row>
    <row r="878">
      <c r="A878" s="675"/>
      <c r="B878" s="615"/>
      <c r="C878" s="676"/>
      <c r="D878" s="677"/>
      <c r="E878" s="677"/>
      <c r="F878" s="615"/>
      <c r="G878" s="615"/>
      <c r="H878" s="615"/>
      <c r="I878" s="679"/>
      <c r="J878" s="615"/>
      <c r="K878" s="615"/>
      <c r="L878" s="615"/>
      <c r="M878" s="615"/>
      <c r="N878" s="615"/>
      <c r="O878" s="615"/>
      <c r="P878" s="615"/>
      <c r="Q878" s="615"/>
      <c r="R878" s="615"/>
      <c r="S878" s="615"/>
      <c r="T878" s="615"/>
      <c r="U878" s="615"/>
      <c r="V878" s="615"/>
      <c r="W878" s="615"/>
      <c r="X878" s="615"/>
      <c r="Y878" s="615"/>
      <c r="Z878" s="615"/>
      <c r="AA878" s="615"/>
    </row>
    <row r="879">
      <c r="A879" s="675"/>
      <c r="B879" s="615"/>
      <c r="C879" s="676"/>
      <c r="D879" s="677"/>
      <c r="E879" s="677"/>
      <c r="F879" s="615"/>
      <c r="G879" s="615"/>
      <c r="H879" s="615"/>
      <c r="I879" s="679"/>
      <c r="J879" s="615"/>
      <c r="K879" s="615"/>
      <c r="L879" s="615"/>
      <c r="M879" s="615"/>
      <c r="N879" s="615"/>
      <c r="O879" s="615"/>
      <c r="P879" s="615"/>
      <c r="Q879" s="615"/>
      <c r="R879" s="615"/>
      <c r="S879" s="615"/>
      <c r="T879" s="615"/>
      <c r="U879" s="615"/>
      <c r="V879" s="615"/>
      <c r="W879" s="615"/>
      <c r="X879" s="615"/>
      <c r="Y879" s="615"/>
      <c r="Z879" s="615"/>
      <c r="AA879" s="615"/>
    </row>
    <row r="880">
      <c r="A880" s="675"/>
      <c r="B880" s="615"/>
      <c r="C880" s="676"/>
      <c r="D880" s="677"/>
      <c r="E880" s="677"/>
      <c r="F880" s="615"/>
      <c r="G880" s="615"/>
      <c r="H880" s="615"/>
      <c r="I880" s="679"/>
      <c r="J880" s="615"/>
      <c r="K880" s="615"/>
      <c r="L880" s="615"/>
      <c r="M880" s="615"/>
      <c r="N880" s="615"/>
      <c r="O880" s="615"/>
      <c r="P880" s="615"/>
      <c r="Q880" s="615"/>
      <c r="R880" s="615"/>
      <c r="S880" s="615"/>
      <c r="T880" s="615"/>
      <c r="U880" s="615"/>
      <c r="V880" s="615"/>
      <c r="W880" s="615"/>
      <c r="X880" s="615"/>
      <c r="Y880" s="615"/>
      <c r="Z880" s="615"/>
      <c r="AA880" s="615"/>
    </row>
    <row r="881">
      <c r="A881" s="675"/>
      <c r="B881" s="615"/>
      <c r="C881" s="676"/>
      <c r="D881" s="677"/>
      <c r="E881" s="677"/>
      <c r="F881" s="615"/>
      <c r="G881" s="615"/>
      <c r="H881" s="615"/>
      <c r="I881" s="679"/>
      <c r="J881" s="615"/>
      <c r="K881" s="615"/>
      <c r="L881" s="615"/>
      <c r="M881" s="615"/>
      <c r="N881" s="615"/>
      <c r="O881" s="615"/>
      <c r="P881" s="615"/>
      <c r="Q881" s="615"/>
      <c r="R881" s="615"/>
      <c r="S881" s="615"/>
      <c r="T881" s="615"/>
      <c r="U881" s="615"/>
      <c r="V881" s="615"/>
      <c r="W881" s="615"/>
      <c r="X881" s="615"/>
      <c r="Y881" s="615"/>
      <c r="Z881" s="615"/>
      <c r="AA881" s="615"/>
    </row>
    <row r="882">
      <c r="A882" s="675"/>
      <c r="B882" s="615"/>
      <c r="C882" s="676"/>
      <c r="D882" s="677"/>
      <c r="E882" s="677"/>
      <c r="F882" s="615"/>
      <c r="G882" s="615"/>
      <c r="H882" s="615"/>
      <c r="I882" s="679"/>
      <c r="J882" s="615"/>
      <c r="K882" s="615"/>
      <c r="L882" s="615"/>
      <c r="M882" s="615"/>
      <c r="N882" s="615"/>
      <c r="O882" s="615"/>
      <c r="P882" s="615"/>
      <c r="Q882" s="615"/>
      <c r="R882" s="615"/>
      <c r="S882" s="615"/>
      <c r="T882" s="615"/>
      <c r="U882" s="615"/>
      <c r="V882" s="615"/>
      <c r="W882" s="615"/>
      <c r="X882" s="615"/>
      <c r="Y882" s="615"/>
      <c r="Z882" s="615"/>
      <c r="AA882" s="615"/>
    </row>
    <row r="883">
      <c r="A883" s="675"/>
      <c r="B883" s="615"/>
      <c r="C883" s="676"/>
      <c r="D883" s="677"/>
      <c r="E883" s="677"/>
      <c r="F883" s="615"/>
      <c r="G883" s="615"/>
      <c r="H883" s="615"/>
      <c r="I883" s="679"/>
      <c r="J883" s="615"/>
      <c r="K883" s="615"/>
      <c r="L883" s="615"/>
      <c r="M883" s="615"/>
      <c r="N883" s="615"/>
      <c r="O883" s="615"/>
      <c r="P883" s="615"/>
      <c r="Q883" s="615"/>
      <c r="R883" s="615"/>
      <c r="S883" s="615"/>
      <c r="T883" s="615"/>
      <c r="U883" s="615"/>
      <c r="V883" s="615"/>
      <c r="W883" s="615"/>
      <c r="X883" s="615"/>
      <c r="Y883" s="615"/>
      <c r="Z883" s="615"/>
      <c r="AA883" s="615"/>
    </row>
    <row r="884">
      <c r="A884" s="675"/>
      <c r="B884" s="615"/>
      <c r="C884" s="676"/>
      <c r="D884" s="677"/>
      <c r="E884" s="677"/>
      <c r="F884" s="615"/>
      <c r="G884" s="615"/>
      <c r="H884" s="615"/>
      <c r="I884" s="679"/>
      <c r="J884" s="615"/>
      <c r="K884" s="615"/>
      <c r="L884" s="615"/>
      <c r="M884" s="615"/>
      <c r="N884" s="615"/>
      <c r="O884" s="615"/>
      <c r="P884" s="615"/>
      <c r="Q884" s="615"/>
      <c r="R884" s="615"/>
      <c r="S884" s="615"/>
      <c r="T884" s="615"/>
      <c r="U884" s="615"/>
      <c r="V884" s="615"/>
      <c r="W884" s="615"/>
      <c r="X884" s="615"/>
      <c r="Y884" s="615"/>
      <c r="Z884" s="615"/>
      <c r="AA884" s="615"/>
    </row>
    <row r="885">
      <c r="A885" s="675"/>
      <c r="B885" s="615"/>
      <c r="C885" s="676"/>
      <c r="D885" s="677"/>
      <c r="E885" s="677"/>
      <c r="F885" s="615"/>
      <c r="G885" s="615"/>
      <c r="H885" s="615"/>
      <c r="I885" s="679"/>
      <c r="J885" s="615"/>
      <c r="K885" s="615"/>
      <c r="L885" s="615"/>
      <c r="M885" s="615"/>
      <c r="N885" s="615"/>
      <c r="O885" s="615"/>
      <c r="P885" s="615"/>
      <c r="Q885" s="615"/>
      <c r="R885" s="615"/>
      <c r="S885" s="615"/>
      <c r="T885" s="615"/>
      <c r="U885" s="615"/>
      <c r="V885" s="615"/>
      <c r="W885" s="615"/>
      <c r="X885" s="615"/>
      <c r="Y885" s="615"/>
      <c r="Z885" s="615"/>
      <c r="AA885" s="615"/>
    </row>
    <row r="886">
      <c r="A886" s="675"/>
      <c r="B886" s="615"/>
      <c r="C886" s="676"/>
      <c r="D886" s="677"/>
      <c r="E886" s="677"/>
      <c r="F886" s="615"/>
      <c r="G886" s="615"/>
      <c r="H886" s="615"/>
      <c r="I886" s="679"/>
      <c r="J886" s="615"/>
      <c r="K886" s="615"/>
      <c r="L886" s="615"/>
      <c r="M886" s="615"/>
      <c r="N886" s="615"/>
      <c r="O886" s="615"/>
      <c r="P886" s="615"/>
      <c r="Q886" s="615"/>
      <c r="R886" s="615"/>
      <c r="S886" s="615"/>
      <c r="T886" s="615"/>
      <c r="U886" s="615"/>
      <c r="V886" s="615"/>
      <c r="W886" s="615"/>
      <c r="X886" s="615"/>
      <c r="Y886" s="615"/>
      <c r="Z886" s="615"/>
      <c r="AA886" s="615"/>
    </row>
    <row r="887">
      <c r="A887" s="675"/>
      <c r="B887" s="615"/>
      <c r="C887" s="676"/>
      <c r="D887" s="677"/>
      <c r="E887" s="677"/>
      <c r="F887" s="615"/>
      <c r="G887" s="615"/>
      <c r="H887" s="615"/>
      <c r="I887" s="679"/>
      <c r="J887" s="615"/>
      <c r="K887" s="615"/>
      <c r="L887" s="615"/>
      <c r="M887" s="615"/>
      <c r="N887" s="615"/>
      <c r="O887" s="615"/>
      <c r="P887" s="615"/>
      <c r="Q887" s="615"/>
      <c r="R887" s="615"/>
      <c r="S887" s="615"/>
      <c r="T887" s="615"/>
      <c r="U887" s="615"/>
      <c r="V887" s="615"/>
      <c r="W887" s="615"/>
      <c r="X887" s="615"/>
      <c r="Y887" s="615"/>
      <c r="Z887" s="615"/>
      <c r="AA887" s="615"/>
    </row>
    <row r="888">
      <c r="A888" s="675"/>
      <c r="B888" s="615"/>
      <c r="C888" s="676"/>
      <c r="D888" s="677"/>
      <c r="E888" s="677"/>
      <c r="F888" s="615"/>
      <c r="G888" s="615"/>
      <c r="H888" s="615"/>
      <c r="I888" s="679"/>
      <c r="J888" s="615"/>
      <c r="K888" s="615"/>
      <c r="L888" s="615"/>
      <c r="M888" s="615"/>
      <c r="N888" s="615"/>
      <c r="O888" s="615"/>
      <c r="P888" s="615"/>
      <c r="Q888" s="615"/>
      <c r="R888" s="615"/>
      <c r="S888" s="615"/>
      <c r="T888" s="615"/>
      <c r="U888" s="615"/>
      <c r="V888" s="615"/>
      <c r="W888" s="615"/>
      <c r="X888" s="615"/>
      <c r="Y888" s="615"/>
      <c r="Z888" s="615"/>
      <c r="AA888" s="615"/>
    </row>
    <row r="889">
      <c r="A889" s="675"/>
      <c r="B889" s="615"/>
      <c r="C889" s="676"/>
      <c r="D889" s="677"/>
      <c r="E889" s="677"/>
      <c r="F889" s="615"/>
      <c r="G889" s="615"/>
      <c r="H889" s="615"/>
      <c r="I889" s="679"/>
      <c r="J889" s="615"/>
      <c r="K889" s="615"/>
      <c r="L889" s="615"/>
      <c r="M889" s="615"/>
      <c r="N889" s="615"/>
      <c r="O889" s="615"/>
      <c r="P889" s="615"/>
      <c r="Q889" s="615"/>
      <c r="R889" s="615"/>
      <c r="S889" s="615"/>
      <c r="T889" s="615"/>
      <c r="U889" s="615"/>
      <c r="V889" s="615"/>
      <c r="W889" s="615"/>
      <c r="X889" s="615"/>
      <c r="Y889" s="615"/>
      <c r="Z889" s="615"/>
      <c r="AA889" s="615"/>
    </row>
    <row r="890">
      <c r="A890" s="675"/>
      <c r="B890" s="615"/>
      <c r="C890" s="676"/>
      <c r="D890" s="677"/>
      <c r="E890" s="677"/>
      <c r="F890" s="615"/>
      <c r="G890" s="615"/>
      <c r="H890" s="615"/>
      <c r="I890" s="679"/>
      <c r="J890" s="615"/>
      <c r="K890" s="615"/>
      <c r="L890" s="615"/>
      <c r="M890" s="615"/>
      <c r="N890" s="615"/>
      <c r="O890" s="615"/>
      <c r="P890" s="615"/>
      <c r="Q890" s="615"/>
      <c r="R890" s="615"/>
      <c r="S890" s="615"/>
      <c r="T890" s="615"/>
      <c r="U890" s="615"/>
      <c r="V890" s="615"/>
      <c r="W890" s="615"/>
      <c r="X890" s="615"/>
      <c r="Y890" s="615"/>
      <c r="Z890" s="615"/>
      <c r="AA890" s="615"/>
    </row>
    <row r="891">
      <c r="A891" s="675"/>
      <c r="B891" s="615"/>
      <c r="C891" s="676"/>
      <c r="D891" s="677"/>
      <c r="E891" s="677"/>
      <c r="F891" s="615"/>
      <c r="G891" s="615"/>
      <c r="H891" s="615"/>
      <c r="I891" s="679"/>
      <c r="J891" s="615"/>
      <c r="K891" s="615"/>
      <c r="L891" s="615"/>
      <c r="M891" s="615"/>
      <c r="N891" s="615"/>
      <c r="O891" s="615"/>
      <c r="P891" s="615"/>
      <c r="Q891" s="615"/>
      <c r="R891" s="615"/>
      <c r="S891" s="615"/>
      <c r="T891" s="615"/>
      <c r="U891" s="615"/>
      <c r="V891" s="615"/>
      <c r="W891" s="615"/>
      <c r="X891" s="615"/>
      <c r="Y891" s="615"/>
      <c r="Z891" s="615"/>
      <c r="AA891" s="615"/>
    </row>
    <row r="892">
      <c r="A892" s="675"/>
      <c r="B892" s="615"/>
      <c r="C892" s="676"/>
      <c r="D892" s="677"/>
      <c r="E892" s="677"/>
      <c r="F892" s="615"/>
      <c r="G892" s="615"/>
      <c r="H892" s="615"/>
      <c r="I892" s="679"/>
      <c r="J892" s="615"/>
      <c r="K892" s="615"/>
      <c r="L892" s="615"/>
      <c r="M892" s="615"/>
      <c r="N892" s="615"/>
      <c r="O892" s="615"/>
      <c r="P892" s="615"/>
      <c r="Q892" s="615"/>
      <c r="R892" s="615"/>
      <c r="S892" s="615"/>
      <c r="T892" s="615"/>
      <c r="U892" s="615"/>
      <c r="V892" s="615"/>
      <c r="W892" s="615"/>
      <c r="X892" s="615"/>
      <c r="Y892" s="615"/>
      <c r="Z892" s="615"/>
      <c r="AA892" s="615"/>
    </row>
    <row r="893">
      <c r="A893" s="675"/>
      <c r="B893" s="615"/>
      <c r="C893" s="676"/>
      <c r="D893" s="677"/>
      <c r="E893" s="677"/>
      <c r="F893" s="615"/>
      <c r="G893" s="615"/>
      <c r="H893" s="615"/>
      <c r="I893" s="679"/>
      <c r="J893" s="615"/>
      <c r="K893" s="615"/>
      <c r="L893" s="615"/>
      <c r="M893" s="615"/>
      <c r="N893" s="615"/>
      <c r="O893" s="615"/>
      <c r="P893" s="615"/>
      <c r="Q893" s="615"/>
      <c r="R893" s="615"/>
      <c r="S893" s="615"/>
      <c r="T893" s="615"/>
      <c r="U893" s="615"/>
      <c r="V893" s="615"/>
      <c r="W893" s="615"/>
      <c r="X893" s="615"/>
      <c r="Y893" s="615"/>
      <c r="Z893" s="615"/>
      <c r="AA893" s="615"/>
    </row>
    <row r="894">
      <c r="A894" s="675"/>
      <c r="B894" s="615"/>
      <c r="C894" s="676"/>
      <c r="D894" s="677"/>
      <c r="E894" s="677"/>
      <c r="F894" s="615"/>
      <c r="G894" s="615"/>
      <c r="H894" s="615"/>
      <c r="I894" s="679"/>
      <c r="J894" s="615"/>
      <c r="K894" s="615"/>
      <c r="L894" s="615"/>
      <c r="M894" s="615"/>
      <c r="N894" s="615"/>
      <c r="O894" s="615"/>
      <c r="P894" s="615"/>
      <c r="Q894" s="615"/>
      <c r="R894" s="615"/>
      <c r="S894" s="615"/>
      <c r="T894" s="615"/>
      <c r="U894" s="615"/>
      <c r="V894" s="615"/>
      <c r="W894" s="615"/>
      <c r="X894" s="615"/>
      <c r="Y894" s="615"/>
      <c r="Z894" s="615"/>
      <c r="AA894" s="615"/>
    </row>
    <row r="895">
      <c r="A895" s="675"/>
      <c r="B895" s="615"/>
      <c r="C895" s="676"/>
      <c r="D895" s="677"/>
      <c r="E895" s="677"/>
      <c r="F895" s="615"/>
      <c r="G895" s="615"/>
      <c r="H895" s="615"/>
      <c r="I895" s="679"/>
      <c r="J895" s="615"/>
      <c r="K895" s="615"/>
      <c r="L895" s="615"/>
      <c r="M895" s="615"/>
      <c r="N895" s="615"/>
      <c r="O895" s="615"/>
      <c r="P895" s="615"/>
      <c r="Q895" s="615"/>
      <c r="R895" s="615"/>
      <c r="S895" s="615"/>
      <c r="T895" s="615"/>
      <c r="U895" s="615"/>
      <c r="V895" s="615"/>
      <c r="W895" s="615"/>
      <c r="X895" s="615"/>
      <c r="Y895" s="615"/>
      <c r="Z895" s="615"/>
      <c r="AA895" s="615"/>
    </row>
    <row r="896">
      <c r="A896" s="675"/>
      <c r="B896" s="615"/>
      <c r="C896" s="676"/>
      <c r="D896" s="677"/>
      <c r="E896" s="677"/>
      <c r="F896" s="615"/>
      <c r="G896" s="615"/>
      <c r="H896" s="615"/>
      <c r="I896" s="679"/>
      <c r="J896" s="615"/>
      <c r="K896" s="615"/>
      <c r="L896" s="615"/>
      <c r="M896" s="615"/>
      <c r="N896" s="615"/>
      <c r="O896" s="615"/>
      <c r="P896" s="615"/>
      <c r="Q896" s="615"/>
      <c r="R896" s="615"/>
      <c r="S896" s="615"/>
      <c r="T896" s="615"/>
      <c r="U896" s="615"/>
      <c r="V896" s="615"/>
      <c r="W896" s="615"/>
      <c r="X896" s="615"/>
      <c r="Y896" s="615"/>
      <c r="Z896" s="615"/>
      <c r="AA896" s="615"/>
    </row>
    <row r="897">
      <c r="A897" s="675"/>
      <c r="B897" s="615"/>
      <c r="C897" s="676"/>
      <c r="D897" s="677"/>
      <c r="E897" s="677"/>
      <c r="F897" s="615"/>
      <c r="G897" s="615"/>
      <c r="H897" s="615"/>
      <c r="I897" s="679"/>
      <c r="J897" s="615"/>
      <c r="K897" s="615"/>
      <c r="L897" s="615"/>
      <c r="M897" s="615"/>
      <c r="N897" s="615"/>
      <c r="O897" s="615"/>
      <c r="P897" s="615"/>
      <c r="Q897" s="615"/>
      <c r="R897" s="615"/>
      <c r="S897" s="615"/>
      <c r="T897" s="615"/>
      <c r="U897" s="615"/>
      <c r="V897" s="615"/>
      <c r="W897" s="615"/>
      <c r="X897" s="615"/>
      <c r="Y897" s="615"/>
      <c r="Z897" s="615"/>
      <c r="AA897" s="615"/>
    </row>
    <row r="898">
      <c r="A898" s="675"/>
      <c r="B898" s="615"/>
      <c r="C898" s="676"/>
      <c r="D898" s="677"/>
      <c r="E898" s="677"/>
      <c r="F898" s="615"/>
      <c r="G898" s="615"/>
      <c r="H898" s="615"/>
      <c r="I898" s="679"/>
      <c r="J898" s="615"/>
      <c r="K898" s="615"/>
      <c r="L898" s="615"/>
      <c r="M898" s="615"/>
      <c r="N898" s="615"/>
      <c r="O898" s="615"/>
      <c r="P898" s="615"/>
      <c r="Q898" s="615"/>
      <c r="R898" s="615"/>
      <c r="S898" s="615"/>
      <c r="T898" s="615"/>
      <c r="U898" s="615"/>
      <c r="V898" s="615"/>
      <c r="W898" s="615"/>
      <c r="X898" s="615"/>
      <c r="Y898" s="615"/>
      <c r="Z898" s="615"/>
      <c r="AA898" s="615"/>
    </row>
    <row r="899">
      <c r="A899" s="675"/>
      <c r="B899" s="615"/>
      <c r="C899" s="676"/>
      <c r="D899" s="677"/>
      <c r="E899" s="677"/>
      <c r="F899" s="615"/>
      <c r="G899" s="615"/>
      <c r="H899" s="615"/>
      <c r="I899" s="679"/>
      <c r="J899" s="615"/>
      <c r="K899" s="615"/>
      <c r="L899" s="615"/>
      <c r="M899" s="615"/>
      <c r="N899" s="615"/>
      <c r="O899" s="615"/>
      <c r="P899" s="615"/>
      <c r="Q899" s="615"/>
      <c r="R899" s="615"/>
      <c r="S899" s="615"/>
      <c r="T899" s="615"/>
      <c r="U899" s="615"/>
      <c r="V899" s="615"/>
      <c r="W899" s="615"/>
      <c r="X899" s="615"/>
      <c r="Y899" s="615"/>
      <c r="Z899" s="615"/>
      <c r="AA899" s="615"/>
    </row>
    <row r="900">
      <c r="A900" s="675"/>
      <c r="B900" s="615"/>
      <c r="C900" s="676"/>
      <c r="D900" s="677"/>
      <c r="E900" s="677"/>
      <c r="F900" s="615"/>
      <c r="G900" s="615"/>
      <c r="H900" s="615"/>
      <c r="I900" s="679"/>
      <c r="J900" s="615"/>
      <c r="K900" s="615"/>
      <c r="L900" s="615"/>
      <c r="M900" s="615"/>
      <c r="N900" s="615"/>
      <c r="O900" s="615"/>
      <c r="P900" s="615"/>
      <c r="Q900" s="615"/>
      <c r="R900" s="615"/>
      <c r="S900" s="615"/>
      <c r="T900" s="615"/>
      <c r="U900" s="615"/>
      <c r="V900" s="615"/>
      <c r="W900" s="615"/>
      <c r="X900" s="615"/>
      <c r="Y900" s="615"/>
      <c r="Z900" s="615"/>
      <c r="AA900" s="615"/>
    </row>
    <row r="901">
      <c r="A901" s="675"/>
      <c r="B901" s="615"/>
      <c r="C901" s="676"/>
      <c r="D901" s="677"/>
      <c r="E901" s="677"/>
      <c r="F901" s="615"/>
      <c r="G901" s="615"/>
      <c r="H901" s="615"/>
      <c r="I901" s="679"/>
      <c r="J901" s="615"/>
      <c r="K901" s="615"/>
      <c r="L901" s="615"/>
      <c r="M901" s="615"/>
      <c r="N901" s="615"/>
      <c r="O901" s="615"/>
      <c r="P901" s="615"/>
      <c r="Q901" s="615"/>
      <c r="R901" s="615"/>
      <c r="S901" s="615"/>
      <c r="T901" s="615"/>
      <c r="U901" s="615"/>
      <c r="V901" s="615"/>
      <c r="W901" s="615"/>
      <c r="X901" s="615"/>
      <c r="Y901" s="615"/>
      <c r="Z901" s="615"/>
      <c r="AA901" s="615"/>
    </row>
    <row r="902">
      <c r="A902" s="675"/>
      <c r="B902" s="615"/>
      <c r="C902" s="676"/>
      <c r="D902" s="677"/>
      <c r="E902" s="677"/>
      <c r="F902" s="615"/>
      <c r="G902" s="615"/>
      <c r="H902" s="615"/>
      <c r="I902" s="679"/>
      <c r="J902" s="615"/>
      <c r="K902" s="615"/>
      <c r="L902" s="615"/>
      <c r="M902" s="615"/>
      <c r="N902" s="615"/>
      <c r="O902" s="615"/>
      <c r="P902" s="615"/>
      <c r="Q902" s="615"/>
      <c r="R902" s="615"/>
      <c r="S902" s="615"/>
      <c r="T902" s="615"/>
      <c r="U902" s="615"/>
      <c r="V902" s="615"/>
      <c r="W902" s="615"/>
      <c r="X902" s="615"/>
      <c r="Y902" s="615"/>
      <c r="Z902" s="615"/>
      <c r="AA902" s="615"/>
    </row>
    <row r="903">
      <c r="A903" s="675"/>
      <c r="B903" s="615"/>
      <c r="C903" s="676"/>
      <c r="D903" s="677"/>
      <c r="E903" s="677"/>
      <c r="F903" s="615"/>
      <c r="G903" s="615"/>
      <c r="H903" s="615"/>
      <c r="I903" s="679"/>
      <c r="J903" s="615"/>
      <c r="K903" s="615"/>
      <c r="L903" s="615"/>
      <c r="M903" s="615"/>
      <c r="N903" s="615"/>
      <c r="O903" s="615"/>
      <c r="P903" s="615"/>
      <c r="Q903" s="615"/>
      <c r="R903" s="615"/>
      <c r="S903" s="615"/>
      <c r="T903" s="615"/>
      <c r="U903" s="615"/>
      <c r="V903" s="615"/>
      <c r="W903" s="615"/>
      <c r="X903" s="615"/>
      <c r="Y903" s="615"/>
      <c r="Z903" s="615"/>
      <c r="AA903" s="615"/>
    </row>
    <row r="904">
      <c r="A904" s="675"/>
      <c r="B904" s="615"/>
      <c r="C904" s="676"/>
      <c r="D904" s="677"/>
      <c r="E904" s="677"/>
      <c r="F904" s="615"/>
      <c r="G904" s="615"/>
      <c r="H904" s="615"/>
      <c r="I904" s="679"/>
      <c r="J904" s="615"/>
      <c r="K904" s="615"/>
      <c r="L904" s="615"/>
      <c r="M904" s="615"/>
      <c r="N904" s="615"/>
      <c r="O904" s="615"/>
      <c r="P904" s="615"/>
      <c r="Q904" s="615"/>
      <c r="R904" s="615"/>
      <c r="S904" s="615"/>
      <c r="T904" s="615"/>
      <c r="U904" s="615"/>
      <c r="V904" s="615"/>
      <c r="W904" s="615"/>
      <c r="X904" s="615"/>
      <c r="Y904" s="615"/>
      <c r="Z904" s="615"/>
      <c r="AA904" s="615"/>
    </row>
    <row r="905">
      <c r="A905" s="675"/>
      <c r="B905" s="615"/>
      <c r="C905" s="676"/>
      <c r="D905" s="677"/>
      <c r="E905" s="677"/>
      <c r="F905" s="615"/>
      <c r="G905" s="615"/>
      <c r="H905" s="615"/>
      <c r="I905" s="679"/>
      <c r="J905" s="615"/>
      <c r="K905" s="615"/>
      <c r="L905" s="615"/>
      <c r="M905" s="615"/>
      <c r="N905" s="615"/>
      <c r="O905" s="615"/>
      <c r="P905" s="615"/>
      <c r="Q905" s="615"/>
      <c r="R905" s="615"/>
      <c r="S905" s="615"/>
      <c r="T905" s="615"/>
      <c r="U905" s="615"/>
      <c r="V905" s="615"/>
      <c r="W905" s="615"/>
      <c r="X905" s="615"/>
      <c r="Y905" s="615"/>
      <c r="Z905" s="615"/>
      <c r="AA905" s="615"/>
    </row>
    <row r="906">
      <c r="A906" s="675"/>
      <c r="B906" s="615"/>
      <c r="C906" s="676"/>
      <c r="D906" s="677"/>
      <c r="E906" s="677"/>
      <c r="F906" s="615"/>
      <c r="G906" s="615"/>
      <c r="H906" s="615"/>
      <c r="I906" s="679"/>
      <c r="J906" s="615"/>
      <c r="K906" s="615"/>
      <c r="L906" s="615"/>
      <c r="M906" s="615"/>
      <c r="N906" s="615"/>
      <c r="O906" s="615"/>
      <c r="P906" s="615"/>
      <c r="Q906" s="615"/>
      <c r="R906" s="615"/>
      <c r="S906" s="615"/>
      <c r="T906" s="615"/>
      <c r="U906" s="615"/>
      <c r="V906" s="615"/>
      <c r="W906" s="615"/>
      <c r="X906" s="615"/>
      <c r="Y906" s="615"/>
      <c r="Z906" s="615"/>
      <c r="AA906" s="615"/>
    </row>
    <row r="907">
      <c r="A907" s="675"/>
      <c r="B907" s="615"/>
      <c r="C907" s="676"/>
      <c r="D907" s="677"/>
      <c r="E907" s="677"/>
      <c r="F907" s="615"/>
      <c r="G907" s="615"/>
      <c r="H907" s="615"/>
      <c r="I907" s="679"/>
      <c r="J907" s="615"/>
      <c r="K907" s="615"/>
      <c r="L907" s="615"/>
      <c r="M907" s="615"/>
      <c r="N907" s="615"/>
      <c r="O907" s="615"/>
      <c r="P907" s="615"/>
      <c r="Q907" s="615"/>
      <c r="R907" s="615"/>
      <c r="S907" s="615"/>
      <c r="T907" s="615"/>
      <c r="U907" s="615"/>
      <c r="V907" s="615"/>
      <c r="W907" s="615"/>
      <c r="X907" s="615"/>
      <c r="Y907" s="615"/>
      <c r="Z907" s="615"/>
      <c r="AA907" s="615"/>
    </row>
    <row r="908">
      <c r="A908" s="675"/>
      <c r="B908" s="615"/>
      <c r="C908" s="676"/>
      <c r="D908" s="677"/>
      <c r="E908" s="677"/>
      <c r="F908" s="615"/>
      <c r="G908" s="615"/>
      <c r="H908" s="615"/>
      <c r="I908" s="679"/>
      <c r="J908" s="615"/>
      <c r="K908" s="615"/>
      <c r="L908" s="615"/>
      <c r="M908" s="615"/>
      <c r="N908" s="615"/>
      <c r="O908" s="615"/>
      <c r="P908" s="615"/>
      <c r="Q908" s="615"/>
      <c r="R908" s="615"/>
      <c r="S908" s="615"/>
      <c r="T908" s="615"/>
      <c r="U908" s="615"/>
      <c r="V908" s="615"/>
      <c r="W908" s="615"/>
      <c r="X908" s="615"/>
      <c r="Y908" s="615"/>
      <c r="Z908" s="615"/>
      <c r="AA908" s="615"/>
    </row>
    <row r="909">
      <c r="A909" s="675"/>
      <c r="B909" s="615"/>
      <c r="C909" s="676"/>
      <c r="D909" s="677"/>
      <c r="E909" s="677"/>
      <c r="F909" s="615"/>
      <c r="G909" s="615"/>
      <c r="H909" s="615"/>
      <c r="I909" s="679"/>
      <c r="J909" s="615"/>
      <c r="K909" s="615"/>
      <c r="L909" s="615"/>
      <c r="M909" s="615"/>
      <c r="N909" s="615"/>
      <c r="O909" s="615"/>
      <c r="P909" s="615"/>
      <c r="Q909" s="615"/>
      <c r="R909" s="615"/>
      <c r="S909" s="615"/>
      <c r="T909" s="615"/>
      <c r="U909" s="615"/>
      <c r="V909" s="615"/>
      <c r="W909" s="615"/>
      <c r="X909" s="615"/>
      <c r="Y909" s="615"/>
      <c r="Z909" s="615"/>
      <c r="AA909" s="615"/>
    </row>
    <row r="910">
      <c r="A910" s="675"/>
      <c r="B910" s="615"/>
      <c r="C910" s="676"/>
      <c r="D910" s="677"/>
      <c r="E910" s="677"/>
      <c r="F910" s="615"/>
      <c r="G910" s="615"/>
      <c r="H910" s="615"/>
      <c r="I910" s="679"/>
      <c r="J910" s="615"/>
      <c r="K910" s="615"/>
      <c r="L910" s="615"/>
      <c r="M910" s="615"/>
      <c r="N910" s="615"/>
      <c r="O910" s="615"/>
      <c r="P910" s="615"/>
      <c r="Q910" s="615"/>
      <c r="R910" s="615"/>
      <c r="S910" s="615"/>
      <c r="T910" s="615"/>
      <c r="U910" s="615"/>
      <c r="V910" s="615"/>
      <c r="W910" s="615"/>
      <c r="X910" s="615"/>
      <c r="Y910" s="615"/>
      <c r="Z910" s="615"/>
      <c r="AA910" s="615"/>
    </row>
    <row r="911">
      <c r="A911" s="675"/>
      <c r="B911" s="615"/>
      <c r="C911" s="676"/>
      <c r="D911" s="677"/>
      <c r="E911" s="677"/>
      <c r="F911" s="615"/>
      <c r="G911" s="615"/>
      <c r="H911" s="615"/>
      <c r="I911" s="679"/>
      <c r="J911" s="615"/>
      <c r="K911" s="615"/>
      <c r="L911" s="615"/>
      <c r="M911" s="615"/>
      <c r="N911" s="615"/>
      <c r="O911" s="615"/>
      <c r="P911" s="615"/>
      <c r="Q911" s="615"/>
      <c r="R911" s="615"/>
      <c r="S911" s="615"/>
      <c r="T911" s="615"/>
      <c r="U911" s="615"/>
      <c r="V911" s="615"/>
      <c r="W911" s="615"/>
      <c r="X911" s="615"/>
      <c r="Y911" s="615"/>
      <c r="Z911" s="615"/>
      <c r="AA911" s="615"/>
    </row>
    <row r="912">
      <c r="A912" s="675"/>
      <c r="B912" s="615"/>
      <c r="C912" s="676"/>
      <c r="D912" s="677"/>
      <c r="E912" s="677"/>
      <c r="F912" s="615"/>
      <c r="G912" s="615"/>
      <c r="H912" s="615"/>
      <c r="I912" s="679"/>
      <c r="J912" s="615"/>
      <c r="K912" s="615"/>
      <c r="L912" s="615"/>
      <c r="M912" s="615"/>
      <c r="N912" s="615"/>
      <c r="O912" s="615"/>
      <c r="P912" s="615"/>
      <c r="Q912" s="615"/>
      <c r="R912" s="615"/>
      <c r="S912" s="615"/>
      <c r="T912" s="615"/>
      <c r="U912" s="615"/>
      <c r="V912" s="615"/>
      <c r="W912" s="615"/>
      <c r="X912" s="615"/>
      <c r="Y912" s="615"/>
      <c r="Z912" s="615"/>
      <c r="AA912" s="615"/>
    </row>
    <row r="913">
      <c r="A913" s="675"/>
      <c r="B913" s="615"/>
      <c r="C913" s="676"/>
      <c r="D913" s="677"/>
      <c r="E913" s="677"/>
      <c r="F913" s="615"/>
      <c r="G913" s="615"/>
      <c r="H913" s="615"/>
      <c r="I913" s="679"/>
      <c r="J913" s="615"/>
      <c r="K913" s="615"/>
      <c r="L913" s="615"/>
      <c r="M913" s="615"/>
      <c r="N913" s="615"/>
      <c r="O913" s="615"/>
      <c r="P913" s="615"/>
      <c r="Q913" s="615"/>
      <c r="R913" s="615"/>
      <c r="S913" s="615"/>
      <c r="T913" s="615"/>
      <c r="U913" s="615"/>
      <c r="V913" s="615"/>
      <c r="W913" s="615"/>
      <c r="X913" s="615"/>
      <c r="Y913" s="615"/>
      <c r="Z913" s="615"/>
      <c r="AA913" s="615"/>
    </row>
    <row r="914">
      <c r="A914" s="675"/>
      <c r="B914" s="615"/>
      <c r="C914" s="676"/>
      <c r="D914" s="677"/>
      <c r="E914" s="677"/>
      <c r="F914" s="615"/>
      <c r="G914" s="615"/>
      <c r="H914" s="615"/>
      <c r="I914" s="679"/>
      <c r="J914" s="615"/>
      <c r="K914" s="615"/>
      <c r="L914" s="615"/>
      <c r="M914" s="615"/>
      <c r="N914" s="615"/>
      <c r="O914" s="615"/>
      <c r="P914" s="615"/>
      <c r="Q914" s="615"/>
      <c r="R914" s="615"/>
      <c r="S914" s="615"/>
      <c r="T914" s="615"/>
      <c r="U914" s="615"/>
      <c r="V914" s="615"/>
      <c r="W914" s="615"/>
      <c r="X914" s="615"/>
      <c r="Y914" s="615"/>
      <c r="Z914" s="615"/>
      <c r="AA914" s="615"/>
    </row>
    <row r="915">
      <c r="A915" s="675"/>
      <c r="B915" s="615"/>
      <c r="C915" s="676"/>
      <c r="D915" s="677"/>
      <c r="E915" s="677"/>
      <c r="F915" s="615"/>
      <c r="G915" s="615"/>
      <c r="H915" s="615"/>
      <c r="I915" s="679"/>
      <c r="J915" s="615"/>
      <c r="K915" s="615"/>
      <c r="L915" s="615"/>
      <c r="M915" s="615"/>
      <c r="N915" s="615"/>
      <c r="O915" s="615"/>
      <c r="P915" s="615"/>
      <c r="Q915" s="615"/>
      <c r="R915" s="615"/>
      <c r="S915" s="615"/>
      <c r="T915" s="615"/>
      <c r="U915" s="615"/>
      <c r="V915" s="615"/>
      <c r="W915" s="615"/>
      <c r="X915" s="615"/>
      <c r="Y915" s="615"/>
      <c r="Z915" s="615"/>
      <c r="AA915" s="615"/>
    </row>
    <row r="916">
      <c r="A916" s="675"/>
      <c r="B916" s="615"/>
      <c r="C916" s="676"/>
      <c r="D916" s="677"/>
      <c r="E916" s="677"/>
      <c r="F916" s="615"/>
      <c r="G916" s="615"/>
      <c r="H916" s="615"/>
      <c r="I916" s="679"/>
      <c r="J916" s="615"/>
      <c r="K916" s="615"/>
      <c r="L916" s="615"/>
      <c r="M916" s="615"/>
      <c r="N916" s="615"/>
      <c r="O916" s="615"/>
      <c r="P916" s="615"/>
      <c r="Q916" s="615"/>
      <c r="R916" s="615"/>
      <c r="S916" s="615"/>
      <c r="T916" s="615"/>
      <c r="U916" s="615"/>
      <c r="V916" s="615"/>
      <c r="W916" s="615"/>
      <c r="X916" s="615"/>
      <c r="Y916" s="615"/>
      <c r="Z916" s="615"/>
      <c r="AA916" s="615"/>
    </row>
    <row r="917">
      <c r="A917" s="675"/>
      <c r="B917" s="615"/>
      <c r="C917" s="676"/>
      <c r="D917" s="677"/>
      <c r="E917" s="677"/>
      <c r="F917" s="615"/>
      <c r="G917" s="615"/>
      <c r="H917" s="615"/>
      <c r="I917" s="679"/>
      <c r="J917" s="615"/>
      <c r="K917" s="615"/>
      <c r="L917" s="615"/>
      <c r="M917" s="615"/>
      <c r="N917" s="615"/>
      <c r="O917" s="615"/>
      <c r="P917" s="615"/>
      <c r="Q917" s="615"/>
      <c r="R917" s="615"/>
      <c r="S917" s="615"/>
      <c r="T917" s="615"/>
      <c r="U917" s="615"/>
      <c r="V917" s="615"/>
      <c r="W917" s="615"/>
      <c r="X917" s="615"/>
      <c r="Y917" s="615"/>
      <c r="Z917" s="615"/>
      <c r="AA917" s="615"/>
    </row>
    <row r="918">
      <c r="A918" s="675"/>
      <c r="B918" s="615"/>
      <c r="C918" s="676"/>
      <c r="D918" s="677"/>
      <c r="E918" s="677"/>
      <c r="F918" s="615"/>
      <c r="G918" s="615"/>
      <c r="H918" s="615"/>
      <c r="I918" s="679"/>
      <c r="J918" s="615"/>
      <c r="K918" s="615"/>
      <c r="L918" s="615"/>
      <c r="M918" s="615"/>
      <c r="N918" s="615"/>
      <c r="O918" s="615"/>
      <c r="P918" s="615"/>
      <c r="Q918" s="615"/>
      <c r="R918" s="615"/>
      <c r="S918" s="615"/>
      <c r="T918" s="615"/>
      <c r="U918" s="615"/>
      <c r="V918" s="615"/>
      <c r="W918" s="615"/>
      <c r="X918" s="615"/>
      <c r="Y918" s="615"/>
      <c r="Z918" s="615"/>
      <c r="AA918" s="615"/>
    </row>
    <row r="919">
      <c r="A919" s="675"/>
      <c r="B919" s="615"/>
      <c r="C919" s="676"/>
      <c r="D919" s="677"/>
      <c r="E919" s="677"/>
      <c r="F919" s="615"/>
      <c r="G919" s="615"/>
      <c r="H919" s="615"/>
      <c r="I919" s="679"/>
      <c r="J919" s="615"/>
      <c r="K919" s="615"/>
      <c r="L919" s="615"/>
      <c r="M919" s="615"/>
      <c r="N919" s="615"/>
      <c r="O919" s="615"/>
      <c r="P919" s="615"/>
      <c r="Q919" s="615"/>
      <c r="R919" s="615"/>
      <c r="S919" s="615"/>
      <c r="T919" s="615"/>
      <c r="U919" s="615"/>
      <c r="V919" s="615"/>
      <c r="W919" s="615"/>
      <c r="X919" s="615"/>
      <c r="Y919" s="615"/>
      <c r="Z919" s="615"/>
      <c r="AA919" s="615"/>
    </row>
    <row r="920">
      <c r="A920" s="675"/>
      <c r="B920" s="615"/>
      <c r="C920" s="676"/>
      <c r="D920" s="677"/>
      <c r="E920" s="677"/>
      <c r="F920" s="615"/>
      <c r="G920" s="615"/>
      <c r="H920" s="615"/>
      <c r="I920" s="679"/>
      <c r="J920" s="615"/>
      <c r="K920" s="615"/>
      <c r="L920" s="615"/>
      <c r="M920" s="615"/>
      <c r="N920" s="615"/>
      <c r="O920" s="615"/>
      <c r="P920" s="615"/>
      <c r="Q920" s="615"/>
      <c r="R920" s="615"/>
      <c r="S920" s="615"/>
      <c r="T920" s="615"/>
      <c r="U920" s="615"/>
      <c r="V920" s="615"/>
      <c r="W920" s="615"/>
      <c r="X920" s="615"/>
      <c r="Y920" s="615"/>
      <c r="Z920" s="615"/>
      <c r="AA920" s="615"/>
    </row>
    <row r="921">
      <c r="A921" s="675"/>
      <c r="B921" s="615"/>
      <c r="C921" s="676"/>
      <c r="D921" s="677"/>
      <c r="E921" s="677"/>
      <c r="F921" s="615"/>
      <c r="G921" s="615"/>
      <c r="H921" s="615"/>
      <c r="I921" s="679"/>
      <c r="J921" s="615"/>
      <c r="K921" s="615"/>
      <c r="L921" s="615"/>
      <c r="M921" s="615"/>
      <c r="N921" s="615"/>
      <c r="O921" s="615"/>
      <c r="P921" s="615"/>
      <c r="Q921" s="615"/>
      <c r="R921" s="615"/>
      <c r="S921" s="615"/>
      <c r="T921" s="615"/>
      <c r="U921" s="615"/>
      <c r="V921" s="615"/>
      <c r="W921" s="615"/>
      <c r="X921" s="615"/>
      <c r="Y921" s="615"/>
      <c r="Z921" s="615"/>
      <c r="AA921" s="615"/>
    </row>
    <row r="922">
      <c r="A922" s="675"/>
      <c r="B922" s="615"/>
      <c r="C922" s="676"/>
      <c r="D922" s="677"/>
      <c r="E922" s="677"/>
      <c r="F922" s="615"/>
      <c r="G922" s="615"/>
      <c r="H922" s="615"/>
      <c r="I922" s="679"/>
      <c r="J922" s="615"/>
      <c r="K922" s="615"/>
      <c r="L922" s="615"/>
      <c r="M922" s="615"/>
      <c r="N922" s="615"/>
      <c r="O922" s="615"/>
      <c r="P922" s="615"/>
      <c r="Q922" s="615"/>
      <c r="R922" s="615"/>
      <c r="S922" s="615"/>
      <c r="T922" s="615"/>
      <c r="U922" s="615"/>
      <c r="V922" s="615"/>
      <c r="W922" s="615"/>
      <c r="X922" s="615"/>
      <c r="Y922" s="615"/>
      <c r="Z922" s="615"/>
      <c r="AA922" s="615"/>
    </row>
    <row r="923">
      <c r="A923" s="675"/>
      <c r="B923" s="615"/>
      <c r="C923" s="676"/>
      <c r="D923" s="677"/>
      <c r="E923" s="677"/>
      <c r="F923" s="615"/>
      <c r="G923" s="615"/>
      <c r="H923" s="615"/>
      <c r="I923" s="679"/>
      <c r="J923" s="615"/>
      <c r="K923" s="615"/>
      <c r="L923" s="615"/>
      <c r="M923" s="615"/>
      <c r="N923" s="615"/>
      <c r="O923" s="615"/>
      <c r="P923" s="615"/>
      <c r="Q923" s="615"/>
      <c r="R923" s="615"/>
      <c r="S923" s="615"/>
      <c r="T923" s="615"/>
      <c r="U923" s="615"/>
      <c r="V923" s="615"/>
      <c r="W923" s="615"/>
      <c r="X923" s="615"/>
      <c r="Y923" s="615"/>
      <c r="Z923" s="615"/>
      <c r="AA923" s="615"/>
    </row>
    <row r="924">
      <c r="A924" s="675"/>
      <c r="B924" s="615"/>
      <c r="C924" s="676"/>
      <c r="D924" s="677"/>
      <c r="E924" s="677"/>
      <c r="F924" s="615"/>
      <c r="G924" s="615"/>
      <c r="H924" s="615"/>
      <c r="I924" s="679"/>
      <c r="J924" s="615"/>
      <c r="K924" s="615"/>
      <c r="L924" s="615"/>
      <c r="M924" s="615"/>
      <c r="N924" s="615"/>
      <c r="O924" s="615"/>
      <c r="P924" s="615"/>
      <c r="Q924" s="615"/>
      <c r="R924" s="615"/>
      <c r="S924" s="615"/>
      <c r="T924" s="615"/>
      <c r="U924" s="615"/>
      <c r="V924" s="615"/>
      <c r="W924" s="615"/>
      <c r="X924" s="615"/>
      <c r="Y924" s="615"/>
      <c r="Z924" s="615"/>
      <c r="AA924" s="615"/>
    </row>
    <row r="925">
      <c r="A925" s="675"/>
      <c r="B925" s="615"/>
      <c r="C925" s="676"/>
      <c r="D925" s="677"/>
      <c r="E925" s="677"/>
      <c r="F925" s="615"/>
      <c r="G925" s="615"/>
      <c r="H925" s="615"/>
      <c r="I925" s="679"/>
      <c r="J925" s="615"/>
      <c r="K925" s="615"/>
      <c r="L925" s="615"/>
      <c r="M925" s="615"/>
      <c r="N925" s="615"/>
      <c r="O925" s="615"/>
      <c r="P925" s="615"/>
      <c r="Q925" s="615"/>
      <c r="R925" s="615"/>
      <c r="S925" s="615"/>
      <c r="T925" s="615"/>
      <c r="U925" s="615"/>
      <c r="V925" s="615"/>
      <c r="W925" s="615"/>
      <c r="X925" s="615"/>
      <c r="Y925" s="615"/>
      <c r="Z925" s="615"/>
      <c r="AA925" s="615"/>
    </row>
    <row r="926">
      <c r="A926" s="675"/>
      <c r="B926" s="615"/>
      <c r="C926" s="676"/>
      <c r="D926" s="677"/>
      <c r="E926" s="677"/>
      <c r="F926" s="615"/>
      <c r="G926" s="615"/>
      <c r="H926" s="615"/>
      <c r="I926" s="679"/>
      <c r="J926" s="615"/>
      <c r="K926" s="615"/>
      <c r="L926" s="615"/>
      <c r="M926" s="615"/>
      <c r="N926" s="615"/>
      <c r="O926" s="615"/>
      <c r="P926" s="615"/>
      <c r="Q926" s="615"/>
      <c r="R926" s="615"/>
      <c r="S926" s="615"/>
      <c r="T926" s="615"/>
      <c r="U926" s="615"/>
      <c r="V926" s="615"/>
      <c r="W926" s="615"/>
      <c r="X926" s="615"/>
      <c r="Y926" s="615"/>
      <c r="Z926" s="615"/>
      <c r="AA926" s="615"/>
    </row>
    <row r="927">
      <c r="A927" s="675"/>
      <c r="B927" s="615"/>
      <c r="C927" s="676"/>
      <c r="D927" s="677"/>
      <c r="E927" s="677"/>
      <c r="F927" s="615"/>
      <c r="G927" s="615"/>
      <c r="H927" s="615"/>
      <c r="I927" s="679"/>
      <c r="J927" s="615"/>
      <c r="K927" s="615"/>
      <c r="L927" s="615"/>
      <c r="M927" s="615"/>
      <c r="N927" s="615"/>
      <c r="O927" s="615"/>
      <c r="P927" s="615"/>
      <c r="Q927" s="615"/>
      <c r="R927" s="615"/>
      <c r="S927" s="615"/>
      <c r="T927" s="615"/>
      <c r="U927" s="615"/>
      <c r="V927" s="615"/>
      <c r="W927" s="615"/>
      <c r="X927" s="615"/>
      <c r="Y927" s="615"/>
      <c r="Z927" s="615"/>
      <c r="AA927" s="615"/>
    </row>
    <row r="928">
      <c r="A928" s="675"/>
      <c r="B928" s="615"/>
      <c r="C928" s="676"/>
      <c r="D928" s="677"/>
      <c r="E928" s="677"/>
      <c r="F928" s="615"/>
      <c r="G928" s="615"/>
      <c r="H928" s="615"/>
      <c r="I928" s="679"/>
      <c r="J928" s="615"/>
      <c r="K928" s="615"/>
      <c r="L928" s="615"/>
      <c r="M928" s="615"/>
      <c r="N928" s="615"/>
      <c r="O928" s="615"/>
      <c r="P928" s="615"/>
      <c r="Q928" s="615"/>
      <c r="R928" s="615"/>
      <c r="S928" s="615"/>
      <c r="T928" s="615"/>
      <c r="U928" s="615"/>
      <c r="V928" s="615"/>
      <c r="W928" s="615"/>
      <c r="X928" s="615"/>
      <c r="Y928" s="615"/>
      <c r="Z928" s="615"/>
      <c r="AA928" s="615"/>
    </row>
    <row r="929">
      <c r="A929" s="675"/>
      <c r="B929" s="615"/>
      <c r="C929" s="676"/>
      <c r="D929" s="677"/>
      <c r="E929" s="677"/>
      <c r="F929" s="615"/>
      <c r="G929" s="615"/>
      <c r="H929" s="615"/>
      <c r="I929" s="679"/>
      <c r="J929" s="615"/>
      <c r="K929" s="615"/>
      <c r="L929" s="615"/>
      <c r="M929" s="615"/>
      <c r="N929" s="615"/>
      <c r="O929" s="615"/>
      <c r="P929" s="615"/>
      <c r="Q929" s="615"/>
      <c r="R929" s="615"/>
      <c r="S929" s="615"/>
      <c r="T929" s="615"/>
      <c r="U929" s="615"/>
      <c r="V929" s="615"/>
      <c r="W929" s="615"/>
      <c r="X929" s="615"/>
      <c r="Y929" s="615"/>
      <c r="Z929" s="615"/>
      <c r="AA929" s="615"/>
    </row>
    <row r="930">
      <c r="A930" s="675"/>
      <c r="B930" s="615"/>
      <c r="C930" s="676"/>
      <c r="D930" s="677"/>
      <c r="E930" s="677"/>
      <c r="F930" s="615"/>
      <c r="G930" s="615"/>
      <c r="H930" s="615"/>
      <c r="I930" s="679"/>
      <c r="J930" s="615"/>
      <c r="K930" s="615"/>
      <c r="L930" s="615"/>
      <c r="M930" s="615"/>
      <c r="N930" s="615"/>
      <c r="O930" s="615"/>
      <c r="P930" s="615"/>
      <c r="Q930" s="615"/>
      <c r="R930" s="615"/>
      <c r="S930" s="615"/>
      <c r="T930" s="615"/>
      <c r="U930" s="615"/>
      <c r="V930" s="615"/>
      <c r="W930" s="615"/>
      <c r="X930" s="615"/>
      <c r="Y930" s="615"/>
      <c r="Z930" s="615"/>
      <c r="AA930" s="615"/>
    </row>
    <row r="931">
      <c r="A931" s="675"/>
      <c r="B931" s="615"/>
      <c r="C931" s="676"/>
      <c r="D931" s="677"/>
      <c r="E931" s="677"/>
      <c r="F931" s="615"/>
      <c r="G931" s="615"/>
      <c r="H931" s="615"/>
      <c r="I931" s="679"/>
      <c r="J931" s="615"/>
      <c r="K931" s="615"/>
      <c r="L931" s="615"/>
      <c r="M931" s="615"/>
      <c r="N931" s="615"/>
      <c r="O931" s="615"/>
      <c r="P931" s="615"/>
      <c r="Q931" s="615"/>
      <c r="R931" s="615"/>
      <c r="S931" s="615"/>
      <c r="T931" s="615"/>
      <c r="U931" s="615"/>
      <c r="V931" s="615"/>
      <c r="W931" s="615"/>
      <c r="X931" s="615"/>
      <c r="Y931" s="615"/>
      <c r="Z931" s="615"/>
      <c r="AA931" s="615"/>
    </row>
    <row r="932">
      <c r="A932" s="675"/>
      <c r="B932" s="615"/>
      <c r="C932" s="676"/>
      <c r="D932" s="677"/>
      <c r="E932" s="677"/>
      <c r="F932" s="615"/>
      <c r="G932" s="615"/>
      <c r="H932" s="615"/>
      <c r="I932" s="679"/>
      <c r="J932" s="615"/>
      <c r="K932" s="615"/>
      <c r="L932" s="615"/>
      <c r="M932" s="615"/>
      <c r="N932" s="615"/>
      <c r="O932" s="615"/>
      <c r="P932" s="615"/>
      <c r="Q932" s="615"/>
      <c r="R932" s="615"/>
      <c r="S932" s="615"/>
      <c r="T932" s="615"/>
      <c r="U932" s="615"/>
      <c r="V932" s="615"/>
      <c r="W932" s="615"/>
      <c r="X932" s="615"/>
      <c r="Y932" s="615"/>
      <c r="Z932" s="615"/>
      <c r="AA932" s="615"/>
    </row>
    <row r="933">
      <c r="A933" s="675"/>
      <c r="B933" s="615"/>
      <c r="C933" s="676"/>
      <c r="D933" s="677"/>
      <c r="E933" s="677"/>
      <c r="F933" s="615"/>
      <c r="G933" s="615"/>
      <c r="H933" s="615"/>
      <c r="I933" s="679"/>
      <c r="J933" s="615"/>
      <c r="K933" s="615"/>
      <c r="L933" s="615"/>
      <c r="M933" s="615"/>
      <c r="N933" s="615"/>
      <c r="O933" s="615"/>
      <c r="P933" s="615"/>
      <c r="Q933" s="615"/>
      <c r="R933" s="615"/>
      <c r="S933" s="615"/>
      <c r="T933" s="615"/>
      <c r="U933" s="615"/>
      <c r="V933" s="615"/>
      <c r="W933" s="615"/>
      <c r="X933" s="615"/>
      <c r="Y933" s="615"/>
      <c r="Z933" s="615"/>
      <c r="AA933" s="615"/>
    </row>
    <row r="934">
      <c r="A934" s="675"/>
      <c r="B934" s="615"/>
      <c r="C934" s="676"/>
      <c r="D934" s="677"/>
      <c r="E934" s="677"/>
      <c r="F934" s="615"/>
      <c r="G934" s="615"/>
      <c r="H934" s="615"/>
      <c r="I934" s="679"/>
      <c r="J934" s="615"/>
      <c r="K934" s="615"/>
      <c r="L934" s="615"/>
      <c r="M934" s="615"/>
      <c r="N934" s="615"/>
      <c r="O934" s="615"/>
      <c r="P934" s="615"/>
      <c r="Q934" s="615"/>
      <c r="R934" s="615"/>
      <c r="S934" s="615"/>
      <c r="T934" s="615"/>
      <c r="U934" s="615"/>
      <c r="V934" s="615"/>
      <c r="W934" s="615"/>
      <c r="X934" s="615"/>
      <c r="Y934" s="615"/>
      <c r="Z934" s="615"/>
      <c r="AA934" s="615"/>
    </row>
    <row r="935">
      <c r="A935" s="675"/>
      <c r="B935" s="615"/>
      <c r="C935" s="676"/>
      <c r="D935" s="677"/>
      <c r="E935" s="677"/>
      <c r="F935" s="615"/>
      <c r="G935" s="615"/>
      <c r="H935" s="615"/>
      <c r="I935" s="679"/>
      <c r="J935" s="615"/>
      <c r="K935" s="615"/>
      <c r="L935" s="615"/>
      <c r="M935" s="615"/>
      <c r="N935" s="615"/>
      <c r="O935" s="615"/>
      <c r="P935" s="615"/>
      <c r="Q935" s="615"/>
      <c r="R935" s="615"/>
      <c r="S935" s="615"/>
      <c r="T935" s="615"/>
      <c r="U935" s="615"/>
      <c r="V935" s="615"/>
      <c r="W935" s="615"/>
      <c r="X935" s="615"/>
      <c r="Y935" s="615"/>
      <c r="Z935" s="615"/>
      <c r="AA935" s="615"/>
    </row>
    <row r="936">
      <c r="A936" s="675"/>
      <c r="B936" s="615"/>
      <c r="C936" s="676"/>
      <c r="D936" s="677"/>
      <c r="E936" s="677"/>
      <c r="F936" s="615"/>
      <c r="G936" s="615"/>
      <c r="H936" s="615"/>
      <c r="I936" s="679"/>
      <c r="J936" s="615"/>
      <c r="K936" s="615"/>
      <c r="L936" s="615"/>
      <c r="M936" s="615"/>
      <c r="N936" s="615"/>
      <c r="O936" s="615"/>
      <c r="P936" s="615"/>
      <c r="Q936" s="615"/>
      <c r="R936" s="615"/>
      <c r="S936" s="615"/>
      <c r="T936" s="615"/>
      <c r="U936" s="615"/>
      <c r="V936" s="615"/>
      <c r="W936" s="615"/>
      <c r="X936" s="615"/>
      <c r="Y936" s="615"/>
      <c r="Z936" s="615"/>
      <c r="AA936" s="615"/>
    </row>
    <row r="937">
      <c r="A937" s="675"/>
      <c r="B937" s="615"/>
      <c r="C937" s="676"/>
      <c r="D937" s="677"/>
      <c r="E937" s="677"/>
      <c r="F937" s="615"/>
      <c r="G937" s="615"/>
      <c r="H937" s="615"/>
      <c r="I937" s="679"/>
      <c r="J937" s="615"/>
      <c r="K937" s="615"/>
      <c r="L937" s="615"/>
      <c r="M937" s="615"/>
      <c r="N937" s="615"/>
      <c r="O937" s="615"/>
      <c r="P937" s="615"/>
      <c r="Q937" s="615"/>
      <c r="R937" s="615"/>
      <c r="S937" s="615"/>
      <c r="T937" s="615"/>
      <c r="U937" s="615"/>
      <c r="V937" s="615"/>
      <c r="W937" s="615"/>
      <c r="X937" s="615"/>
      <c r="Y937" s="615"/>
      <c r="Z937" s="615"/>
      <c r="AA937" s="615"/>
    </row>
    <row r="938">
      <c r="A938" s="675"/>
      <c r="B938" s="615"/>
      <c r="C938" s="676"/>
      <c r="D938" s="677"/>
      <c r="E938" s="677"/>
      <c r="F938" s="615"/>
      <c r="G938" s="615"/>
      <c r="H938" s="615"/>
      <c r="I938" s="679"/>
      <c r="J938" s="615"/>
      <c r="K938" s="615"/>
      <c r="L938" s="615"/>
      <c r="M938" s="615"/>
      <c r="N938" s="615"/>
      <c r="O938" s="615"/>
      <c r="P938" s="615"/>
      <c r="Q938" s="615"/>
      <c r="R938" s="615"/>
      <c r="S938" s="615"/>
      <c r="T938" s="615"/>
      <c r="U938" s="615"/>
      <c r="V938" s="615"/>
      <c r="W938" s="615"/>
      <c r="X938" s="615"/>
      <c r="Y938" s="615"/>
      <c r="Z938" s="615"/>
      <c r="AA938" s="615"/>
    </row>
    <row r="939">
      <c r="A939" s="675"/>
      <c r="B939" s="615"/>
      <c r="C939" s="676"/>
      <c r="D939" s="677"/>
      <c r="E939" s="677"/>
      <c r="F939" s="615"/>
      <c r="G939" s="615"/>
      <c r="H939" s="615"/>
      <c r="I939" s="679"/>
      <c r="J939" s="615"/>
      <c r="K939" s="615"/>
      <c r="L939" s="615"/>
      <c r="M939" s="615"/>
      <c r="N939" s="615"/>
      <c r="O939" s="615"/>
      <c r="P939" s="615"/>
      <c r="Q939" s="615"/>
      <c r="R939" s="615"/>
      <c r="S939" s="615"/>
      <c r="T939" s="615"/>
      <c r="U939" s="615"/>
      <c r="V939" s="615"/>
      <c r="W939" s="615"/>
      <c r="X939" s="615"/>
      <c r="Y939" s="615"/>
      <c r="Z939" s="615"/>
      <c r="AA939" s="615"/>
    </row>
    <row r="940">
      <c r="A940" s="675"/>
      <c r="B940" s="615"/>
      <c r="C940" s="676"/>
      <c r="D940" s="677"/>
      <c r="E940" s="677"/>
      <c r="F940" s="615"/>
      <c r="G940" s="615"/>
      <c r="H940" s="615"/>
      <c r="I940" s="679"/>
      <c r="J940" s="615"/>
      <c r="K940" s="615"/>
      <c r="L940" s="615"/>
      <c r="M940" s="615"/>
      <c r="N940" s="615"/>
      <c r="O940" s="615"/>
      <c r="P940" s="615"/>
      <c r="Q940" s="615"/>
      <c r="R940" s="615"/>
      <c r="S940" s="615"/>
      <c r="T940" s="615"/>
      <c r="U940" s="615"/>
      <c r="V940" s="615"/>
      <c r="W940" s="615"/>
      <c r="X940" s="615"/>
      <c r="Y940" s="615"/>
      <c r="Z940" s="615"/>
      <c r="AA940" s="615"/>
    </row>
    <row r="941">
      <c r="A941" s="675"/>
      <c r="B941" s="615"/>
      <c r="C941" s="676"/>
      <c r="D941" s="677"/>
      <c r="E941" s="677"/>
      <c r="F941" s="615"/>
      <c r="G941" s="615"/>
      <c r="H941" s="615"/>
      <c r="I941" s="679"/>
      <c r="J941" s="615"/>
      <c r="K941" s="615"/>
      <c r="L941" s="615"/>
      <c r="M941" s="615"/>
      <c r="N941" s="615"/>
      <c r="O941" s="615"/>
      <c r="P941" s="615"/>
      <c r="Q941" s="615"/>
      <c r="R941" s="615"/>
      <c r="S941" s="615"/>
      <c r="T941" s="615"/>
      <c r="U941" s="615"/>
      <c r="V941" s="615"/>
      <c r="W941" s="615"/>
      <c r="X941" s="615"/>
      <c r="Y941" s="615"/>
      <c r="Z941" s="615"/>
      <c r="AA941" s="615"/>
    </row>
    <row r="942">
      <c r="A942" s="675"/>
      <c r="B942" s="615"/>
      <c r="C942" s="676"/>
      <c r="D942" s="677"/>
      <c r="E942" s="677"/>
      <c r="F942" s="615"/>
      <c r="G942" s="615"/>
      <c r="H942" s="615"/>
      <c r="I942" s="679"/>
      <c r="J942" s="615"/>
      <c r="K942" s="615"/>
      <c r="L942" s="615"/>
      <c r="M942" s="615"/>
      <c r="N942" s="615"/>
      <c r="O942" s="615"/>
      <c r="P942" s="615"/>
      <c r="Q942" s="615"/>
      <c r="R942" s="615"/>
      <c r="S942" s="615"/>
      <c r="T942" s="615"/>
      <c r="U942" s="615"/>
      <c r="V942" s="615"/>
      <c r="W942" s="615"/>
      <c r="X942" s="615"/>
      <c r="Y942" s="615"/>
      <c r="Z942" s="615"/>
      <c r="AA942" s="615"/>
    </row>
    <row r="943">
      <c r="A943" s="675"/>
      <c r="B943" s="615"/>
      <c r="C943" s="676"/>
      <c r="D943" s="677"/>
      <c r="E943" s="677"/>
      <c r="F943" s="615"/>
      <c r="G943" s="615"/>
      <c r="H943" s="615"/>
      <c r="I943" s="679"/>
      <c r="J943" s="615"/>
      <c r="K943" s="615"/>
      <c r="L943" s="615"/>
      <c r="M943" s="615"/>
      <c r="N943" s="615"/>
      <c r="O943" s="615"/>
      <c r="P943" s="615"/>
      <c r="Q943" s="615"/>
      <c r="R943" s="615"/>
      <c r="S943" s="615"/>
      <c r="T943" s="615"/>
      <c r="U943" s="615"/>
      <c r="V943" s="615"/>
      <c r="W943" s="615"/>
      <c r="X943" s="615"/>
      <c r="Y943" s="615"/>
      <c r="Z943" s="615"/>
      <c r="AA943" s="615"/>
    </row>
    <row r="944">
      <c r="A944" s="675"/>
      <c r="B944" s="615"/>
      <c r="C944" s="676"/>
      <c r="D944" s="677"/>
      <c r="E944" s="677"/>
      <c r="F944" s="615"/>
      <c r="G944" s="615"/>
      <c r="H944" s="615"/>
      <c r="I944" s="679"/>
      <c r="J944" s="615"/>
      <c r="K944" s="615"/>
      <c r="L944" s="615"/>
      <c r="M944" s="615"/>
      <c r="N944" s="615"/>
      <c r="O944" s="615"/>
      <c r="P944" s="615"/>
      <c r="Q944" s="615"/>
      <c r="R944" s="615"/>
      <c r="S944" s="615"/>
      <c r="T944" s="615"/>
      <c r="U944" s="615"/>
      <c r="V944" s="615"/>
      <c r="W944" s="615"/>
      <c r="X944" s="615"/>
      <c r="Y944" s="615"/>
      <c r="Z944" s="615"/>
      <c r="AA944" s="615"/>
    </row>
    <row r="945">
      <c r="A945" s="675"/>
      <c r="B945" s="615"/>
      <c r="C945" s="676"/>
      <c r="D945" s="677"/>
      <c r="E945" s="677"/>
      <c r="F945" s="615"/>
      <c r="G945" s="615"/>
      <c r="H945" s="615"/>
      <c r="I945" s="679"/>
      <c r="J945" s="615"/>
      <c r="K945" s="615"/>
      <c r="L945" s="615"/>
      <c r="M945" s="615"/>
      <c r="N945" s="615"/>
      <c r="O945" s="615"/>
      <c r="P945" s="615"/>
      <c r="Q945" s="615"/>
      <c r="R945" s="615"/>
      <c r="S945" s="615"/>
      <c r="T945" s="615"/>
      <c r="U945" s="615"/>
      <c r="V945" s="615"/>
      <c r="W945" s="615"/>
      <c r="X945" s="615"/>
      <c r="Y945" s="615"/>
      <c r="Z945" s="615"/>
      <c r="AA945" s="615"/>
    </row>
    <row r="946">
      <c r="A946" s="675"/>
      <c r="B946" s="615"/>
      <c r="C946" s="676"/>
      <c r="D946" s="677"/>
      <c r="E946" s="677"/>
      <c r="F946" s="615"/>
      <c r="G946" s="615"/>
      <c r="H946" s="615"/>
      <c r="I946" s="679"/>
      <c r="J946" s="615"/>
      <c r="K946" s="615"/>
      <c r="L946" s="615"/>
      <c r="M946" s="615"/>
      <c r="N946" s="615"/>
      <c r="O946" s="615"/>
      <c r="P946" s="615"/>
      <c r="Q946" s="615"/>
      <c r="R946" s="615"/>
      <c r="S946" s="615"/>
      <c r="T946" s="615"/>
      <c r="U946" s="615"/>
      <c r="V946" s="615"/>
      <c r="W946" s="615"/>
      <c r="X946" s="615"/>
      <c r="Y946" s="615"/>
      <c r="Z946" s="615"/>
      <c r="AA946" s="615"/>
    </row>
    <row r="947">
      <c r="A947" s="675"/>
      <c r="B947" s="615"/>
      <c r="C947" s="676"/>
      <c r="D947" s="677"/>
      <c r="E947" s="677"/>
      <c r="F947" s="615"/>
      <c r="G947" s="615"/>
      <c r="H947" s="615"/>
      <c r="I947" s="679"/>
      <c r="J947" s="615"/>
      <c r="K947" s="615"/>
      <c r="L947" s="615"/>
      <c r="M947" s="615"/>
      <c r="N947" s="615"/>
      <c r="O947" s="615"/>
      <c r="P947" s="615"/>
      <c r="Q947" s="615"/>
      <c r="R947" s="615"/>
      <c r="S947" s="615"/>
      <c r="T947" s="615"/>
      <c r="U947" s="615"/>
      <c r="V947" s="615"/>
      <c r="W947" s="615"/>
      <c r="X947" s="615"/>
      <c r="Y947" s="615"/>
      <c r="Z947" s="615"/>
      <c r="AA947" s="615"/>
    </row>
    <row r="948">
      <c r="A948" s="675"/>
      <c r="B948" s="615"/>
      <c r="C948" s="676"/>
      <c r="D948" s="677"/>
      <c r="E948" s="677"/>
      <c r="F948" s="615"/>
      <c r="G948" s="615"/>
      <c r="H948" s="615"/>
      <c r="I948" s="679"/>
      <c r="J948" s="615"/>
      <c r="K948" s="615"/>
      <c r="L948" s="615"/>
      <c r="M948" s="615"/>
      <c r="N948" s="615"/>
      <c r="O948" s="615"/>
      <c r="P948" s="615"/>
      <c r="Q948" s="615"/>
      <c r="R948" s="615"/>
      <c r="S948" s="615"/>
      <c r="T948" s="615"/>
      <c r="U948" s="615"/>
      <c r="V948" s="615"/>
      <c r="W948" s="615"/>
      <c r="X948" s="615"/>
      <c r="Y948" s="615"/>
      <c r="Z948" s="615"/>
      <c r="AA948" s="615"/>
    </row>
    <row r="949">
      <c r="A949" s="675"/>
      <c r="B949" s="615"/>
      <c r="C949" s="676"/>
      <c r="D949" s="677"/>
      <c r="E949" s="677"/>
      <c r="F949" s="615"/>
      <c r="G949" s="615"/>
      <c r="H949" s="615"/>
      <c r="I949" s="679"/>
      <c r="J949" s="615"/>
      <c r="K949" s="615"/>
      <c r="L949" s="615"/>
      <c r="M949" s="615"/>
      <c r="N949" s="615"/>
      <c r="O949" s="615"/>
      <c r="P949" s="615"/>
      <c r="Q949" s="615"/>
      <c r="R949" s="615"/>
      <c r="S949" s="615"/>
      <c r="T949" s="615"/>
      <c r="U949" s="615"/>
      <c r="V949" s="615"/>
      <c r="W949" s="615"/>
      <c r="X949" s="615"/>
      <c r="Y949" s="615"/>
      <c r="Z949" s="615"/>
      <c r="AA949" s="615"/>
    </row>
    <row r="950">
      <c r="A950" s="675"/>
      <c r="B950" s="615"/>
      <c r="C950" s="676"/>
      <c r="D950" s="677"/>
      <c r="E950" s="677"/>
      <c r="F950" s="615"/>
      <c r="G950" s="615"/>
      <c r="H950" s="615"/>
      <c r="I950" s="679"/>
      <c r="J950" s="615"/>
      <c r="K950" s="615"/>
      <c r="L950" s="615"/>
      <c r="M950" s="615"/>
      <c r="N950" s="615"/>
      <c r="O950" s="615"/>
      <c r="P950" s="615"/>
      <c r="Q950" s="615"/>
      <c r="R950" s="615"/>
      <c r="S950" s="615"/>
      <c r="T950" s="615"/>
      <c r="U950" s="615"/>
      <c r="V950" s="615"/>
      <c r="W950" s="615"/>
      <c r="X950" s="615"/>
      <c r="Y950" s="615"/>
      <c r="Z950" s="615"/>
      <c r="AA950" s="615"/>
    </row>
    <row r="951">
      <c r="A951" s="675"/>
      <c r="B951" s="615"/>
      <c r="C951" s="676"/>
      <c r="D951" s="677"/>
      <c r="E951" s="677"/>
      <c r="F951" s="615"/>
      <c r="G951" s="615"/>
      <c r="H951" s="615"/>
      <c r="I951" s="679"/>
      <c r="J951" s="615"/>
      <c r="K951" s="615"/>
      <c r="L951" s="615"/>
      <c r="M951" s="615"/>
      <c r="N951" s="615"/>
      <c r="O951" s="615"/>
      <c r="P951" s="615"/>
      <c r="Q951" s="615"/>
      <c r="R951" s="615"/>
      <c r="S951" s="615"/>
      <c r="T951" s="615"/>
      <c r="U951" s="615"/>
      <c r="V951" s="615"/>
      <c r="W951" s="615"/>
      <c r="X951" s="615"/>
      <c r="Y951" s="615"/>
      <c r="Z951" s="615"/>
      <c r="AA951" s="615"/>
    </row>
    <row r="952">
      <c r="A952" s="675"/>
      <c r="B952" s="615"/>
      <c r="C952" s="676"/>
      <c r="D952" s="677"/>
      <c r="E952" s="677"/>
      <c r="F952" s="615"/>
      <c r="G952" s="615"/>
      <c r="H952" s="615"/>
      <c r="I952" s="679"/>
      <c r="J952" s="615"/>
      <c r="K952" s="615"/>
      <c r="L952" s="615"/>
      <c r="M952" s="615"/>
      <c r="N952" s="615"/>
      <c r="O952" s="615"/>
      <c r="P952" s="615"/>
      <c r="Q952" s="615"/>
      <c r="R952" s="615"/>
      <c r="S952" s="615"/>
      <c r="T952" s="615"/>
      <c r="U952" s="615"/>
      <c r="V952" s="615"/>
      <c r="W952" s="615"/>
      <c r="X952" s="615"/>
      <c r="Y952" s="615"/>
      <c r="Z952" s="615"/>
      <c r="AA952" s="615"/>
    </row>
    <row r="953">
      <c r="A953" s="675"/>
      <c r="B953" s="615"/>
      <c r="C953" s="676"/>
      <c r="D953" s="677"/>
      <c r="E953" s="677"/>
      <c r="F953" s="615"/>
      <c r="G953" s="615"/>
      <c r="H953" s="615"/>
      <c r="I953" s="679"/>
      <c r="J953" s="615"/>
      <c r="K953" s="615"/>
      <c r="L953" s="615"/>
      <c r="M953" s="615"/>
      <c r="N953" s="615"/>
      <c r="O953" s="615"/>
      <c r="P953" s="615"/>
      <c r="Q953" s="615"/>
      <c r="R953" s="615"/>
      <c r="S953" s="615"/>
      <c r="T953" s="615"/>
      <c r="U953" s="615"/>
      <c r="V953" s="615"/>
      <c r="W953" s="615"/>
      <c r="X953" s="615"/>
      <c r="Y953" s="615"/>
      <c r="Z953" s="615"/>
      <c r="AA953" s="615"/>
    </row>
    <row r="954">
      <c r="A954" s="675"/>
      <c r="B954" s="615"/>
      <c r="C954" s="676"/>
      <c r="D954" s="677"/>
      <c r="E954" s="677"/>
      <c r="F954" s="615"/>
      <c r="G954" s="615"/>
      <c r="H954" s="615"/>
      <c r="I954" s="679"/>
      <c r="J954" s="615"/>
      <c r="K954" s="615"/>
      <c r="L954" s="615"/>
      <c r="M954" s="615"/>
      <c r="N954" s="615"/>
      <c r="O954" s="615"/>
      <c r="P954" s="615"/>
      <c r="Q954" s="615"/>
      <c r="R954" s="615"/>
      <c r="S954" s="615"/>
      <c r="T954" s="615"/>
      <c r="U954" s="615"/>
      <c r="V954" s="615"/>
      <c r="W954" s="615"/>
      <c r="X954" s="615"/>
      <c r="Y954" s="615"/>
      <c r="Z954" s="615"/>
      <c r="AA954" s="615"/>
    </row>
    <row r="955">
      <c r="A955" s="675"/>
      <c r="B955" s="615"/>
      <c r="C955" s="676"/>
      <c r="D955" s="677"/>
      <c r="E955" s="677"/>
      <c r="F955" s="615"/>
      <c r="G955" s="615"/>
      <c r="H955" s="615"/>
      <c r="I955" s="679"/>
      <c r="J955" s="615"/>
      <c r="K955" s="615"/>
      <c r="L955" s="615"/>
      <c r="M955" s="615"/>
      <c r="N955" s="615"/>
      <c r="O955" s="615"/>
      <c r="P955" s="615"/>
      <c r="Q955" s="615"/>
      <c r="R955" s="615"/>
      <c r="S955" s="615"/>
      <c r="T955" s="615"/>
      <c r="U955" s="615"/>
      <c r="V955" s="615"/>
      <c r="W955" s="615"/>
      <c r="X955" s="615"/>
      <c r="Y955" s="615"/>
      <c r="Z955" s="615"/>
      <c r="AA955" s="615"/>
    </row>
    <row r="956">
      <c r="A956" s="675"/>
      <c r="B956" s="615"/>
      <c r="C956" s="676"/>
      <c r="D956" s="677"/>
      <c r="E956" s="677"/>
      <c r="F956" s="615"/>
      <c r="G956" s="615"/>
      <c r="H956" s="615"/>
      <c r="I956" s="679"/>
      <c r="J956" s="615"/>
      <c r="K956" s="615"/>
      <c r="L956" s="615"/>
      <c r="M956" s="615"/>
      <c r="N956" s="615"/>
      <c r="O956" s="615"/>
      <c r="P956" s="615"/>
      <c r="Q956" s="615"/>
      <c r="R956" s="615"/>
      <c r="S956" s="615"/>
      <c r="T956" s="615"/>
      <c r="U956" s="615"/>
      <c r="V956" s="615"/>
      <c r="W956" s="615"/>
      <c r="X956" s="615"/>
      <c r="Y956" s="615"/>
      <c r="Z956" s="615"/>
      <c r="AA956" s="615"/>
    </row>
    <row r="957">
      <c r="A957" s="675"/>
      <c r="B957" s="615"/>
      <c r="C957" s="676"/>
      <c r="D957" s="677"/>
      <c r="E957" s="677"/>
      <c r="F957" s="615"/>
      <c r="G957" s="615"/>
      <c r="H957" s="615"/>
      <c r="I957" s="679"/>
      <c r="J957" s="615"/>
      <c r="K957" s="615"/>
      <c r="L957" s="615"/>
      <c r="M957" s="615"/>
      <c r="N957" s="615"/>
      <c r="O957" s="615"/>
      <c r="P957" s="615"/>
      <c r="Q957" s="615"/>
      <c r="R957" s="615"/>
      <c r="S957" s="615"/>
      <c r="T957" s="615"/>
      <c r="U957" s="615"/>
      <c r="V957" s="615"/>
      <c r="W957" s="615"/>
      <c r="X957" s="615"/>
      <c r="Y957" s="615"/>
      <c r="Z957" s="615"/>
      <c r="AA957" s="615"/>
    </row>
    <row r="958">
      <c r="A958" s="675"/>
      <c r="B958" s="615"/>
      <c r="C958" s="676"/>
      <c r="D958" s="677"/>
      <c r="E958" s="677"/>
      <c r="F958" s="615"/>
      <c r="G958" s="615"/>
      <c r="H958" s="615"/>
      <c r="I958" s="679"/>
      <c r="J958" s="615"/>
      <c r="K958" s="615"/>
      <c r="L958" s="615"/>
      <c r="M958" s="615"/>
      <c r="N958" s="615"/>
      <c r="O958" s="615"/>
      <c r="P958" s="615"/>
      <c r="Q958" s="615"/>
      <c r="R958" s="615"/>
      <c r="S958" s="615"/>
      <c r="T958" s="615"/>
      <c r="U958" s="615"/>
      <c r="V958" s="615"/>
      <c r="W958" s="615"/>
      <c r="X958" s="615"/>
      <c r="Y958" s="615"/>
      <c r="Z958" s="615"/>
      <c r="AA958" s="615"/>
    </row>
    <row r="959">
      <c r="A959" s="675"/>
      <c r="B959" s="615"/>
      <c r="C959" s="676"/>
      <c r="D959" s="677"/>
      <c r="E959" s="677"/>
      <c r="F959" s="615"/>
      <c r="G959" s="615"/>
      <c r="H959" s="615"/>
      <c r="I959" s="679"/>
      <c r="J959" s="615"/>
      <c r="K959" s="615"/>
      <c r="L959" s="615"/>
      <c r="M959" s="615"/>
      <c r="N959" s="615"/>
      <c r="O959" s="615"/>
      <c r="P959" s="615"/>
      <c r="Q959" s="615"/>
      <c r="R959" s="615"/>
      <c r="S959" s="615"/>
      <c r="T959" s="615"/>
      <c r="U959" s="615"/>
      <c r="V959" s="615"/>
      <c r="W959" s="615"/>
      <c r="X959" s="615"/>
      <c r="Y959" s="615"/>
      <c r="Z959" s="615"/>
      <c r="AA959" s="615"/>
    </row>
    <row r="960">
      <c r="A960" s="675"/>
      <c r="B960" s="615"/>
      <c r="C960" s="676"/>
      <c r="D960" s="677"/>
      <c r="E960" s="677"/>
      <c r="F960" s="615"/>
      <c r="G960" s="615"/>
      <c r="H960" s="615"/>
      <c r="I960" s="679"/>
      <c r="J960" s="615"/>
      <c r="K960" s="615"/>
      <c r="L960" s="615"/>
      <c r="M960" s="615"/>
      <c r="N960" s="615"/>
      <c r="O960" s="615"/>
      <c r="P960" s="615"/>
      <c r="Q960" s="615"/>
      <c r="R960" s="615"/>
      <c r="S960" s="615"/>
      <c r="T960" s="615"/>
      <c r="U960" s="615"/>
      <c r="V960" s="615"/>
      <c r="W960" s="615"/>
      <c r="X960" s="615"/>
      <c r="Y960" s="615"/>
      <c r="Z960" s="615"/>
      <c r="AA960" s="615"/>
    </row>
    <row r="961">
      <c r="A961" s="675"/>
      <c r="B961" s="615"/>
      <c r="C961" s="676"/>
      <c r="D961" s="677"/>
      <c r="E961" s="677"/>
      <c r="F961" s="615"/>
      <c r="G961" s="615"/>
      <c r="H961" s="615"/>
      <c r="I961" s="679"/>
      <c r="J961" s="615"/>
      <c r="K961" s="615"/>
      <c r="L961" s="615"/>
      <c r="M961" s="615"/>
      <c r="N961" s="615"/>
      <c r="O961" s="615"/>
      <c r="P961" s="615"/>
      <c r="Q961" s="615"/>
      <c r="R961" s="615"/>
      <c r="S961" s="615"/>
      <c r="T961" s="615"/>
      <c r="U961" s="615"/>
      <c r="V961" s="615"/>
      <c r="W961" s="615"/>
      <c r="X961" s="615"/>
      <c r="Y961" s="615"/>
      <c r="Z961" s="615"/>
      <c r="AA961" s="615"/>
    </row>
    <row r="962">
      <c r="A962" s="675"/>
      <c r="B962" s="615"/>
      <c r="C962" s="676"/>
      <c r="D962" s="677"/>
      <c r="E962" s="677"/>
      <c r="F962" s="615"/>
      <c r="G962" s="615"/>
      <c r="H962" s="615"/>
      <c r="I962" s="679"/>
      <c r="J962" s="615"/>
      <c r="K962" s="615"/>
      <c r="L962" s="615"/>
      <c r="M962" s="615"/>
      <c r="N962" s="615"/>
      <c r="O962" s="615"/>
      <c r="P962" s="615"/>
      <c r="Q962" s="615"/>
      <c r="R962" s="615"/>
      <c r="S962" s="615"/>
      <c r="T962" s="615"/>
      <c r="U962" s="615"/>
      <c r="V962" s="615"/>
      <c r="W962" s="615"/>
      <c r="X962" s="615"/>
      <c r="Y962" s="615"/>
      <c r="Z962" s="615"/>
      <c r="AA962" s="615"/>
    </row>
    <row r="963">
      <c r="A963" s="675"/>
      <c r="B963" s="615"/>
      <c r="C963" s="676"/>
      <c r="D963" s="677"/>
      <c r="E963" s="677"/>
      <c r="F963" s="615"/>
      <c r="G963" s="615"/>
      <c r="H963" s="615"/>
      <c r="I963" s="679"/>
      <c r="J963" s="615"/>
      <c r="K963" s="615"/>
      <c r="L963" s="615"/>
      <c r="M963" s="615"/>
      <c r="N963" s="615"/>
      <c r="O963" s="615"/>
      <c r="P963" s="615"/>
      <c r="Q963" s="615"/>
      <c r="R963" s="615"/>
      <c r="S963" s="615"/>
      <c r="T963" s="615"/>
      <c r="U963" s="615"/>
      <c r="V963" s="615"/>
      <c r="W963" s="615"/>
      <c r="X963" s="615"/>
      <c r="Y963" s="615"/>
      <c r="Z963" s="615"/>
      <c r="AA963" s="615"/>
    </row>
    <row r="964">
      <c r="A964" s="675"/>
      <c r="B964" s="615"/>
      <c r="C964" s="676"/>
      <c r="D964" s="677"/>
      <c r="E964" s="677"/>
      <c r="F964" s="615"/>
      <c r="G964" s="615"/>
      <c r="H964" s="615"/>
      <c r="I964" s="679"/>
      <c r="J964" s="615"/>
      <c r="K964" s="615"/>
      <c r="L964" s="615"/>
      <c r="M964" s="615"/>
      <c r="N964" s="615"/>
      <c r="O964" s="615"/>
      <c r="P964" s="615"/>
      <c r="Q964" s="615"/>
      <c r="R964" s="615"/>
      <c r="S964" s="615"/>
      <c r="T964" s="615"/>
      <c r="U964" s="615"/>
      <c r="V964" s="615"/>
      <c r="W964" s="615"/>
      <c r="X964" s="615"/>
      <c r="Y964" s="615"/>
      <c r="Z964" s="615"/>
      <c r="AA964" s="615"/>
    </row>
    <row r="965">
      <c r="A965" s="675"/>
      <c r="B965" s="615"/>
      <c r="C965" s="676"/>
      <c r="D965" s="677"/>
      <c r="E965" s="677"/>
      <c r="F965" s="615"/>
      <c r="G965" s="615"/>
      <c r="H965" s="615"/>
      <c r="I965" s="679"/>
      <c r="J965" s="615"/>
      <c r="K965" s="615"/>
      <c r="L965" s="615"/>
      <c r="M965" s="615"/>
      <c r="N965" s="615"/>
      <c r="O965" s="615"/>
      <c r="P965" s="615"/>
      <c r="Q965" s="615"/>
      <c r="R965" s="615"/>
      <c r="S965" s="615"/>
      <c r="T965" s="615"/>
      <c r="U965" s="615"/>
      <c r="V965" s="615"/>
      <c r="W965" s="615"/>
      <c r="X965" s="615"/>
      <c r="Y965" s="615"/>
      <c r="Z965" s="615"/>
      <c r="AA965" s="615"/>
    </row>
    <row r="966">
      <c r="A966" s="675"/>
      <c r="B966" s="615"/>
      <c r="C966" s="676"/>
      <c r="D966" s="677"/>
      <c r="E966" s="677"/>
      <c r="F966" s="615"/>
      <c r="G966" s="615"/>
      <c r="H966" s="615"/>
      <c r="I966" s="679"/>
      <c r="J966" s="615"/>
      <c r="K966" s="615"/>
      <c r="L966" s="615"/>
      <c r="M966" s="615"/>
      <c r="N966" s="615"/>
      <c r="O966" s="615"/>
      <c r="P966" s="615"/>
      <c r="Q966" s="615"/>
      <c r="R966" s="615"/>
      <c r="S966" s="615"/>
      <c r="T966" s="615"/>
      <c r="U966" s="615"/>
      <c r="V966" s="615"/>
      <c r="W966" s="615"/>
      <c r="X966" s="615"/>
      <c r="Y966" s="615"/>
      <c r="Z966" s="615"/>
      <c r="AA966" s="615"/>
    </row>
    <row r="967">
      <c r="A967" s="675"/>
      <c r="B967" s="615"/>
      <c r="C967" s="676"/>
      <c r="D967" s="677"/>
      <c r="E967" s="677"/>
      <c r="F967" s="615"/>
      <c r="G967" s="615"/>
      <c r="H967" s="615"/>
      <c r="I967" s="679"/>
      <c r="J967" s="615"/>
      <c r="K967" s="615"/>
      <c r="L967" s="615"/>
      <c r="M967" s="615"/>
      <c r="N967" s="615"/>
      <c r="O967" s="615"/>
      <c r="P967" s="615"/>
      <c r="Q967" s="615"/>
      <c r="R967" s="615"/>
      <c r="S967" s="615"/>
      <c r="T967" s="615"/>
      <c r="U967" s="615"/>
      <c r="V967" s="615"/>
      <c r="W967" s="615"/>
      <c r="X967" s="615"/>
      <c r="Y967" s="615"/>
      <c r="Z967" s="615"/>
      <c r="AA967" s="615"/>
    </row>
    <row r="968">
      <c r="A968" s="675"/>
      <c r="B968" s="615"/>
      <c r="C968" s="676"/>
      <c r="D968" s="677"/>
      <c r="E968" s="677"/>
      <c r="F968" s="615"/>
      <c r="G968" s="615"/>
      <c r="H968" s="615"/>
      <c r="I968" s="679"/>
      <c r="J968" s="615"/>
      <c r="K968" s="615"/>
      <c r="L968" s="615"/>
      <c r="M968" s="615"/>
      <c r="N968" s="615"/>
      <c r="O968" s="615"/>
      <c r="P968" s="615"/>
      <c r="Q968" s="615"/>
      <c r="R968" s="615"/>
      <c r="S968" s="615"/>
      <c r="T968" s="615"/>
      <c r="U968" s="615"/>
      <c r="V968" s="615"/>
      <c r="W968" s="615"/>
      <c r="X968" s="615"/>
      <c r="Y968" s="615"/>
      <c r="Z968" s="615"/>
      <c r="AA968" s="615"/>
    </row>
    <row r="969">
      <c r="A969" s="675"/>
      <c r="B969" s="615"/>
      <c r="C969" s="676"/>
      <c r="D969" s="677"/>
      <c r="E969" s="677"/>
      <c r="F969" s="615"/>
      <c r="G969" s="615"/>
      <c r="H969" s="615"/>
      <c r="I969" s="679"/>
      <c r="J969" s="615"/>
      <c r="K969" s="615"/>
      <c r="L969" s="615"/>
      <c r="M969" s="615"/>
      <c r="N969" s="615"/>
      <c r="O969" s="615"/>
      <c r="P969" s="615"/>
      <c r="Q969" s="615"/>
      <c r="R969" s="615"/>
      <c r="S969" s="615"/>
      <c r="T969" s="615"/>
      <c r="U969" s="615"/>
      <c r="V969" s="615"/>
      <c r="W969" s="615"/>
      <c r="X969" s="615"/>
      <c r="Y969" s="615"/>
      <c r="Z969" s="615"/>
      <c r="AA969" s="615"/>
    </row>
    <row r="970">
      <c r="A970" s="675"/>
      <c r="B970" s="615"/>
      <c r="C970" s="676"/>
      <c r="D970" s="677"/>
      <c r="E970" s="677"/>
      <c r="F970" s="615"/>
      <c r="G970" s="615"/>
      <c r="H970" s="615"/>
      <c r="I970" s="679"/>
      <c r="J970" s="615"/>
      <c r="K970" s="615"/>
      <c r="L970" s="615"/>
      <c r="M970" s="615"/>
      <c r="N970" s="615"/>
      <c r="O970" s="615"/>
      <c r="P970" s="615"/>
      <c r="Q970" s="615"/>
      <c r="R970" s="615"/>
      <c r="S970" s="615"/>
      <c r="T970" s="615"/>
      <c r="U970" s="615"/>
      <c r="V970" s="615"/>
      <c r="W970" s="615"/>
      <c r="X970" s="615"/>
      <c r="Y970" s="615"/>
      <c r="Z970" s="615"/>
      <c r="AA970" s="615"/>
    </row>
    <row r="971">
      <c r="A971" s="675"/>
      <c r="B971" s="615"/>
      <c r="C971" s="676"/>
      <c r="D971" s="677"/>
      <c r="E971" s="677"/>
      <c r="F971" s="615"/>
      <c r="G971" s="615"/>
      <c r="H971" s="615"/>
      <c r="I971" s="679"/>
      <c r="J971" s="615"/>
      <c r="K971" s="615"/>
      <c r="L971" s="615"/>
      <c r="M971" s="615"/>
      <c r="N971" s="615"/>
      <c r="O971" s="615"/>
      <c r="P971" s="615"/>
      <c r="Q971" s="615"/>
      <c r="R971" s="615"/>
      <c r="S971" s="615"/>
      <c r="T971" s="615"/>
      <c r="U971" s="615"/>
      <c r="V971" s="615"/>
      <c r="W971" s="615"/>
      <c r="X971" s="615"/>
      <c r="Y971" s="615"/>
      <c r="Z971" s="615"/>
      <c r="AA971" s="615"/>
    </row>
    <row r="972">
      <c r="A972" s="675"/>
      <c r="B972" s="615"/>
      <c r="C972" s="676"/>
      <c r="D972" s="677"/>
      <c r="E972" s="677"/>
      <c r="F972" s="615"/>
      <c r="G972" s="615"/>
      <c r="H972" s="615"/>
      <c r="I972" s="679"/>
      <c r="J972" s="615"/>
      <c r="K972" s="615"/>
      <c r="L972" s="615"/>
      <c r="M972" s="615"/>
      <c r="N972" s="615"/>
      <c r="O972" s="615"/>
      <c r="P972" s="615"/>
      <c r="Q972" s="615"/>
      <c r="R972" s="615"/>
      <c r="S972" s="615"/>
      <c r="T972" s="615"/>
      <c r="U972" s="615"/>
      <c r="V972" s="615"/>
      <c r="W972" s="615"/>
      <c r="X972" s="615"/>
      <c r="Y972" s="615"/>
      <c r="Z972" s="615"/>
      <c r="AA972" s="615"/>
    </row>
    <row r="973">
      <c r="A973" s="675"/>
      <c r="B973" s="615"/>
      <c r="C973" s="676"/>
      <c r="D973" s="677"/>
      <c r="E973" s="677"/>
      <c r="F973" s="615"/>
      <c r="G973" s="615"/>
      <c r="H973" s="615"/>
      <c r="I973" s="679"/>
      <c r="J973" s="615"/>
      <c r="K973" s="615"/>
      <c r="L973" s="615"/>
      <c r="M973" s="615"/>
      <c r="N973" s="615"/>
      <c r="O973" s="615"/>
      <c r="P973" s="615"/>
      <c r="Q973" s="615"/>
      <c r="R973" s="615"/>
      <c r="S973" s="615"/>
      <c r="T973" s="615"/>
      <c r="U973" s="615"/>
      <c r="V973" s="615"/>
      <c r="W973" s="615"/>
      <c r="X973" s="615"/>
      <c r="Y973" s="615"/>
      <c r="Z973" s="615"/>
      <c r="AA973" s="615"/>
    </row>
    <row r="974">
      <c r="A974" s="675"/>
      <c r="B974" s="615"/>
      <c r="C974" s="676"/>
      <c r="D974" s="677"/>
      <c r="E974" s="677"/>
      <c r="F974" s="615"/>
      <c r="G974" s="615"/>
      <c r="H974" s="615"/>
      <c r="I974" s="679"/>
      <c r="J974" s="615"/>
      <c r="K974" s="615"/>
      <c r="L974" s="615"/>
      <c r="M974" s="615"/>
      <c r="N974" s="615"/>
      <c r="O974" s="615"/>
      <c r="P974" s="615"/>
      <c r="Q974" s="615"/>
      <c r="R974" s="615"/>
      <c r="S974" s="615"/>
      <c r="T974" s="615"/>
      <c r="U974" s="615"/>
      <c r="V974" s="615"/>
      <c r="W974" s="615"/>
      <c r="X974" s="615"/>
      <c r="Y974" s="615"/>
      <c r="Z974" s="615"/>
      <c r="AA974" s="615"/>
    </row>
    <row r="975">
      <c r="A975" s="675"/>
      <c r="B975" s="615"/>
      <c r="C975" s="676"/>
      <c r="D975" s="677"/>
      <c r="E975" s="677"/>
      <c r="F975" s="615"/>
      <c r="G975" s="615"/>
      <c r="H975" s="615"/>
      <c r="I975" s="679"/>
      <c r="J975" s="615"/>
      <c r="K975" s="615"/>
      <c r="L975" s="615"/>
      <c r="M975" s="615"/>
      <c r="N975" s="615"/>
      <c r="O975" s="615"/>
      <c r="P975" s="615"/>
      <c r="Q975" s="615"/>
      <c r="R975" s="615"/>
      <c r="S975" s="615"/>
      <c r="T975" s="615"/>
      <c r="U975" s="615"/>
      <c r="V975" s="615"/>
      <c r="W975" s="615"/>
      <c r="X975" s="615"/>
      <c r="Y975" s="615"/>
      <c r="Z975" s="615"/>
      <c r="AA975" s="615"/>
    </row>
    <row r="976">
      <c r="A976" s="675"/>
      <c r="B976" s="615"/>
      <c r="C976" s="676"/>
      <c r="D976" s="677"/>
      <c r="E976" s="677"/>
      <c r="F976" s="615"/>
      <c r="G976" s="615"/>
      <c r="H976" s="615"/>
      <c r="I976" s="679"/>
      <c r="J976" s="615"/>
      <c r="K976" s="615"/>
      <c r="L976" s="615"/>
      <c r="M976" s="615"/>
      <c r="N976" s="615"/>
      <c r="O976" s="615"/>
      <c r="P976" s="615"/>
      <c r="Q976" s="615"/>
      <c r="R976" s="615"/>
      <c r="S976" s="615"/>
      <c r="T976" s="615"/>
      <c r="U976" s="615"/>
      <c r="V976" s="615"/>
      <c r="W976" s="615"/>
      <c r="X976" s="615"/>
      <c r="Y976" s="615"/>
      <c r="Z976" s="615"/>
      <c r="AA976" s="615"/>
    </row>
    <row r="977">
      <c r="A977" s="675"/>
      <c r="B977" s="615"/>
      <c r="C977" s="676"/>
      <c r="D977" s="677"/>
      <c r="E977" s="677"/>
      <c r="F977" s="615"/>
      <c r="G977" s="615"/>
      <c r="H977" s="615"/>
      <c r="I977" s="679"/>
      <c r="J977" s="615"/>
      <c r="K977" s="615"/>
      <c r="L977" s="615"/>
      <c r="M977" s="615"/>
      <c r="N977" s="615"/>
      <c r="O977" s="615"/>
      <c r="P977" s="615"/>
      <c r="Q977" s="615"/>
      <c r="R977" s="615"/>
      <c r="S977" s="615"/>
      <c r="T977" s="615"/>
      <c r="U977" s="615"/>
      <c r="V977" s="615"/>
      <c r="W977" s="615"/>
      <c r="X977" s="615"/>
      <c r="Y977" s="615"/>
      <c r="Z977" s="615"/>
      <c r="AA977" s="615"/>
    </row>
    <row r="978">
      <c r="A978" s="675"/>
      <c r="B978" s="615"/>
      <c r="C978" s="676"/>
      <c r="D978" s="677"/>
      <c r="E978" s="677"/>
      <c r="F978" s="615"/>
      <c r="G978" s="615"/>
      <c r="H978" s="615"/>
      <c r="I978" s="679"/>
      <c r="J978" s="615"/>
      <c r="K978" s="615"/>
      <c r="L978" s="615"/>
      <c r="M978" s="615"/>
      <c r="N978" s="615"/>
      <c r="O978" s="615"/>
      <c r="P978" s="615"/>
      <c r="Q978" s="615"/>
      <c r="R978" s="615"/>
      <c r="S978" s="615"/>
      <c r="T978" s="615"/>
      <c r="U978" s="615"/>
      <c r="V978" s="615"/>
      <c r="W978" s="615"/>
      <c r="X978" s="615"/>
      <c r="Y978" s="615"/>
      <c r="Z978" s="615"/>
      <c r="AA978" s="615"/>
    </row>
    <row r="979">
      <c r="A979" s="675"/>
      <c r="B979" s="615"/>
      <c r="C979" s="676"/>
      <c r="D979" s="677"/>
      <c r="E979" s="677"/>
      <c r="F979" s="615"/>
      <c r="G979" s="615"/>
      <c r="H979" s="615"/>
      <c r="I979" s="679"/>
      <c r="J979" s="615"/>
      <c r="K979" s="615"/>
      <c r="L979" s="615"/>
      <c r="M979" s="615"/>
      <c r="N979" s="615"/>
      <c r="O979" s="615"/>
      <c r="P979" s="615"/>
      <c r="Q979" s="615"/>
      <c r="R979" s="615"/>
      <c r="S979" s="615"/>
      <c r="T979" s="615"/>
      <c r="U979" s="615"/>
      <c r="V979" s="615"/>
      <c r="W979" s="615"/>
      <c r="X979" s="615"/>
      <c r="Y979" s="615"/>
      <c r="Z979" s="615"/>
      <c r="AA979" s="615"/>
    </row>
    <row r="980">
      <c r="A980" s="675"/>
      <c r="B980" s="615"/>
      <c r="C980" s="676"/>
      <c r="D980" s="677"/>
      <c r="E980" s="677"/>
      <c r="F980" s="615"/>
      <c r="G980" s="615"/>
      <c r="H980" s="615"/>
      <c r="I980" s="679"/>
      <c r="J980" s="615"/>
      <c r="K980" s="615"/>
      <c r="L980" s="615"/>
      <c r="M980" s="615"/>
      <c r="N980" s="615"/>
      <c r="O980" s="615"/>
      <c r="P980" s="615"/>
      <c r="Q980" s="615"/>
      <c r="R980" s="615"/>
      <c r="S980" s="615"/>
      <c r="T980" s="615"/>
      <c r="U980" s="615"/>
      <c r="V980" s="615"/>
      <c r="W980" s="615"/>
      <c r="X980" s="615"/>
      <c r="Y980" s="615"/>
      <c r="Z980" s="615"/>
      <c r="AA980" s="615"/>
    </row>
    <row r="981">
      <c r="A981" s="675"/>
      <c r="B981" s="615"/>
      <c r="C981" s="676"/>
      <c r="D981" s="677"/>
      <c r="E981" s="677"/>
      <c r="F981" s="615"/>
      <c r="G981" s="615"/>
      <c r="H981" s="615"/>
      <c r="I981" s="679"/>
      <c r="J981" s="615"/>
      <c r="K981" s="615"/>
      <c r="L981" s="615"/>
      <c r="M981" s="615"/>
      <c r="N981" s="615"/>
      <c r="O981" s="615"/>
      <c r="P981" s="615"/>
      <c r="Q981" s="615"/>
      <c r="R981" s="615"/>
      <c r="S981" s="615"/>
      <c r="T981" s="615"/>
      <c r="U981" s="615"/>
      <c r="V981" s="615"/>
      <c r="W981" s="615"/>
      <c r="X981" s="615"/>
      <c r="Y981" s="615"/>
      <c r="Z981" s="615"/>
      <c r="AA981" s="615"/>
    </row>
    <row r="982">
      <c r="A982" s="675"/>
      <c r="B982" s="615"/>
      <c r="C982" s="676"/>
      <c r="D982" s="677"/>
      <c r="E982" s="677"/>
      <c r="F982" s="615"/>
      <c r="G982" s="615"/>
      <c r="H982" s="615"/>
      <c r="I982" s="679"/>
      <c r="J982" s="615"/>
      <c r="K982" s="615"/>
      <c r="L982" s="615"/>
      <c r="M982" s="615"/>
      <c r="N982" s="615"/>
      <c r="O982" s="615"/>
      <c r="P982" s="615"/>
      <c r="Q982" s="615"/>
      <c r="R982" s="615"/>
      <c r="S982" s="615"/>
      <c r="T982" s="615"/>
      <c r="U982" s="615"/>
      <c r="V982" s="615"/>
      <c r="W982" s="615"/>
      <c r="X982" s="615"/>
      <c r="Y982" s="615"/>
      <c r="Z982" s="615"/>
      <c r="AA982" s="615"/>
    </row>
    <row r="983">
      <c r="A983" s="675"/>
      <c r="B983" s="615"/>
      <c r="C983" s="676"/>
      <c r="D983" s="677"/>
      <c r="E983" s="677"/>
      <c r="F983" s="615"/>
      <c r="G983" s="615"/>
      <c r="H983" s="615"/>
      <c r="I983" s="679"/>
      <c r="J983" s="615"/>
      <c r="K983" s="615"/>
      <c r="L983" s="615"/>
      <c r="M983" s="615"/>
      <c r="N983" s="615"/>
      <c r="O983" s="615"/>
      <c r="P983" s="615"/>
      <c r="Q983" s="615"/>
      <c r="R983" s="615"/>
      <c r="S983" s="615"/>
      <c r="T983" s="615"/>
      <c r="U983" s="615"/>
      <c r="V983" s="615"/>
      <c r="W983" s="615"/>
      <c r="X983" s="615"/>
      <c r="Y983" s="615"/>
      <c r="Z983" s="615"/>
      <c r="AA983" s="615"/>
    </row>
    <row r="984">
      <c r="A984" s="675"/>
      <c r="B984" s="615"/>
      <c r="C984" s="676"/>
      <c r="D984" s="677"/>
      <c r="E984" s="677"/>
      <c r="F984" s="615"/>
      <c r="G984" s="615"/>
      <c r="H984" s="615"/>
      <c r="I984" s="679"/>
      <c r="J984" s="615"/>
      <c r="K984" s="615"/>
      <c r="L984" s="615"/>
      <c r="M984" s="615"/>
      <c r="N984" s="615"/>
      <c r="O984" s="615"/>
      <c r="P984" s="615"/>
      <c r="Q984" s="615"/>
      <c r="R984" s="615"/>
      <c r="S984" s="615"/>
      <c r="T984" s="615"/>
      <c r="U984" s="615"/>
      <c r="V984" s="615"/>
      <c r="W984" s="615"/>
      <c r="X984" s="615"/>
      <c r="Y984" s="615"/>
      <c r="Z984" s="615"/>
      <c r="AA984" s="615"/>
    </row>
    <row r="985">
      <c r="A985" s="675"/>
      <c r="B985" s="615"/>
      <c r="C985" s="676"/>
      <c r="D985" s="677"/>
      <c r="E985" s="677"/>
      <c r="F985" s="615"/>
      <c r="G985" s="615"/>
      <c r="H985" s="615"/>
      <c r="I985" s="679"/>
      <c r="J985" s="615"/>
      <c r="K985" s="615"/>
      <c r="L985" s="615"/>
      <c r="M985" s="615"/>
      <c r="N985" s="615"/>
      <c r="O985" s="615"/>
      <c r="P985" s="615"/>
      <c r="Q985" s="615"/>
      <c r="R985" s="615"/>
      <c r="S985" s="615"/>
      <c r="T985" s="615"/>
      <c r="U985" s="615"/>
      <c r="V985" s="615"/>
      <c r="W985" s="615"/>
      <c r="X985" s="615"/>
      <c r="Y985" s="615"/>
      <c r="Z985" s="615"/>
      <c r="AA985" s="615"/>
    </row>
    <row r="986">
      <c r="A986" s="675"/>
      <c r="B986" s="615"/>
      <c r="C986" s="676"/>
      <c r="D986" s="677"/>
      <c r="E986" s="677"/>
      <c r="F986" s="615"/>
      <c r="G986" s="615"/>
      <c r="H986" s="615"/>
      <c r="I986" s="679"/>
      <c r="J986" s="615"/>
      <c r="K986" s="615"/>
      <c r="L986" s="615"/>
      <c r="M986" s="615"/>
      <c r="N986" s="615"/>
      <c r="O986" s="615"/>
      <c r="P986" s="615"/>
      <c r="Q986" s="615"/>
      <c r="R986" s="615"/>
      <c r="S986" s="615"/>
      <c r="T986" s="615"/>
      <c r="U986" s="615"/>
      <c r="V986" s="615"/>
      <c r="W986" s="615"/>
      <c r="X986" s="615"/>
      <c r="Y986" s="615"/>
      <c r="Z986" s="615"/>
      <c r="AA986" s="615"/>
    </row>
    <row r="987">
      <c r="A987" s="675"/>
      <c r="B987" s="615"/>
      <c r="C987" s="676"/>
      <c r="D987" s="677"/>
      <c r="E987" s="677"/>
      <c r="F987" s="615"/>
      <c r="G987" s="615"/>
      <c r="H987" s="615"/>
      <c r="I987" s="679"/>
      <c r="J987" s="615"/>
      <c r="K987" s="615"/>
      <c r="L987" s="615"/>
      <c r="M987" s="615"/>
      <c r="N987" s="615"/>
      <c r="O987" s="615"/>
      <c r="P987" s="615"/>
      <c r="Q987" s="615"/>
      <c r="R987" s="615"/>
      <c r="S987" s="615"/>
      <c r="T987" s="615"/>
      <c r="U987" s="615"/>
      <c r="V987" s="615"/>
      <c r="W987" s="615"/>
      <c r="X987" s="615"/>
      <c r="Y987" s="615"/>
      <c r="Z987" s="615"/>
      <c r="AA987" s="615"/>
    </row>
    <row r="988">
      <c r="A988" s="675"/>
      <c r="B988" s="615"/>
      <c r="C988" s="676"/>
      <c r="D988" s="677"/>
      <c r="E988" s="677"/>
      <c r="F988" s="615"/>
      <c r="G988" s="615"/>
      <c r="H988" s="615"/>
      <c r="I988" s="679"/>
      <c r="J988" s="615"/>
      <c r="K988" s="615"/>
      <c r="L988" s="615"/>
      <c r="M988" s="615"/>
      <c r="N988" s="615"/>
      <c r="O988" s="615"/>
      <c r="P988" s="615"/>
      <c r="Q988" s="615"/>
      <c r="R988" s="615"/>
      <c r="S988" s="615"/>
      <c r="T988" s="615"/>
      <c r="U988" s="615"/>
      <c r="V988" s="615"/>
      <c r="W988" s="615"/>
      <c r="X988" s="615"/>
      <c r="Y988" s="615"/>
      <c r="Z988" s="615"/>
      <c r="AA988" s="615"/>
    </row>
    <row r="989">
      <c r="A989" s="675"/>
      <c r="B989" s="615"/>
      <c r="C989" s="676"/>
      <c r="D989" s="677"/>
      <c r="E989" s="677"/>
      <c r="G989" s="615"/>
      <c r="H989" s="615"/>
      <c r="I989" s="679"/>
      <c r="J989" s="615"/>
      <c r="K989" s="615"/>
      <c r="L989" s="615"/>
      <c r="M989" s="615"/>
      <c r="N989" s="615"/>
      <c r="O989" s="615"/>
      <c r="P989" s="615"/>
      <c r="Q989" s="615"/>
      <c r="R989" s="615"/>
      <c r="S989" s="615"/>
      <c r="T989" s="615"/>
      <c r="U989" s="615"/>
      <c r="V989" s="615"/>
      <c r="W989" s="615"/>
      <c r="X989" s="615"/>
      <c r="Y989" s="615"/>
      <c r="Z989" s="615"/>
      <c r="AA989" s="615"/>
    </row>
    <row r="990">
      <c r="A990" s="675"/>
      <c r="B990" s="615"/>
      <c r="C990" s="676"/>
      <c r="D990" s="677"/>
      <c r="E990" s="677"/>
      <c r="G990" s="615"/>
      <c r="H990" s="615"/>
      <c r="I990" s="679"/>
      <c r="J990" s="615"/>
      <c r="K990" s="615"/>
      <c r="L990" s="615"/>
      <c r="M990" s="615"/>
      <c r="N990" s="615"/>
      <c r="O990" s="615"/>
      <c r="P990" s="615"/>
      <c r="Q990" s="615"/>
      <c r="R990" s="615"/>
      <c r="S990" s="615"/>
      <c r="T990" s="615"/>
      <c r="U990" s="615"/>
      <c r="V990" s="615"/>
      <c r="W990" s="615"/>
      <c r="X990" s="615"/>
      <c r="Y990" s="615"/>
      <c r="Z990" s="615"/>
      <c r="AA990" s="615"/>
    </row>
    <row r="991">
      <c r="A991" s="675"/>
      <c r="B991" s="615"/>
      <c r="C991" s="676"/>
      <c r="D991" s="677"/>
      <c r="E991" s="677"/>
      <c r="G991" s="615"/>
      <c r="H991" s="615"/>
      <c r="I991" s="679"/>
      <c r="J991" s="615"/>
      <c r="K991" s="615"/>
      <c r="L991" s="615"/>
      <c r="M991" s="615"/>
      <c r="N991" s="615"/>
      <c r="O991" s="615"/>
      <c r="P991" s="615"/>
      <c r="Q991" s="615"/>
      <c r="R991" s="615"/>
      <c r="S991" s="615"/>
      <c r="T991" s="615"/>
      <c r="U991" s="615"/>
      <c r="V991" s="615"/>
      <c r="W991" s="615"/>
      <c r="X991" s="615"/>
      <c r="Y991" s="615"/>
      <c r="Z991" s="615"/>
      <c r="AA991" s="615"/>
    </row>
    <row r="992">
      <c r="A992" s="675"/>
      <c r="B992" s="615"/>
      <c r="C992" s="676"/>
      <c r="D992" s="677"/>
      <c r="E992" s="677"/>
      <c r="G992" s="615"/>
      <c r="H992" s="615"/>
      <c r="I992" s="679"/>
      <c r="J992" s="615"/>
      <c r="K992" s="615"/>
      <c r="L992" s="615"/>
      <c r="M992" s="615"/>
      <c r="N992" s="615"/>
      <c r="O992" s="615"/>
      <c r="P992" s="615"/>
      <c r="Q992" s="615"/>
      <c r="R992" s="615"/>
      <c r="S992" s="615"/>
      <c r="T992" s="615"/>
      <c r="U992" s="615"/>
      <c r="V992" s="615"/>
      <c r="W992" s="615"/>
      <c r="X992" s="615"/>
      <c r="Y992" s="615"/>
      <c r="Z992" s="615"/>
      <c r="AA992" s="615"/>
    </row>
    <row r="993">
      <c r="A993" s="675"/>
      <c r="B993" s="615"/>
      <c r="C993" s="676"/>
      <c r="D993" s="677"/>
      <c r="E993" s="677"/>
      <c r="G993" s="615"/>
      <c r="H993" s="615"/>
      <c r="I993" s="679"/>
      <c r="J993" s="615"/>
      <c r="K993" s="615"/>
      <c r="L993" s="615"/>
      <c r="M993" s="615"/>
      <c r="N993" s="615"/>
      <c r="O993" s="615"/>
      <c r="P993" s="615"/>
      <c r="Q993" s="615"/>
      <c r="R993" s="615"/>
      <c r="S993" s="615"/>
      <c r="T993" s="615"/>
      <c r="U993" s="615"/>
      <c r="V993" s="615"/>
      <c r="W993" s="615"/>
      <c r="X993" s="615"/>
      <c r="Y993" s="615"/>
      <c r="Z993" s="615"/>
      <c r="AA993" s="615"/>
    </row>
    <row r="994">
      <c r="A994" s="675"/>
      <c r="B994" s="615"/>
      <c r="C994" s="676"/>
      <c r="D994" s="677"/>
      <c r="E994" s="677"/>
      <c r="G994" s="615"/>
      <c r="H994" s="615"/>
      <c r="I994" s="679"/>
      <c r="J994" s="615"/>
      <c r="K994" s="615"/>
      <c r="L994" s="615"/>
      <c r="M994" s="615"/>
      <c r="N994" s="615"/>
      <c r="O994" s="615"/>
      <c r="P994" s="615"/>
      <c r="Q994" s="615"/>
      <c r="R994" s="615"/>
      <c r="S994" s="615"/>
      <c r="T994" s="615"/>
      <c r="U994" s="615"/>
      <c r="V994" s="615"/>
      <c r="W994" s="615"/>
      <c r="X994" s="615"/>
      <c r="Y994" s="615"/>
      <c r="Z994" s="615"/>
      <c r="AA994" s="615"/>
    </row>
    <row r="995">
      <c r="A995" s="675"/>
      <c r="B995" s="615"/>
      <c r="C995" s="676"/>
      <c r="D995" s="677"/>
      <c r="E995" s="677"/>
      <c r="G995" s="615"/>
      <c r="H995" s="615"/>
      <c r="I995" s="679"/>
      <c r="J995" s="615"/>
      <c r="K995" s="615"/>
      <c r="L995" s="615"/>
      <c r="M995" s="615"/>
      <c r="N995" s="615"/>
      <c r="O995" s="615"/>
      <c r="P995" s="615"/>
      <c r="Q995" s="615"/>
      <c r="R995" s="615"/>
      <c r="S995" s="615"/>
      <c r="T995" s="615"/>
      <c r="U995" s="615"/>
      <c r="V995" s="615"/>
      <c r="W995" s="615"/>
      <c r="X995" s="615"/>
      <c r="Y995" s="615"/>
      <c r="Z995" s="615"/>
      <c r="AA995" s="615"/>
    </row>
    <row r="996">
      <c r="A996" s="675"/>
      <c r="B996" s="615"/>
      <c r="C996" s="676"/>
      <c r="D996" s="677"/>
      <c r="E996" s="677"/>
      <c r="H996" s="620"/>
      <c r="I996" s="679"/>
      <c r="J996" s="615"/>
      <c r="K996" s="615"/>
      <c r="L996" s="615"/>
      <c r="M996" s="615"/>
      <c r="N996" s="615"/>
      <c r="O996" s="615"/>
      <c r="P996" s="615"/>
      <c r="Q996" s="615"/>
      <c r="R996" s="615"/>
      <c r="S996" s="615"/>
      <c r="T996" s="615"/>
      <c r="U996" s="615"/>
      <c r="V996" s="615"/>
      <c r="W996" s="615"/>
      <c r="X996" s="615"/>
      <c r="Y996" s="615"/>
      <c r="Z996" s="615"/>
      <c r="AA996" s="615"/>
    </row>
    <row r="997">
      <c r="A997" s="675"/>
      <c r="B997" s="615"/>
      <c r="C997" s="676"/>
      <c r="D997" s="677"/>
      <c r="E997" s="677"/>
      <c r="I997" s="679"/>
      <c r="J997" s="615"/>
      <c r="K997" s="615"/>
      <c r="L997" s="615"/>
      <c r="M997" s="615"/>
      <c r="N997" s="615"/>
      <c r="O997" s="615"/>
      <c r="P997" s="615"/>
      <c r="Q997" s="615"/>
      <c r="R997" s="615"/>
      <c r="S997" s="615"/>
      <c r="T997" s="615"/>
      <c r="U997" s="615"/>
      <c r="V997" s="615"/>
      <c r="W997" s="615"/>
      <c r="X997" s="615"/>
      <c r="Y997" s="615"/>
      <c r="Z997" s="615"/>
      <c r="AA997" s="615"/>
    </row>
    <row r="998">
      <c r="A998" s="675"/>
      <c r="B998" s="615"/>
      <c r="C998" s="676"/>
      <c r="D998" s="677"/>
      <c r="E998" s="677"/>
      <c r="I998" s="679"/>
      <c r="J998" s="615"/>
      <c r="K998" s="615"/>
      <c r="L998" s="615"/>
      <c r="M998" s="615"/>
      <c r="N998" s="615"/>
      <c r="O998" s="615"/>
      <c r="P998" s="615"/>
      <c r="Q998" s="615"/>
      <c r="R998" s="615"/>
      <c r="S998" s="615"/>
      <c r="T998" s="615"/>
      <c r="U998" s="615"/>
      <c r="V998" s="615"/>
      <c r="W998" s="615"/>
      <c r="X998" s="615"/>
      <c r="Y998" s="615"/>
      <c r="Z998" s="615"/>
      <c r="AA998" s="615"/>
    </row>
    <row r="999">
      <c r="A999" s="675"/>
      <c r="B999" s="615"/>
      <c r="C999" s="676"/>
      <c r="D999" s="677"/>
      <c r="E999" s="677"/>
      <c r="I999" s="679"/>
      <c r="J999" s="615"/>
      <c r="K999" s="615"/>
      <c r="L999" s="615"/>
      <c r="M999" s="615"/>
      <c r="N999" s="615"/>
      <c r="O999" s="615"/>
      <c r="P999" s="615"/>
      <c r="Q999" s="615"/>
      <c r="R999" s="615"/>
      <c r="S999" s="615"/>
      <c r="T999" s="615"/>
      <c r="U999" s="615"/>
      <c r="V999" s="615"/>
      <c r="W999" s="615"/>
      <c r="X999" s="615"/>
      <c r="Y999" s="615"/>
      <c r="Z999" s="615"/>
      <c r="AA999" s="615"/>
    </row>
    <row r="1000">
      <c r="A1000" s="675"/>
      <c r="B1000" s="615"/>
      <c r="C1000" s="676"/>
      <c r="D1000" s="677"/>
      <c r="E1000" s="677"/>
      <c r="I1000" s="679"/>
      <c r="J1000" s="615"/>
      <c r="K1000" s="336"/>
      <c r="L1000" s="615"/>
      <c r="M1000" s="615"/>
      <c r="N1000" s="615"/>
      <c r="O1000" s="615"/>
      <c r="P1000" s="615"/>
      <c r="Q1000" s="615"/>
      <c r="R1000" s="615"/>
      <c r="S1000" s="615"/>
      <c r="T1000" s="615"/>
      <c r="U1000" s="615"/>
      <c r="V1000" s="615"/>
      <c r="W1000" s="615"/>
      <c r="X1000" s="615"/>
      <c r="Y1000" s="615"/>
      <c r="Z1000" s="615"/>
      <c r="AA1000" s="61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7" max="7" width="24.63"/>
    <col customWidth="1" min="10" max="10" width="17.38"/>
  </cols>
  <sheetData>
    <row r="1">
      <c r="A1" s="692" t="s">
        <v>3444</v>
      </c>
      <c r="G1" s="692" t="s">
        <v>3445</v>
      </c>
    </row>
    <row r="3">
      <c r="C3" s="693" t="s">
        <v>3446</v>
      </c>
      <c r="F3" s="694"/>
      <c r="G3" s="695" t="s">
        <v>3447</v>
      </c>
      <c r="H3" s="696" t="s">
        <v>3448</v>
      </c>
      <c r="J3" s="697" t="s">
        <v>3449</v>
      </c>
    </row>
    <row r="4">
      <c r="C4" s="1" t="s">
        <v>3450</v>
      </c>
      <c r="D4" s="1" t="s">
        <v>3451</v>
      </c>
      <c r="F4" s="698"/>
      <c r="G4" s="699" t="s">
        <v>43</v>
      </c>
      <c r="H4" s="539">
        <v>70.53</v>
      </c>
      <c r="J4" s="699" t="s">
        <v>3452</v>
      </c>
      <c r="K4" s="539">
        <v>1.5</v>
      </c>
    </row>
    <row r="5">
      <c r="A5" s="700">
        <v>44896.0</v>
      </c>
      <c r="C5" s="701" t="s">
        <v>3453</v>
      </c>
      <c r="D5" s="558" t="str">
        <f>IFERROR(__xludf.DUMMYFUNCTION("GOOGLEFINANCE(""CURRENCY:EURUSD"")*C5"),"#VALUE!")</f>
        <v>#VALUE!</v>
      </c>
      <c r="F5" s="694"/>
      <c r="G5" s="699" t="s">
        <v>47</v>
      </c>
      <c r="H5" s="539">
        <v>80.08</v>
      </c>
      <c r="J5" s="699" t="s">
        <v>3454</v>
      </c>
      <c r="K5" s="539">
        <v>0.3</v>
      </c>
    </row>
    <row r="6">
      <c r="A6" s="700">
        <v>44897.0</v>
      </c>
      <c r="C6" s="701" t="s">
        <v>3453</v>
      </c>
      <c r="D6" s="558" t="str">
        <f>IFERROR(__xludf.DUMMYFUNCTION("GOOGLEFINANCE(""CURRENCY:EURUSD"")*C6"),"#VALUE!")</f>
        <v>#VALUE!</v>
      </c>
      <c r="F6" s="702"/>
      <c r="G6" s="699" t="s">
        <v>891</v>
      </c>
      <c r="H6" s="539">
        <v>9.98</v>
      </c>
      <c r="J6" s="699" t="s">
        <v>3455</v>
      </c>
      <c r="K6" s="703">
        <v>0.31</v>
      </c>
    </row>
    <row r="7">
      <c r="A7" s="700">
        <v>44898.0</v>
      </c>
      <c r="C7" s="701" t="s">
        <v>3453</v>
      </c>
      <c r="D7" s="558" t="str">
        <f>IFERROR(__xludf.DUMMYFUNCTION("GOOGLEFINANCE(""CURRENCY:EURUSD"")*C7"),"#VALUE!")</f>
        <v>#VALUE!</v>
      </c>
      <c r="E7" s="704"/>
      <c r="F7" s="702"/>
      <c r="G7" s="699" t="s">
        <v>53</v>
      </c>
      <c r="H7" s="539">
        <v>4.93</v>
      </c>
      <c r="J7" s="699" t="s">
        <v>114</v>
      </c>
      <c r="K7" s="548"/>
    </row>
    <row r="8">
      <c r="A8" s="700">
        <v>44899.0</v>
      </c>
      <c r="C8" s="701" t="s">
        <v>3453</v>
      </c>
      <c r="D8" s="558" t="str">
        <f>IFERROR(__xludf.DUMMYFUNCTION("GOOGLEFINANCE(""CURRENCY:EURUSD"")*C8"),"#VALUE!")</f>
        <v>#VALUE!</v>
      </c>
      <c r="F8" s="702"/>
      <c r="G8" s="699" t="s">
        <v>55</v>
      </c>
      <c r="H8" s="539">
        <v>6.37</v>
      </c>
      <c r="J8" s="696" t="s">
        <v>3448</v>
      </c>
      <c r="K8" s="539"/>
    </row>
    <row r="9">
      <c r="A9" s="700">
        <v>44900.0</v>
      </c>
      <c r="C9" s="701" t="s">
        <v>3453</v>
      </c>
      <c r="D9" s="558" t="str">
        <f>IFERROR(__xludf.DUMMYFUNCTION("GOOGLEFINANCE(""CURRENCY:EURUSD"")*C9"),"#VALUE!")</f>
        <v>#VALUE!</v>
      </c>
      <c r="F9" s="702"/>
      <c r="G9" s="699" t="s">
        <v>58</v>
      </c>
      <c r="H9" s="539">
        <v>1.07</v>
      </c>
      <c r="J9" s="699"/>
      <c r="K9" s="539"/>
    </row>
    <row r="10">
      <c r="A10" s="700">
        <v>44901.0</v>
      </c>
      <c r="C10" s="701" t="s">
        <v>3453</v>
      </c>
      <c r="D10" s="558" t="str">
        <f>IFERROR(__xludf.DUMMYFUNCTION("GOOGLEFINANCE(""CURRENCY:EURUSD"")*C10"),"#VALUE!")</f>
        <v>#VALUE!</v>
      </c>
      <c r="F10" s="702"/>
      <c r="G10" s="705" t="s">
        <v>3456</v>
      </c>
      <c r="H10" s="539">
        <v>6.08</v>
      </c>
      <c r="J10" s="705"/>
      <c r="K10" s="706"/>
    </row>
    <row r="11">
      <c r="A11" s="700">
        <v>44902.0</v>
      </c>
      <c r="C11" s="701" t="s">
        <v>3453</v>
      </c>
      <c r="D11" s="558" t="str">
        <f>IFERROR(__xludf.DUMMYFUNCTION("GOOGLEFINANCE(""CURRENCY:EURUSD"")*C11"),"#VALUE!")</f>
        <v>#VALUE!</v>
      </c>
      <c r="F11" s="702"/>
    </row>
    <row r="12">
      <c r="A12" s="700">
        <v>44903.0</v>
      </c>
      <c r="C12" s="701" t="s">
        <v>3453</v>
      </c>
      <c r="D12" s="558" t="str">
        <f>IFERROR(__xludf.DUMMYFUNCTION("GOOGLEFINANCE(""CURRENCY:EURUSD"")*C12"),"#VALUE!")</f>
        <v>#VALUE!</v>
      </c>
      <c r="F12" s="702"/>
      <c r="G12" s="697" t="s">
        <v>3457</v>
      </c>
      <c r="H12" s="707" t="s">
        <v>3448</v>
      </c>
      <c r="J12" s="697" t="s">
        <v>3458</v>
      </c>
    </row>
    <row r="13">
      <c r="A13" s="700">
        <v>44904.0</v>
      </c>
      <c r="C13" s="701" t="s">
        <v>3453</v>
      </c>
      <c r="D13" s="558" t="str">
        <f>IFERROR(__xludf.DUMMYFUNCTION("GOOGLEFINANCE(""CURRENCY:EURUSD"")*C13"),"#VALUE!")</f>
        <v>#VALUE!</v>
      </c>
      <c r="F13" s="702"/>
      <c r="G13" s="699" t="s">
        <v>3459</v>
      </c>
      <c r="H13" s="703">
        <v>18.43</v>
      </c>
      <c r="J13" s="699" t="s">
        <v>3459</v>
      </c>
      <c r="K13" s="703">
        <v>1.22</v>
      </c>
    </row>
    <row r="14">
      <c r="A14" s="700">
        <v>44905.0</v>
      </c>
      <c r="C14" s="701" t="s">
        <v>3453</v>
      </c>
      <c r="D14" s="558" t="str">
        <f>IFERROR(__xludf.DUMMYFUNCTION("GOOGLEFINANCE(""CURRENCY:EURUSD"")*C14"),"#VALUE!")</f>
        <v>#VALUE!</v>
      </c>
      <c r="F14" s="702"/>
      <c r="G14" s="699" t="s">
        <v>3460</v>
      </c>
      <c r="H14" s="539">
        <v>4.98</v>
      </c>
      <c r="J14" s="699" t="s">
        <v>3460</v>
      </c>
      <c r="K14" s="548"/>
    </row>
    <row r="15">
      <c r="A15" s="700">
        <v>44906.0</v>
      </c>
      <c r="C15" s="701" t="s">
        <v>3453</v>
      </c>
      <c r="D15" s="558" t="str">
        <f>IFERROR(__xludf.DUMMYFUNCTION("GOOGLEFINANCE(""CURRENCY:EURUSD"")*C15"),"#VALUE!")</f>
        <v>#VALUE!</v>
      </c>
      <c r="G15" s="699" t="s">
        <v>3461</v>
      </c>
      <c r="H15" s="548">
        <v>10.0</v>
      </c>
      <c r="J15" s="699" t="s">
        <v>3461</v>
      </c>
      <c r="K15" s="548"/>
    </row>
    <row r="16">
      <c r="A16" s="700">
        <v>44907.0</v>
      </c>
      <c r="C16" s="701" t="s">
        <v>3453</v>
      </c>
      <c r="D16" s="558" t="str">
        <f>IFERROR(__xludf.DUMMYFUNCTION("GOOGLEFINANCE(""CURRENCY:EURUSD"")*C16"),"#VALUE!")</f>
        <v>#VALUE!</v>
      </c>
      <c r="G16" s="1" t="s">
        <v>3462</v>
      </c>
      <c r="H16" s="539">
        <v>11.59</v>
      </c>
      <c r="J16" s="1" t="s">
        <v>3462</v>
      </c>
      <c r="K16" s="548"/>
    </row>
    <row r="17">
      <c r="A17" s="700">
        <v>44908.0</v>
      </c>
      <c r="C17" s="701" t="s">
        <v>3453</v>
      </c>
      <c r="D17" s="558" t="str">
        <f>IFERROR(__xludf.DUMMYFUNCTION("GOOGLEFINANCE(""CURRENCY:EURUSD"")*C17"),"#VALUE!")</f>
        <v>#VALUE!</v>
      </c>
      <c r="G17" s="1" t="s">
        <v>3463</v>
      </c>
      <c r="H17" s="548">
        <v>15.0</v>
      </c>
      <c r="J17" s="1" t="s">
        <v>3463</v>
      </c>
      <c r="K17" s="548"/>
    </row>
    <row r="18">
      <c r="A18" s="700">
        <v>44909.0</v>
      </c>
      <c r="C18" s="701" t="s">
        <v>3453</v>
      </c>
      <c r="D18" s="558" t="str">
        <f>IFERROR(__xludf.DUMMYFUNCTION("GOOGLEFINANCE(""CURRENCY:EURUSD"")*C18"),"#VALUE!")</f>
        <v>#VALUE!</v>
      </c>
      <c r="G18" s="1" t="s">
        <v>3464</v>
      </c>
      <c r="H18" s="548">
        <v>20.0</v>
      </c>
      <c r="J18" s="1" t="s">
        <v>3464</v>
      </c>
      <c r="K18" s="548"/>
    </row>
    <row r="19">
      <c r="A19" s="700">
        <v>44910.0</v>
      </c>
      <c r="C19" s="701" t="s">
        <v>3453</v>
      </c>
      <c r="D19" s="558" t="str">
        <f>IFERROR(__xludf.DUMMYFUNCTION("GOOGLEFINANCE(""CURRENCY:EURUSD"")*C19"),"#VALUE!")</f>
        <v>#VALUE!</v>
      </c>
    </row>
    <row r="20">
      <c r="A20" s="700">
        <v>44911.0</v>
      </c>
      <c r="C20" s="701" t="s">
        <v>3453</v>
      </c>
      <c r="D20" s="558" t="str">
        <f>IFERROR(__xludf.DUMMYFUNCTION("GOOGLEFINANCE(""CURRENCY:EURUSD"")*C20"),"#VALUE!")</f>
        <v>#VALUE!</v>
      </c>
      <c r="G20" s="697" t="s">
        <v>3465</v>
      </c>
      <c r="J20" s="697" t="s">
        <v>3466</v>
      </c>
    </row>
    <row r="21">
      <c r="A21" s="700">
        <v>44912.0</v>
      </c>
      <c r="C21" s="701" t="s">
        <v>3453</v>
      </c>
      <c r="D21" s="558" t="str">
        <f>IFERROR(__xludf.DUMMYFUNCTION("GOOGLEFINANCE(""CURRENCY:EURUSD"")*C21"),"#VALUE!")</f>
        <v>#VALUE!</v>
      </c>
      <c r="G21" s="699" t="s">
        <v>3447</v>
      </c>
      <c r="H21" s="539">
        <f>(H4*1)+(H6*K26)+(H7*K27)+(H8*K28)+(H9*K29)+(H10*K30)</f>
        <v>79.82294498</v>
      </c>
      <c r="J21" s="699" t="s">
        <v>3467</v>
      </c>
      <c r="K21" s="564">
        <v>0.22</v>
      </c>
    </row>
    <row r="22">
      <c r="A22" s="700">
        <v>44913.0</v>
      </c>
      <c r="C22" s="701" t="s">
        <v>3453</v>
      </c>
      <c r="D22" s="558" t="str">
        <f>IFERROR(__xludf.DUMMYFUNCTION("GOOGLEFINANCE(""CURRENCY:EURUSD"")*C22"),"#VALUE!")</f>
        <v>#VALUE!</v>
      </c>
      <c r="G22" s="699" t="s">
        <v>3468</v>
      </c>
      <c r="H22" s="539">
        <f>H13</f>
        <v>18.43</v>
      </c>
      <c r="J22" s="699" t="s">
        <v>3469</v>
      </c>
      <c r="K22" s="564">
        <v>0.13</v>
      </c>
    </row>
    <row r="23">
      <c r="A23" s="700">
        <v>44914.0</v>
      </c>
      <c r="C23" s="701" t="s">
        <v>3453</v>
      </c>
      <c r="D23" s="558" t="str">
        <f>IFERROR(__xludf.DUMMYFUNCTION("GOOGLEFINANCE(""CURRENCY:EURUSD"")*C23"),"#VALUE!")</f>
        <v>#VALUE!</v>
      </c>
      <c r="G23" s="699" t="s">
        <v>3470</v>
      </c>
      <c r="H23" s="539">
        <f>H16</f>
        <v>11.59</v>
      </c>
      <c r="J23" s="699" t="s">
        <v>3471</v>
      </c>
      <c r="K23" s="548"/>
    </row>
    <row r="24">
      <c r="A24" s="700">
        <v>44915.0</v>
      </c>
      <c r="C24" s="701" t="s">
        <v>3453</v>
      </c>
      <c r="D24" s="558" t="str">
        <f>IFERROR(__xludf.DUMMYFUNCTION("GOOGLEFINANCE(""CURRENCY:EURUSD"")*C24"),"#VALUE!")</f>
        <v>#VALUE!</v>
      </c>
      <c r="G24" s="699" t="s">
        <v>3472</v>
      </c>
      <c r="H24" s="539">
        <v>10.89</v>
      </c>
      <c r="K24" s="539"/>
    </row>
    <row r="25">
      <c r="A25" s="700">
        <v>44916.0</v>
      </c>
      <c r="C25" s="701" t="s">
        <v>3453</v>
      </c>
      <c r="D25" s="558" t="str">
        <f>IFERROR(__xludf.DUMMYFUNCTION("GOOGLEFINANCE(""CURRENCY:EURUSD"")*C25"),"#VALUE!")</f>
        <v>#VALUE!</v>
      </c>
      <c r="G25" s="1" t="s">
        <v>292</v>
      </c>
      <c r="H25" s="561">
        <f>H21*0.075</f>
        <v>5.986720874</v>
      </c>
      <c r="J25" s="697" t="s">
        <v>3473</v>
      </c>
    </row>
    <row r="26">
      <c r="A26" s="700">
        <v>44917.0</v>
      </c>
      <c r="C26" s="701" t="s">
        <v>3453</v>
      </c>
      <c r="D26" s="558" t="str">
        <f>IFERROR(__xludf.DUMMYFUNCTION("GOOGLEFINANCE(""CURRENCY:EURUSD"")*C26"),"#VALUE!")</f>
        <v>#VALUE!</v>
      </c>
      <c r="G26" s="1" t="s">
        <v>305</v>
      </c>
      <c r="H26" s="539">
        <f>H21*0.034</f>
        <v>2.713980129</v>
      </c>
      <c r="J26" s="1" t="s">
        <v>50</v>
      </c>
      <c r="K26" s="566">
        <f>'Detailed Report'!AG169/'Detailed Report'!AG163</f>
        <v>0.3365695793</v>
      </c>
    </row>
    <row r="27">
      <c r="A27" s="700">
        <v>44918.0</v>
      </c>
      <c r="C27" s="701" t="s">
        <v>3453</v>
      </c>
      <c r="D27" s="558" t="str">
        <f>IFERROR(__xludf.DUMMYFUNCTION("GOOGLEFINANCE(""CURRENCY:EURUSD"")*C27"),"#VALUE!")</f>
        <v>#VALUE!</v>
      </c>
      <c r="G27" s="1" t="s">
        <v>348</v>
      </c>
      <c r="H27" s="539">
        <f>Sales!B48*0.0297</f>
        <v>7.030712422</v>
      </c>
      <c r="J27" s="1" t="s">
        <v>53</v>
      </c>
      <c r="K27" s="566">
        <f>'Detailed Report'!AG165/'Detailed Report'!AG163</f>
        <v>0.5219182112</v>
      </c>
    </row>
    <row r="28">
      <c r="A28" s="700">
        <v>44919.0</v>
      </c>
      <c r="C28" s="701" t="s">
        <v>3453</v>
      </c>
      <c r="D28" s="558" t="str">
        <f>IFERROR(__xludf.DUMMYFUNCTION("GOOGLEFINANCE(""CURRENCY:EURUSD"")*C28"),"#VALUE!")</f>
        <v>#VALUE!</v>
      </c>
      <c r="G28" s="1" t="s">
        <v>361</v>
      </c>
      <c r="H28" s="561">
        <f>0.36</f>
        <v>0.36</v>
      </c>
      <c r="J28" s="1" t="s">
        <v>55</v>
      </c>
      <c r="K28" s="566">
        <f>'Detailed Report'!AG166/'Detailed Report'!AG163</f>
        <v>0.001765225066</v>
      </c>
    </row>
    <row r="29">
      <c r="A29" s="700">
        <v>44920.0</v>
      </c>
      <c r="C29" s="701" t="s">
        <v>3453</v>
      </c>
      <c r="D29" s="558" t="str">
        <f>IFERROR(__xludf.DUMMYFUNCTION("GOOGLEFINANCE(""CURRENCY:EURUSD"")*C29"),"#VALUE!")</f>
        <v>#VALUE!</v>
      </c>
      <c r="G29" s="1" t="s">
        <v>3474</v>
      </c>
      <c r="H29" s="561">
        <f t="shared" ref="H29:H31" si="1">K4</f>
        <v>1.5</v>
      </c>
      <c r="J29" s="1" t="s">
        <v>58</v>
      </c>
      <c r="K29" s="566">
        <f>'Detailed Report'!AG167/'Detailed Report'!AG163</f>
        <v>1.050897323</v>
      </c>
    </row>
    <row r="30">
      <c r="A30" s="700">
        <v>44921.0</v>
      </c>
      <c r="C30" s="701" t="s">
        <v>3453</v>
      </c>
      <c r="D30" s="558" t="str">
        <f>IFERROR(__xludf.DUMMYFUNCTION("GOOGLEFINANCE(""CURRENCY:EURUSD"")*C30"),"#VALUE!")</f>
        <v>#VALUE!</v>
      </c>
      <c r="G30" s="1" t="s">
        <v>3475</v>
      </c>
      <c r="H30" s="561">
        <f t="shared" si="1"/>
        <v>0.3</v>
      </c>
      <c r="J30" s="1" t="s">
        <v>59</v>
      </c>
      <c r="K30" s="566">
        <f>'Detailed Report'!AG168/'Detailed Report'!AG163</f>
        <v>0.3659899971</v>
      </c>
    </row>
    <row r="31">
      <c r="A31" s="700">
        <v>44922.0</v>
      </c>
      <c r="C31" s="701" t="s">
        <v>3453</v>
      </c>
      <c r="D31" s="558" t="str">
        <f>IFERROR(__xludf.DUMMYFUNCTION("GOOGLEFINANCE(""CURRENCY:EURUSD"")*C31"),"#VALUE!")</f>
        <v>#VALUE!</v>
      </c>
      <c r="G31" s="708" t="s">
        <v>3476</v>
      </c>
      <c r="H31" s="709">
        <f t="shared" si="1"/>
        <v>0.31</v>
      </c>
    </row>
    <row r="32">
      <c r="A32" s="700">
        <v>44923.0</v>
      </c>
      <c r="C32" s="701" t="s">
        <v>3453</v>
      </c>
      <c r="D32" s="558" t="str">
        <f>IFERROR(__xludf.DUMMYFUNCTION("GOOGLEFINANCE(""CURRENCY:EURUSD"")*C32"),"#VALUE!")</f>
        <v>#VALUE!</v>
      </c>
      <c r="G32" s="1" t="s">
        <v>126</v>
      </c>
      <c r="H32" s="561">
        <f>SUM(H21:H30)</f>
        <v>138.6243584</v>
      </c>
    </row>
    <row r="33">
      <c r="A33" s="700">
        <v>44924.0</v>
      </c>
      <c r="C33" s="701" t="s">
        <v>3453</v>
      </c>
      <c r="D33" s="558" t="str">
        <f>IFERROR(__xludf.DUMMYFUNCTION("GOOGLEFINANCE(""CURRENCY:EURUSD"")*C33"),"#VALUE!")</f>
        <v>#VALUE!</v>
      </c>
    </row>
    <row r="34">
      <c r="A34" s="700">
        <v>44925.0</v>
      </c>
      <c r="C34" s="701" t="s">
        <v>3453</v>
      </c>
      <c r="D34" s="558" t="str">
        <f>IFERROR(__xludf.DUMMYFUNCTION("GOOGLEFINANCE(""CURRENCY:EURUSD"")*C34"),"#VALUE!")</f>
        <v>#VALUE!</v>
      </c>
      <c r="G34" s="697" t="s">
        <v>3477</v>
      </c>
      <c r="J34" s="697" t="s">
        <v>3478</v>
      </c>
    </row>
    <row r="35">
      <c r="A35" s="700">
        <v>44926.0</v>
      </c>
      <c r="C35" s="701" t="s">
        <v>3453</v>
      </c>
      <c r="D35" s="558" t="str">
        <f>IFERROR(__xludf.DUMMYFUNCTION("GOOGLEFINANCE(""CURRENCY:EURUSD"")*C35"),"#VALUE!")</f>
        <v>#VALUE!</v>
      </c>
      <c r="G35" s="1" t="s">
        <v>3479</v>
      </c>
      <c r="H35" s="564">
        <v>0.0297</v>
      </c>
      <c r="J35" s="1" t="s">
        <v>3480</v>
      </c>
      <c r="K35" s="710">
        <v>10.0</v>
      </c>
    </row>
    <row r="36">
      <c r="G36" s="1" t="s">
        <v>3481</v>
      </c>
      <c r="H36" s="564">
        <v>0.034</v>
      </c>
      <c r="J36" s="1" t="s">
        <v>3482</v>
      </c>
      <c r="K36" s="548">
        <v>20.0</v>
      </c>
    </row>
    <row r="37">
      <c r="G37" s="1" t="s">
        <v>3483</v>
      </c>
      <c r="H37" s="564">
        <v>0.075</v>
      </c>
      <c r="J37" s="711" t="s">
        <v>3484</v>
      </c>
      <c r="K37" s="712">
        <v>0.8</v>
      </c>
    </row>
    <row r="38">
      <c r="G38" s="1" t="s">
        <v>3485</v>
      </c>
      <c r="H38" s="713">
        <v>0.00125</v>
      </c>
      <c r="J38" s="1" t="s">
        <v>3486</v>
      </c>
      <c r="K38" s="714">
        <v>20.0</v>
      </c>
    </row>
    <row r="39">
      <c r="G39" s="1" t="s">
        <v>3487</v>
      </c>
      <c r="H39" s="715">
        <v>0.003464</v>
      </c>
    </row>
    <row r="40">
      <c r="G40" s="1" t="s">
        <v>3488</v>
      </c>
      <c r="H40" s="716">
        <v>0.25</v>
      </c>
    </row>
    <row r="41">
      <c r="G41" s="1" t="s">
        <v>3489</v>
      </c>
      <c r="H41" s="564">
        <v>0.025</v>
      </c>
    </row>
  </sheetData>
  <mergeCells count="3">
    <mergeCell ref="A1:D1"/>
    <mergeCell ref="G1:K1"/>
    <mergeCell ref="C3:D3"/>
  </mergeCells>
  <hyperlinks>
    <hyperlink r:id="rId1" location="gid=1424197335" ref="H3"/>
    <hyperlink r:id="rId2" location="gid=1038709083" ref="J8"/>
    <hyperlink r:id="rId3" ref="H12"/>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I1" s="717" t="s">
        <v>3493</v>
      </c>
    </row>
    <row r="2">
      <c r="I2" s="335" t="str">
        <f t="array" ref="I2:I5725">IF(A2:A5725="","",BYROW(G2:H5725,LAMBDA(x,SUM(x))))</f>
        <v/>
      </c>
    </row>
    <row r="3">
      <c r="I3" s="719" t="s">
        <v>3494</v>
      </c>
    </row>
    <row r="4">
      <c r="I4" s="720" t="s">
        <v>3494</v>
      </c>
    </row>
    <row r="5">
      <c r="I5" s="720" t="s">
        <v>3494</v>
      </c>
    </row>
    <row r="6">
      <c r="I6" s="720">
        <v>0.0</v>
      </c>
    </row>
    <row r="7">
      <c r="I7" s="720">
        <v>1.0</v>
      </c>
    </row>
    <row r="8">
      <c r="I8" s="720">
        <v>2.0</v>
      </c>
    </row>
    <row r="9">
      <c r="I9" s="720">
        <v>1.0</v>
      </c>
    </row>
    <row r="10">
      <c r="I10" s="720">
        <v>1.0</v>
      </c>
    </row>
    <row r="11">
      <c r="I11" s="720">
        <v>1.0</v>
      </c>
    </row>
    <row r="12">
      <c r="I12" s="720">
        <v>1.0</v>
      </c>
    </row>
    <row r="13">
      <c r="I13" s="720">
        <v>2.0</v>
      </c>
    </row>
    <row r="14">
      <c r="I14" s="720">
        <v>1.0</v>
      </c>
    </row>
    <row r="15">
      <c r="I15" s="720">
        <v>1.0</v>
      </c>
    </row>
    <row r="16">
      <c r="I16" s="720">
        <v>0.0</v>
      </c>
    </row>
    <row r="17">
      <c r="I17" s="720">
        <v>1.0</v>
      </c>
    </row>
    <row r="18">
      <c r="I18" s="720">
        <v>1.0</v>
      </c>
    </row>
    <row r="19">
      <c r="I19" s="720">
        <v>1.0</v>
      </c>
    </row>
    <row r="20">
      <c r="I20" s="720">
        <v>1.0</v>
      </c>
    </row>
    <row r="21">
      <c r="I21" s="720">
        <v>0.0</v>
      </c>
    </row>
    <row r="22">
      <c r="I22" s="720">
        <v>0.0</v>
      </c>
    </row>
    <row r="23">
      <c r="I23" s="720">
        <v>1.0</v>
      </c>
    </row>
    <row r="24">
      <c r="I24" s="720">
        <v>0.0</v>
      </c>
    </row>
    <row r="25">
      <c r="I25" s="720">
        <v>0.0</v>
      </c>
    </row>
    <row r="26">
      <c r="I26" s="720">
        <v>1.0</v>
      </c>
    </row>
    <row r="27">
      <c r="I27" s="720">
        <v>1.0</v>
      </c>
    </row>
    <row r="28">
      <c r="I28" s="720">
        <v>1.0</v>
      </c>
    </row>
    <row r="29">
      <c r="I29" s="720">
        <v>0.0</v>
      </c>
    </row>
    <row r="30">
      <c r="I30" s="720">
        <v>0.0</v>
      </c>
    </row>
    <row r="31">
      <c r="I31" s="720">
        <v>1.0</v>
      </c>
    </row>
    <row r="32">
      <c r="I32" s="720">
        <v>1.0</v>
      </c>
    </row>
    <row r="33">
      <c r="I33" s="720">
        <v>1.0</v>
      </c>
    </row>
    <row r="34">
      <c r="I34" s="720">
        <v>0.0</v>
      </c>
    </row>
    <row r="35">
      <c r="I35" s="720">
        <v>1.0</v>
      </c>
    </row>
    <row r="36">
      <c r="I36" s="720">
        <v>1.0</v>
      </c>
    </row>
    <row r="37">
      <c r="I37" s="720">
        <v>1.0</v>
      </c>
    </row>
    <row r="38">
      <c r="I38" s="720">
        <v>2.0</v>
      </c>
    </row>
    <row r="39">
      <c r="I39" s="720">
        <v>1.0</v>
      </c>
    </row>
    <row r="40">
      <c r="I40" s="720">
        <v>1.0</v>
      </c>
    </row>
    <row r="41">
      <c r="I41" s="720">
        <v>1.0</v>
      </c>
    </row>
    <row r="42">
      <c r="I42" s="720">
        <v>1.0</v>
      </c>
    </row>
    <row r="43">
      <c r="I43" s="720">
        <v>1.0</v>
      </c>
    </row>
    <row r="44">
      <c r="I44" s="720">
        <v>1.0</v>
      </c>
    </row>
    <row r="45">
      <c r="I45" s="720">
        <v>0.0</v>
      </c>
    </row>
    <row r="46">
      <c r="I46" s="720">
        <v>0.0</v>
      </c>
    </row>
    <row r="47">
      <c r="I47" s="720">
        <v>1.0</v>
      </c>
    </row>
    <row r="48">
      <c r="I48" s="720">
        <v>0.0</v>
      </c>
    </row>
    <row r="49">
      <c r="I49" s="720">
        <v>1.0</v>
      </c>
    </row>
    <row r="50">
      <c r="I50" s="720">
        <v>1.0</v>
      </c>
    </row>
    <row r="51">
      <c r="I51" s="720">
        <v>0.0</v>
      </c>
    </row>
    <row r="52">
      <c r="I52" s="720">
        <v>0.0</v>
      </c>
    </row>
    <row r="53">
      <c r="I53" s="720">
        <v>0.0</v>
      </c>
    </row>
    <row r="54">
      <c r="I54" s="720">
        <v>1.0</v>
      </c>
    </row>
    <row r="55">
      <c r="I55" s="720">
        <v>0.0</v>
      </c>
    </row>
    <row r="56">
      <c r="I56" s="720">
        <v>1.0</v>
      </c>
    </row>
    <row r="57">
      <c r="I57" s="720">
        <v>3.0</v>
      </c>
    </row>
    <row r="58">
      <c r="I58" s="720">
        <v>0.0</v>
      </c>
    </row>
    <row r="59">
      <c r="I59" s="720">
        <v>1.0</v>
      </c>
    </row>
    <row r="60">
      <c r="I60" s="720">
        <v>0.0</v>
      </c>
    </row>
    <row r="61">
      <c r="I61" s="720">
        <v>1.0</v>
      </c>
    </row>
    <row r="62">
      <c r="I62" s="720">
        <v>0.0</v>
      </c>
    </row>
    <row r="63">
      <c r="I63" s="720">
        <v>0.0</v>
      </c>
    </row>
    <row r="64">
      <c r="I64" s="720">
        <v>0.0</v>
      </c>
    </row>
    <row r="65">
      <c r="I65" s="720">
        <v>0.0</v>
      </c>
    </row>
    <row r="66">
      <c r="I66" s="720">
        <v>2.0</v>
      </c>
    </row>
    <row r="67">
      <c r="I67" s="720">
        <v>1.0</v>
      </c>
    </row>
    <row r="68">
      <c r="I68" s="720">
        <v>0.0</v>
      </c>
    </row>
    <row r="69">
      <c r="I69" s="720">
        <v>1.0</v>
      </c>
    </row>
    <row r="70">
      <c r="I70" s="720">
        <v>1.0</v>
      </c>
    </row>
    <row r="71">
      <c r="I71" s="720">
        <v>0.0</v>
      </c>
    </row>
    <row r="72">
      <c r="I72" s="720">
        <v>0.0</v>
      </c>
    </row>
    <row r="73">
      <c r="I73" s="720">
        <v>1.0</v>
      </c>
    </row>
    <row r="74">
      <c r="I74" s="720">
        <v>0.0</v>
      </c>
    </row>
    <row r="75">
      <c r="I75" s="720">
        <v>1.0</v>
      </c>
    </row>
    <row r="76">
      <c r="I76" s="720">
        <v>1.0</v>
      </c>
    </row>
    <row r="77">
      <c r="I77" s="720">
        <v>0.0</v>
      </c>
    </row>
    <row r="78">
      <c r="I78" s="720">
        <v>1.0</v>
      </c>
    </row>
    <row r="79">
      <c r="I79" s="720">
        <v>1.0</v>
      </c>
    </row>
    <row r="80">
      <c r="I80" s="720">
        <v>2.0</v>
      </c>
    </row>
    <row r="81">
      <c r="I81" s="720">
        <v>0.0</v>
      </c>
    </row>
    <row r="82">
      <c r="I82" s="720">
        <v>1.0</v>
      </c>
    </row>
    <row r="83">
      <c r="I83" s="720">
        <v>0.0</v>
      </c>
    </row>
    <row r="84">
      <c r="I84" s="720">
        <v>0.0</v>
      </c>
    </row>
    <row r="85">
      <c r="I85" s="720">
        <v>1.0</v>
      </c>
    </row>
    <row r="86">
      <c r="I86" s="720">
        <v>2.0</v>
      </c>
    </row>
    <row r="87">
      <c r="I87" s="720">
        <v>0.0</v>
      </c>
    </row>
    <row r="88">
      <c r="I88" s="720">
        <v>1.0</v>
      </c>
    </row>
    <row r="89">
      <c r="I89" s="720">
        <v>1.0</v>
      </c>
    </row>
    <row r="90">
      <c r="I90" s="720">
        <v>0.0</v>
      </c>
    </row>
    <row r="91">
      <c r="I91" s="720">
        <v>0.0</v>
      </c>
    </row>
    <row r="92">
      <c r="I92" s="719">
        <v>1.0</v>
      </c>
    </row>
    <row r="93">
      <c r="I93" s="719">
        <v>1.0</v>
      </c>
    </row>
    <row r="94">
      <c r="I94" s="719">
        <v>1.0</v>
      </c>
    </row>
    <row r="95">
      <c r="I95" s="719">
        <v>0.0</v>
      </c>
    </row>
    <row r="96">
      <c r="I96" s="719">
        <v>0.0</v>
      </c>
    </row>
    <row r="97">
      <c r="I97" s="719">
        <v>0.0</v>
      </c>
    </row>
    <row r="98">
      <c r="I98" s="719">
        <v>1.0</v>
      </c>
    </row>
    <row r="99">
      <c r="I99" s="719">
        <v>0.0</v>
      </c>
    </row>
    <row r="100">
      <c r="I100" s="719">
        <v>1.0</v>
      </c>
    </row>
    <row r="101">
      <c r="I101" s="719">
        <v>1.0</v>
      </c>
    </row>
    <row r="102">
      <c r="I102" s="719">
        <v>1.0</v>
      </c>
    </row>
    <row r="103">
      <c r="I103" s="719">
        <v>1.0</v>
      </c>
    </row>
    <row r="104">
      <c r="I104" s="719">
        <v>0.0</v>
      </c>
    </row>
    <row r="105">
      <c r="I105" s="719">
        <v>1.0</v>
      </c>
    </row>
    <row r="106">
      <c r="I106" s="719">
        <v>0.0</v>
      </c>
    </row>
    <row r="107">
      <c r="I107" s="719">
        <v>0.0</v>
      </c>
    </row>
    <row r="108">
      <c r="I108" s="719">
        <v>0.0</v>
      </c>
    </row>
    <row r="109">
      <c r="I109" s="719">
        <v>0.0</v>
      </c>
    </row>
    <row r="110">
      <c r="I110" s="719">
        <v>1.0</v>
      </c>
    </row>
    <row r="111">
      <c r="I111" s="719">
        <v>0.0</v>
      </c>
    </row>
    <row r="112">
      <c r="I112" s="719">
        <v>1.0</v>
      </c>
    </row>
    <row r="113">
      <c r="I113" s="719">
        <v>0.0</v>
      </c>
    </row>
    <row r="114">
      <c r="I114" s="719">
        <v>1.0</v>
      </c>
    </row>
    <row r="115">
      <c r="I115" s="719">
        <v>0.0</v>
      </c>
    </row>
    <row r="116">
      <c r="I116" s="719">
        <v>1.0</v>
      </c>
    </row>
    <row r="117">
      <c r="I117" s="719">
        <v>1.0</v>
      </c>
    </row>
    <row r="118">
      <c r="I118" s="719">
        <v>1.0</v>
      </c>
    </row>
    <row r="119">
      <c r="I119" s="719">
        <v>1.0</v>
      </c>
    </row>
    <row r="120">
      <c r="I120" s="719">
        <v>1.0</v>
      </c>
    </row>
    <row r="121">
      <c r="I121" s="719">
        <v>0.0</v>
      </c>
    </row>
    <row r="122">
      <c r="I122" s="719">
        <v>1.0</v>
      </c>
    </row>
    <row r="123">
      <c r="I123" s="719">
        <v>1.0</v>
      </c>
    </row>
    <row r="124">
      <c r="I124" s="719">
        <v>1.0</v>
      </c>
    </row>
    <row r="125">
      <c r="I125" s="719">
        <v>1.0</v>
      </c>
    </row>
    <row r="126">
      <c r="I126" s="719">
        <v>1.0</v>
      </c>
    </row>
    <row r="127">
      <c r="I127" s="719">
        <v>0.0</v>
      </c>
    </row>
    <row r="128">
      <c r="I128" s="719">
        <v>0.0</v>
      </c>
    </row>
    <row r="129">
      <c r="I129" s="719">
        <v>0.0</v>
      </c>
    </row>
    <row r="130">
      <c r="I130" s="719">
        <v>1.0</v>
      </c>
    </row>
    <row r="131">
      <c r="I131" s="719">
        <v>0.0</v>
      </c>
    </row>
    <row r="132">
      <c r="I132" s="719">
        <v>1.0</v>
      </c>
    </row>
    <row r="133">
      <c r="I133" s="719">
        <v>0.0</v>
      </c>
    </row>
    <row r="134">
      <c r="I134" s="719">
        <v>0.0</v>
      </c>
    </row>
    <row r="135">
      <c r="I135" s="719">
        <v>0.0</v>
      </c>
    </row>
    <row r="136">
      <c r="I136" s="719">
        <v>0.0</v>
      </c>
    </row>
    <row r="137">
      <c r="I137" s="719">
        <v>0.0</v>
      </c>
    </row>
    <row r="138">
      <c r="I138" s="719">
        <v>0.0</v>
      </c>
    </row>
    <row r="139">
      <c r="I139" s="719">
        <v>0.0</v>
      </c>
    </row>
    <row r="140">
      <c r="I140" s="719">
        <v>0.0</v>
      </c>
    </row>
    <row r="141">
      <c r="I141" s="719">
        <v>0.0</v>
      </c>
    </row>
    <row r="142">
      <c r="I142" s="719">
        <v>1.0</v>
      </c>
    </row>
    <row r="143">
      <c r="I143" s="719">
        <v>1.0</v>
      </c>
    </row>
    <row r="144">
      <c r="I144" s="719">
        <v>1.0</v>
      </c>
    </row>
    <row r="145">
      <c r="I145" s="719">
        <v>1.0</v>
      </c>
    </row>
    <row r="146">
      <c r="I146" s="719">
        <v>1.0</v>
      </c>
    </row>
    <row r="147">
      <c r="I147" s="719">
        <v>0.0</v>
      </c>
    </row>
    <row r="148">
      <c r="I148" s="719">
        <v>0.0</v>
      </c>
    </row>
    <row r="149">
      <c r="I149" s="719">
        <v>0.0</v>
      </c>
    </row>
    <row r="150">
      <c r="I150" s="719">
        <v>0.0</v>
      </c>
    </row>
    <row r="151">
      <c r="I151" s="719">
        <v>0.0</v>
      </c>
    </row>
    <row r="152">
      <c r="I152" s="719">
        <v>2.0</v>
      </c>
    </row>
    <row r="153">
      <c r="I153" s="719">
        <v>1.0</v>
      </c>
    </row>
    <row r="154">
      <c r="I154" s="719">
        <v>1.0</v>
      </c>
    </row>
    <row r="155">
      <c r="I155" s="719">
        <v>1.0</v>
      </c>
    </row>
    <row r="156">
      <c r="I156" s="719">
        <v>1.0</v>
      </c>
    </row>
    <row r="157">
      <c r="I157" s="719">
        <v>1.0</v>
      </c>
    </row>
    <row r="158">
      <c r="I158" s="719">
        <v>1.0</v>
      </c>
    </row>
    <row r="159">
      <c r="I159" s="719">
        <v>1.0</v>
      </c>
    </row>
    <row r="160">
      <c r="I160" s="719">
        <v>1.0</v>
      </c>
    </row>
    <row r="161">
      <c r="I161" s="719">
        <v>1.0</v>
      </c>
    </row>
    <row r="162">
      <c r="I162" s="719">
        <v>1.0</v>
      </c>
    </row>
    <row r="163">
      <c r="I163" s="719">
        <v>1.0</v>
      </c>
    </row>
    <row r="164">
      <c r="I164" s="719">
        <v>1.0</v>
      </c>
    </row>
    <row r="165">
      <c r="I165" s="719">
        <v>1.0</v>
      </c>
    </row>
    <row r="166">
      <c r="I166" s="719">
        <v>1.0</v>
      </c>
    </row>
    <row r="167">
      <c r="I167" s="719">
        <v>1.0</v>
      </c>
    </row>
    <row r="168">
      <c r="I168" s="719">
        <v>1.0</v>
      </c>
    </row>
    <row r="169">
      <c r="I169" s="719">
        <v>1.0</v>
      </c>
    </row>
    <row r="170">
      <c r="I170" s="719">
        <v>2.0</v>
      </c>
    </row>
    <row r="171">
      <c r="I171" s="719">
        <v>1.0</v>
      </c>
    </row>
    <row r="172">
      <c r="I172" s="719">
        <v>1.0</v>
      </c>
    </row>
    <row r="173">
      <c r="I173" s="719">
        <v>1.0</v>
      </c>
    </row>
    <row r="174">
      <c r="I174" s="719">
        <v>1.0</v>
      </c>
    </row>
    <row r="175">
      <c r="I175" s="719">
        <v>1.0</v>
      </c>
    </row>
    <row r="176">
      <c r="I176" s="719">
        <v>1.0</v>
      </c>
    </row>
    <row r="177">
      <c r="I177" s="719">
        <v>1.0</v>
      </c>
    </row>
    <row r="178">
      <c r="I178" s="719">
        <v>1.0</v>
      </c>
    </row>
    <row r="179">
      <c r="I179" s="719">
        <v>0.0</v>
      </c>
    </row>
    <row r="180">
      <c r="I180" s="719">
        <v>1.0</v>
      </c>
    </row>
    <row r="181">
      <c r="I181" s="719">
        <v>1.0</v>
      </c>
    </row>
    <row r="182">
      <c r="I182" s="719">
        <v>1.0</v>
      </c>
    </row>
    <row r="183">
      <c r="I183" s="719">
        <v>1.0</v>
      </c>
    </row>
    <row r="184">
      <c r="I184" s="719">
        <v>0.0</v>
      </c>
    </row>
    <row r="185">
      <c r="I185" s="719">
        <v>1.0</v>
      </c>
    </row>
    <row r="186">
      <c r="I186" s="719">
        <v>1.0</v>
      </c>
    </row>
    <row r="187">
      <c r="I187" s="719">
        <v>1.0</v>
      </c>
    </row>
    <row r="188">
      <c r="I188" s="719">
        <v>1.0</v>
      </c>
    </row>
    <row r="189">
      <c r="I189" s="719">
        <v>1.0</v>
      </c>
    </row>
    <row r="190">
      <c r="I190" s="719">
        <v>1.0</v>
      </c>
    </row>
    <row r="191">
      <c r="I191" s="719">
        <v>1.0</v>
      </c>
    </row>
    <row r="192">
      <c r="I192" s="719">
        <v>1.0</v>
      </c>
    </row>
    <row r="193">
      <c r="I193" s="719">
        <v>1.0</v>
      </c>
    </row>
    <row r="194">
      <c r="I194" s="719">
        <v>1.0</v>
      </c>
    </row>
    <row r="195">
      <c r="I195" s="719">
        <v>1.0</v>
      </c>
    </row>
    <row r="196">
      <c r="I196" s="719">
        <v>1.0</v>
      </c>
    </row>
    <row r="197">
      <c r="I197" s="719">
        <v>1.0</v>
      </c>
    </row>
    <row r="198">
      <c r="I198" s="719">
        <v>1.0</v>
      </c>
    </row>
    <row r="199">
      <c r="I199" s="719">
        <v>1.0</v>
      </c>
    </row>
    <row r="200">
      <c r="I200" s="719">
        <v>1.0</v>
      </c>
    </row>
    <row r="201">
      <c r="I201" s="719">
        <v>1.0</v>
      </c>
    </row>
    <row r="202">
      <c r="I202" s="719">
        <v>1.0</v>
      </c>
    </row>
    <row r="203">
      <c r="I203" s="719">
        <v>1.0</v>
      </c>
    </row>
    <row r="204">
      <c r="I204" s="719">
        <v>0.0</v>
      </c>
    </row>
    <row r="205">
      <c r="I205" s="719">
        <v>0.0</v>
      </c>
    </row>
    <row r="206">
      <c r="I206" s="719">
        <v>2.0</v>
      </c>
    </row>
    <row r="207">
      <c r="I207" s="719">
        <v>1.0</v>
      </c>
    </row>
    <row r="208">
      <c r="I208" s="719">
        <v>1.0</v>
      </c>
    </row>
    <row r="209">
      <c r="I209" s="719">
        <v>0.0</v>
      </c>
    </row>
    <row r="210">
      <c r="I210" s="719">
        <v>1.0</v>
      </c>
    </row>
    <row r="211">
      <c r="I211" s="719">
        <v>1.0</v>
      </c>
    </row>
    <row r="212">
      <c r="I212" s="719">
        <v>0.0</v>
      </c>
    </row>
    <row r="213">
      <c r="I213" s="719">
        <v>1.0</v>
      </c>
    </row>
    <row r="214">
      <c r="I214" s="719">
        <v>1.0</v>
      </c>
    </row>
    <row r="215">
      <c r="I215" s="719">
        <v>0.0</v>
      </c>
    </row>
    <row r="216">
      <c r="I216" s="719">
        <v>1.0</v>
      </c>
    </row>
    <row r="217">
      <c r="I217" s="719">
        <v>0.0</v>
      </c>
    </row>
    <row r="218">
      <c r="I218" s="719">
        <v>0.0</v>
      </c>
    </row>
    <row r="219">
      <c r="I219" s="719">
        <v>1.0</v>
      </c>
    </row>
    <row r="220">
      <c r="I220" s="719">
        <v>1.0</v>
      </c>
    </row>
    <row r="221">
      <c r="I221" s="719">
        <v>1.0</v>
      </c>
    </row>
    <row r="222">
      <c r="I222" s="719">
        <v>0.0</v>
      </c>
    </row>
    <row r="223">
      <c r="I223" s="719">
        <v>1.0</v>
      </c>
    </row>
    <row r="224">
      <c r="I224" s="719">
        <v>1.0</v>
      </c>
    </row>
    <row r="225">
      <c r="I225" s="719">
        <v>1.0</v>
      </c>
    </row>
    <row r="226">
      <c r="I226" s="719">
        <v>1.0</v>
      </c>
    </row>
    <row r="227">
      <c r="I227" s="719">
        <v>1.0</v>
      </c>
    </row>
    <row r="228">
      <c r="I228" s="719">
        <v>1.0</v>
      </c>
    </row>
    <row r="229">
      <c r="I229" s="719">
        <v>1.0</v>
      </c>
    </row>
    <row r="230">
      <c r="I230" s="719">
        <v>1.0</v>
      </c>
    </row>
    <row r="231">
      <c r="I231" s="719">
        <v>0.0</v>
      </c>
    </row>
    <row r="232">
      <c r="I232" s="719">
        <v>0.0</v>
      </c>
    </row>
    <row r="233">
      <c r="I233" s="719">
        <v>0.0</v>
      </c>
    </row>
    <row r="234">
      <c r="I234" s="719">
        <v>0.0</v>
      </c>
    </row>
    <row r="235">
      <c r="I235" s="719">
        <v>0.0</v>
      </c>
    </row>
    <row r="236">
      <c r="I236" s="719">
        <v>0.0</v>
      </c>
    </row>
    <row r="237">
      <c r="I237" s="719">
        <v>1.0</v>
      </c>
    </row>
    <row r="238">
      <c r="I238" s="719">
        <v>0.0</v>
      </c>
    </row>
    <row r="239">
      <c r="I239" s="719">
        <v>0.0</v>
      </c>
    </row>
    <row r="240">
      <c r="I240" s="719">
        <v>0.0</v>
      </c>
    </row>
    <row r="241">
      <c r="I241" s="719">
        <v>0.0</v>
      </c>
    </row>
    <row r="242">
      <c r="I242" s="719">
        <v>0.0</v>
      </c>
    </row>
    <row r="243">
      <c r="I243" s="719">
        <v>1.0</v>
      </c>
    </row>
    <row r="244">
      <c r="I244" s="719">
        <v>0.0</v>
      </c>
    </row>
    <row r="245">
      <c r="I245" s="719">
        <v>0.0</v>
      </c>
    </row>
    <row r="246">
      <c r="I246" s="719">
        <v>0.0</v>
      </c>
    </row>
    <row r="247">
      <c r="I247" s="719">
        <v>1.0</v>
      </c>
    </row>
    <row r="248">
      <c r="I248" s="719">
        <v>0.0</v>
      </c>
    </row>
    <row r="249">
      <c r="I249" s="335">
        <v>0.0</v>
      </c>
    </row>
    <row r="250">
      <c r="I250" s="335">
        <v>0.0</v>
      </c>
    </row>
    <row r="251">
      <c r="I251" s="335">
        <v>0.0</v>
      </c>
    </row>
    <row r="252">
      <c r="I252" s="335">
        <v>0.0</v>
      </c>
    </row>
    <row r="253">
      <c r="I253" s="335">
        <v>0.0</v>
      </c>
    </row>
    <row r="254">
      <c r="I254" s="335">
        <v>0.0</v>
      </c>
    </row>
    <row r="255">
      <c r="I255" s="335">
        <v>0.0</v>
      </c>
    </row>
    <row r="256">
      <c r="I256" s="335">
        <v>1.0</v>
      </c>
    </row>
    <row r="257">
      <c r="I257" s="335">
        <v>1.0</v>
      </c>
    </row>
    <row r="258">
      <c r="I258" s="335">
        <v>0.0</v>
      </c>
    </row>
    <row r="259">
      <c r="I259" s="335">
        <v>0.0</v>
      </c>
    </row>
    <row r="260">
      <c r="I260" s="335">
        <v>1.0</v>
      </c>
    </row>
    <row r="261">
      <c r="I261" s="335">
        <v>0.0</v>
      </c>
    </row>
    <row r="262">
      <c r="I262" s="335">
        <v>1.0</v>
      </c>
    </row>
    <row r="263">
      <c r="I263" s="335">
        <v>0.0</v>
      </c>
    </row>
    <row r="264">
      <c r="I264" s="335">
        <v>1.0</v>
      </c>
    </row>
    <row r="265">
      <c r="I265" s="335">
        <v>0.0</v>
      </c>
    </row>
    <row r="266">
      <c r="I266" s="335">
        <v>1.0</v>
      </c>
    </row>
    <row r="267">
      <c r="I267" s="335">
        <v>1.0</v>
      </c>
    </row>
    <row r="268">
      <c r="I268" s="335">
        <v>0.0</v>
      </c>
    </row>
    <row r="269">
      <c r="I269" s="335">
        <v>1.0</v>
      </c>
    </row>
    <row r="270">
      <c r="I270" s="335">
        <v>0.0</v>
      </c>
    </row>
    <row r="271">
      <c r="I271" s="335">
        <v>1.0</v>
      </c>
    </row>
    <row r="272">
      <c r="I272" s="335">
        <v>0.0</v>
      </c>
    </row>
    <row r="273">
      <c r="I273" s="335">
        <v>0.0</v>
      </c>
    </row>
    <row r="274">
      <c r="I274" s="335">
        <v>0.0</v>
      </c>
    </row>
    <row r="275">
      <c r="I275" s="335">
        <v>1.0</v>
      </c>
    </row>
    <row r="276">
      <c r="I276" s="335">
        <v>0.0</v>
      </c>
    </row>
    <row r="277">
      <c r="I277" s="335">
        <v>0.0</v>
      </c>
    </row>
    <row r="278">
      <c r="I278" s="335">
        <v>0.0</v>
      </c>
    </row>
    <row r="279">
      <c r="I279" s="335">
        <v>1.0</v>
      </c>
    </row>
    <row r="280">
      <c r="I280" s="335">
        <v>0.0</v>
      </c>
    </row>
    <row r="281">
      <c r="I281" s="335">
        <v>0.0</v>
      </c>
    </row>
    <row r="282">
      <c r="I282" s="335">
        <v>0.0</v>
      </c>
    </row>
    <row r="283">
      <c r="I283" s="335">
        <v>0.0</v>
      </c>
    </row>
    <row r="284">
      <c r="I284" s="335">
        <v>1.0</v>
      </c>
    </row>
    <row r="285">
      <c r="I285" s="335">
        <v>1.0</v>
      </c>
    </row>
    <row r="286">
      <c r="I286" s="335">
        <v>0.0</v>
      </c>
    </row>
    <row r="287">
      <c r="I287" s="335">
        <v>0.0</v>
      </c>
    </row>
    <row r="288">
      <c r="I288" s="335">
        <v>1.0</v>
      </c>
    </row>
    <row r="289">
      <c r="I289" s="335">
        <v>1.0</v>
      </c>
    </row>
    <row r="290">
      <c r="I290" s="335">
        <v>1.0</v>
      </c>
    </row>
    <row r="291">
      <c r="I291" s="335">
        <v>0.0</v>
      </c>
    </row>
    <row r="292">
      <c r="I292" s="335">
        <v>1.0</v>
      </c>
    </row>
    <row r="293">
      <c r="I293" s="335">
        <v>1.0</v>
      </c>
    </row>
    <row r="294">
      <c r="I294" s="335">
        <v>1.0</v>
      </c>
    </row>
    <row r="295">
      <c r="I295" s="335">
        <v>1.0</v>
      </c>
    </row>
    <row r="296">
      <c r="I296" s="335">
        <v>1.0</v>
      </c>
    </row>
    <row r="297">
      <c r="I297" s="335">
        <v>1.0</v>
      </c>
    </row>
    <row r="298">
      <c r="I298" s="335">
        <v>1.0</v>
      </c>
    </row>
    <row r="299">
      <c r="I299" s="335">
        <v>1.0</v>
      </c>
    </row>
    <row r="300">
      <c r="I300" s="335">
        <v>0.0</v>
      </c>
    </row>
    <row r="301">
      <c r="I301" s="335">
        <v>1.0</v>
      </c>
    </row>
    <row r="302">
      <c r="I302" s="335">
        <v>0.0</v>
      </c>
    </row>
    <row r="303">
      <c r="I303" s="335">
        <v>0.0</v>
      </c>
    </row>
    <row r="304">
      <c r="I304" s="335">
        <v>1.0</v>
      </c>
    </row>
    <row r="305">
      <c r="I305" s="335">
        <v>0.0</v>
      </c>
    </row>
    <row r="306">
      <c r="I306" s="335">
        <v>0.0</v>
      </c>
    </row>
    <row r="307">
      <c r="I307" s="335">
        <v>1.0</v>
      </c>
    </row>
    <row r="308">
      <c r="I308" s="335">
        <v>1.0</v>
      </c>
    </row>
    <row r="309">
      <c r="I309" s="335">
        <v>0.0</v>
      </c>
    </row>
    <row r="310">
      <c r="I310" s="335">
        <v>1.0</v>
      </c>
    </row>
    <row r="311">
      <c r="I311" s="335">
        <v>1.0</v>
      </c>
    </row>
    <row r="312">
      <c r="I312" s="335">
        <v>1.0</v>
      </c>
    </row>
    <row r="313">
      <c r="I313" s="335">
        <v>0.0</v>
      </c>
    </row>
    <row r="314">
      <c r="I314" s="335">
        <v>1.0</v>
      </c>
    </row>
    <row r="315">
      <c r="I315" s="335">
        <v>1.0</v>
      </c>
    </row>
    <row r="316">
      <c r="I316" s="335">
        <v>0.0</v>
      </c>
    </row>
    <row r="317">
      <c r="I317" s="335">
        <v>1.0</v>
      </c>
    </row>
    <row r="318">
      <c r="I318" s="335">
        <v>1.0</v>
      </c>
    </row>
    <row r="319">
      <c r="I319" s="335">
        <v>2.0</v>
      </c>
    </row>
    <row r="320">
      <c r="I320" s="335">
        <v>1.0</v>
      </c>
    </row>
    <row r="321">
      <c r="I321" s="335">
        <v>1.0</v>
      </c>
    </row>
    <row r="322">
      <c r="I322" s="335">
        <v>1.0</v>
      </c>
    </row>
    <row r="323">
      <c r="I323" s="335">
        <v>0.0</v>
      </c>
    </row>
    <row r="324">
      <c r="I324" s="335">
        <v>1.0</v>
      </c>
    </row>
    <row r="325">
      <c r="I325" s="335">
        <v>1.0</v>
      </c>
    </row>
    <row r="326">
      <c r="I326" s="335">
        <v>1.0</v>
      </c>
    </row>
    <row r="327">
      <c r="I327" s="335">
        <v>0.0</v>
      </c>
    </row>
    <row r="328">
      <c r="I328" s="335">
        <v>0.0</v>
      </c>
    </row>
    <row r="329">
      <c r="I329" s="335">
        <v>0.0</v>
      </c>
    </row>
    <row r="330">
      <c r="I330" s="335">
        <v>1.0</v>
      </c>
    </row>
    <row r="331">
      <c r="I331" s="335">
        <v>0.0</v>
      </c>
    </row>
    <row r="332">
      <c r="I332" s="335">
        <v>1.0</v>
      </c>
    </row>
    <row r="333">
      <c r="I333" s="335">
        <v>1.0</v>
      </c>
    </row>
    <row r="334">
      <c r="I334" s="335">
        <v>0.0</v>
      </c>
    </row>
    <row r="335">
      <c r="I335" s="335">
        <v>1.0</v>
      </c>
    </row>
    <row r="336">
      <c r="I336" s="335">
        <v>0.0</v>
      </c>
    </row>
    <row r="337">
      <c r="I337" s="335">
        <v>0.0</v>
      </c>
    </row>
    <row r="338">
      <c r="I338" s="335">
        <v>1.0</v>
      </c>
    </row>
    <row r="339">
      <c r="I339" s="335">
        <v>1.0</v>
      </c>
    </row>
    <row r="340">
      <c r="I340" s="335">
        <v>1.0</v>
      </c>
    </row>
    <row r="341">
      <c r="I341" s="335">
        <v>0.0</v>
      </c>
    </row>
    <row r="342">
      <c r="I342" s="335">
        <v>1.0</v>
      </c>
    </row>
    <row r="343">
      <c r="I343" s="335">
        <v>1.0</v>
      </c>
    </row>
    <row r="344">
      <c r="I344" s="335">
        <v>1.0</v>
      </c>
    </row>
    <row r="345">
      <c r="I345" s="335">
        <v>1.0</v>
      </c>
    </row>
    <row r="346">
      <c r="I346" s="335">
        <v>1.0</v>
      </c>
    </row>
    <row r="347">
      <c r="I347" s="335">
        <v>1.0</v>
      </c>
    </row>
    <row r="348">
      <c r="I348" s="335">
        <v>0.0</v>
      </c>
    </row>
    <row r="349">
      <c r="I349" s="335">
        <v>1.0</v>
      </c>
    </row>
    <row r="350">
      <c r="I350" s="335">
        <v>0.0</v>
      </c>
    </row>
    <row r="351">
      <c r="I351" s="335">
        <v>1.0</v>
      </c>
    </row>
    <row r="352">
      <c r="I352" s="335">
        <v>0.0</v>
      </c>
    </row>
    <row r="353">
      <c r="I353" s="335">
        <v>1.0</v>
      </c>
    </row>
    <row r="354">
      <c r="I354" s="335">
        <v>1.0</v>
      </c>
    </row>
    <row r="355">
      <c r="I355" s="335">
        <v>0.0</v>
      </c>
    </row>
    <row r="356">
      <c r="I356" s="335">
        <v>1.0</v>
      </c>
    </row>
    <row r="357">
      <c r="I357" s="335">
        <v>0.0</v>
      </c>
    </row>
    <row r="358">
      <c r="I358" s="335">
        <v>1.0</v>
      </c>
    </row>
    <row r="359">
      <c r="I359" s="335">
        <v>1.0</v>
      </c>
    </row>
    <row r="360">
      <c r="I360" s="335">
        <v>1.0</v>
      </c>
    </row>
    <row r="361">
      <c r="G361" s="584"/>
      <c r="H361" s="584"/>
      <c r="I361" s="335" t="s">
        <v>3494</v>
      </c>
    </row>
    <row r="362">
      <c r="G362" s="584"/>
      <c r="H362" s="584"/>
      <c r="I362" s="335" t="s">
        <v>3494</v>
      </c>
    </row>
    <row r="363">
      <c r="G363" s="584"/>
      <c r="H363" s="584"/>
      <c r="I363" s="335" t="s">
        <v>3494</v>
      </c>
    </row>
    <row r="364">
      <c r="G364" s="584"/>
      <c r="H364" s="584"/>
      <c r="I364" s="335" t="s">
        <v>3494</v>
      </c>
    </row>
    <row r="365">
      <c r="G365" s="584"/>
      <c r="H365" s="584"/>
      <c r="I365" s="335" t="s">
        <v>3494</v>
      </c>
    </row>
    <row r="366">
      <c r="G366" s="584"/>
      <c r="H366" s="584"/>
      <c r="I366" s="335" t="s">
        <v>3494</v>
      </c>
    </row>
    <row r="367">
      <c r="G367" s="584"/>
      <c r="H367" s="584"/>
      <c r="I367" s="335" t="s">
        <v>3494</v>
      </c>
    </row>
    <row r="368">
      <c r="G368" s="584"/>
      <c r="H368" s="584"/>
      <c r="I368" s="335" t="s">
        <v>3494</v>
      </c>
    </row>
    <row r="369">
      <c r="G369" s="584"/>
      <c r="H369" s="584"/>
      <c r="I369" s="335" t="s">
        <v>3494</v>
      </c>
    </row>
    <row r="370">
      <c r="G370" s="584"/>
      <c r="H370" s="584"/>
      <c r="I370" s="335" t="s">
        <v>3494</v>
      </c>
    </row>
    <row r="371">
      <c r="G371" s="584"/>
      <c r="H371" s="584"/>
      <c r="I371" s="335" t="s">
        <v>3494</v>
      </c>
    </row>
    <row r="372">
      <c r="G372" s="584"/>
      <c r="H372" s="584"/>
      <c r="I372" s="335" t="s">
        <v>3494</v>
      </c>
    </row>
    <row r="373">
      <c r="G373" s="584"/>
      <c r="H373" s="584"/>
      <c r="I373" s="335" t="s">
        <v>3494</v>
      </c>
    </row>
    <row r="374">
      <c r="G374" s="584"/>
      <c r="H374" s="584"/>
      <c r="I374" s="335" t="s">
        <v>3494</v>
      </c>
    </row>
    <row r="375">
      <c r="G375" s="584"/>
      <c r="H375" s="584"/>
      <c r="I375" s="335" t="s">
        <v>3494</v>
      </c>
    </row>
    <row r="376">
      <c r="G376" s="584"/>
      <c r="H376" s="584"/>
      <c r="I376" s="335" t="s">
        <v>3494</v>
      </c>
    </row>
    <row r="377">
      <c r="G377" s="584"/>
      <c r="H377" s="584"/>
      <c r="I377" s="335" t="s">
        <v>3494</v>
      </c>
    </row>
    <row r="378">
      <c r="G378" s="584"/>
      <c r="H378" s="584"/>
      <c r="I378" s="335" t="s">
        <v>3494</v>
      </c>
    </row>
    <row r="379">
      <c r="G379" s="584"/>
      <c r="H379" s="584"/>
      <c r="I379" s="335" t="s">
        <v>3494</v>
      </c>
    </row>
    <row r="380">
      <c r="G380" s="584"/>
      <c r="H380" s="584"/>
      <c r="I380" s="335" t="s">
        <v>3494</v>
      </c>
    </row>
    <row r="381">
      <c r="G381" s="584"/>
      <c r="H381" s="584"/>
      <c r="I381" s="335" t="s">
        <v>3494</v>
      </c>
    </row>
    <row r="382">
      <c r="G382" s="584"/>
      <c r="H382" s="584"/>
      <c r="I382" s="335" t="s">
        <v>3494</v>
      </c>
    </row>
    <row r="383">
      <c r="G383" s="584"/>
      <c r="H383" s="584"/>
      <c r="I383" s="335" t="s">
        <v>3494</v>
      </c>
    </row>
    <row r="384">
      <c r="G384" s="584"/>
      <c r="H384" s="584"/>
      <c r="I384" s="335" t="s">
        <v>3494</v>
      </c>
    </row>
    <row r="385">
      <c r="G385" s="584"/>
      <c r="H385" s="584"/>
      <c r="I385" s="335" t="s">
        <v>3494</v>
      </c>
    </row>
    <row r="386">
      <c r="G386" s="584"/>
      <c r="H386" s="584"/>
      <c r="I386" s="335" t="s">
        <v>3494</v>
      </c>
    </row>
    <row r="387">
      <c r="G387" s="584"/>
      <c r="H387" s="584"/>
      <c r="I387" s="335" t="s">
        <v>3494</v>
      </c>
    </row>
    <row r="388">
      <c r="G388" s="584"/>
      <c r="H388" s="584"/>
      <c r="I388" s="335" t="s">
        <v>3494</v>
      </c>
    </row>
    <row r="389">
      <c r="G389" s="584"/>
      <c r="H389" s="584"/>
      <c r="I389" s="335" t="s">
        <v>3494</v>
      </c>
    </row>
    <row r="390">
      <c r="G390" s="584"/>
      <c r="H390" s="584"/>
      <c r="I390" s="335" t="s">
        <v>3494</v>
      </c>
    </row>
    <row r="391">
      <c r="G391" s="584"/>
      <c r="H391" s="584"/>
      <c r="I391" s="335" t="s">
        <v>3494</v>
      </c>
    </row>
    <row r="392">
      <c r="G392" s="584"/>
      <c r="H392" s="584"/>
      <c r="I392" s="335" t="s">
        <v>3494</v>
      </c>
    </row>
    <row r="393">
      <c r="G393" s="584"/>
      <c r="H393" s="584"/>
      <c r="I393" s="335" t="s">
        <v>3494</v>
      </c>
    </row>
    <row r="394">
      <c r="G394" s="584"/>
      <c r="H394" s="584"/>
      <c r="I394" s="335" t="s">
        <v>3494</v>
      </c>
    </row>
    <row r="395">
      <c r="G395" s="584"/>
      <c r="H395" s="584"/>
      <c r="I395" s="335" t="s">
        <v>3494</v>
      </c>
    </row>
    <row r="396">
      <c r="G396" s="584"/>
      <c r="H396" s="584"/>
      <c r="I396" s="335" t="s">
        <v>3494</v>
      </c>
    </row>
    <row r="397">
      <c r="G397" s="584"/>
      <c r="H397" s="584"/>
      <c r="I397" s="335" t="s">
        <v>3494</v>
      </c>
    </row>
    <row r="398">
      <c r="G398" s="584"/>
      <c r="H398" s="584"/>
      <c r="I398" s="335" t="s">
        <v>3494</v>
      </c>
    </row>
    <row r="399">
      <c r="G399" s="584"/>
      <c r="H399" s="584"/>
      <c r="I399" s="335" t="s">
        <v>3494</v>
      </c>
    </row>
    <row r="400">
      <c r="G400" s="584"/>
      <c r="H400" s="584"/>
      <c r="I400" s="335" t="s">
        <v>3494</v>
      </c>
    </row>
    <row r="401">
      <c r="G401" s="584"/>
      <c r="H401" s="584"/>
      <c r="I401" s="335" t="s">
        <v>3494</v>
      </c>
    </row>
    <row r="402">
      <c r="G402" s="584"/>
      <c r="H402" s="584"/>
      <c r="I402" s="335" t="s">
        <v>3494</v>
      </c>
    </row>
    <row r="403">
      <c r="G403" s="584"/>
      <c r="H403" s="584"/>
      <c r="I403" s="335" t="s">
        <v>3494</v>
      </c>
    </row>
    <row r="404">
      <c r="G404" s="584"/>
      <c r="H404" s="584"/>
      <c r="I404" s="335" t="s">
        <v>3494</v>
      </c>
    </row>
    <row r="405">
      <c r="G405" s="584"/>
      <c r="H405" s="584"/>
      <c r="I405" s="335" t="s">
        <v>3494</v>
      </c>
    </row>
    <row r="406">
      <c r="G406" s="584"/>
      <c r="H406" s="584"/>
      <c r="I406" s="335" t="s">
        <v>3494</v>
      </c>
    </row>
    <row r="407">
      <c r="G407" s="584"/>
      <c r="H407" s="584"/>
      <c r="I407" s="335" t="s">
        <v>3494</v>
      </c>
    </row>
    <row r="408">
      <c r="G408" s="584"/>
      <c r="H408" s="584"/>
      <c r="I408" s="335" t="s">
        <v>3494</v>
      </c>
    </row>
    <row r="409">
      <c r="G409" s="584"/>
      <c r="H409" s="584"/>
      <c r="I409" s="335" t="s">
        <v>3494</v>
      </c>
    </row>
    <row r="410">
      <c r="G410" s="584"/>
      <c r="H410" s="584"/>
      <c r="I410" s="335" t="s">
        <v>3494</v>
      </c>
    </row>
    <row r="411">
      <c r="G411" s="584"/>
      <c r="H411" s="584"/>
      <c r="I411" s="335" t="s">
        <v>3494</v>
      </c>
    </row>
    <row r="412">
      <c r="G412" s="584"/>
      <c r="H412" s="584"/>
      <c r="I412" s="335" t="s">
        <v>3494</v>
      </c>
    </row>
    <row r="413">
      <c r="G413" s="584"/>
      <c r="H413" s="584"/>
      <c r="I413" s="335" t="s">
        <v>3494</v>
      </c>
    </row>
    <row r="414">
      <c r="G414" s="584"/>
      <c r="H414" s="584"/>
      <c r="I414" s="335" t="s">
        <v>3494</v>
      </c>
    </row>
    <row r="415">
      <c r="G415" s="584"/>
      <c r="H415" s="584"/>
      <c r="I415" s="335" t="s">
        <v>3494</v>
      </c>
    </row>
    <row r="416">
      <c r="G416" s="584"/>
      <c r="H416" s="584"/>
      <c r="I416" s="335" t="s">
        <v>3494</v>
      </c>
    </row>
    <row r="417">
      <c r="G417" s="584"/>
      <c r="H417" s="584"/>
      <c r="I417" s="335" t="s">
        <v>3494</v>
      </c>
    </row>
    <row r="418">
      <c r="G418" s="584"/>
      <c r="H418" s="584"/>
      <c r="I418" s="335" t="s">
        <v>3494</v>
      </c>
    </row>
    <row r="419">
      <c r="G419" s="584"/>
      <c r="H419" s="584"/>
      <c r="I419" s="335" t="s">
        <v>3494</v>
      </c>
    </row>
    <row r="420">
      <c r="G420" s="584"/>
      <c r="H420" s="584"/>
      <c r="I420" s="335" t="s">
        <v>3494</v>
      </c>
    </row>
    <row r="421">
      <c r="G421" s="584"/>
      <c r="H421" s="584"/>
      <c r="I421" s="335" t="s">
        <v>3494</v>
      </c>
    </row>
    <row r="422">
      <c r="G422" s="584"/>
      <c r="H422" s="584"/>
      <c r="I422" s="335" t="s">
        <v>3494</v>
      </c>
    </row>
    <row r="423">
      <c r="G423" s="584"/>
      <c r="H423" s="584"/>
      <c r="I423" s="335" t="s">
        <v>3494</v>
      </c>
    </row>
    <row r="424">
      <c r="G424" s="584"/>
      <c r="H424" s="584"/>
      <c r="I424" s="335" t="s">
        <v>3494</v>
      </c>
    </row>
    <row r="425">
      <c r="G425" s="584"/>
      <c r="H425" s="584"/>
      <c r="I425" s="335" t="s">
        <v>3494</v>
      </c>
    </row>
    <row r="426">
      <c r="G426" s="584"/>
      <c r="H426" s="584"/>
      <c r="I426" s="335" t="s">
        <v>3494</v>
      </c>
    </row>
    <row r="427">
      <c r="G427" s="584"/>
      <c r="H427" s="584"/>
      <c r="I427" s="335" t="s">
        <v>3494</v>
      </c>
    </row>
    <row r="428">
      <c r="G428" s="584"/>
      <c r="H428" s="584"/>
      <c r="I428" s="335" t="s">
        <v>3494</v>
      </c>
    </row>
    <row r="429">
      <c r="G429" s="584"/>
      <c r="H429" s="584"/>
      <c r="I429" s="335" t="s">
        <v>3494</v>
      </c>
    </row>
    <row r="430">
      <c r="G430" s="584"/>
      <c r="H430" s="584"/>
      <c r="I430" s="335" t="s">
        <v>3494</v>
      </c>
    </row>
    <row r="431">
      <c r="G431" s="584"/>
      <c r="H431" s="584"/>
      <c r="I431" s="335" t="s">
        <v>3494</v>
      </c>
    </row>
    <row r="432">
      <c r="G432" s="584"/>
      <c r="H432" s="584"/>
      <c r="I432" s="335" t="s">
        <v>3494</v>
      </c>
    </row>
    <row r="433">
      <c r="G433" s="584"/>
      <c r="H433" s="584"/>
      <c r="I433" s="335" t="s">
        <v>3494</v>
      </c>
    </row>
    <row r="434">
      <c r="G434" s="584"/>
      <c r="H434" s="584"/>
      <c r="I434" s="335" t="s">
        <v>3494</v>
      </c>
    </row>
    <row r="435">
      <c r="G435" s="584"/>
      <c r="H435" s="584"/>
      <c r="I435" s="335" t="s">
        <v>3494</v>
      </c>
    </row>
    <row r="436">
      <c r="G436" s="584"/>
      <c r="H436" s="584"/>
      <c r="I436" s="335" t="s">
        <v>3494</v>
      </c>
    </row>
    <row r="437">
      <c r="G437" s="584"/>
      <c r="H437" s="584"/>
      <c r="I437" s="335" t="s">
        <v>3494</v>
      </c>
    </row>
    <row r="438">
      <c r="G438" s="584"/>
      <c r="H438" s="584"/>
      <c r="I438" s="335" t="s">
        <v>3494</v>
      </c>
    </row>
    <row r="439">
      <c r="G439" s="584"/>
      <c r="H439" s="584"/>
      <c r="I439" s="335" t="s">
        <v>3494</v>
      </c>
    </row>
    <row r="440">
      <c r="G440" s="584"/>
      <c r="H440" s="584"/>
      <c r="I440" s="335" t="s">
        <v>3494</v>
      </c>
    </row>
    <row r="441">
      <c r="G441" s="584"/>
      <c r="H441" s="584"/>
      <c r="I441" s="335" t="s">
        <v>3494</v>
      </c>
    </row>
    <row r="442">
      <c r="G442" s="584"/>
      <c r="H442" s="584"/>
      <c r="I442" s="335" t="s">
        <v>3494</v>
      </c>
    </row>
    <row r="443">
      <c r="G443" s="584"/>
      <c r="H443" s="584"/>
      <c r="I443" s="335" t="s">
        <v>3494</v>
      </c>
    </row>
    <row r="444">
      <c r="G444" s="584"/>
      <c r="H444" s="584"/>
      <c r="I444" s="335" t="s">
        <v>3494</v>
      </c>
    </row>
    <row r="445">
      <c r="G445" s="584"/>
      <c r="H445" s="584"/>
      <c r="I445" s="335" t="s">
        <v>3494</v>
      </c>
    </row>
    <row r="446">
      <c r="G446" s="584"/>
      <c r="H446" s="584"/>
      <c r="I446" s="335" t="s">
        <v>3494</v>
      </c>
    </row>
    <row r="447">
      <c r="G447" s="584"/>
      <c r="H447" s="584"/>
      <c r="I447" s="335" t="s">
        <v>3494</v>
      </c>
    </row>
    <row r="448">
      <c r="G448" s="584"/>
      <c r="H448" s="584"/>
      <c r="I448" s="335" t="s">
        <v>3494</v>
      </c>
    </row>
    <row r="449">
      <c r="G449" s="584"/>
      <c r="H449" s="584"/>
      <c r="I449" s="335" t="s">
        <v>3494</v>
      </c>
    </row>
    <row r="450">
      <c r="G450" s="584"/>
      <c r="H450" s="584"/>
      <c r="I450" s="335" t="s">
        <v>3494</v>
      </c>
    </row>
    <row r="451">
      <c r="G451" s="584"/>
      <c r="H451" s="584"/>
      <c r="I451" s="335" t="s">
        <v>3494</v>
      </c>
    </row>
    <row r="452">
      <c r="G452" s="584"/>
      <c r="H452" s="584"/>
      <c r="I452" s="335" t="s">
        <v>3494</v>
      </c>
    </row>
    <row r="453">
      <c r="G453" s="584"/>
      <c r="H453" s="584"/>
      <c r="I453" s="335" t="s">
        <v>3494</v>
      </c>
    </row>
    <row r="454">
      <c r="G454" s="584"/>
      <c r="H454" s="584"/>
      <c r="I454" s="335" t="s">
        <v>3494</v>
      </c>
    </row>
    <row r="455">
      <c r="G455" s="584"/>
      <c r="H455" s="584"/>
      <c r="I455" s="335" t="s">
        <v>3494</v>
      </c>
    </row>
    <row r="456">
      <c r="G456" s="584"/>
      <c r="H456" s="584"/>
      <c r="I456" s="335" t="s">
        <v>3494</v>
      </c>
    </row>
    <row r="457">
      <c r="G457" s="584"/>
      <c r="H457" s="584"/>
      <c r="I457" s="335" t="s">
        <v>3494</v>
      </c>
    </row>
    <row r="458">
      <c r="G458" s="584"/>
      <c r="H458" s="584"/>
      <c r="I458" s="335" t="s">
        <v>3494</v>
      </c>
    </row>
    <row r="459">
      <c r="G459" s="584"/>
      <c r="H459" s="584"/>
      <c r="I459" s="335" t="s">
        <v>3494</v>
      </c>
    </row>
    <row r="460">
      <c r="G460" s="584"/>
      <c r="H460" s="584"/>
      <c r="I460" s="335" t="s">
        <v>3494</v>
      </c>
    </row>
    <row r="461">
      <c r="G461" s="584"/>
      <c r="H461" s="584"/>
      <c r="I461" s="335" t="s">
        <v>3494</v>
      </c>
    </row>
    <row r="462">
      <c r="G462" s="584"/>
      <c r="H462" s="584"/>
      <c r="I462" s="335" t="s">
        <v>3494</v>
      </c>
    </row>
    <row r="463">
      <c r="G463" s="584"/>
      <c r="H463" s="584"/>
      <c r="I463" s="335" t="s">
        <v>3494</v>
      </c>
    </row>
    <row r="464">
      <c r="G464" s="584"/>
      <c r="H464" s="584"/>
      <c r="I464" s="335" t="s">
        <v>3494</v>
      </c>
    </row>
    <row r="465">
      <c r="G465" s="584"/>
      <c r="H465" s="584"/>
      <c r="I465" s="335" t="s">
        <v>3494</v>
      </c>
    </row>
    <row r="466">
      <c r="G466" s="584"/>
      <c r="H466" s="584"/>
      <c r="I466" s="335" t="s">
        <v>3494</v>
      </c>
    </row>
    <row r="467">
      <c r="G467" s="584"/>
      <c r="H467" s="584"/>
      <c r="I467" s="335" t="s">
        <v>3494</v>
      </c>
    </row>
    <row r="468">
      <c r="G468" s="584"/>
      <c r="H468" s="584"/>
      <c r="I468" s="335" t="s">
        <v>3494</v>
      </c>
    </row>
    <row r="469">
      <c r="G469" s="584"/>
      <c r="H469" s="584"/>
      <c r="I469" s="335" t="s">
        <v>3494</v>
      </c>
    </row>
    <row r="470">
      <c r="G470" s="584"/>
      <c r="H470" s="584"/>
      <c r="I470" s="335" t="s">
        <v>3494</v>
      </c>
    </row>
    <row r="471">
      <c r="G471" s="584"/>
      <c r="H471" s="584"/>
      <c r="I471" s="335" t="s">
        <v>3494</v>
      </c>
    </row>
    <row r="472">
      <c r="G472" s="584"/>
      <c r="H472" s="584"/>
      <c r="I472" s="335" t="s">
        <v>3494</v>
      </c>
    </row>
    <row r="473">
      <c r="G473" s="584"/>
      <c r="H473" s="584"/>
      <c r="I473" s="335" t="s">
        <v>3494</v>
      </c>
    </row>
    <row r="474">
      <c r="G474" s="584"/>
      <c r="H474" s="584"/>
      <c r="I474" s="335" t="s">
        <v>3494</v>
      </c>
    </row>
    <row r="475">
      <c r="G475" s="584"/>
      <c r="H475" s="584"/>
      <c r="I475" s="335" t="s">
        <v>3494</v>
      </c>
    </row>
    <row r="476">
      <c r="G476" s="584"/>
      <c r="H476" s="584"/>
      <c r="I476" s="335" t="s">
        <v>3494</v>
      </c>
    </row>
    <row r="477">
      <c r="G477" s="584"/>
      <c r="H477" s="584"/>
      <c r="I477" s="335" t="s">
        <v>3494</v>
      </c>
    </row>
    <row r="478">
      <c r="G478" s="584"/>
      <c r="H478" s="584"/>
      <c r="I478" s="335" t="s">
        <v>3494</v>
      </c>
    </row>
    <row r="479">
      <c r="G479" s="584"/>
      <c r="H479" s="584"/>
      <c r="I479" s="335" t="s">
        <v>3494</v>
      </c>
    </row>
    <row r="480">
      <c r="G480" s="584"/>
      <c r="H480" s="584"/>
      <c r="I480" s="335" t="s">
        <v>3494</v>
      </c>
    </row>
    <row r="481">
      <c r="G481" s="584"/>
      <c r="H481" s="584"/>
      <c r="I481" s="335" t="s">
        <v>3494</v>
      </c>
    </row>
    <row r="482">
      <c r="G482" s="584"/>
      <c r="H482" s="584"/>
      <c r="I482" s="335" t="s">
        <v>3494</v>
      </c>
    </row>
    <row r="483">
      <c r="G483" s="584"/>
      <c r="H483" s="584"/>
      <c r="I483" s="335" t="s">
        <v>3494</v>
      </c>
    </row>
    <row r="484">
      <c r="G484" s="584"/>
      <c r="H484" s="584"/>
      <c r="I484" s="335" t="s">
        <v>3494</v>
      </c>
    </row>
    <row r="485">
      <c r="G485" s="584"/>
      <c r="H485" s="584"/>
      <c r="I485" s="335" t="s">
        <v>3494</v>
      </c>
    </row>
    <row r="486">
      <c r="G486" s="584"/>
      <c r="H486" s="584"/>
      <c r="I486" s="335" t="s">
        <v>3494</v>
      </c>
    </row>
    <row r="487">
      <c r="G487" s="584"/>
      <c r="H487" s="584"/>
      <c r="I487" s="335" t="s">
        <v>3494</v>
      </c>
    </row>
    <row r="488">
      <c r="G488" s="584"/>
      <c r="H488" s="584"/>
      <c r="I488" s="335" t="s">
        <v>3494</v>
      </c>
    </row>
    <row r="489">
      <c r="G489" s="584"/>
      <c r="H489" s="584"/>
      <c r="I489" s="335" t="s">
        <v>3494</v>
      </c>
    </row>
    <row r="490">
      <c r="G490" s="584"/>
      <c r="H490" s="584"/>
      <c r="I490" s="335" t="s">
        <v>3494</v>
      </c>
    </row>
    <row r="491">
      <c r="G491" s="584"/>
      <c r="H491" s="584"/>
      <c r="I491" s="335" t="s">
        <v>3494</v>
      </c>
    </row>
    <row r="492">
      <c r="G492" s="584"/>
      <c r="H492" s="584"/>
      <c r="I492" s="335" t="s">
        <v>3494</v>
      </c>
    </row>
    <row r="493">
      <c r="G493" s="584"/>
      <c r="H493" s="584"/>
      <c r="I493" s="335" t="s">
        <v>3494</v>
      </c>
    </row>
    <row r="494">
      <c r="G494" s="584"/>
      <c r="H494" s="584"/>
      <c r="I494" s="335" t="s">
        <v>3494</v>
      </c>
    </row>
    <row r="495">
      <c r="G495" s="584"/>
      <c r="H495" s="584"/>
      <c r="I495" s="335" t="s">
        <v>3494</v>
      </c>
    </row>
    <row r="496">
      <c r="G496" s="584"/>
      <c r="H496" s="584"/>
      <c r="I496" s="335" t="s">
        <v>3494</v>
      </c>
    </row>
    <row r="497">
      <c r="G497" s="584"/>
      <c r="H497" s="584"/>
      <c r="I497" s="335" t="s">
        <v>3494</v>
      </c>
    </row>
    <row r="498">
      <c r="G498" s="584"/>
      <c r="H498" s="584"/>
      <c r="I498" s="335" t="s">
        <v>3494</v>
      </c>
    </row>
    <row r="499">
      <c r="G499" s="584"/>
      <c r="H499" s="584"/>
      <c r="I499" s="335" t="s">
        <v>3494</v>
      </c>
    </row>
    <row r="500">
      <c r="G500" s="584"/>
      <c r="H500" s="584"/>
      <c r="I500" s="335" t="s">
        <v>3494</v>
      </c>
    </row>
    <row r="501">
      <c r="G501" s="584"/>
      <c r="H501" s="584"/>
      <c r="I501" s="335" t="s">
        <v>3494</v>
      </c>
    </row>
    <row r="502">
      <c r="G502" s="584"/>
      <c r="H502" s="584"/>
      <c r="I502" s="335" t="s">
        <v>3494</v>
      </c>
    </row>
    <row r="503">
      <c r="G503" s="584"/>
      <c r="H503" s="584"/>
      <c r="I503" s="335" t="s">
        <v>3494</v>
      </c>
    </row>
    <row r="504">
      <c r="G504" s="584"/>
      <c r="H504" s="584"/>
      <c r="I504" s="335" t="s">
        <v>3494</v>
      </c>
    </row>
    <row r="505">
      <c r="G505" s="584"/>
      <c r="H505" s="584"/>
      <c r="I505" s="335" t="s">
        <v>3494</v>
      </c>
    </row>
    <row r="506">
      <c r="G506" s="584"/>
      <c r="H506" s="584"/>
      <c r="I506" s="335" t="s">
        <v>3494</v>
      </c>
    </row>
    <row r="507">
      <c r="G507" s="584"/>
      <c r="H507" s="584"/>
      <c r="I507" s="335" t="s">
        <v>3494</v>
      </c>
    </row>
    <row r="508">
      <c r="G508" s="584"/>
      <c r="H508" s="584"/>
      <c r="I508" s="335" t="s">
        <v>3494</v>
      </c>
    </row>
    <row r="509">
      <c r="G509" s="584"/>
      <c r="H509" s="584"/>
      <c r="I509" s="335" t="s">
        <v>3494</v>
      </c>
    </row>
    <row r="510">
      <c r="G510" s="584"/>
      <c r="H510" s="584"/>
      <c r="I510" s="335" t="s">
        <v>3494</v>
      </c>
    </row>
    <row r="511">
      <c r="G511" s="584"/>
      <c r="H511" s="584"/>
      <c r="I511" s="335" t="s">
        <v>3494</v>
      </c>
    </row>
    <row r="512">
      <c r="G512" s="584"/>
      <c r="H512" s="584"/>
      <c r="I512" s="335" t="s">
        <v>3494</v>
      </c>
    </row>
    <row r="513">
      <c r="G513" s="584"/>
      <c r="H513" s="584"/>
      <c r="I513" s="335" t="s">
        <v>3494</v>
      </c>
    </row>
    <row r="514">
      <c r="G514" s="584"/>
      <c r="H514" s="584"/>
      <c r="I514" s="335" t="s">
        <v>3494</v>
      </c>
    </row>
    <row r="515">
      <c r="G515" s="584"/>
      <c r="H515" s="584"/>
      <c r="I515" s="335" t="s">
        <v>3494</v>
      </c>
    </row>
    <row r="516">
      <c r="G516" s="584"/>
      <c r="H516" s="584"/>
      <c r="I516" s="335" t="s">
        <v>3494</v>
      </c>
    </row>
    <row r="517">
      <c r="G517" s="584"/>
      <c r="H517" s="584"/>
      <c r="I517" s="335" t="s">
        <v>3494</v>
      </c>
    </row>
    <row r="518">
      <c r="G518" s="584"/>
      <c r="H518" s="584"/>
      <c r="I518" s="335" t="s">
        <v>3494</v>
      </c>
    </row>
    <row r="519">
      <c r="G519" s="584"/>
      <c r="H519" s="584"/>
      <c r="I519" s="335" t="s">
        <v>3494</v>
      </c>
    </row>
    <row r="520">
      <c r="G520" s="584"/>
      <c r="H520" s="584"/>
      <c r="I520" s="335" t="s">
        <v>3494</v>
      </c>
    </row>
    <row r="521">
      <c r="G521" s="584"/>
      <c r="H521" s="584"/>
      <c r="I521" s="335" t="s">
        <v>3494</v>
      </c>
    </row>
    <row r="522">
      <c r="G522" s="584"/>
      <c r="H522" s="584"/>
      <c r="I522" s="335" t="s">
        <v>3494</v>
      </c>
    </row>
    <row r="523">
      <c r="G523" s="584"/>
      <c r="H523" s="584"/>
      <c r="I523" s="335" t="s">
        <v>3494</v>
      </c>
    </row>
    <row r="524">
      <c r="G524" s="584"/>
      <c r="H524" s="584"/>
      <c r="I524" s="335" t="s">
        <v>3494</v>
      </c>
    </row>
    <row r="525">
      <c r="G525" s="584"/>
      <c r="H525" s="584"/>
      <c r="I525" s="335" t="s">
        <v>3494</v>
      </c>
    </row>
    <row r="526">
      <c r="G526" s="584"/>
      <c r="H526" s="584"/>
      <c r="I526" s="335" t="s">
        <v>3494</v>
      </c>
    </row>
    <row r="527">
      <c r="G527" s="584"/>
      <c r="H527" s="584"/>
      <c r="I527" s="335" t="s">
        <v>3494</v>
      </c>
    </row>
    <row r="528">
      <c r="G528" s="584"/>
      <c r="H528" s="584"/>
      <c r="I528" s="335" t="s">
        <v>3494</v>
      </c>
    </row>
    <row r="529">
      <c r="G529" s="584"/>
      <c r="H529" s="584"/>
      <c r="I529" s="335" t="s">
        <v>3494</v>
      </c>
    </row>
    <row r="530">
      <c r="G530" s="584"/>
      <c r="H530" s="584"/>
      <c r="I530" s="335" t="s">
        <v>3494</v>
      </c>
    </row>
    <row r="531">
      <c r="G531" s="584"/>
      <c r="H531" s="584"/>
      <c r="I531" s="335" t="s">
        <v>3494</v>
      </c>
    </row>
    <row r="532">
      <c r="G532" s="584"/>
      <c r="H532" s="584"/>
      <c r="I532" s="335" t="s">
        <v>3494</v>
      </c>
    </row>
    <row r="533">
      <c r="G533" s="584"/>
      <c r="H533" s="584"/>
      <c r="I533" s="335" t="s">
        <v>3494</v>
      </c>
    </row>
    <row r="534">
      <c r="G534" s="584"/>
      <c r="H534" s="584"/>
      <c r="I534" s="335" t="s">
        <v>3494</v>
      </c>
    </row>
    <row r="535">
      <c r="G535" s="584"/>
      <c r="H535" s="584"/>
      <c r="I535" s="335" t="s">
        <v>3494</v>
      </c>
    </row>
    <row r="536">
      <c r="G536" s="584"/>
      <c r="H536" s="584"/>
      <c r="I536" s="335" t="s">
        <v>3494</v>
      </c>
    </row>
    <row r="537">
      <c r="G537" s="584"/>
      <c r="H537" s="584"/>
      <c r="I537" s="335" t="s">
        <v>3494</v>
      </c>
    </row>
    <row r="538">
      <c r="G538" s="584"/>
      <c r="H538" s="584"/>
      <c r="I538" s="335" t="s">
        <v>3494</v>
      </c>
    </row>
    <row r="539">
      <c r="G539" s="584"/>
      <c r="H539" s="584"/>
      <c r="I539" s="335" t="s">
        <v>3494</v>
      </c>
    </row>
    <row r="540">
      <c r="G540" s="584"/>
      <c r="H540" s="584"/>
      <c r="I540" s="335" t="s">
        <v>3494</v>
      </c>
    </row>
    <row r="541">
      <c r="G541" s="584"/>
      <c r="H541" s="584"/>
      <c r="I541" s="335" t="s">
        <v>3494</v>
      </c>
    </row>
    <row r="542">
      <c r="G542" s="584"/>
      <c r="H542" s="584"/>
      <c r="I542" s="335" t="s">
        <v>3494</v>
      </c>
    </row>
    <row r="543">
      <c r="G543" s="584"/>
      <c r="H543" s="584"/>
      <c r="I543" s="335" t="s">
        <v>3494</v>
      </c>
    </row>
    <row r="544">
      <c r="G544" s="584"/>
      <c r="H544" s="584"/>
      <c r="I544" s="335" t="s">
        <v>3494</v>
      </c>
    </row>
    <row r="545">
      <c r="G545" s="584"/>
      <c r="H545" s="584"/>
      <c r="I545" s="335" t="s">
        <v>3494</v>
      </c>
    </row>
    <row r="546">
      <c r="G546" s="584"/>
      <c r="H546" s="584"/>
      <c r="I546" s="335" t="s">
        <v>3494</v>
      </c>
    </row>
    <row r="547">
      <c r="G547" s="584"/>
      <c r="H547" s="584"/>
      <c r="I547" s="335" t="s">
        <v>3494</v>
      </c>
    </row>
    <row r="548">
      <c r="G548" s="584"/>
      <c r="H548" s="584"/>
      <c r="I548" s="335" t="s">
        <v>3494</v>
      </c>
    </row>
    <row r="549">
      <c r="G549" s="584"/>
      <c r="H549" s="584"/>
      <c r="I549" s="335" t="s">
        <v>3494</v>
      </c>
    </row>
    <row r="550">
      <c r="G550" s="584"/>
      <c r="H550" s="584"/>
      <c r="I550" s="335" t="s">
        <v>3494</v>
      </c>
    </row>
    <row r="551">
      <c r="G551" s="584"/>
      <c r="H551" s="584"/>
      <c r="I551" s="335" t="s">
        <v>3494</v>
      </c>
    </row>
    <row r="552">
      <c r="G552" s="584"/>
      <c r="H552" s="584"/>
      <c r="I552" s="335" t="s">
        <v>3494</v>
      </c>
    </row>
    <row r="553">
      <c r="G553" s="584"/>
      <c r="H553" s="584"/>
      <c r="I553" s="335" t="s">
        <v>3494</v>
      </c>
    </row>
    <row r="554">
      <c r="G554" s="584"/>
      <c r="H554" s="584"/>
      <c r="I554" s="335" t="s">
        <v>3494</v>
      </c>
    </row>
    <row r="555">
      <c r="G555" s="584"/>
      <c r="H555" s="584"/>
      <c r="I555" s="335" t="s">
        <v>3494</v>
      </c>
    </row>
    <row r="556">
      <c r="G556" s="584"/>
      <c r="H556" s="584"/>
      <c r="I556" s="335" t="s">
        <v>3494</v>
      </c>
    </row>
    <row r="557">
      <c r="G557" s="584"/>
      <c r="H557" s="584"/>
      <c r="I557" s="335" t="s">
        <v>3494</v>
      </c>
    </row>
    <row r="558">
      <c r="G558" s="584"/>
      <c r="H558" s="584"/>
      <c r="I558" s="335" t="s">
        <v>3494</v>
      </c>
    </row>
    <row r="559">
      <c r="G559" s="584"/>
      <c r="H559" s="584"/>
      <c r="I559" s="335" t="s">
        <v>3494</v>
      </c>
    </row>
    <row r="560">
      <c r="G560" s="584"/>
      <c r="H560" s="584"/>
      <c r="I560" s="335" t="s">
        <v>3494</v>
      </c>
    </row>
    <row r="561">
      <c r="G561" s="584"/>
      <c r="H561" s="584"/>
      <c r="I561" s="335" t="s">
        <v>3494</v>
      </c>
    </row>
    <row r="562">
      <c r="G562" s="584"/>
      <c r="H562" s="584"/>
      <c r="I562" s="335" t="s">
        <v>3494</v>
      </c>
    </row>
    <row r="563">
      <c r="G563" s="584"/>
      <c r="H563" s="584"/>
      <c r="I563" s="335" t="s">
        <v>3494</v>
      </c>
    </row>
    <row r="564">
      <c r="G564" s="584"/>
      <c r="H564" s="584"/>
      <c r="I564" s="335" t="s">
        <v>3494</v>
      </c>
    </row>
    <row r="565">
      <c r="G565" s="584"/>
      <c r="H565" s="584"/>
      <c r="I565" s="335" t="s">
        <v>3494</v>
      </c>
    </row>
    <row r="566">
      <c r="G566" s="584"/>
      <c r="H566" s="584"/>
      <c r="I566" s="335" t="s">
        <v>3494</v>
      </c>
    </row>
    <row r="567">
      <c r="G567" s="584"/>
      <c r="H567" s="584"/>
      <c r="I567" s="335" t="s">
        <v>3494</v>
      </c>
    </row>
    <row r="568">
      <c r="G568" s="584"/>
      <c r="H568" s="584"/>
      <c r="I568" s="335" t="s">
        <v>3494</v>
      </c>
    </row>
    <row r="569">
      <c r="G569" s="584"/>
      <c r="H569" s="584"/>
      <c r="I569" s="335" t="s">
        <v>3494</v>
      </c>
    </row>
    <row r="570">
      <c r="G570" s="584"/>
      <c r="H570" s="584"/>
      <c r="I570" s="335" t="s">
        <v>3494</v>
      </c>
    </row>
    <row r="571">
      <c r="G571" s="584"/>
      <c r="H571" s="584"/>
      <c r="I571" s="335" t="s">
        <v>3494</v>
      </c>
    </row>
    <row r="572">
      <c r="G572" s="584"/>
      <c r="H572" s="584"/>
      <c r="I572" s="335" t="s">
        <v>3494</v>
      </c>
    </row>
    <row r="573">
      <c r="G573" s="584"/>
      <c r="H573" s="584"/>
      <c r="I573" s="335" t="s">
        <v>3494</v>
      </c>
    </row>
    <row r="574">
      <c r="G574" s="584"/>
      <c r="H574" s="584"/>
      <c r="I574" s="335" t="s">
        <v>3494</v>
      </c>
    </row>
    <row r="575">
      <c r="G575" s="584"/>
      <c r="H575" s="584"/>
      <c r="I575" s="335" t="s">
        <v>3494</v>
      </c>
    </row>
    <row r="576">
      <c r="G576" s="584"/>
      <c r="H576" s="584"/>
      <c r="I576" s="335" t="s">
        <v>3494</v>
      </c>
    </row>
    <row r="577">
      <c r="G577" s="584"/>
      <c r="H577" s="584"/>
      <c r="I577" s="335" t="s">
        <v>3494</v>
      </c>
    </row>
    <row r="578">
      <c r="G578" s="584"/>
      <c r="H578" s="584"/>
      <c r="I578" s="335" t="s">
        <v>3494</v>
      </c>
    </row>
    <row r="579">
      <c r="G579" s="584"/>
      <c r="H579" s="584"/>
      <c r="I579" s="335" t="s">
        <v>3494</v>
      </c>
    </row>
    <row r="580">
      <c r="G580" s="584"/>
      <c r="H580" s="584"/>
      <c r="I580" s="335" t="s">
        <v>3494</v>
      </c>
    </row>
    <row r="581">
      <c r="G581" s="584"/>
      <c r="H581" s="584"/>
      <c r="I581" s="335" t="s">
        <v>3494</v>
      </c>
    </row>
    <row r="582">
      <c r="G582" s="584"/>
      <c r="H582" s="584"/>
      <c r="I582" s="335" t="s">
        <v>3494</v>
      </c>
    </row>
    <row r="583">
      <c r="G583" s="584"/>
      <c r="H583" s="584"/>
      <c r="I583" s="335" t="s">
        <v>3494</v>
      </c>
    </row>
    <row r="584">
      <c r="G584" s="584"/>
      <c r="H584" s="584"/>
      <c r="I584" s="335" t="s">
        <v>3494</v>
      </c>
    </row>
    <row r="585">
      <c r="G585" s="584"/>
      <c r="H585" s="584"/>
      <c r="I585" s="335" t="s">
        <v>3494</v>
      </c>
    </row>
    <row r="586">
      <c r="G586" s="584"/>
      <c r="H586" s="584"/>
      <c r="I586" s="335" t="s">
        <v>3494</v>
      </c>
    </row>
    <row r="587">
      <c r="G587" s="584"/>
      <c r="H587" s="584"/>
      <c r="I587" s="335" t="s">
        <v>3494</v>
      </c>
    </row>
    <row r="588">
      <c r="G588" s="584"/>
      <c r="H588" s="584"/>
      <c r="I588" s="335" t="s">
        <v>3494</v>
      </c>
    </row>
    <row r="589">
      <c r="G589" s="584"/>
      <c r="H589" s="584"/>
      <c r="I589" s="335" t="s">
        <v>3494</v>
      </c>
    </row>
    <row r="590">
      <c r="G590" s="584"/>
      <c r="H590" s="584"/>
      <c r="I590" s="335" t="s">
        <v>3494</v>
      </c>
    </row>
    <row r="591">
      <c r="G591" s="584"/>
      <c r="H591" s="584"/>
      <c r="I591" s="335" t="s">
        <v>3494</v>
      </c>
    </row>
    <row r="592">
      <c r="G592" s="584"/>
      <c r="H592" s="584"/>
      <c r="I592" s="335" t="s">
        <v>3494</v>
      </c>
    </row>
    <row r="593">
      <c r="G593" s="584"/>
      <c r="H593" s="584"/>
      <c r="I593" s="335" t="s">
        <v>3494</v>
      </c>
    </row>
    <row r="594">
      <c r="G594" s="584"/>
      <c r="H594" s="584"/>
      <c r="I594" s="335" t="s">
        <v>3494</v>
      </c>
    </row>
    <row r="595">
      <c r="G595" s="584"/>
      <c r="H595" s="584"/>
      <c r="I595" s="335" t="s">
        <v>3494</v>
      </c>
    </row>
    <row r="596">
      <c r="G596" s="584"/>
      <c r="H596" s="584"/>
      <c r="I596" s="335" t="s">
        <v>3494</v>
      </c>
    </row>
    <row r="597">
      <c r="G597" s="584"/>
      <c r="H597" s="584"/>
      <c r="I597" s="335" t="s">
        <v>3494</v>
      </c>
    </row>
    <row r="598">
      <c r="G598" s="584"/>
      <c r="H598" s="584"/>
      <c r="I598" s="335" t="s">
        <v>3494</v>
      </c>
    </row>
    <row r="599">
      <c r="G599" s="584"/>
      <c r="H599" s="584"/>
      <c r="I599" s="335" t="s">
        <v>3494</v>
      </c>
    </row>
    <row r="600">
      <c r="G600" s="584"/>
      <c r="H600" s="584"/>
      <c r="I600" s="335" t="s">
        <v>3494</v>
      </c>
    </row>
    <row r="601">
      <c r="G601" s="584"/>
      <c r="H601" s="584"/>
      <c r="I601" s="335" t="s">
        <v>3494</v>
      </c>
    </row>
    <row r="602">
      <c r="G602" s="584"/>
      <c r="H602" s="584"/>
      <c r="I602" s="335" t="s">
        <v>3494</v>
      </c>
    </row>
    <row r="603">
      <c r="G603" s="584"/>
      <c r="H603" s="584"/>
      <c r="I603" s="335" t="s">
        <v>3494</v>
      </c>
    </row>
    <row r="604">
      <c r="G604" s="584"/>
      <c r="H604" s="584"/>
      <c r="I604" s="335" t="s">
        <v>3494</v>
      </c>
    </row>
    <row r="605">
      <c r="G605" s="584"/>
      <c r="H605" s="584"/>
      <c r="I605" s="335" t="s">
        <v>3494</v>
      </c>
    </row>
    <row r="606">
      <c r="G606" s="584"/>
      <c r="H606" s="584"/>
      <c r="I606" s="335" t="s">
        <v>3494</v>
      </c>
    </row>
    <row r="607">
      <c r="G607" s="584"/>
      <c r="H607" s="584"/>
      <c r="I607" s="335" t="s">
        <v>3494</v>
      </c>
    </row>
    <row r="608">
      <c r="G608" s="584"/>
      <c r="H608" s="584"/>
      <c r="I608" s="335" t="s">
        <v>3494</v>
      </c>
    </row>
    <row r="609">
      <c r="G609" s="584"/>
      <c r="H609" s="584"/>
      <c r="I609" s="335" t="s">
        <v>3494</v>
      </c>
    </row>
    <row r="610">
      <c r="G610" s="584"/>
      <c r="H610" s="584"/>
      <c r="I610" s="335" t="s">
        <v>3494</v>
      </c>
    </row>
    <row r="611">
      <c r="G611" s="584"/>
      <c r="H611" s="584"/>
      <c r="I611" s="335" t="s">
        <v>3494</v>
      </c>
    </row>
    <row r="612">
      <c r="G612" s="584"/>
      <c r="H612" s="584"/>
      <c r="I612" s="335" t="s">
        <v>3494</v>
      </c>
    </row>
    <row r="613">
      <c r="G613" s="584"/>
      <c r="H613" s="584"/>
      <c r="I613" s="335" t="s">
        <v>3494</v>
      </c>
    </row>
    <row r="614">
      <c r="G614" s="584"/>
      <c r="H614" s="584"/>
      <c r="I614" s="335" t="s">
        <v>3494</v>
      </c>
    </row>
    <row r="615">
      <c r="G615" s="584"/>
      <c r="H615" s="584"/>
      <c r="I615" s="335" t="s">
        <v>3494</v>
      </c>
    </row>
    <row r="616">
      <c r="G616" s="584"/>
      <c r="H616" s="584"/>
      <c r="I616" s="335" t="s">
        <v>3494</v>
      </c>
    </row>
    <row r="617">
      <c r="G617" s="584"/>
      <c r="H617" s="584"/>
      <c r="I617" s="335" t="s">
        <v>3494</v>
      </c>
    </row>
    <row r="618">
      <c r="G618" s="584"/>
      <c r="H618" s="584"/>
      <c r="I618" s="335" t="s">
        <v>3494</v>
      </c>
    </row>
    <row r="619">
      <c r="G619" s="584"/>
      <c r="H619" s="584"/>
      <c r="I619" s="335" t="s">
        <v>3494</v>
      </c>
    </row>
    <row r="620">
      <c r="G620" s="584"/>
      <c r="H620" s="584"/>
      <c r="I620" s="335" t="s">
        <v>3494</v>
      </c>
    </row>
    <row r="621">
      <c r="G621" s="584"/>
      <c r="H621" s="584"/>
      <c r="I621" s="335" t="s">
        <v>3494</v>
      </c>
    </row>
    <row r="622">
      <c r="G622" s="584"/>
      <c r="H622" s="584"/>
      <c r="I622" s="335" t="s">
        <v>3494</v>
      </c>
    </row>
    <row r="623">
      <c r="G623" s="584"/>
      <c r="H623" s="584"/>
      <c r="I623" s="335" t="s">
        <v>3494</v>
      </c>
    </row>
    <row r="624">
      <c r="G624" s="584"/>
      <c r="H624" s="584"/>
      <c r="I624" s="335" t="s">
        <v>3494</v>
      </c>
    </row>
    <row r="625">
      <c r="G625" s="584"/>
      <c r="H625" s="584"/>
      <c r="I625" s="335" t="s">
        <v>3494</v>
      </c>
    </row>
    <row r="626">
      <c r="G626" s="584"/>
      <c r="H626" s="584"/>
      <c r="I626" s="335" t="s">
        <v>3494</v>
      </c>
    </row>
    <row r="627">
      <c r="G627" s="584"/>
      <c r="H627" s="584"/>
      <c r="I627" s="335" t="s">
        <v>3494</v>
      </c>
    </row>
    <row r="628">
      <c r="G628" s="584"/>
      <c r="H628" s="584"/>
      <c r="I628" s="335" t="s">
        <v>3494</v>
      </c>
    </row>
    <row r="629">
      <c r="G629" s="584"/>
      <c r="H629" s="584"/>
      <c r="I629" s="335" t="s">
        <v>3494</v>
      </c>
    </row>
    <row r="630">
      <c r="G630" s="584"/>
      <c r="H630" s="584"/>
      <c r="I630" s="335" t="s">
        <v>3494</v>
      </c>
    </row>
    <row r="631">
      <c r="G631" s="584"/>
      <c r="H631" s="584"/>
      <c r="I631" s="335" t="s">
        <v>3494</v>
      </c>
    </row>
    <row r="632">
      <c r="G632" s="584"/>
      <c r="H632" s="584"/>
      <c r="I632" s="335" t="s">
        <v>3494</v>
      </c>
    </row>
    <row r="633">
      <c r="G633" s="584"/>
      <c r="H633" s="584"/>
      <c r="I633" s="335" t="s">
        <v>3494</v>
      </c>
    </row>
    <row r="634">
      <c r="G634" s="584"/>
      <c r="H634" s="584"/>
      <c r="I634" s="335" t="s">
        <v>3494</v>
      </c>
    </row>
    <row r="635">
      <c r="G635" s="584"/>
      <c r="H635" s="584"/>
      <c r="I635" s="335" t="s">
        <v>3494</v>
      </c>
    </row>
    <row r="636">
      <c r="G636" s="584"/>
      <c r="H636" s="584"/>
      <c r="I636" s="335" t="s">
        <v>3494</v>
      </c>
    </row>
    <row r="637">
      <c r="G637" s="584"/>
      <c r="H637" s="584"/>
      <c r="I637" s="335" t="s">
        <v>3494</v>
      </c>
    </row>
    <row r="638">
      <c r="G638" s="584"/>
      <c r="H638" s="584"/>
      <c r="I638" s="335" t="s">
        <v>3494</v>
      </c>
    </row>
    <row r="639">
      <c r="G639" s="584"/>
      <c r="H639" s="584"/>
      <c r="I639" s="335" t="s">
        <v>3494</v>
      </c>
    </row>
    <row r="640">
      <c r="G640" s="584"/>
      <c r="H640" s="584"/>
      <c r="I640" s="335" t="s">
        <v>3494</v>
      </c>
    </row>
    <row r="641">
      <c r="G641" s="584"/>
      <c r="H641" s="584"/>
      <c r="I641" s="335" t="s">
        <v>3494</v>
      </c>
    </row>
    <row r="642">
      <c r="G642" s="584"/>
      <c r="H642" s="584"/>
      <c r="I642" s="335" t="s">
        <v>3494</v>
      </c>
    </row>
    <row r="643">
      <c r="G643" s="584"/>
      <c r="H643" s="584"/>
      <c r="I643" s="335" t="s">
        <v>3494</v>
      </c>
    </row>
    <row r="644">
      <c r="G644" s="584"/>
      <c r="H644" s="584"/>
      <c r="I644" s="335" t="s">
        <v>3494</v>
      </c>
    </row>
    <row r="645">
      <c r="G645" s="584"/>
      <c r="H645" s="584"/>
      <c r="I645" s="335" t="s">
        <v>3494</v>
      </c>
    </row>
    <row r="646">
      <c r="G646" s="584"/>
      <c r="H646" s="584"/>
      <c r="I646" s="335" t="s">
        <v>3494</v>
      </c>
    </row>
    <row r="647">
      <c r="G647" s="584"/>
      <c r="H647" s="584"/>
      <c r="I647" s="335" t="s">
        <v>3494</v>
      </c>
    </row>
    <row r="648">
      <c r="G648" s="584"/>
      <c r="H648" s="584"/>
      <c r="I648" s="335" t="s">
        <v>3494</v>
      </c>
    </row>
    <row r="649">
      <c r="G649" s="584"/>
      <c r="H649" s="584"/>
      <c r="I649" s="335" t="s">
        <v>3494</v>
      </c>
    </row>
    <row r="650">
      <c r="G650" s="584"/>
      <c r="H650" s="584"/>
      <c r="I650" s="335" t="s">
        <v>3494</v>
      </c>
    </row>
    <row r="651">
      <c r="G651" s="584"/>
      <c r="H651" s="584"/>
      <c r="I651" s="335" t="s">
        <v>3494</v>
      </c>
    </row>
    <row r="652">
      <c r="G652" s="584"/>
      <c r="H652" s="584"/>
      <c r="I652" s="335" t="s">
        <v>3494</v>
      </c>
    </row>
    <row r="653">
      <c r="G653" s="584"/>
      <c r="H653" s="584"/>
      <c r="I653" s="335" t="s">
        <v>3494</v>
      </c>
    </row>
    <row r="654">
      <c r="G654" s="584"/>
      <c r="H654" s="584"/>
      <c r="I654" s="335" t="s">
        <v>3494</v>
      </c>
    </row>
    <row r="655">
      <c r="G655" s="584"/>
      <c r="H655" s="584"/>
      <c r="I655" s="335" t="s">
        <v>3494</v>
      </c>
    </row>
    <row r="656">
      <c r="G656" s="584"/>
      <c r="H656" s="584"/>
      <c r="I656" s="335" t="s">
        <v>3494</v>
      </c>
    </row>
    <row r="657">
      <c r="G657" s="584"/>
      <c r="H657" s="584"/>
      <c r="I657" s="335" t="s">
        <v>3494</v>
      </c>
    </row>
    <row r="658">
      <c r="G658" s="584"/>
      <c r="H658" s="584"/>
      <c r="I658" s="335" t="s">
        <v>3494</v>
      </c>
    </row>
    <row r="659">
      <c r="G659" s="584"/>
      <c r="H659" s="584"/>
      <c r="I659" s="335" t="s">
        <v>3494</v>
      </c>
    </row>
    <row r="660">
      <c r="G660" s="584"/>
      <c r="H660" s="584"/>
      <c r="I660" s="335" t="s">
        <v>3494</v>
      </c>
    </row>
    <row r="661">
      <c r="G661" s="584"/>
      <c r="H661" s="584"/>
      <c r="I661" s="335" t="s">
        <v>3494</v>
      </c>
    </row>
    <row r="662">
      <c r="G662" s="584"/>
      <c r="H662" s="584"/>
      <c r="I662" s="335" t="s">
        <v>3494</v>
      </c>
    </row>
    <row r="663">
      <c r="G663" s="584"/>
      <c r="H663" s="584"/>
      <c r="I663" s="335" t="s">
        <v>3494</v>
      </c>
    </row>
    <row r="664">
      <c r="G664" s="584"/>
      <c r="H664" s="584"/>
      <c r="I664" s="335" t="s">
        <v>3494</v>
      </c>
    </row>
    <row r="665">
      <c r="G665" s="584"/>
      <c r="H665" s="584"/>
      <c r="I665" s="335" t="s">
        <v>3494</v>
      </c>
    </row>
    <row r="666">
      <c r="G666" s="584"/>
      <c r="H666" s="584"/>
      <c r="I666" s="335" t="s">
        <v>3494</v>
      </c>
    </row>
    <row r="667">
      <c r="G667" s="584"/>
      <c r="H667" s="584"/>
      <c r="I667" s="335" t="s">
        <v>3494</v>
      </c>
    </row>
    <row r="668">
      <c r="G668" s="584"/>
      <c r="H668" s="584"/>
      <c r="I668" s="335" t="s">
        <v>3494</v>
      </c>
    </row>
    <row r="669">
      <c r="G669" s="584"/>
      <c r="H669" s="584"/>
      <c r="I669" s="335" t="s">
        <v>3494</v>
      </c>
    </row>
    <row r="670">
      <c r="G670" s="584"/>
      <c r="H670" s="584"/>
      <c r="I670" s="335" t="s">
        <v>3494</v>
      </c>
    </row>
    <row r="671">
      <c r="G671" s="584"/>
      <c r="H671" s="584"/>
      <c r="I671" s="335" t="s">
        <v>3494</v>
      </c>
    </row>
    <row r="672">
      <c r="G672" s="584"/>
      <c r="H672" s="584"/>
      <c r="I672" s="335" t="s">
        <v>3494</v>
      </c>
    </row>
    <row r="673">
      <c r="G673" s="584"/>
      <c r="H673" s="584"/>
      <c r="I673" s="335" t="s">
        <v>3494</v>
      </c>
    </row>
    <row r="674">
      <c r="G674" s="584"/>
      <c r="H674" s="584"/>
      <c r="I674" s="335" t="s">
        <v>3494</v>
      </c>
    </row>
    <row r="675">
      <c r="G675" s="584"/>
      <c r="H675" s="584"/>
      <c r="I675" s="335" t="s">
        <v>3494</v>
      </c>
    </row>
    <row r="676">
      <c r="G676" s="584"/>
      <c r="H676" s="584"/>
      <c r="I676" s="335" t="s">
        <v>3494</v>
      </c>
    </row>
    <row r="677">
      <c r="G677" s="584"/>
      <c r="H677" s="584"/>
      <c r="I677" s="335" t="s">
        <v>3494</v>
      </c>
    </row>
    <row r="678">
      <c r="G678" s="584"/>
      <c r="H678" s="584"/>
      <c r="I678" s="335" t="s">
        <v>3494</v>
      </c>
    </row>
    <row r="679">
      <c r="G679" s="584"/>
      <c r="H679" s="584"/>
      <c r="I679" s="335" t="s">
        <v>3494</v>
      </c>
    </row>
    <row r="680">
      <c r="G680" s="584"/>
      <c r="H680" s="584"/>
      <c r="I680" s="335" t="s">
        <v>3494</v>
      </c>
    </row>
    <row r="681">
      <c r="G681" s="584"/>
      <c r="H681" s="584"/>
      <c r="I681" s="335" t="s">
        <v>3494</v>
      </c>
    </row>
    <row r="682">
      <c r="G682" s="584"/>
      <c r="H682" s="584"/>
      <c r="I682" s="335" t="s">
        <v>3494</v>
      </c>
    </row>
    <row r="683">
      <c r="G683" s="584"/>
      <c r="H683" s="584"/>
      <c r="I683" s="335" t="s">
        <v>3494</v>
      </c>
    </row>
    <row r="684">
      <c r="G684" s="584"/>
      <c r="H684" s="584"/>
      <c r="I684" s="335" t="s">
        <v>3494</v>
      </c>
    </row>
    <row r="685">
      <c r="G685" s="584"/>
      <c r="H685" s="584"/>
      <c r="I685" s="335" t="s">
        <v>3494</v>
      </c>
    </row>
    <row r="686">
      <c r="G686" s="584"/>
      <c r="H686" s="584"/>
      <c r="I686" s="335" t="s">
        <v>3494</v>
      </c>
    </row>
    <row r="687">
      <c r="G687" s="584"/>
      <c r="H687" s="584"/>
      <c r="I687" s="335" t="s">
        <v>3494</v>
      </c>
    </row>
    <row r="688">
      <c r="G688" s="584"/>
      <c r="H688" s="584"/>
      <c r="I688" s="335" t="s">
        <v>3494</v>
      </c>
    </row>
    <row r="689">
      <c r="G689" s="584"/>
      <c r="H689" s="584"/>
      <c r="I689" s="335" t="s">
        <v>3494</v>
      </c>
    </row>
    <row r="690">
      <c r="G690" s="584"/>
      <c r="H690" s="584"/>
      <c r="I690" s="335" t="s">
        <v>3494</v>
      </c>
    </row>
    <row r="691">
      <c r="G691" s="584"/>
      <c r="H691" s="584"/>
      <c r="I691" s="335" t="s">
        <v>3494</v>
      </c>
    </row>
    <row r="692">
      <c r="G692" s="584"/>
      <c r="H692" s="584"/>
      <c r="I692" s="335" t="s">
        <v>3494</v>
      </c>
    </row>
    <row r="693">
      <c r="G693" s="584"/>
      <c r="H693" s="584"/>
      <c r="I693" s="335" t="s">
        <v>3494</v>
      </c>
    </row>
    <row r="694">
      <c r="G694" s="584"/>
      <c r="H694" s="584"/>
      <c r="I694" s="335" t="s">
        <v>3494</v>
      </c>
    </row>
    <row r="695">
      <c r="G695" s="584"/>
      <c r="H695" s="584"/>
      <c r="I695" s="335" t="s">
        <v>3494</v>
      </c>
    </row>
    <row r="696">
      <c r="G696" s="584"/>
      <c r="H696" s="584"/>
      <c r="I696" s="335" t="s">
        <v>3494</v>
      </c>
    </row>
    <row r="697">
      <c r="G697" s="584"/>
      <c r="H697" s="584"/>
      <c r="I697" s="335" t="s">
        <v>3494</v>
      </c>
    </row>
    <row r="698">
      <c r="G698" s="584"/>
      <c r="H698" s="584"/>
      <c r="I698" s="335" t="s">
        <v>3494</v>
      </c>
    </row>
    <row r="699">
      <c r="G699" s="584"/>
      <c r="H699" s="584"/>
      <c r="I699" s="335" t="s">
        <v>3494</v>
      </c>
    </row>
    <row r="700">
      <c r="G700" s="584"/>
      <c r="H700" s="584"/>
      <c r="I700" s="335" t="s">
        <v>3494</v>
      </c>
    </row>
    <row r="701">
      <c r="G701" s="584"/>
      <c r="H701" s="584"/>
      <c r="I701" s="335" t="s">
        <v>3494</v>
      </c>
    </row>
    <row r="702">
      <c r="G702" s="584"/>
      <c r="H702" s="584"/>
      <c r="I702" s="335" t="s">
        <v>3494</v>
      </c>
    </row>
    <row r="703">
      <c r="G703" s="584"/>
      <c r="H703" s="584"/>
      <c r="I703" s="335" t="s">
        <v>3494</v>
      </c>
    </row>
    <row r="704">
      <c r="G704" s="584"/>
      <c r="H704" s="584"/>
      <c r="I704" s="335" t="s">
        <v>3494</v>
      </c>
    </row>
    <row r="705">
      <c r="G705" s="584"/>
      <c r="H705" s="584"/>
      <c r="I705" s="335" t="s">
        <v>3494</v>
      </c>
    </row>
    <row r="706">
      <c r="G706" s="584"/>
      <c r="H706" s="584"/>
      <c r="I706" s="335" t="s">
        <v>3494</v>
      </c>
    </row>
    <row r="707">
      <c r="G707" s="584"/>
      <c r="H707" s="584"/>
      <c r="I707" s="335" t="s">
        <v>3494</v>
      </c>
    </row>
    <row r="708">
      <c r="G708" s="584"/>
      <c r="H708" s="584"/>
      <c r="I708" s="335" t="s">
        <v>3494</v>
      </c>
    </row>
    <row r="709">
      <c r="G709" s="584"/>
      <c r="H709" s="584"/>
      <c r="I709" s="335" t="s">
        <v>3494</v>
      </c>
    </row>
    <row r="710">
      <c r="G710" s="584"/>
      <c r="H710" s="584"/>
      <c r="I710" s="335" t="s">
        <v>3494</v>
      </c>
    </row>
    <row r="711">
      <c r="G711" s="584"/>
      <c r="H711" s="584"/>
      <c r="I711" s="335" t="s">
        <v>3494</v>
      </c>
    </row>
    <row r="712">
      <c r="G712" s="584"/>
      <c r="H712" s="584"/>
      <c r="I712" s="335" t="s">
        <v>3494</v>
      </c>
    </row>
    <row r="713">
      <c r="G713" s="584"/>
      <c r="H713" s="584"/>
      <c r="I713" s="335" t="s">
        <v>3494</v>
      </c>
    </row>
    <row r="714">
      <c r="G714" s="584"/>
      <c r="H714" s="584"/>
      <c r="I714" s="335" t="s">
        <v>3494</v>
      </c>
    </row>
    <row r="715">
      <c r="G715" s="584"/>
      <c r="H715" s="584"/>
      <c r="I715" s="335" t="s">
        <v>3494</v>
      </c>
    </row>
    <row r="716">
      <c r="G716" s="584"/>
      <c r="H716" s="584"/>
      <c r="I716" s="335" t="s">
        <v>3494</v>
      </c>
    </row>
    <row r="717">
      <c r="G717" s="584"/>
      <c r="H717" s="584"/>
      <c r="I717" s="335" t="s">
        <v>3494</v>
      </c>
    </row>
    <row r="718">
      <c r="G718" s="584"/>
      <c r="H718" s="584"/>
      <c r="I718" s="335" t="s">
        <v>3494</v>
      </c>
    </row>
    <row r="719">
      <c r="G719" s="584"/>
      <c r="H719" s="584"/>
      <c r="I719" s="335" t="s">
        <v>3494</v>
      </c>
    </row>
    <row r="720">
      <c r="G720" s="584"/>
      <c r="H720" s="584"/>
      <c r="I720" s="335" t="s">
        <v>3494</v>
      </c>
    </row>
    <row r="721">
      <c r="G721" s="584"/>
      <c r="H721" s="584"/>
      <c r="I721" s="335" t="s">
        <v>3494</v>
      </c>
    </row>
    <row r="722">
      <c r="G722" s="584"/>
      <c r="H722" s="584"/>
      <c r="I722" s="335" t="s">
        <v>3494</v>
      </c>
    </row>
    <row r="723">
      <c r="G723" s="584"/>
      <c r="H723" s="584"/>
      <c r="I723" s="335" t="s">
        <v>3494</v>
      </c>
    </row>
    <row r="724">
      <c r="G724" s="584"/>
      <c r="H724" s="584"/>
      <c r="I724" s="335" t="s">
        <v>3494</v>
      </c>
    </row>
    <row r="725">
      <c r="G725" s="584"/>
      <c r="H725" s="584"/>
      <c r="I725" s="335" t="s">
        <v>3494</v>
      </c>
    </row>
    <row r="726">
      <c r="G726" s="584"/>
      <c r="H726" s="584"/>
      <c r="I726" s="335" t="s">
        <v>3494</v>
      </c>
    </row>
    <row r="727">
      <c r="G727" s="584"/>
      <c r="H727" s="584"/>
      <c r="I727" s="335" t="s">
        <v>3494</v>
      </c>
    </row>
    <row r="728">
      <c r="G728" s="584"/>
      <c r="H728" s="584"/>
      <c r="I728" s="335" t="s">
        <v>3494</v>
      </c>
    </row>
    <row r="729">
      <c r="G729" s="584"/>
      <c r="H729" s="584"/>
      <c r="I729" s="335" t="s">
        <v>3494</v>
      </c>
    </row>
    <row r="730">
      <c r="G730" s="584"/>
      <c r="H730" s="584"/>
      <c r="I730" s="335" t="s">
        <v>3494</v>
      </c>
    </row>
    <row r="731">
      <c r="G731" s="584"/>
      <c r="H731" s="584"/>
      <c r="I731" s="335" t="s">
        <v>3494</v>
      </c>
    </row>
    <row r="732">
      <c r="G732" s="584"/>
      <c r="H732" s="584"/>
      <c r="I732" s="335" t="s">
        <v>3494</v>
      </c>
    </row>
    <row r="733">
      <c r="G733" s="584"/>
      <c r="H733" s="584"/>
      <c r="I733" s="335" t="s">
        <v>3494</v>
      </c>
    </row>
    <row r="734">
      <c r="G734" s="584"/>
      <c r="H734" s="584"/>
      <c r="I734" s="335" t="s">
        <v>3494</v>
      </c>
    </row>
    <row r="735">
      <c r="G735" s="584"/>
      <c r="H735" s="584"/>
      <c r="I735" s="335" t="s">
        <v>3494</v>
      </c>
    </row>
    <row r="736">
      <c r="G736" s="584"/>
      <c r="H736" s="584"/>
      <c r="I736" s="335" t="s">
        <v>3494</v>
      </c>
    </row>
    <row r="737">
      <c r="G737" s="584"/>
      <c r="H737" s="584"/>
      <c r="I737" s="335" t="s">
        <v>3494</v>
      </c>
    </row>
    <row r="738">
      <c r="G738" s="584"/>
      <c r="H738" s="584"/>
      <c r="I738" s="335" t="s">
        <v>3494</v>
      </c>
    </row>
    <row r="739">
      <c r="G739" s="584"/>
      <c r="H739" s="584"/>
      <c r="I739" s="335" t="s">
        <v>3494</v>
      </c>
    </row>
    <row r="740">
      <c r="G740" s="584"/>
      <c r="H740" s="584"/>
      <c r="I740" s="335" t="s">
        <v>3494</v>
      </c>
    </row>
    <row r="741">
      <c r="G741" s="584"/>
      <c r="H741" s="584"/>
      <c r="I741" s="335" t="s">
        <v>3494</v>
      </c>
    </row>
    <row r="742">
      <c r="G742" s="584"/>
      <c r="H742" s="584"/>
      <c r="I742" s="335" t="s">
        <v>3494</v>
      </c>
    </row>
    <row r="743">
      <c r="G743" s="584"/>
      <c r="H743" s="584"/>
      <c r="I743" s="335" t="s">
        <v>3494</v>
      </c>
    </row>
    <row r="744">
      <c r="G744" s="584"/>
      <c r="H744" s="584"/>
      <c r="I744" s="335" t="s">
        <v>3494</v>
      </c>
    </row>
    <row r="745">
      <c r="G745" s="584"/>
      <c r="H745" s="584"/>
      <c r="I745" s="335" t="s">
        <v>3494</v>
      </c>
    </row>
    <row r="746">
      <c r="G746" s="584"/>
      <c r="H746" s="584"/>
      <c r="I746" s="335" t="s">
        <v>3494</v>
      </c>
    </row>
    <row r="747">
      <c r="G747" s="584"/>
      <c r="H747" s="584"/>
      <c r="I747" s="335" t="s">
        <v>3494</v>
      </c>
    </row>
    <row r="748">
      <c r="G748" s="584"/>
      <c r="H748" s="584"/>
      <c r="I748" s="335" t="s">
        <v>3494</v>
      </c>
    </row>
    <row r="749">
      <c r="G749" s="584"/>
      <c r="H749" s="584"/>
      <c r="I749" s="335" t="s">
        <v>3494</v>
      </c>
    </row>
    <row r="750">
      <c r="G750" s="584"/>
      <c r="H750" s="584"/>
      <c r="I750" s="335" t="s">
        <v>3494</v>
      </c>
    </row>
    <row r="751">
      <c r="G751" s="584"/>
      <c r="H751" s="584"/>
      <c r="I751" s="335" t="s">
        <v>3494</v>
      </c>
    </row>
    <row r="752">
      <c r="G752" s="584"/>
      <c r="H752" s="584"/>
      <c r="I752" s="335" t="s">
        <v>3494</v>
      </c>
    </row>
    <row r="753">
      <c r="G753" s="584"/>
      <c r="H753" s="584"/>
      <c r="I753" s="335" t="s">
        <v>3494</v>
      </c>
    </row>
    <row r="754">
      <c r="G754" s="584"/>
      <c r="H754" s="584"/>
      <c r="I754" s="335" t="s">
        <v>3494</v>
      </c>
    </row>
    <row r="755">
      <c r="G755" s="584"/>
      <c r="H755" s="584"/>
      <c r="I755" s="335" t="s">
        <v>3494</v>
      </c>
    </row>
    <row r="756">
      <c r="G756" s="584"/>
      <c r="H756" s="584"/>
      <c r="I756" s="335" t="s">
        <v>3494</v>
      </c>
    </row>
    <row r="757">
      <c r="G757" s="584"/>
      <c r="H757" s="584"/>
      <c r="I757" s="335" t="s">
        <v>3494</v>
      </c>
    </row>
    <row r="758">
      <c r="G758" s="584"/>
      <c r="H758" s="584"/>
      <c r="I758" s="335" t="s">
        <v>3494</v>
      </c>
    </row>
    <row r="759">
      <c r="G759" s="584"/>
      <c r="H759" s="584"/>
      <c r="I759" s="335" t="s">
        <v>3494</v>
      </c>
    </row>
    <row r="760">
      <c r="G760" s="584"/>
      <c r="H760" s="584"/>
      <c r="I760" s="335" t="s">
        <v>3494</v>
      </c>
    </row>
    <row r="761">
      <c r="G761" s="584"/>
      <c r="H761" s="584"/>
      <c r="I761" s="335" t="s">
        <v>3494</v>
      </c>
    </row>
    <row r="762">
      <c r="G762" s="584"/>
      <c r="H762" s="584"/>
      <c r="I762" s="335" t="s">
        <v>3494</v>
      </c>
    </row>
    <row r="763">
      <c r="G763" s="584"/>
      <c r="H763" s="584"/>
      <c r="I763" s="335" t="s">
        <v>3494</v>
      </c>
    </row>
    <row r="764">
      <c r="G764" s="584"/>
      <c r="H764" s="584"/>
      <c r="I764" s="335" t="s">
        <v>3494</v>
      </c>
    </row>
    <row r="765">
      <c r="G765" s="584"/>
      <c r="H765" s="584"/>
      <c r="I765" s="335" t="s">
        <v>3494</v>
      </c>
    </row>
    <row r="766">
      <c r="G766" s="584"/>
      <c r="H766" s="584"/>
      <c r="I766" s="335" t="s">
        <v>3494</v>
      </c>
    </row>
    <row r="767">
      <c r="G767" s="584"/>
      <c r="H767" s="584"/>
      <c r="I767" s="335" t="s">
        <v>3494</v>
      </c>
    </row>
    <row r="768">
      <c r="G768" s="584"/>
      <c r="H768" s="584"/>
      <c r="I768" s="335" t="s">
        <v>3494</v>
      </c>
    </row>
    <row r="769">
      <c r="G769" s="584"/>
      <c r="H769" s="584"/>
      <c r="I769" s="335" t="s">
        <v>3494</v>
      </c>
    </row>
    <row r="770">
      <c r="G770" s="584"/>
      <c r="H770" s="584"/>
      <c r="I770" s="335" t="s">
        <v>3494</v>
      </c>
    </row>
    <row r="771">
      <c r="G771" s="584"/>
      <c r="H771" s="584"/>
      <c r="I771" s="335" t="s">
        <v>3494</v>
      </c>
    </row>
    <row r="772">
      <c r="G772" s="584"/>
      <c r="H772" s="584"/>
      <c r="I772" s="335" t="s">
        <v>3494</v>
      </c>
    </row>
    <row r="773">
      <c r="G773" s="584"/>
      <c r="H773" s="584"/>
      <c r="I773" s="335" t="s">
        <v>3494</v>
      </c>
    </row>
    <row r="774">
      <c r="G774" s="584"/>
      <c r="H774" s="584"/>
      <c r="I774" s="335" t="s">
        <v>3494</v>
      </c>
    </row>
    <row r="775">
      <c r="G775" s="584"/>
      <c r="H775" s="584"/>
      <c r="I775" s="335" t="s">
        <v>3494</v>
      </c>
    </row>
    <row r="776">
      <c r="G776" s="584"/>
      <c r="H776" s="584"/>
      <c r="I776" s="335" t="s">
        <v>3494</v>
      </c>
    </row>
    <row r="777">
      <c r="G777" s="584"/>
      <c r="H777" s="584"/>
      <c r="I777" s="335" t="s">
        <v>3494</v>
      </c>
    </row>
    <row r="778">
      <c r="G778" s="584"/>
      <c r="H778" s="584"/>
      <c r="I778" s="335" t="s">
        <v>3494</v>
      </c>
    </row>
    <row r="779">
      <c r="G779" s="584"/>
      <c r="H779" s="584"/>
      <c r="I779" s="335" t="s">
        <v>3494</v>
      </c>
    </row>
    <row r="780">
      <c r="G780" s="584"/>
      <c r="H780" s="584"/>
      <c r="I780" s="335" t="s">
        <v>3494</v>
      </c>
    </row>
    <row r="781">
      <c r="G781" s="584"/>
      <c r="H781" s="584"/>
      <c r="I781" s="335" t="s">
        <v>3494</v>
      </c>
    </row>
    <row r="782">
      <c r="G782" s="584"/>
      <c r="H782" s="584"/>
      <c r="I782" s="335" t="s">
        <v>3494</v>
      </c>
    </row>
    <row r="783">
      <c r="G783" s="584"/>
      <c r="H783" s="584"/>
      <c r="I783" s="335" t="s">
        <v>3494</v>
      </c>
    </row>
    <row r="784">
      <c r="G784" s="584"/>
      <c r="H784" s="584"/>
      <c r="I784" s="335" t="s">
        <v>3494</v>
      </c>
    </row>
    <row r="785">
      <c r="G785" s="584"/>
      <c r="H785" s="584"/>
      <c r="I785" s="335" t="s">
        <v>3494</v>
      </c>
    </row>
    <row r="786">
      <c r="G786" s="584"/>
      <c r="H786" s="584"/>
      <c r="I786" s="335" t="s">
        <v>3494</v>
      </c>
    </row>
    <row r="787">
      <c r="G787" s="584"/>
      <c r="H787" s="584"/>
      <c r="I787" s="335" t="s">
        <v>3494</v>
      </c>
    </row>
    <row r="788">
      <c r="G788" s="584"/>
      <c r="H788" s="584"/>
      <c r="I788" s="335" t="s">
        <v>3494</v>
      </c>
    </row>
    <row r="789">
      <c r="G789" s="584"/>
      <c r="H789" s="584"/>
      <c r="I789" s="335" t="s">
        <v>3494</v>
      </c>
    </row>
    <row r="790">
      <c r="G790" s="584"/>
      <c r="H790" s="584"/>
      <c r="I790" s="335" t="s">
        <v>3494</v>
      </c>
    </row>
    <row r="791">
      <c r="G791" s="584"/>
      <c r="H791" s="584"/>
      <c r="I791" s="335" t="s">
        <v>3494</v>
      </c>
    </row>
    <row r="792">
      <c r="G792" s="584"/>
      <c r="H792" s="584"/>
      <c r="I792" s="335" t="s">
        <v>3494</v>
      </c>
    </row>
    <row r="793">
      <c r="G793" s="584"/>
      <c r="H793" s="584"/>
      <c r="I793" s="335" t="s">
        <v>3494</v>
      </c>
    </row>
    <row r="794">
      <c r="G794" s="584"/>
      <c r="H794" s="584"/>
      <c r="I794" s="335" t="s">
        <v>3494</v>
      </c>
    </row>
    <row r="795">
      <c r="G795" s="584"/>
      <c r="H795" s="584"/>
      <c r="I795" s="335" t="s">
        <v>3494</v>
      </c>
    </row>
    <row r="796">
      <c r="G796" s="584"/>
      <c r="H796" s="584"/>
      <c r="I796" s="335" t="s">
        <v>3494</v>
      </c>
    </row>
    <row r="797">
      <c r="G797" s="584"/>
      <c r="H797" s="584"/>
      <c r="I797" s="335" t="s">
        <v>3494</v>
      </c>
    </row>
    <row r="798">
      <c r="G798" s="584"/>
      <c r="H798" s="584"/>
      <c r="I798" s="335" t="s">
        <v>3494</v>
      </c>
    </row>
    <row r="799">
      <c r="G799" s="584"/>
      <c r="H799" s="584"/>
      <c r="I799" s="335" t="s">
        <v>3494</v>
      </c>
    </row>
    <row r="800">
      <c r="G800" s="584"/>
      <c r="H800" s="584"/>
      <c r="I800" s="335" t="s">
        <v>3494</v>
      </c>
    </row>
    <row r="801">
      <c r="G801" s="584"/>
      <c r="H801" s="584"/>
      <c r="I801" s="335" t="s">
        <v>3494</v>
      </c>
    </row>
    <row r="802">
      <c r="G802" s="584"/>
      <c r="H802" s="584"/>
      <c r="I802" s="335" t="s">
        <v>3494</v>
      </c>
    </row>
    <row r="803">
      <c r="G803" s="584"/>
      <c r="H803" s="584"/>
      <c r="I803" s="335" t="s">
        <v>3494</v>
      </c>
    </row>
    <row r="804">
      <c r="G804" s="584"/>
      <c r="H804" s="584"/>
      <c r="I804" s="335" t="s">
        <v>3494</v>
      </c>
    </row>
    <row r="805">
      <c r="G805" s="584"/>
      <c r="H805" s="584"/>
      <c r="I805" s="335" t="s">
        <v>3494</v>
      </c>
    </row>
    <row r="806">
      <c r="G806" s="584"/>
      <c r="H806" s="584"/>
      <c r="I806" s="335" t="s">
        <v>3494</v>
      </c>
    </row>
    <row r="807">
      <c r="G807" s="584"/>
      <c r="H807" s="584"/>
      <c r="I807" s="335" t="s">
        <v>3494</v>
      </c>
    </row>
    <row r="808">
      <c r="G808" s="584"/>
      <c r="H808" s="584"/>
      <c r="I808" s="335" t="s">
        <v>3494</v>
      </c>
    </row>
    <row r="809">
      <c r="G809" s="584"/>
      <c r="H809" s="584"/>
      <c r="I809" s="335" t="s">
        <v>3494</v>
      </c>
    </row>
    <row r="810">
      <c r="G810" s="584"/>
      <c r="H810" s="584"/>
      <c r="I810" s="335" t="s">
        <v>3494</v>
      </c>
    </row>
    <row r="811">
      <c r="G811" s="584"/>
      <c r="H811" s="584"/>
      <c r="I811" s="335" t="s">
        <v>3494</v>
      </c>
    </row>
    <row r="812">
      <c r="G812" s="584"/>
      <c r="H812" s="584"/>
      <c r="I812" s="335" t="s">
        <v>3494</v>
      </c>
    </row>
    <row r="813">
      <c r="G813" s="584"/>
      <c r="H813" s="584"/>
      <c r="I813" s="335" t="s">
        <v>3494</v>
      </c>
    </row>
    <row r="814">
      <c r="G814" s="584"/>
      <c r="H814" s="584"/>
      <c r="I814" s="335" t="s">
        <v>3494</v>
      </c>
    </row>
    <row r="815">
      <c r="G815" s="584"/>
      <c r="H815" s="584"/>
      <c r="I815" s="335" t="s">
        <v>3494</v>
      </c>
    </row>
    <row r="816">
      <c r="G816" s="584"/>
      <c r="H816" s="584"/>
      <c r="I816" s="335" t="s">
        <v>3494</v>
      </c>
    </row>
    <row r="817">
      <c r="G817" s="584"/>
      <c r="H817" s="584"/>
      <c r="I817" s="335" t="s">
        <v>3494</v>
      </c>
    </row>
    <row r="818">
      <c r="G818" s="584"/>
      <c r="H818" s="584"/>
      <c r="I818" s="335" t="s">
        <v>3494</v>
      </c>
    </row>
    <row r="819">
      <c r="G819" s="584"/>
      <c r="H819" s="584"/>
      <c r="I819" s="335" t="s">
        <v>3494</v>
      </c>
    </row>
    <row r="820">
      <c r="G820" s="584"/>
      <c r="H820" s="584"/>
      <c r="I820" s="335" t="s">
        <v>3494</v>
      </c>
    </row>
    <row r="821">
      <c r="G821" s="584"/>
      <c r="H821" s="584"/>
      <c r="I821" s="335" t="s">
        <v>3494</v>
      </c>
    </row>
    <row r="822">
      <c r="G822" s="584"/>
      <c r="H822" s="584"/>
      <c r="I822" s="335" t="s">
        <v>3494</v>
      </c>
    </row>
    <row r="823">
      <c r="G823" s="584"/>
      <c r="H823" s="584"/>
      <c r="I823" s="335" t="s">
        <v>3494</v>
      </c>
    </row>
    <row r="824">
      <c r="G824" s="584"/>
      <c r="H824" s="584"/>
      <c r="I824" s="335" t="s">
        <v>3494</v>
      </c>
    </row>
    <row r="825">
      <c r="G825" s="584"/>
      <c r="H825" s="584"/>
      <c r="I825" s="335" t="s">
        <v>3494</v>
      </c>
    </row>
    <row r="826">
      <c r="G826" s="584"/>
      <c r="H826" s="584"/>
      <c r="I826" s="335" t="s">
        <v>3494</v>
      </c>
    </row>
    <row r="827">
      <c r="G827" s="584"/>
      <c r="H827" s="584"/>
      <c r="I827" s="335" t="s">
        <v>3494</v>
      </c>
    </row>
    <row r="828">
      <c r="G828" s="584"/>
      <c r="H828" s="584"/>
      <c r="I828" s="335" t="s">
        <v>3494</v>
      </c>
    </row>
    <row r="829">
      <c r="G829" s="584"/>
      <c r="H829" s="584"/>
      <c r="I829" s="335" t="s">
        <v>3494</v>
      </c>
    </row>
    <row r="830">
      <c r="G830" s="584"/>
      <c r="H830" s="584"/>
      <c r="I830" s="335" t="s">
        <v>3494</v>
      </c>
    </row>
    <row r="831">
      <c r="G831" s="584"/>
      <c r="H831" s="584"/>
      <c r="I831" s="335" t="s">
        <v>3494</v>
      </c>
    </row>
    <row r="832">
      <c r="G832" s="584"/>
      <c r="H832" s="584"/>
      <c r="I832" s="335" t="s">
        <v>3494</v>
      </c>
    </row>
    <row r="833">
      <c r="G833" s="584"/>
      <c r="H833" s="584"/>
      <c r="I833" s="335" t="s">
        <v>3494</v>
      </c>
    </row>
    <row r="834">
      <c r="G834" s="584"/>
      <c r="H834" s="584"/>
      <c r="I834" s="335" t="s">
        <v>3494</v>
      </c>
    </row>
    <row r="835">
      <c r="G835" s="584"/>
      <c r="H835" s="584"/>
      <c r="I835" s="335" t="s">
        <v>3494</v>
      </c>
    </row>
    <row r="836">
      <c r="G836" s="584"/>
      <c r="H836" s="584"/>
      <c r="I836" s="335" t="s">
        <v>3494</v>
      </c>
    </row>
    <row r="837">
      <c r="G837" s="584"/>
      <c r="H837" s="584"/>
      <c r="I837" s="335" t="s">
        <v>3494</v>
      </c>
    </row>
    <row r="838">
      <c r="G838" s="584"/>
      <c r="H838" s="584"/>
      <c r="I838" s="335" t="s">
        <v>3494</v>
      </c>
    </row>
    <row r="839">
      <c r="G839" s="584"/>
      <c r="H839" s="584"/>
      <c r="I839" s="335" t="s">
        <v>3494</v>
      </c>
    </row>
    <row r="840">
      <c r="G840" s="584"/>
      <c r="H840" s="584"/>
      <c r="I840" s="335" t="s">
        <v>3494</v>
      </c>
    </row>
    <row r="841">
      <c r="G841" s="584"/>
      <c r="H841" s="584"/>
      <c r="I841" s="335" t="s">
        <v>3494</v>
      </c>
    </row>
    <row r="842">
      <c r="G842" s="584"/>
      <c r="H842" s="584"/>
      <c r="I842" s="335" t="s">
        <v>3494</v>
      </c>
    </row>
    <row r="843">
      <c r="G843" s="584"/>
      <c r="H843" s="584"/>
      <c r="I843" s="335" t="s">
        <v>3494</v>
      </c>
    </row>
    <row r="844">
      <c r="G844" s="584"/>
      <c r="H844" s="584"/>
      <c r="I844" s="335" t="s">
        <v>3494</v>
      </c>
    </row>
    <row r="845">
      <c r="G845" s="584"/>
      <c r="H845" s="584"/>
      <c r="I845" s="335" t="s">
        <v>3494</v>
      </c>
    </row>
    <row r="846">
      <c r="G846" s="584"/>
      <c r="H846" s="584"/>
      <c r="I846" s="335" t="s">
        <v>3494</v>
      </c>
    </row>
    <row r="847">
      <c r="G847" s="584"/>
      <c r="H847" s="584"/>
      <c r="I847" s="335" t="s">
        <v>3494</v>
      </c>
    </row>
    <row r="848">
      <c r="G848" s="584"/>
      <c r="H848" s="584"/>
      <c r="I848" s="335" t="s">
        <v>3494</v>
      </c>
    </row>
    <row r="849">
      <c r="G849" s="584"/>
      <c r="H849" s="584"/>
      <c r="I849" s="335" t="s">
        <v>3494</v>
      </c>
    </row>
    <row r="850">
      <c r="G850" s="584"/>
      <c r="H850" s="584"/>
      <c r="I850" s="335" t="s">
        <v>3494</v>
      </c>
    </row>
    <row r="851">
      <c r="G851" s="584"/>
      <c r="H851" s="584"/>
      <c r="I851" s="335" t="s">
        <v>3494</v>
      </c>
    </row>
    <row r="852">
      <c r="G852" s="584"/>
      <c r="H852" s="584"/>
      <c r="I852" s="335" t="s">
        <v>3494</v>
      </c>
    </row>
    <row r="853">
      <c r="G853" s="584"/>
      <c r="H853" s="584"/>
      <c r="I853" s="335" t="s">
        <v>3494</v>
      </c>
    </row>
    <row r="854">
      <c r="G854" s="584"/>
      <c r="H854" s="584"/>
      <c r="I854" s="335" t="s">
        <v>3494</v>
      </c>
    </row>
    <row r="855">
      <c r="G855" s="584"/>
      <c r="H855" s="584"/>
      <c r="I855" s="335" t="s">
        <v>3494</v>
      </c>
    </row>
    <row r="856">
      <c r="G856" s="584"/>
      <c r="H856" s="584"/>
      <c r="I856" s="335" t="s">
        <v>3494</v>
      </c>
    </row>
    <row r="857">
      <c r="G857" s="584"/>
      <c r="H857" s="584"/>
      <c r="I857" s="335" t="s">
        <v>3494</v>
      </c>
    </row>
    <row r="858">
      <c r="G858" s="584"/>
      <c r="H858" s="584"/>
      <c r="I858" s="335" t="s">
        <v>3494</v>
      </c>
    </row>
    <row r="859">
      <c r="G859" s="584"/>
      <c r="H859" s="584"/>
      <c r="I859" s="335" t="s">
        <v>3494</v>
      </c>
    </row>
    <row r="860">
      <c r="G860" s="584"/>
      <c r="H860" s="584"/>
      <c r="I860" s="335" t="s">
        <v>3494</v>
      </c>
    </row>
    <row r="861">
      <c r="G861" s="584"/>
      <c r="H861" s="584"/>
      <c r="I861" s="335" t="s">
        <v>3494</v>
      </c>
    </row>
    <row r="862">
      <c r="G862" s="584"/>
      <c r="H862" s="584"/>
      <c r="I862" s="335" t="s">
        <v>3494</v>
      </c>
    </row>
    <row r="863">
      <c r="G863" s="584"/>
      <c r="H863" s="584"/>
      <c r="I863" s="335" t="s">
        <v>3494</v>
      </c>
    </row>
    <row r="864">
      <c r="G864" s="584"/>
      <c r="H864" s="584"/>
      <c r="I864" s="335" t="s">
        <v>3494</v>
      </c>
    </row>
    <row r="865">
      <c r="G865" s="584"/>
      <c r="H865" s="584"/>
      <c r="I865" s="335" t="s">
        <v>3494</v>
      </c>
    </row>
    <row r="866">
      <c r="G866" s="584"/>
      <c r="H866" s="584"/>
      <c r="I866" s="335" t="s">
        <v>3494</v>
      </c>
    </row>
    <row r="867">
      <c r="G867" s="584"/>
      <c r="H867" s="584"/>
      <c r="I867" s="335" t="s">
        <v>3494</v>
      </c>
    </row>
    <row r="868">
      <c r="G868" s="584"/>
      <c r="H868" s="584"/>
      <c r="I868" s="335" t="s">
        <v>3494</v>
      </c>
    </row>
    <row r="869">
      <c r="G869" s="584"/>
      <c r="H869" s="584"/>
      <c r="I869" s="335" t="s">
        <v>3494</v>
      </c>
    </row>
    <row r="870">
      <c r="G870" s="584"/>
      <c r="H870" s="584"/>
      <c r="I870" s="335" t="s">
        <v>3494</v>
      </c>
    </row>
    <row r="871">
      <c r="G871" s="584"/>
      <c r="H871" s="584"/>
      <c r="I871" s="335" t="s">
        <v>3494</v>
      </c>
    </row>
    <row r="872">
      <c r="G872" s="584"/>
      <c r="H872" s="584"/>
      <c r="I872" s="335" t="s">
        <v>3494</v>
      </c>
    </row>
    <row r="873">
      <c r="G873" s="584"/>
      <c r="H873" s="584"/>
      <c r="I873" s="335" t="s">
        <v>3494</v>
      </c>
    </row>
    <row r="874">
      <c r="G874" s="584"/>
      <c r="H874" s="584"/>
      <c r="I874" s="335" t="s">
        <v>3494</v>
      </c>
    </row>
    <row r="875">
      <c r="G875" s="584"/>
      <c r="H875" s="584"/>
      <c r="I875" s="335" t="s">
        <v>3494</v>
      </c>
    </row>
    <row r="876">
      <c r="G876" s="584"/>
      <c r="H876" s="584"/>
      <c r="I876" s="335" t="s">
        <v>3494</v>
      </c>
    </row>
    <row r="877">
      <c r="G877" s="584"/>
      <c r="H877" s="584"/>
      <c r="I877" s="335" t="s">
        <v>3494</v>
      </c>
    </row>
    <row r="878">
      <c r="G878" s="584"/>
      <c r="H878" s="584"/>
      <c r="I878" s="335" t="s">
        <v>3494</v>
      </c>
    </row>
    <row r="879">
      <c r="G879" s="584"/>
      <c r="H879" s="584"/>
      <c r="I879" s="335" t="s">
        <v>3494</v>
      </c>
    </row>
    <row r="880">
      <c r="G880" s="584"/>
      <c r="H880" s="584"/>
      <c r="I880" s="335" t="s">
        <v>3494</v>
      </c>
    </row>
    <row r="881">
      <c r="G881" s="584"/>
      <c r="H881" s="584"/>
      <c r="I881" s="335" t="s">
        <v>3494</v>
      </c>
    </row>
    <row r="882">
      <c r="G882" s="584"/>
      <c r="H882" s="584"/>
      <c r="I882" s="335" t="s">
        <v>3494</v>
      </c>
    </row>
    <row r="883">
      <c r="G883" s="584"/>
      <c r="H883" s="584"/>
      <c r="I883" s="335" t="s">
        <v>3494</v>
      </c>
    </row>
    <row r="884">
      <c r="G884" s="584"/>
      <c r="H884" s="584"/>
      <c r="I884" s="335" t="s">
        <v>3494</v>
      </c>
    </row>
    <row r="885">
      <c r="G885" s="584"/>
      <c r="H885" s="584"/>
      <c r="I885" s="335" t="s">
        <v>3494</v>
      </c>
    </row>
    <row r="886">
      <c r="G886" s="584"/>
      <c r="H886" s="584"/>
      <c r="I886" s="335" t="s">
        <v>3494</v>
      </c>
    </row>
    <row r="887">
      <c r="G887" s="584"/>
      <c r="H887" s="584"/>
      <c r="I887" s="335" t="s">
        <v>3494</v>
      </c>
    </row>
    <row r="888">
      <c r="G888" s="584"/>
      <c r="H888" s="584"/>
      <c r="I888" s="335" t="s">
        <v>3494</v>
      </c>
    </row>
    <row r="889">
      <c r="G889" s="584"/>
      <c r="H889" s="584"/>
      <c r="I889" s="335" t="s">
        <v>3494</v>
      </c>
    </row>
    <row r="890">
      <c r="G890" s="584"/>
      <c r="H890" s="584"/>
      <c r="I890" s="335" t="s">
        <v>3494</v>
      </c>
    </row>
    <row r="891">
      <c r="G891" s="584"/>
      <c r="H891" s="584"/>
      <c r="I891" s="335" t="s">
        <v>3494</v>
      </c>
    </row>
    <row r="892">
      <c r="G892" s="584"/>
      <c r="H892" s="584"/>
      <c r="I892" s="335" t="s">
        <v>3494</v>
      </c>
    </row>
    <row r="893">
      <c r="G893" s="584"/>
      <c r="H893" s="584"/>
      <c r="I893" s="335" t="s">
        <v>3494</v>
      </c>
    </row>
    <row r="894">
      <c r="G894" s="584"/>
      <c r="H894" s="584"/>
      <c r="I894" s="335" t="s">
        <v>3494</v>
      </c>
    </row>
    <row r="895">
      <c r="G895" s="584"/>
      <c r="H895" s="584"/>
      <c r="I895" s="335" t="s">
        <v>3494</v>
      </c>
    </row>
    <row r="896">
      <c r="G896" s="584"/>
      <c r="H896" s="584"/>
      <c r="I896" s="335" t="s">
        <v>3494</v>
      </c>
    </row>
    <row r="897">
      <c r="G897" s="584"/>
      <c r="H897" s="584"/>
      <c r="I897" s="335" t="s">
        <v>3494</v>
      </c>
    </row>
    <row r="898">
      <c r="G898" s="584"/>
      <c r="H898" s="584"/>
      <c r="I898" s="335" t="s">
        <v>3494</v>
      </c>
    </row>
    <row r="899">
      <c r="G899" s="584"/>
      <c r="H899" s="584"/>
      <c r="I899" s="335" t="s">
        <v>3494</v>
      </c>
    </row>
    <row r="900">
      <c r="G900" s="584"/>
      <c r="H900" s="584"/>
      <c r="I900" s="335" t="s">
        <v>3494</v>
      </c>
    </row>
    <row r="901">
      <c r="G901" s="584"/>
      <c r="H901" s="584"/>
      <c r="I901" s="335" t="s">
        <v>3494</v>
      </c>
    </row>
    <row r="902">
      <c r="G902" s="584"/>
      <c r="H902" s="584"/>
      <c r="I902" s="335" t="s">
        <v>3494</v>
      </c>
    </row>
    <row r="903">
      <c r="G903" s="584"/>
      <c r="H903" s="584"/>
      <c r="I903" s="335" t="s">
        <v>3494</v>
      </c>
    </row>
    <row r="904">
      <c r="G904" s="584"/>
      <c r="H904" s="584"/>
      <c r="I904" s="335" t="s">
        <v>3494</v>
      </c>
    </row>
    <row r="905">
      <c r="G905" s="584"/>
      <c r="H905" s="584"/>
      <c r="I905" s="335" t="s">
        <v>3494</v>
      </c>
    </row>
    <row r="906">
      <c r="G906" s="584"/>
      <c r="H906" s="584"/>
      <c r="I906" s="335" t="s">
        <v>3494</v>
      </c>
    </row>
    <row r="907">
      <c r="G907" s="584"/>
      <c r="H907" s="584"/>
      <c r="I907" s="335" t="s">
        <v>3494</v>
      </c>
    </row>
    <row r="908">
      <c r="G908" s="584"/>
      <c r="H908" s="584"/>
      <c r="I908" s="335" t="s">
        <v>3494</v>
      </c>
    </row>
    <row r="909">
      <c r="G909" s="584"/>
      <c r="H909" s="584"/>
      <c r="I909" s="335" t="s">
        <v>3494</v>
      </c>
    </row>
    <row r="910">
      <c r="G910" s="584"/>
      <c r="H910" s="584"/>
      <c r="I910" s="335" t="s">
        <v>3494</v>
      </c>
    </row>
    <row r="911">
      <c r="G911" s="584"/>
      <c r="H911" s="584"/>
      <c r="I911" s="335" t="s">
        <v>3494</v>
      </c>
    </row>
    <row r="912">
      <c r="G912" s="584"/>
      <c r="H912" s="584"/>
      <c r="I912" s="335" t="s">
        <v>3494</v>
      </c>
    </row>
    <row r="913">
      <c r="G913" s="584"/>
      <c r="H913" s="584"/>
      <c r="I913" s="335" t="s">
        <v>3494</v>
      </c>
    </row>
    <row r="914">
      <c r="G914" s="584"/>
      <c r="H914" s="584"/>
      <c r="I914" s="335" t="s">
        <v>3494</v>
      </c>
    </row>
    <row r="915">
      <c r="G915" s="584"/>
      <c r="H915" s="584"/>
      <c r="I915" s="335" t="s">
        <v>3494</v>
      </c>
    </row>
    <row r="916">
      <c r="G916" s="584"/>
      <c r="H916" s="584"/>
      <c r="I916" s="335" t="s">
        <v>3494</v>
      </c>
    </row>
    <row r="917">
      <c r="G917" s="584"/>
      <c r="H917" s="584"/>
      <c r="I917" s="335" t="s">
        <v>3494</v>
      </c>
    </row>
    <row r="918">
      <c r="G918" s="584"/>
      <c r="H918" s="584"/>
      <c r="I918" s="335" t="s">
        <v>3494</v>
      </c>
    </row>
    <row r="919">
      <c r="G919" s="584"/>
      <c r="H919" s="584"/>
      <c r="I919" s="335" t="s">
        <v>3494</v>
      </c>
    </row>
    <row r="920">
      <c r="G920" s="584"/>
      <c r="H920" s="584"/>
      <c r="I920" s="335" t="s">
        <v>3494</v>
      </c>
    </row>
    <row r="921">
      <c r="G921" s="584"/>
      <c r="H921" s="584"/>
      <c r="I921" s="335" t="s">
        <v>3494</v>
      </c>
    </row>
    <row r="922">
      <c r="G922" s="584"/>
      <c r="H922" s="584"/>
      <c r="I922" s="335" t="s">
        <v>3494</v>
      </c>
    </row>
    <row r="923">
      <c r="G923" s="584"/>
      <c r="H923" s="584"/>
      <c r="I923" s="335" t="s">
        <v>3494</v>
      </c>
    </row>
    <row r="924">
      <c r="G924" s="584"/>
      <c r="H924" s="584"/>
      <c r="I924" s="335" t="s">
        <v>3494</v>
      </c>
    </row>
    <row r="925">
      <c r="G925" s="584"/>
      <c r="H925" s="584"/>
      <c r="I925" s="335" t="s">
        <v>3494</v>
      </c>
    </row>
    <row r="926">
      <c r="G926" s="584"/>
      <c r="H926" s="584"/>
      <c r="I926" s="335" t="s">
        <v>3494</v>
      </c>
    </row>
    <row r="927">
      <c r="G927" s="584"/>
      <c r="H927" s="584"/>
      <c r="I927" s="335" t="s">
        <v>3494</v>
      </c>
    </row>
    <row r="928">
      <c r="G928" s="584"/>
      <c r="H928" s="584"/>
      <c r="I928" s="335" t="s">
        <v>3494</v>
      </c>
    </row>
    <row r="929">
      <c r="G929" s="584"/>
      <c r="H929" s="584"/>
      <c r="I929" s="335" t="s">
        <v>3494</v>
      </c>
    </row>
    <row r="930">
      <c r="G930" s="584"/>
      <c r="H930" s="584"/>
      <c r="I930" s="335" t="s">
        <v>3494</v>
      </c>
    </row>
    <row r="931">
      <c r="G931" s="584"/>
      <c r="H931" s="584"/>
      <c r="I931" s="335" t="s">
        <v>3494</v>
      </c>
    </row>
    <row r="932">
      <c r="G932" s="584"/>
      <c r="H932" s="584"/>
      <c r="I932" s="335" t="s">
        <v>3494</v>
      </c>
    </row>
    <row r="933">
      <c r="G933" s="584"/>
      <c r="H933" s="584"/>
      <c r="I933" s="335" t="s">
        <v>3494</v>
      </c>
    </row>
    <row r="934">
      <c r="G934" s="584"/>
      <c r="H934" s="584"/>
      <c r="I934" s="335" t="s">
        <v>3494</v>
      </c>
    </row>
    <row r="935">
      <c r="G935" s="584"/>
      <c r="H935" s="584"/>
      <c r="I935" s="335" t="s">
        <v>3494</v>
      </c>
    </row>
    <row r="936">
      <c r="G936" s="584"/>
      <c r="H936" s="584"/>
      <c r="I936" s="335" t="s">
        <v>3494</v>
      </c>
    </row>
    <row r="937">
      <c r="G937" s="584"/>
      <c r="H937" s="584"/>
      <c r="I937" s="335" t="s">
        <v>3494</v>
      </c>
    </row>
    <row r="938">
      <c r="G938" s="584"/>
      <c r="H938" s="584"/>
      <c r="I938" s="335" t="s">
        <v>3494</v>
      </c>
    </row>
    <row r="939">
      <c r="G939" s="584"/>
      <c r="H939" s="584"/>
      <c r="I939" s="335" t="s">
        <v>3494</v>
      </c>
    </row>
    <row r="940">
      <c r="G940" s="584"/>
      <c r="H940" s="584"/>
      <c r="I940" s="335" t="s">
        <v>3494</v>
      </c>
    </row>
    <row r="941">
      <c r="G941" s="584"/>
      <c r="H941" s="584"/>
      <c r="I941" s="335" t="s">
        <v>3494</v>
      </c>
    </row>
    <row r="942">
      <c r="G942" s="584"/>
      <c r="H942" s="584"/>
      <c r="I942" s="335" t="s">
        <v>3494</v>
      </c>
    </row>
    <row r="943">
      <c r="G943" s="584"/>
      <c r="H943" s="584"/>
      <c r="I943" s="335" t="s">
        <v>3494</v>
      </c>
    </row>
    <row r="944">
      <c r="G944" s="584"/>
      <c r="H944" s="584"/>
      <c r="I944" s="335" t="s">
        <v>3494</v>
      </c>
    </row>
    <row r="945">
      <c r="G945" s="584"/>
      <c r="H945" s="584"/>
      <c r="I945" s="335" t="s">
        <v>3494</v>
      </c>
    </row>
    <row r="946">
      <c r="G946" s="584"/>
      <c r="H946" s="584"/>
      <c r="I946" s="335" t="s">
        <v>3494</v>
      </c>
    </row>
    <row r="947">
      <c r="G947" s="584"/>
      <c r="H947" s="584"/>
      <c r="I947" s="335" t="s">
        <v>3494</v>
      </c>
    </row>
    <row r="948">
      <c r="G948" s="584"/>
      <c r="H948" s="584"/>
      <c r="I948" s="335" t="s">
        <v>3494</v>
      </c>
    </row>
    <row r="949">
      <c r="G949" s="584"/>
      <c r="H949" s="584"/>
      <c r="I949" s="335" t="s">
        <v>3494</v>
      </c>
    </row>
    <row r="950">
      <c r="G950" s="584"/>
      <c r="H950" s="584"/>
      <c r="I950" s="335" t="s">
        <v>3494</v>
      </c>
    </row>
    <row r="951">
      <c r="G951" s="584"/>
      <c r="H951" s="584"/>
      <c r="I951" s="335" t="s">
        <v>3494</v>
      </c>
    </row>
    <row r="952">
      <c r="G952" s="584"/>
      <c r="H952" s="584"/>
      <c r="I952" s="335" t="s">
        <v>3494</v>
      </c>
    </row>
    <row r="953">
      <c r="G953" s="584"/>
      <c r="H953" s="584"/>
      <c r="I953" s="335" t="s">
        <v>3494</v>
      </c>
    </row>
    <row r="954">
      <c r="G954" s="584"/>
      <c r="H954" s="584"/>
      <c r="I954" s="335" t="s">
        <v>3494</v>
      </c>
    </row>
    <row r="955">
      <c r="G955" s="584"/>
      <c r="H955" s="584"/>
      <c r="I955" s="335" t="s">
        <v>3494</v>
      </c>
    </row>
    <row r="956">
      <c r="G956" s="584"/>
      <c r="H956" s="584"/>
      <c r="I956" s="335" t="s">
        <v>3494</v>
      </c>
    </row>
    <row r="957">
      <c r="G957" s="584"/>
      <c r="H957" s="584"/>
      <c r="I957" s="335" t="s">
        <v>3494</v>
      </c>
    </row>
    <row r="958">
      <c r="G958" s="584"/>
      <c r="H958" s="584"/>
      <c r="I958" s="335" t="s">
        <v>3494</v>
      </c>
    </row>
    <row r="959">
      <c r="G959" s="584"/>
      <c r="H959" s="584"/>
      <c r="I959" s="335" t="s">
        <v>3494</v>
      </c>
    </row>
    <row r="960">
      <c r="G960" s="584"/>
      <c r="H960" s="584"/>
      <c r="I960" s="335" t="s">
        <v>3494</v>
      </c>
    </row>
    <row r="961">
      <c r="G961" s="584"/>
      <c r="H961" s="584"/>
      <c r="I961" s="335" t="s">
        <v>3494</v>
      </c>
    </row>
    <row r="962">
      <c r="G962" s="584"/>
      <c r="H962" s="584"/>
      <c r="I962" s="335" t="s">
        <v>3494</v>
      </c>
    </row>
    <row r="963">
      <c r="G963" s="584"/>
      <c r="H963" s="584"/>
      <c r="I963" s="335" t="s">
        <v>3494</v>
      </c>
    </row>
    <row r="964">
      <c r="G964" s="584"/>
      <c r="H964" s="584"/>
      <c r="I964" s="335" t="s">
        <v>3494</v>
      </c>
    </row>
    <row r="965">
      <c r="G965" s="584"/>
      <c r="H965" s="584"/>
      <c r="I965" s="335" t="s">
        <v>3494</v>
      </c>
    </row>
    <row r="966">
      <c r="G966" s="584"/>
      <c r="H966" s="584"/>
      <c r="I966" s="335" t="s">
        <v>3494</v>
      </c>
    </row>
    <row r="967">
      <c r="G967" s="584"/>
      <c r="H967" s="584"/>
      <c r="I967" s="335" t="s">
        <v>3494</v>
      </c>
    </row>
    <row r="968">
      <c r="G968" s="584"/>
      <c r="H968" s="584"/>
      <c r="I968" s="335" t="s">
        <v>3494</v>
      </c>
    </row>
    <row r="969">
      <c r="G969" s="584"/>
      <c r="H969" s="584"/>
      <c r="I969" s="335" t="s">
        <v>3494</v>
      </c>
    </row>
    <row r="970">
      <c r="G970" s="584"/>
      <c r="H970" s="584"/>
      <c r="I970" s="335" t="s">
        <v>3494</v>
      </c>
    </row>
    <row r="971">
      <c r="G971" s="584"/>
      <c r="H971" s="584"/>
      <c r="I971" s="335" t="s">
        <v>3494</v>
      </c>
    </row>
    <row r="972">
      <c r="G972" s="584"/>
      <c r="H972" s="584"/>
      <c r="I972" s="335" t="s">
        <v>3494</v>
      </c>
    </row>
    <row r="973">
      <c r="G973" s="584"/>
      <c r="H973" s="584"/>
      <c r="I973" s="335" t="s">
        <v>3494</v>
      </c>
    </row>
    <row r="974">
      <c r="G974" s="584"/>
      <c r="H974" s="584"/>
      <c r="I974" s="335" t="s">
        <v>3494</v>
      </c>
    </row>
    <row r="975">
      <c r="G975" s="584"/>
      <c r="H975" s="584"/>
      <c r="I975" s="335" t="s">
        <v>3494</v>
      </c>
    </row>
    <row r="976">
      <c r="G976" s="584"/>
      <c r="H976" s="584"/>
      <c r="I976" s="335" t="s">
        <v>3494</v>
      </c>
    </row>
    <row r="977">
      <c r="G977" s="584"/>
      <c r="H977" s="584"/>
      <c r="I977" s="335" t="s">
        <v>3494</v>
      </c>
    </row>
    <row r="978">
      <c r="G978" s="584"/>
      <c r="H978" s="584"/>
      <c r="I978" s="335" t="s">
        <v>3494</v>
      </c>
    </row>
    <row r="979">
      <c r="G979" s="584"/>
      <c r="H979" s="584"/>
      <c r="I979" s="335" t="s">
        <v>3494</v>
      </c>
    </row>
    <row r="980">
      <c r="G980" s="584"/>
      <c r="H980" s="584"/>
      <c r="I980" s="335" t="s">
        <v>3494</v>
      </c>
    </row>
    <row r="981">
      <c r="G981" s="584"/>
      <c r="H981" s="584"/>
      <c r="I981" s="335" t="s">
        <v>3494</v>
      </c>
    </row>
    <row r="982">
      <c r="G982" s="584"/>
      <c r="H982" s="584"/>
      <c r="I982" s="335" t="s">
        <v>3494</v>
      </c>
    </row>
    <row r="983">
      <c r="G983" s="584"/>
      <c r="H983" s="584"/>
      <c r="I983" s="335" t="s">
        <v>3494</v>
      </c>
    </row>
    <row r="984">
      <c r="G984" s="584"/>
      <c r="H984" s="584"/>
      <c r="I984" s="335" t="s">
        <v>3494</v>
      </c>
    </row>
    <row r="985">
      <c r="G985" s="584"/>
      <c r="H985" s="584"/>
      <c r="I985" s="335" t="s">
        <v>3494</v>
      </c>
    </row>
    <row r="986">
      <c r="G986" s="584"/>
      <c r="H986" s="584"/>
      <c r="I986" s="335" t="s">
        <v>3494</v>
      </c>
    </row>
    <row r="987">
      <c r="G987" s="584"/>
      <c r="H987" s="584"/>
      <c r="I987" s="335" t="s">
        <v>3494</v>
      </c>
    </row>
    <row r="988">
      <c r="G988" s="584"/>
      <c r="H988" s="584"/>
      <c r="I988" s="335" t="s">
        <v>3494</v>
      </c>
    </row>
    <row r="989">
      <c r="G989" s="584"/>
      <c r="H989" s="584"/>
      <c r="I989" s="335" t="s">
        <v>3494</v>
      </c>
    </row>
    <row r="990">
      <c r="G990" s="584"/>
      <c r="H990" s="584"/>
      <c r="I990" s="335" t="s">
        <v>3494</v>
      </c>
    </row>
    <row r="991">
      <c r="G991" s="584"/>
      <c r="H991" s="584"/>
      <c r="I991" s="335" t="s">
        <v>3494</v>
      </c>
    </row>
    <row r="992">
      <c r="G992" s="584"/>
      <c r="H992" s="584"/>
      <c r="I992" s="335" t="s">
        <v>3494</v>
      </c>
    </row>
    <row r="993">
      <c r="G993" s="584"/>
      <c r="H993" s="584"/>
      <c r="I993" s="335" t="s">
        <v>3494</v>
      </c>
    </row>
    <row r="994">
      <c r="G994" s="584"/>
      <c r="H994" s="584"/>
      <c r="I994" s="335" t="s">
        <v>3494</v>
      </c>
    </row>
    <row r="995">
      <c r="G995" s="584"/>
      <c r="H995" s="584"/>
      <c r="I995" s="335" t="s">
        <v>3494</v>
      </c>
    </row>
    <row r="996">
      <c r="G996" s="584"/>
      <c r="H996" s="584"/>
      <c r="I996" s="335" t="s">
        <v>3494</v>
      </c>
    </row>
    <row r="997">
      <c r="G997" s="584"/>
      <c r="H997" s="584"/>
      <c r="I997" s="335" t="s">
        <v>3494</v>
      </c>
    </row>
    <row r="998">
      <c r="G998" s="584"/>
      <c r="H998" s="584"/>
      <c r="I998" s="335" t="s">
        <v>3494</v>
      </c>
    </row>
    <row r="999">
      <c r="G999" s="584"/>
      <c r="H999" s="584"/>
      <c r="I999" s="335" t="s">
        <v>3494</v>
      </c>
    </row>
    <row r="1000">
      <c r="G1000" s="584"/>
      <c r="H1000" s="584"/>
      <c r="I1000" s="335" t="s">
        <v>3494</v>
      </c>
    </row>
    <row r="1001">
      <c r="G1001" s="584"/>
      <c r="H1001" s="584"/>
      <c r="I1001" s="335" t="s">
        <v>3494</v>
      </c>
    </row>
    <row r="1002">
      <c r="G1002" s="584"/>
      <c r="H1002" s="584"/>
      <c r="I1002" s="335" t="s">
        <v>3494</v>
      </c>
    </row>
    <row r="1003">
      <c r="G1003" s="584"/>
      <c r="H1003" s="584"/>
      <c r="I1003" s="335" t="s">
        <v>3494</v>
      </c>
    </row>
    <row r="1004">
      <c r="G1004" s="584"/>
      <c r="H1004" s="584"/>
      <c r="I1004" s="335" t="s">
        <v>3494</v>
      </c>
    </row>
    <row r="1005">
      <c r="G1005" s="584"/>
      <c r="H1005" s="584"/>
      <c r="I1005" s="335" t="s">
        <v>3494</v>
      </c>
    </row>
    <row r="1006">
      <c r="G1006" s="584"/>
      <c r="H1006" s="584"/>
      <c r="I1006" s="335" t="s">
        <v>3494</v>
      </c>
    </row>
    <row r="1007">
      <c r="G1007" s="584"/>
      <c r="H1007" s="584"/>
      <c r="I1007" s="335" t="s">
        <v>3494</v>
      </c>
    </row>
    <row r="1008">
      <c r="G1008" s="584"/>
      <c r="H1008" s="584"/>
      <c r="I1008" s="335" t="s">
        <v>3494</v>
      </c>
    </row>
    <row r="1009">
      <c r="G1009" s="584"/>
      <c r="H1009" s="584"/>
      <c r="I1009" s="335" t="s">
        <v>3494</v>
      </c>
    </row>
    <row r="1010">
      <c r="G1010" s="584"/>
      <c r="H1010" s="584"/>
      <c r="I1010" s="335" t="s">
        <v>3494</v>
      </c>
    </row>
    <row r="1011">
      <c r="G1011" s="584"/>
      <c r="H1011" s="584"/>
      <c r="I1011" s="335" t="s">
        <v>3494</v>
      </c>
    </row>
    <row r="1012">
      <c r="G1012" s="584"/>
      <c r="H1012" s="584"/>
      <c r="I1012" s="335" t="s">
        <v>3494</v>
      </c>
    </row>
    <row r="1013">
      <c r="G1013" s="584"/>
      <c r="H1013" s="584"/>
      <c r="I1013" s="335" t="s">
        <v>3494</v>
      </c>
    </row>
    <row r="1014">
      <c r="G1014" s="584"/>
      <c r="H1014" s="584"/>
      <c r="I1014" s="335" t="s">
        <v>3494</v>
      </c>
    </row>
    <row r="1015">
      <c r="G1015" s="584"/>
      <c r="H1015" s="584"/>
      <c r="I1015" s="335" t="s">
        <v>3494</v>
      </c>
    </row>
    <row r="1016">
      <c r="G1016" s="584"/>
      <c r="H1016" s="584"/>
      <c r="I1016" s="335" t="s">
        <v>3494</v>
      </c>
    </row>
    <row r="1017">
      <c r="G1017" s="584"/>
      <c r="H1017" s="584"/>
      <c r="I1017" s="335" t="s">
        <v>3494</v>
      </c>
    </row>
    <row r="1018">
      <c r="G1018" s="584"/>
      <c r="H1018" s="584"/>
      <c r="I1018" s="335" t="s">
        <v>3494</v>
      </c>
    </row>
    <row r="1019">
      <c r="G1019" s="584"/>
      <c r="H1019" s="584"/>
      <c r="I1019" s="335" t="s">
        <v>3494</v>
      </c>
    </row>
    <row r="1020">
      <c r="G1020" s="584"/>
      <c r="H1020" s="584"/>
      <c r="I1020" s="335" t="s">
        <v>3494</v>
      </c>
    </row>
    <row r="1021">
      <c r="G1021" s="584"/>
      <c r="H1021" s="584"/>
      <c r="I1021" s="335" t="s">
        <v>3494</v>
      </c>
    </row>
    <row r="1022">
      <c r="G1022" s="584"/>
      <c r="H1022" s="584"/>
      <c r="I1022" s="335" t="s">
        <v>3494</v>
      </c>
    </row>
    <row r="1023">
      <c r="G1023" s="584"/>
      <c r="H1023" s="584"/>
      <c r="I1023" s="335" t="s">
        <v>3494</v>
      </c>
    </row>
    <row r="1024">
      <c r="G1024" s="584"/>
      <c r="H1024" s="584"/>
      <c r="I1024" s="335" t="s">
        <v>3494</v>
      </c>
    </row>
    <row r="1025">
      <c r="G1025" s="584"/>
      <c r="H1025" s="584"/>
      <c r="I1025" s="335" t="s">
        <v>3494</v>
      </c>
    </row>
    <row r="1026">
      <c r="G1026" s="584"/>
      <c r="H1026" s="584"/>
      <c r="I1026" s="335" t="s">
        <v>3494</v>
      </c>
    </row>
    <row r="1027">
      <c r="G1027" s="584"/>
      <c r="H1027" s="584"/>
      <c r="I1027" s="335" t="s">
        <v>3494</v>
      </c>
    </row>
    <row r="1028">
      <c r="G1028" s="584"/>
      <c r="H1028" s="584"/>
      <c r="I1028" s="335" t="s">
        <v>3494</v>
      </c>
    </row>
    <row r="1029">
      <c r="G1029" s="584"/>
      <c r="H1029" s="584"/>
      <c r="I1029" s="335" t="s">
        <v>3494</v>
      </c>
    </row>
    <row r="1030">
      <c r="G1030" s="584"/>
      <c r="H1030" s="584"/>
      <c r="I1030" s="335" t="s">
        <v>3494</v>
      </c>
    </row>
    <row r="1031">
      <c r="G1031" s="584"/>
      <c r="H1031" s="584"/>
      <c r="I1031" s="335" t="s">
        <v>3494</v>
      </c>
    </row>
    <row r="1032">
      <c r="G1032" s="584"/>
      <c r="H1032" s="584"/>
      <c r="I1032" s="335" t="s">
        <v>3494</v>
      </c>
    </row>
    <row r="1033">
      <c r="G1033" s="584"/>
      <c r="H1033" s="584"/>
      <c r="I1033" s="335" t="s">
        <v>3494</v>
      </c>
    </row>
    <row r="1034">
      <c r="G1034" s="584"/>
      <c r="H1034" s="584"/>
      <c r="I1034" s="335" t="s">
        <v>3494</v>
      </c>
    </row>
    <row r="1035">
      <c r="G1035" s="584"/>
      <c r="H1035" s="584"/>
      <c r="I1035" s="335" t="s">
        <v>3494</v>
      </c>
    </row>
    <row r="1036">
      <c r="G1036" s="584"/>
      <c r="H1036" s="584"/>
      <c r="I1036" s="335" t="s">
        <v>3494</v>
      </c>
    </row>
    <row r="1037">
      <c r="G1037" s="584"/>
      <c r="H1037" s="584"/>
      <c r="I1037" s="335" t="s">
        <v>3494</v>
      </c>
    </row>
    <row r="1038">
      <c r="G1038" s="584"/>
      <c r="H1038" s="584"/>
      <c r="I1038" s="335" t="s">
        <v>3494</v>
      </c>
    </row>
    <row r="1039">
      <c r="G1039" s="584"/>
      <c r="H1039" s="584"/>
      <c r="I1039" s="335" t="s">
        <v>3494</v>
      </c>
    </row>
    <row r="1040">
      <c r="G1040" s="584"/>
      <c r="H1040" s="584"/>
      <c r="I1040" s="335" t="s">
        <v>3494</v>
      </c>
    </row>
    <row r="1041">
      <c r="G1041" s="584"/>
      <c r="H1041" s="584"/>
      <c r="I1041" s="335" t="s">
        <v>3494</v>
      </c>
    </row>
    <row r="1042">
      <c r="G1042" s="584"/>
      <c r="H1042" s="584"/>
      <c r="I1042" s="335" t="s">
        <v>3494</v>
      </c>
    </row>
    <row r="1043">
      <c r="G1043" s="584"/>
      <c r="H1043" s="584"/>
      <c r="I1043" s="335" t="s">
        <v>3494</v>
      </c>
    </row>
    <row r="1044">
      <c r="G1044" s="584"/>
      <c r="H1044" s="584"/>
      <c r="I1044" s="335" t="s">
        <v>3494</v>
      </c>
    </row>
    <row r="1045">
      <c r="G1045" s="584"/>
      <c r="H1045" s="584"/>
      <c r="I1045" s="335" t="s">
        <v>3494</v>
      </c>
    </row>
    <row r="1046">
      <c r="G1046" s="584"/>
      <c r="H1046" s="584"/>
      <c r="I1046" s="335" t="s">
        <v>3494</v>
      </c>
    </row>
    <row r="1047">
      <c r="G1047" s="584"/>
      <c r="H1047" s="584"/>
      <c r="I1047" s="335" t="s">
        <v>3494</v>
      </c>
    </row>
    <row r="1048">
      <c r="G1048" s="584"/>
      <c r="H1048" s="584"/>
      <c r="I1048" s="335" t="s">
        <v>3494</v>
      </c>
    </row>
    <row r="1049">
      <c r="G1049" s="584"/>
      <c r="H1049" s="584"/>
      <c r="I1049" s="335" t="s">
        <v>3494</v>
      </c>
    </row>
    <row r="1050">
      <c r="G1050" s="584"/>
      <c r="H1050" s="584"/>
      <c r="I1050" s="335" t="s">
        <v>3494</v>
      </c>
    </row>
    <row r="1051">
      <c r="G1051" s="584"/>
      <c r="H1051" s="584"/>
      <c r="I1051" s="335" t="s">
        <v>3494</v>
      </c>
    </row>
    <row r="1052">
      <c r="G1052" s="584"/>
      <c r="H1052" s="584"/>
      <c r="I1052" s="335" t="s">
        <v>3494</v>
      </c>
    </row>
    <row r="1053">
      <c r="G1053" s="584"/>
      <c r="H1053" s="584"/>
      <c r="I1053" s="335" t="s">
        <v>3494</v>
      </c>
    </row>
    <row r="1054">
      <c r="G1054" s="584"/>
      <c r="H1054" s="584"/>
      <c r="I1054" s="335" t="s">
        <v>3494</v>
      </c>
    </row>
    <row r="1055">
      <c r="G1055" s="584"/>
      <c r="H1055" s="584"/>
      <c r="I1055" s="335" t="s">
        <v>3494</v>
      </c>
    </row>
    <row r="1056">
      <c r="G1056" s="584"/>
      <c r="H1056" s="584"/>
      <c r="I1056" s="335" t="s">
        <v>3494</v>
      </c>
    </row>
    <row r="1057">
      <c r="G1057" s="584"/>
      <c r="H1057" s="584"/>
      <c r="I1057" s="335" t="s">
        <v>3494</v>
      </c>
    </row>
    <row r="1058">
      <c r="G1058" s="584"/>
      <c r="H1058" s="584"/>
      <c r="I1058" s="335" t="s">
        <v>3494</v>
      </c>
    </row>
    <row r="1059">
      <c r="G1059" s="584"/>
      <c r="H1059" s="584"/>
      <c r="I1059" s="335" t="s">
        <v>3494</v>
      </c>
    </row>
    <row r="1060">
      <c r="G1060" s="584"/>
      <c r="H1060" s="584"/>
      <c r="I1060" s="335" t="s">
        <v>3494</v>
      </c>
    </row>
    <row r="1061">
      <c r="G1061" s="584"/>
      <c r="H1061" s="584"/>
      <c r="I1061" s="335" t="s">
        <v>3494</v>
      </c>
    </row>
    <row r="1062">
      <c r="G1062" s="584"/>
      <c r="H1062" s="584"/>
      <c r="I1062" s="335" t="s">
        <v>3494</v>
      </c>
    </row>
    <row r="1063">
      <c r="G1063" s="584"/>
      <c r="H1063" s="584"/>
      <c r="I1063" s="335" t="s">
        <v>3494</v>
      </c>
    </row>
    <row r="1064">
      <c r="G1064" s="584"/>
      <c r="H1064" s="584"/>
      <c r="I1064" s="335" t="s">
        <v>3494</v>
      </c>
    </row>
    <row r="1065">
      <c r="G1065" s="584"/>
      <c r="H1065" s="584"/>
      <c r="I1065" s="335" t="s">
        <v>3494</v>
      </c>
    </row>
    <row r="1066">
      <c r="G1066" s="584"/>
      <c r="H1066" s="584"/>
      <c r="I1066" s="335" t="s">
        <v>3494</v>
      </c>
    </row>
    <row r="1067">
      <c r="G1067" s="584"/>
      <c r="H1067" s="584"/>
      <c r="I1067" s="335" t="s">
        <v>3494</v>
      </c>
    </row>
    <row r="1068">
      <c r="G1068" s="584"/>
      <c r="H1068" s="584"/>
      <c r="I1068" s="335" t="s">
        <v>3494</v>
      </c>
    </row>
    <row r="1069">
      <c r="G1069" s="584"/>
      <c r="H1069" s="584"/>
      <c r="I1069" s="335" t="s">
        <v>3494</v>
      </c>
    </row>
    <row r="1070">
      <c r="G1070" s="584"/>
      <c r="H1070" s="584"/>
      <c r="I1070" s="335" t="s">
        <v>3494</v>
      </c>
    </row>
    <row r="1071">
      <c r="G1071" s="584"/>
      <c r="H1071" s="584"/>
      <c r="I1071" s="335" t="s">
        <v>3494</v>
      </c>
    </row>
    <row r="1072">
      <c r="G1072" s="584"/>
      <c r="H1072" s="584"/>
      <c r="I1072" s="335" t="s">
        <v>3494</v>
      </c>
    </row>
    <row r="1073">
      <c r="G1073" s="584"/>
      <c r="H1073" s="584"/>
      <c r="I1073" s="335" t="s">
        <v>3494</v>
      </c>
    </row>
    <row r="1074">
      <c r="G1074" s="584"/>
      <c r="H1074" s="584"/>
      <c r="I1074" s="335" t="s">
        <v>3494</v>
      </c>
    </row>
    <row r="1075">
      <c r="G1075" s="584"/>
      <c r="H1075" s="584"/>
      <c r="I1075" s="335" t="s">
        <v>3494</v>
      </c>
    </row>
    <row r="1076">
      <c r="G1076" s="584"/>
      <c r="H1076" s="584"/>
      <c r="I1076" s="335" t="s">
        <v>3494</v>
      </c>
    </row>
    <row r="1077">
      <c r="G1077" s="584"/>
      <c r="H1077" s="584"/>
      <c r="I1077" s="335" t="s">
        <v>3494</v>
      </c>
    </row>
    <row r="1078">
      <c r="G1078" s="584"/>
      <c r="H1078" s="584"/>
      <c r="I1078" s="335" t="s">
        <v>3494</v>
      </c>
    </row>
    <row r="1079">
      <c r="G1079" s="584"/>
      <c r="H1079" s="584"/>
      <c r="I1079" s="335" t="s">
        <v>3494</v>
      </c>
    </row>
    <row r="1080">
      <c r="G1080" s="584"/>
      <c r="H1080" s="584"/>
      <c r="I1080" s="335" t="s">
        <v>3494</v>
      </c>
    </row>
    <row r="1081">
      <c r="G1081" s="584"/>
      <c r="H1081" s="584"/>
      <c r="I1081" s="335" t="s">
        <v>3494</v>
      </c>
    </row>
    <row r="1082">
      <c r="G1082" s="584"/>
      <c r="H1082" s="584"/>
      <c r="I1082" s="335" t="s">
        <v>3494</v>
      </c>
    </row>
    <row r="1083">
      <c r="G1083" s="584"/>
      <c r="H1083" s="584"/>
      <c r="I1083" s="335" t="s">
        <v>3494</v>
      </c>
    </row>
    <row r="1084">
      <c r="G1084" s="584"/>
      <c r="H1084" s="584"/>
      <c r="I1084" s="335" t="s">
        <v>3494</v>
      </c>
    </row>
    <row r="1085">
      <c r="G1085" s="584"/>
      <c r="H1085" s="584"/>
      <c r="I1085" s="335" t="s">
        <v>3494</v>
      </c>
    </row>
    <row r="1086">
      <c r="G1086" s="584"/>
      <c r="H1086" s="584"/>
      <c r="I1086" s="335" t="s">
        <v>3494</v>
      </c>
    </row>
    <row r="1087">
      <c r="G1087" s="584"/>
      <c r="H1087" s="584"/>
      <c r="I1087" s="335" t="s">
        <v>3494</v>
      </c>
    </row>
    <row r="1088">
      <c r="G1088" s="584"/>
      <c r="H1088" s="584"/>
      <c r="I1088" s="335" t="s">
        <v>3494</v>
      </c>
    </row>
    <row r="1089">
      <c r="G1089" s="584"/>
      <c r="H1089" s="584"/>
      <c r="I1089" s="335" t="s">
        <v>3494</v>
      </c>
    </row>
    <row r="1090">
      <c r="G1090" s="584"/>
      <c r="H1090" s="584"/>
      <c r="I1090" s="335" t="s">
        <v>3494</v>
      </c>
    </row>
    <row r="1091">
      <c r="G1091" s="584"/>
      <c r="H1091" s="584"/>
      <c r="I1091" s="335" t="s">
        <v>3494</v>
      </c>
    </row>
    <row r="1092">
      <c r="G1092" s="584"/>
      <c r="H1092" s="584"/>
      <c r="I1092" s="335" t="s">
        <v>3494</v>
      </c>
    </row>
    <row r="1093">
      <c r="G1093" s="584"/>
      <c r="H1093" s="584"/>
      <c r="I1093" s="335" t="s">
        <v>3494</v>
      </c>
    </row>
    <row r="1094">
      <c r="G1094" s="584"/>
      <c r="H1094" s="584"/>
      <c r="I1094" s="335" t="s">
        <v>3494</v>
      </c>
    </row>
    <row r="1095">
      <c r="G1095" s="584"/>
      <c r="H1095" s="584"/>
      <c r="I1095" s="335" t="s">
        <v>3494</v>
      </c>
    </row>
    <row r="1096">
      <c r="G1096" s="584"/>
      <c r="H1096" s="584"/>
      <c r="I1096" s="335" t="s">
        <v>3494</v>
      </c>
    </row>
    <row r="1097">
      <c r="G1097" s="584"/>
      <c r="H1097" s="584"/>
      <c r="I1097" s="335" t="s">
        <v>3494</v>
      </c>
    </row>
    <row r="1098">
      <c r="G1098" s="584"/>
      <c r="H1098" s="584"/>
      <c r="I1098" s="335" t="s">
        <v>3494</v>
      </c>
    </row>
    <row r="1099">
      <c r="G1099" s="584"/>
      <c r="H1099" s="584"/>
      <c r="I1099" s="335" t="s">
        <v>3494</v>
      </c>
    </row>
    <row r="1100">
      <c r="G1100" s="584"/>
      <c r="H1100" s="584"/>
      <c r="I1100" s="335" t="s">
        <v>3494</v>
      </c>
    </row>
    <row r="1101">
      <c r="G1101" s="584"/>
      <c r="H1101" s="584"/>
      <c r="I1101" s="335" t="s">
        <v>3494</v>
      </c>
    </row>
    <row r="1102">
      <c r="G1102" s="584"/>
      <c r="H1102" s="584"/>
      <c r="I1102" s="335" t="s">
        <v>3494</v>
      </c>
    </row>
    <row r="1103">
      <c r="G1103" s="584"/>
      <c r="H1103" s="584"/>
      <c r="I1103" s="335" t="s">
        <v>3494</v>
      </c>
    </row>
    <row r="1104">
      <c r="G1104" s="584"/>
      <c r="H1104" s="584"/>
      <c r="I1104" s="335" t="s">
        <v>3494</v>
      </c>
    </row>
    <row r="1105">
      <c r="G1105" s="584"/>
      <c r="H1105" s="584"/>
      <c r="I1105" s="335" t="s">
        <v>3494</v>
      </c>
    </row>
    <row r="1106">
      <c r="G1106" s="584"/>
      <c r="H1106" s="584"/>
      <c r="I1106" s="335" t="s">
        <v>3494</v>
      </c>
    </row>
    <row r="1107">
      <c r="G1107" s="584"/>
      <c r="H1107" s="584"/>
      <c r="I1107" s="335" t="s">
        <v>3494</v>
      </c>
    </row>
    <row r="1108">
      <c r="G1108" s="584"/>
      <c r="H1108" s="584"/>
      <c r="I1108" s="335" t="s">
        <v>3494</v>
      </c>
    </row>
    <row r="1109">
      <c r="G1109" s="584"/>
      <c r="H1109" s="584"/>
      <c r="I1109" s="335" t="s">
        <v>3494</v>
      </c>
    </row>
    <row r="1110">
      <c r="G1110" s="584"/>
      <c r="H1110" s="584"/>
      <c r="I1110" s="335" t="s">
        <v>3494</v>
      </c>
    </row>
    <row r="1111">
      <c r="G1111" s="584"/>
      <c r="H1111" s="584"/>
      <c r="I1111" s="335" t="s">
        <v>3494</v>
      </c>
    </row>
    <row r="1112">
      <c r="G1112" s="584"/>
      <c r="H1112" s="584"/>
      <c r="I1112" s="335" t="s">
        <v>3494</v>
      </c>
    </row>
    <row r="1113">
      <c r="G1113" s="584"/>
      <c r="H1113" s="584"/>
      <c r="I1113" s="335" t="s">
        <v>3494</v>
      </c>
    </row>
    <row r="1114">
      <c r="G1114" s="584"/>
      <c r="H1114" s="584"/>
      <c r="I1114" s="335" t="s">
        <v>3494</v>
      </c>
    </row>
    <row r="1115">
      <c r="G1115" s="584"/>
      <c r="H1115" s="584"/>
      <c r="I1115" s="335" t="s">
        <v>3494</v>
      </c>
    </row>
    <row r="1116">
      <c r="G1116" s="584"/>
      <c r="H1116" s="584"/>
      <c r="I1116" s="335" t="s">
        <v>3494</v>
      </c>
    </row>
    <row r="1117">
      <c r="G1117" s="584"/>
      <c r="H1117" s="584"/>
      <c r="I1117" s="335" t="s">
        <v>3494</v>
      </c>
    </row>
    <row r="1118">
      <c r="G1118" s="584"/>
      <c r="H1118" s="584"/>
      <c r="I1118" s="335" t="s">
        <v>3494</v>
      </c>
    </row>
    <row r="1119">
      <c r="G1119" s="584"/>
      <c r="H1119" s="584"/>
      <c r="I1119" s="335" t="s">
        <v>3494</v>
      </c>
    </row>
    <row r="1120">
      <c r="G1120" s="584"/>
      <c r="H1120" s="584"/>
      <c r="I1120" s="335" t="s">
        <v>3494</v>
      </c>
    </row>
    <row r="1121">
      <c r="G1121" s="584"/>
      <c r="H1121" s="584"/>
      <c r="I1121" s="335" t="s">
        <v>3494</v>
      </c>
    </row>
    <row r="1122">
      <c r="G1122" s="584"/>
      <c r="H1122" s="584"/>
      <c r="I1122" s="335" t="s">
        <v>3494</v>
      </c>
    </row>
    <row r="1123">
      <c r="G1123" s="584"/>
      <c r="H1123" s="584"/>
      <c r="I1123" s="335" t="s">
        <v>3494</v>
      </c>
    </row>
    <row r="1124">
      <c r="G1124" s="584"/>
      <c r="H1124" s="584"/>
      <c r="I1124" s="335" t="s">
        <v>3494</v>
      </c>
    </row>
    <row r="1125">
      <c r="G1125" s="584"/>
      <c r="H1125" s="584"/>
      <c r="I1125" s="335" t="s">
        <v>3494</v>
      </c>
    </row>
    <row r="1126">
      <c r="G1126" s="584"/>
      <c r="H1126" s="584"/>
      <c r="I1126" s="335" t="s">
        <v>3494</v>
      </c>
    </row>
    <row r="1127">
      <c r="G1127" s="584"/>
      <c r="H1127" s="584"/>
      <c r="I1127" s="335" t="s">
        <v>3494</v>
      </c>
    </row>
    <row r="1128">
      <c r="G1128" s="584"/>
      <c r="H1128" s="584"/>
      <c r="I1128" s="335" t="s">
        <v>3494</v>
      </c>
    </row>
    <row r="1129">
      <c r="G1129" s="584"/>
      <c r="H1129" s="584"/>
      <c r="I1129" s="335" t="s">
        <v>3494</v>
      </c>
    </row>
    <row r="1130">
      <c r="G1130" s="584"/>
      <c r="H1130" s="584"/>
      <c r="I1130" s="335" t="s">
        <v>3494</v>
      </c>
    </row>
    <row r="1131">
      <c r="G1131" s="584"/>
      <c r="H1131" s="584"/>
      <c r="I1131" s="335" t="s">
        <v>3494</v>
      </c>
    </row>
    <row r="1132">
      <c r="G1132" s="584"/>
      <c r="H1132" s="584"/>
      <c r="I1132" s="335" t="s">
        <v>3494</v>
      </c>
    </row>
    <row r="1133">
      <c r="G1133" s="584"/>
      <c r="H1133" s="584"/>
      <c r="I1133" s="335" t="s">
        <v>3494</v>
      </c>
    </row>
    <row r="1134">
      <c r="G1134" s="584"/>
      <c r="H1134" s="584"/>
      <c r="I1134" s="335" t="s">
        <v>3494</v>
      </c>
    </row>
    <row r="1135">
      <c r="G1135" s="584"/>
      <c r="H1135" s="584"/>
      <c r="I1135" s="335" t="s">
        <v>3494</v>
      </c>
    </row>
    <row r="1136">
      <c r="G1136" s="584"/>
      <c r="H1136" s="584"/>
      <c r="I1136" s="335" t="s">
        <v>3494</v>
      </c>
    </row>
    <row r="1137">
      <c r="G1137" s="584"/>
      <c r="H1137" s="584"/>
      <c r="I1137" s="335" t="s">
        <v>3494</v>
      </c>
    </row>
    <row r="1138">
      <c r="G1138" s="584"/>
      <c r="H1138" s="584"/>
      <c r="I1138" s="335" t="s">
        <v>3494</v>
      </c>
    </row>
    <row r="1139">
      <c r="G1139" s="584"/>
      <c r="H1139" s="584"/>
      <c r="I1139" s="335" t="s">
        <v>3494</v>
      </c>
    </row>
    <row r="1140">
      <c r="G1140" s="584"/>
      <c r="H1140" s="584"/>
      <c r="I1140" s="335" t="s">
        <v>3494</v>
      </c>
    </row>
    <row r="1141">
      <c r="G1141" s="584"/>
      <c r="H1141" s="584"/>
      <c r="I1141" s="335" t="s">
        <v>3494</v>
      </c>
    </row>
    <row r="1142">
      <c r="G1142" s="584"/>
      <c r="H1142" s="584"/>
      <c r="I1142" s="335" t="s">
        <v>3494</v>
      </c>
    </row>
    <row r="1143">
      <c r="G1143" s="584"/>
      <c r="H1143" s="584"/>
      <c r="I1143" s="335" t="s">
        <v>3494</v>
      </c>
    </row>
    <row r="1144">
      <c r="G1144" s="584"/>
      <c r="H1144" s="584"/>
      <c r="I1144" s="335" t="s">
        <v>3494</v>
      </c>
    </row>
    <row r="1145">
      <c r="G1145" s="584"/>
      <c r="H1145" s="584"/>
      <c r="I1145" s="335" t="s">
        <v>3494</v>
      </c>
    </row>
    <row r="1146">
      <c r="G1146" s="584"/>
      <c r="H1146" s="584"/>
      <c r="I1146" s="335" t="s">
        <v>3494</v>
      </c>
    </row>
    <row r="1147">
      <c r="G1147" s="584"/>
      <c r="H1147" s="584"/>
      <c r="I1147" s="335" t="s">
        <v>3494</v>
      </c>
    </row>
    <row r="1148">
      <c r="G1148" s="584"/>
      <c r="H1148" s="584"/>
      <c r="I1148" s="335" t="s">
        <v>3494</v>
      </c>
    </row>
    <row r="1149">
      <c r="G1149" s="584"/>
      <c r="H1149" s="584"/>
      <c r="I1149" s="335" t="s">
        <v>3494</v>
      </c>
    </row>
    <row r="1150">
      <c r="G1150" s="584"/>
      <c r="H1150" s="584"/>
      <c r="I1150" s="335" t="s">
        <v>3494</v>
      </c>
    </row>
    <row r="1151">
      <c r="G1151" s="584"/>
      <c r="H1151" s="584"/>
      <c r="I1151" s="335" t="s">
        <v>3494</v>
      </c>
    </row>
    <row r="1152">
      <c r="G1152" s="584"/>
      <c r="H1152" s="584"/>
      <c r="I1152" s="335" t="s">
        <v>3494</v>
      </c>
    </row>
    <row r="1153">
      <c r="G1153" s="584"/>
      <c r="H1153" s="584"/>
      <c r="I1153" s="335" t="s">
        <v>3494</v>
      </c>
    </row>
    <row r="1154">
      <c r="G1154" s="584"/>
      <c r="H1154" s="584"/>
      <c r="I1154" s="335" t="s">
        <v>3494</v>
      </c>
    </row>
    <row r="1155">
      <c r="G1155" s="584"/>
      <c r="H1155" s="584"/>
      <c r="I1155" s="335" t="s">
        <v>3494</v>
      </c>
    </row>
    <row r="1156">
      <c r="G1156" s="584"/>
      <c r="H1156" s="584"/>
      <c r="I1156" s="335" t="s">
        <v>3494</v>
      </c>
    </row>
    <row r="1157">
      <c r="G1157" s="584"/>
      <c r="H1157" s="584"/>
      <c r="I1157" s="335" t="s">
        <v>3494</v>
      </c>
    </row>
    <row r="1158">
      <c r="G1158" s="584"/>
      <c r="H1158" s="584"/>
      <c r="I1158" s="335" t="s">
        <v>3494</v>
      </c>
    </row>
    <row r="1159">
      <c r="G1159" s="584"/>
      <c r="H1159" s="584"/>
      <c r="I1159" s="335" t="s">
        <v>3494</v>
      </c>
    </row>
    <row r="1160">
      <c r="G1160" s="584"/>
      <c r="H1160" s="584"/>
      <c r="I1160" s="335" t="s">
        <v>3494</v>
      </c>
    </row>
    <row r="1161">
      <c r="G1161" s="584"/>
      <c r="H1161" s="584"/>
      <c r="I1161" s="335" t="s">
        <v>3494</v>
      </c>
    </row>
    <row r="1162">
      <c r="G1162" s="584"/>
      <c r="H1162" s="584"/>
      <c r="I1162" s="335" t="s">
        <v>3494</v>
      </c>
    </row>
    <row r="1163">
      <c r="G1163" s="584"/>
      <c r="H1163" s="584"/>
      <c r="I1163" s="335" t="s">
        <v>3494</v>
      </c>
    </row>
    <row r="1164">
      <c r="G1164" s="584"/>
      <c r="H1164" s="584"/>
      <c r="I1164" s="335" t="s">
        <v>3494</v>
      </c>
    </row>
    <row r="1165">
      <c r="G1165" s="584"/>
      <c r="H1165" s="584"/>
      <c r="I1165" s="335" t="s">
        <v>3494</v>
      </c>
    </row>
    <row r="1166">
      <c r="G1166" s="584"/>
      <c r="H1166" s="584"/>
      <c r="I1166" s="335" t="s">
        <v>3494</v>
      </c>
    </row>
    <row r="1167">
      <c r="G1167" s="584"/>
      <c r="H1167" s="584"/>
      <c r="I1167" s="335" t="s">
        <v>3494</v>
      </c>
    </row>
    <row r="1168">
      <c r="G1168" s="584"/>
      <c r="H1168" s="584"/>
      <c r="I1168" s="335" t="s">
        <v>3494</v>
      </c>
    </row>
    <row r="1169">
      <c r="G1169" s="584"/>
      <c r="H1169" s="584"/>
      <c r="I1169" s="335" t="s">
        <v>3494</v>
      </c>
    </row>
    <row r="1170">
      <c r="G1170" s="584"/>
      <c r="H1170" s="584"/>
      <c r="I1170" s="335" t="s">
        <v>3494</v>
      </c>
    </row>
    <row r="1171">
      <c r="G1171" s="584"/>
      <c r="H1171" s="584"/>
      <c r="I1171" s="335" t="s">
        <v>3494</v>
      </c>
    </row>
    <row r="1172">
      <c r="G1172" s="584"/>
      <c r="H1172" s="584"/>
      <c r="I1172" s="335" t="s">
        <v>3494</v>
      </c>
    </row>
    <row r="1173">
      <c r="G1173" s="584"/>
      <c r="H1173" s="584"/>
      <c r="I1173" s="335" t="s">
        <v>3494</v>
      </c>
    </row>
    <row r="1174">
      <c r="G1174" s="584"/>
      <c r="H1174" s="584"/>
      <c r="I1174" s="335" t="s">
        <v>3494</v>
      </c>
    </row>
    <row r="1175">
      <c r="G1175" s="584"/>
      <c r="H1175" s="584"/>
      <c r="I1175" s="335" t="s">
        <v>3494</v>
      </c>
    </row>
    <row r="1176">
      <c r="G1176" s="584"/>
      <c r="H1176" s="584"/>
      <c r="I1176" s="335" t="s">
        <v>3494</v>
      </c>
    </row>
    <row r="1177">
      <c r="G1177" s="584"/>
      <c r="H1177" s="584"/>
      <c r="I1177" s="335" t="s">
        <v>3494</v>
      </c>
    </row>
    <row r="1178">
      <c r="G1178" s="584"/>
      <c r="H1178" s="584"/>
      <c r="I1178" s="335" t="s">
        <v>3494</v>
      </c>
    </row>
    <row r="1179">
      <c r="G1179" s="584"/>
      <c r="H1179" s="584"/>
      <c r="I1179" s="335" t="s">
        <v>3494</v>
      </c>
    </row>
    <row r="1180">
      <c r="G1180" s="584"/>
      <c r="H1180" s="584"/>
      <c r="I1180" s="335" t="s">
        <v>3494</v>
      </c>
    </row>
    <row r="1181">
      <c r="G1181" s="584"/>
      <c r="H1181" s="584"/>
      <c r="I1181" s="335" t="s">
        <v>3494</v>
      </c>
    </row>
    <row r="1182">
      <c r="G1182" s="584"/>
      <c r="H1182" s="584"/>
      <c r="I1182" s="335" t="s">
        <v>3494</v>
      </c>
    </row>
    <row r="1183">
      <c r="G1183" s="584"/>
      <c r="H1183" s="584"/>
      <c r="I1183" s="335" t="s">
        <v>3494</v>
      </c>
    </row>
    <row r="1184">
      <c r="G1184" s="584"/>
      <c r="H1184" s="584"/>
      <c r="I1184" s="335" t="s">
        <v>3494</v>
      </c>
    </row>
    <row r="1185">
      <c r="G1185" s="584"/>
      <c r="H1185" s="584"/>
      <c r="I1185" s="335" t="s">
        <v>3494</v>
      </c>
    </row>
    <row r="1186">
      <c r="G1186" s="584"/>
      <c r="H1186" s="584"/>
      <c r="I1186" s="335" t="s">
        <v>3494</v>
      </c>
    </row>
    <row r="1187">
      <c r="G1187" s="584"/>
      <c r="H1187" s="584"/>
      <c r="I1187" s="335" t="s">
        <v>3494</v>
      </c>
    </row>
    <row r="1188">
      <c r="G1188" s="584"/>
      <c r="H1188" s="584"/>
      <c r="I1188" s="335" t="s">
        <v>3494</v>
      </c>
    </row>
    <row r="1189">
      <c r="G1189" s="584"/>
      <c r="H1189" s="584"/>
      <c r="I1189" s="335" t="s">
        <v>3494</v>
      </c>
    </row>
    <row r="1190">
      <c r="G1190" s="584"/>
      <c r="H1190" s="584"/>
      <c r="I1190" s="335" t="s">
        <v>3494</v>
      </c>
    </row>
    <row r="1191">
      <c r="G1191" s="584"/>
      <c r="H1191" s="584"/>
      <c r="I1191" s="335" t="s">
        <v>3494</v>
      </c>
    </row>
    <row r="1192">
      <c r="G1192" s="584"/>
      <c r="H1192" s="584"/>
      <c r="I1192" s="335" t="s">
        <v>3494</v>
      </c>
    </row>
    <row r="1193">
      <c r="G1193" s="584"/>
      <c r="H1193" s="584"/>
      <c r="I1193" s="335" t="s">
        <v>3494</v>
      </c>
    </row>
    <row r="1194">
      <c r="G1194" s="584"/>
      <c r="H1194" s="584"/>
      <c r="I1194" s="335" t="s">
        <v>3494</v>
      </c>
    </row>
    <row r="1195">
      <c r="G1195" s="584"/>
      <c r="H1195" s="584"/>
      <c r="I1195" s="335" t="s">
        <v>3494</v>
      </c>
    </row>
    <row r="1196">
      <c r="G1196" s="584"/>
      <c r="H1196" s="584"/>
      <c r="I1196" s="335" t="s">
        <v>3494</v>
      </c>
    </row>
    <row r="1197">
      <c r="G1197" s="584"/>
      <c r="H1197" s="584"/>
      <c r="I1197" s="335" t="s">
        <v>3494</v>
      </c>
    </row>
    <row r="1198">
      <c r="G1198" s="584"/>
      <c r="H1198" s="584"/>
      <c r="I1198" s="335" t="s">
        <v>3494</v>
      </c>
    </row>
    <row r="1199">
      <c r="G1199" s="584"/>
      <c r="H1199" s="584"/>
      <c r="I1199" s="335" t="s">
        <v>3494</v>
      </c>
    </row>
    <row r="1200">
      <c r="G1200" s="584"/>
      <c r="H1200" s="584"/>
      <c r="I1200" s="335" t="s">
        <v>3494</v>
      </c>
    </row>
    <row r="1201">
      <c r="G1201" s="584"/>
      <c r="H1201" s="584"/>
      <c r="I1201" s="335" t="s">
        <v>3494</v>
      </c>
    </row>
    <row r="1202">
      <c r="G1202" s="584"/>
      <c r="H1202" s="584"/>
      <c r="I1202" s="335" t="s">
        <v>3494</v>
      </c>
    </row>
    <row r="1203">
      <c r="G1203" s="584"/>
      <c r="H1203" s="584"/>
      <c r="I1203" s="335" t="s">
        <v>3494</v>
      </c>
    </row>
    <row r="1204">
      <c r="G1204" s="584"/>
      <c r="H1204" s="584"/>
      <c r="I1204" s="335" t="s">
        <v>3494</v>
      </c>
    </row>
    <row r="1205">
      <c r="G1205" s="584"/>
      <c r="H1205" s="584"/>
      <c r="I1205" s="335" t="s">
        <v>3494</v>
      </c>
    </row>
    <row r="1206">
      <c r="G1206" s="584"/>
      <c r="H1206" s="584"/>
      <c r="I1206" s="335" t="s">
        <v>3494</v>
      </c>
    </row>
    <row r="1207">
      <c r="G1207" s="584"/>
      <c r="H1207" s="584"/>
      <c r="I1207" s="335" t="s">
        <v>3494</v>
      </c>
    </row>
    <row r="1208">
      <c r="G1208" s="584"/>
      <c r="H1208" s="584"/>
      <c r="I1208" s="335" t="s">
        <v>3494</v>
      </c>
    </row>
    <row r="1209">
      <c r="G1209" s="584"/>
      <c r="H1209" s="584"/>
      <c r="I1209" s="335" t="s">
        <v>3494</v>
      </c>
    </row>
    <row r="1210">
      <c r="G1210" s="584"/>
      <c r="H1210" s="584"/>
      <c r="I1210" s="335" t="s">
        <v>3494</v>
      </c>
    </row>
    <row r="1211">
      <c r="G1211" s="584"/>
      <c r="H1211" s="584"/>
      <c r="I1211" s="335" t="s">
        <v>3494</v>
      </c>
    </row>
    <row r="1212">
      <c r="G1212" s="584"/>
      <c r="H1212" s="584"/>
      <c r="I1212" s="335" t="s">
        <v>3494</v>
      </c>
    </row>
    <row r="1213">
      <c r="G1213" s="584"/>
      <c r="H1213" s="584"/>
      <c r="I1213" s="335" t="s">
        <v>3494</v>
      </c>
    </row>
    <row r="1214">
      <c r="G1214" s="584"/>
      <c r="H1214" s="584"/>
      <c r="I1214" s="335" t="s">
        <v>3494</v>
      </c>
    </row>
    <row r="1215">
      <c r="G1215" s="584"/>
      <c r="H1215" s="584"/>
      <c r="I1215" s="335" t="s">
        <v>3494</v>
      </c>
    </row>
    <row r="1216">
      <c r="G1216" s="584"/>
      <c r="H1216" s="584"/>
      <c r="I1216" s="335" t="s">
        <v>3494</v>
      </c>
    </row>
    <row r="1217">
      <c r="G1217" s="584"/>
      <c r="H1217" s="584"/>
      <c r="I1217" s="335" t="s">
        <v>3494</v>
      </c>
    </row>
    <row r="1218">
      <c r="G1218" s="584"/>
      <c r="H1218" s="584"/>
      <c r="I1218" s="335" t="s">
        <v>3494</v>
      </c>
    </row>
    <row r="1219">
      <c r="G1219" s="584"/>
      <c r="H1219" s="584"/>
      <c r="I1219" s="335" t="s">
        <v>3494</v>
      </c>
    </row>
    <row r="1220">
      <c r="G1220" s="584"/>
      <c r="H1220" s="584"/>
      <c r="I1220" s="335" t="s">
        <v>3494</v>
      </c>
    </row>
    <row r="1221">
      <c r="G1221" s="584"/>
      <c r="H1221" s="584"/>
      <c r="I1221" s="335" t="s">
        <v>3494</v>
      </c>
    </row>
    <row r="1222">
      <c r="G1222" s="584"/>
      <c r="H1222" s="584"/>
      <c r="I1222" s="335" t="s">
        <v>3494</v>
      </c>
    </row>
    <row r="1223">
      <c r="G1223" s="584"/>
      <c r="H1223" s="584"/>
      <c r="I1223" s="335" t="s">
        <v>3494</v>
      </c>
    </row>
    <row r="1224">
      <c r="G1224" s="584"/>
      <c r="H1224" s="584"/>
      <c r="I1224" s="335" t="s">
        <v>3494</v>
      </c>
    </row>
    <row r="1225">
      <c r="G1225" s="584"/>
      <c r="H1225" s="584"/>
      <c r="I1225" s="335" t="s">
        <v>3494</v>
      </c>
    </row>
    <row r="1226">
      <c r="G1226" s="584"/>
      <c r="H1226" s="584"/>
      <c r="I1226" s="335" t="s">
        <v>3494</v>
      </c>
    </row>
    <row r="1227">
      <c r="G1227" s="584"/>
      <c r="H1227" s="584"/>
      <c r="I1227" s="335" t="s">
        <v>3494</v>
      </c>
    </row>
    <row r="1228">
      <c r="G1228" s="584"/>
      <c r="H1228" s="584"/>
      <c r="I1228" s="335" t="s">
        <v>3494</v>
      </c>
    </row>
    <row r="1229">
      <c r="G1229" s="584"/>
      <c r="H1229" s="584"/>
      <c r="I1229" s="335" t="s">
        <v>3494</v>
      </c>
    </row>
    <row r="1230">
      <c r="G1230" s="584"/>
      <c r="H1230" s="584"/>
      <c r="I1230" s="335" t="s">
        <v>3494</v>
      </c>
    </row>
    <row r="1231">
      <c r="G1231" s="584"/>
      <c r="H1231" s="584"/>
      <c r="I1231" s="335" t="s">
        <v>3494</v>
      </c>
    </row>
    <row r="1232">
      <c r="G1232" s="584"/>
      <c r="H1232" s="584"/>
      <c r="I1232" s="335" t="s">
        <v>3494</v>
      </c>
    </row>
    <row r="1233">
      <c r="G1233" s="584"/>
      <c r="H1233" s="584"/>
      <c r="I1233" s="335" t="s">
        <v>3494</v>
      </c>
    </row>
    <row r="1234">
      <c r="G1234" s="584"/>
      <c r="H1234" s="584"/>
      <c r="I1234" s="335" t="s">
        <v>3494</v>
      </c>
    </row>
    <row r="1235">
      <c r="G1235" s="584"/>
      <c r="H1235" s="584"/>
      <c r="I1235" s="335" t="s">
        <v>3494</v>
      </c>
    </row>
    <row r="1236">
      <c r="G1236" s="584"/>
      <c r="H1236" s="584"/>
      <c r="I1236" s="335" t="s">
        <v>3494</v>
      </c>
    </row>
    <row r="1237">
      <c r="G1237" s="584"/>
      <c r="H1237" s="584"/>
      <c r="I1237" s="335" t="s">
        <v>3494</v>
      </c>
    </row>
    <row r="1238">
      <c r="G1238" s="584"/>
      <c r="H1238" s="584"/>
      <c r="I1238" s="335" t="s">
        <v>3494</v>
      </c>
    </row>
    <row r="1239">
      <c r="G1239" s="584"/>
      <c r="H1239" s="584"/>
      <c r="I1239" s="335" t="s">
        <v>3494</v>
      </c>
    </row>
    <row r="1240">
      <c r="G1240" s="584"/>
      <c r="H1240" s="584"/>
      <c r="I1240" s="335" t="s">
        <v>3494</v>
      </c>
    </row>
    <row r="1241">
      <c r="G1241" s="584"/>
      <c r="H1241" s="584"/>
      <c r="I1241" s="335" t="s">
        <v>3494</v>
      </c>
    </row>
    <row r="1242">
      <c r="G1242" s="584"/>
      <c r="H1242" s="584"/>
      <c r="I1242" s="335" t="s">
        <v>3494</v>
      </c>
    </row>
    <row r="1243">
      <c r="G1243" s="584"/>
      <c r="H1243" s="584"/>
      <c r="I1243" s="335" t="s">
        <v>3494</v>
      </c>
    </row>
    <row r="1244">
      <c r="G1244" s="584"/>
      <c r="H1244" s="584"/>
      <c r="I1244" s="335" t="s">
        <v>3494</v>
      </c>
    </row>
    <row r="1245">
      <c r="G1245" s="584"/>
      <c r="H1245" s="584"/>
      <c r="I1245" s="335" t="s">
        <v>3494</v>
      </c>
    </row>
    <row r="1246">
      <c r="G1246" s="584"/>
      <c r="H1246" s="584"/>
      <c r="I1246" s="335" t="s">
        <v>3494</v>
      </c>
    </row>
    <row r="1247">
      <c r="G1247" s="584"/>
      <c r="H1247" s="584"/>
      <c r="I1247" s="335" t="s">
        <v>3494</v>
      </c>
    </row>
    <row r="1248">
      <c r="G1248" s="584"/>
      <c r="H1248" s="584"/>
      <c r="I1248" s="335" t="s">
        <v>3494</v>
      </c>
    </row>
    <row r="1249">
      <c r="G1249" s="584"/>
      <c r="H1249" s="584"/>
      <c r="I1249" s="335" t="s">
        <v>3494</v>
      </c>
    </row>
    <row r="1250">
      <c r="G1250" s="584"/>
      <c r="H1250" s="584"/>
      <c r="I1250" s="335" t="s">
        <v>3494</v>
      </c>
    </row>
    <row r="1251">
      <c r="G1251" s="584"/>
      <c r="H1251" s="584"/>
      <c r="I1251" s="335" t="s">
        <v>3494</v>
      </c>
    </row>
    <row r="1252">
      <c r="G1252" s="584"/>
      <c r="H1252" s="584"/>
      <c r="I1252" s="335" t="s">
        <v>3494</v>
      </c>
    </row>
    <row r="1253">
      <c r="G1253" s="584"/>
      <c r="H1253" s="584"/>
      <c r="I1253" s="335" t="s">
        <v>3494</v>
      </c>
    </row>
    <row r="1254">
      <c r="G1254" s="584"/>
      <c r="H1254" s="584"/>
      <c r="I1254" s="335" t="s">
        <v>3494</v>
      </c>
    </row>
    <row r="1255">
      <c r="G1255" s="584"/>
      <c r="H1255" s="584"/>
      <c r="I1255" s="335" t="s">
        <v>3494</v>
      </c>
    </row>
    <row r="1256">
      <c r="G1256" s="584"/>
      <c r="H1256" s="584"/>
      <c r="I1256" s="335" t="s">
        <v>3494</v>
      </c>
    </row>
    <row r="1257">
      <c r="G1257" s="584"/>
      <c r="H1257" s="584"/>
      <c r="I1257" s="335" t="s">
        <v>3494</v>
      </c>
    </row>
    <row r="1258">
      <c r="G1258" s="584"/>
      <c r="H1258" s="584"/>
      <c r="I1258" s="335" t="s">
        <v>3494</v>
      </c>
    </row>
    <row r="1259">
      <c r="G1259" s="584"/>
      <c r="H1259" s="584"/>
      <c r="I1259" s="335" t="s">
        <v>3494</v>
      </c>
    </row>
    <row r="1260">
      <c r="G1260" s="584"/>
      <c r="H1260" s="584"/>
      <c r="I1260" s="335" t="s">
        <v>3494</v>
      </c>
    </row>
    <row r="1261">
      <c r="G1261" s="584"/>
      <c r="H1261" s="584"/>
      <c r="I1261" s="335" t="s">
        <v>3494</v>
      </c>
    </row>
    <row r="1262">
      <c r="G1262" s="584"/>
      <c r="H1262" s="584"/>
      <c r="I1262" s="335" t="s">
        <v>3494</v>
      </c>
    </row>
    <row r="1263">
      <c r="G1263" s="584"/>
      <c r="H1263" s="584"/>
      <c r="I1263" s="335" t="s">
        <v>3494</v>
      </c>
    </row>
    <row r="1264">
      <c r="G1264" s="584"/>
      <c r="H1264" s="584"/>
      <c r="I1264" s="335" t="s">
        <v>3494</v>
      </c>
    </row>
    <row r="1265">
      <c r="G1265" s="584"/>
      <c r="H1265" s="584"/>
      <c r="I1265" s="335" t="s">
        <v>3494</v>
      </c>
    </row>
    <row r="1266">
      <c r="G1266" s="584"/>
      <c r="H1266" s="584"/>
      <c r="I1266" s="335" t="s">
        <v>3494</v>
      </c>
    </row>
    <row r="1267">
      <c r="G1267" s="584"/>
      <c r="H1267" s="584"/>
      <c r="I1267" s="335" t="s">
        <v>3494</v>
      </c>
    </row>
    <row r="1268">
      <c r="G1268" s="584"/>
      <c r="H1268" s="584"/>
      <c r="I1268" s="335" t="s">
        <v>3494</v>
      </c>
    </row>
    <row r="1269">
      <c r="G1269" s="584"/>
      <c r="H1269" s="584"/>
      <c r="I1269" s="335" t="s">
        <v>3494</v>
      </c>
    </row>
    <row r="1270">
      <c r="G1270" s="584"/>
      <c r="H1270" s="584"/>
      <c r="I1270" s="335" t="s">
        <v>3494</v>
      </c>
    </row>
    <row r="1271">
      <c r="G1271" s="584"/>
      <c r="H1271" s="584"/>
      <c r="I1271" s="335" t="s">
        <v>3494</v>
      </c>
    </row>
    <row r="1272">
      <c r="G1272" s="584"/>
      <c r="H1272" s="584"/>
      <c r="I1272" s="335" t="s">
        <v>3494</v>
      </c>
    </row>
    <row r="1273">
      <c r="G1273" s="584"/>
      <c r="H1273" s="584"/>
      <c r="I1273" s="335" t="s">
        <v>3494</v>
      </c>
    </row>
    <row r="1274">
      <c r="G1274" s="584"/>
      <c r="H1274" s="584"/>
      <c r="I1274" s="335" t="s">
        <v>3494</v>
      </c>
    </row>
    <row r="1275">
      <c r="G1275" s="584"/>
      <c r="H1275" s="584"/>
      <c r="I1275" s="335" t="s">
        <v>3494</v>
      </c>
    </row>
    <row r="1276">
      <c r="G1276" s="584"/>
      <c r="H1276" s="584"/>
      <c r="I1276" s="335" t="s">
        <v>3494</v>
      </c>
    </row>
    <row r="1277">
      <c r="G1277" s="584"/>
      <c r="H1277" s="584"/>
      <c r="I1277" s="335" t="s">
        <v>3494</v>
      </c>
    </row>
    <row r="1278">
      <c r="G1278" s="584"/>
      <c r="H1278" s="584"/>
      <c r="I1278" s="335" t="s">
        <v>3494</v>
      </c>
    </row>
    <row r="1279">
      <c r="G1279" s="584"/>
      <c r="H1279" s="584"/>
      <c r="I1279" s="335" t="s">
        <v>3494</v>
      </c>
    </row>
    <row r="1280">
      <c r="G1280" s="584"/>
      <c r="H1280" s="584"/>
      <c r="I1280" s="335" t="s">
        <v>3494</v>
      </c>
    </row>
    <row r="1281">
      <c r="G1281" s="584"/>
      <c r="H1281" s="584"/>
      <c r="I1281" s="335" t="s">
        <v>3494</v>
      </c>
    </row>
    <row r="1282">
      <c r="G1282" s="584"/>
      <c r="H1282" s="584"/>
      <c r="I1282" s="335" t="s">
        <v>3494</v>
      </c>
    </row>
    <row r="1283">
      <c r="G1283" s="584"/>
      <c r="H1283" s="584"/>
      <c r="I1283" s="335" t="s">
        <v>3494</v>
      </c>
    </row>
    <row r="1284">
      <c r="G1284" s="584"/>
      <c r="H1284" s="584"/>
      <c r="I1284" s="335" t="s">
        <v>3494</v>
      </c>
    </row>
    <row r="1285">
      <c r="G1285" s="584"/>
      <c r="H1285" s="584"/>
      <c r="I1285" s="335" t="s">
        <v>3494</v>
      </c>
    </row>
    <row r="1286">
      <c r="G1286" s="584"/>
      <c r="H1286" s="584"/>
      <c r="I1286" s="335" t="s">
        <v>3494</v>
      </c>
    </row>
    <row r="1287">
      <c r="G1287" s="584"/>
      <c r="H1287" s="584"/>
      <c r="I1287" s="335" t="s">
        <v>3494</v>
      </c>
    </row>
    <row r="1288">
      <c r="G1288" s="584"/>
      <c r="H1288" s="584"/>
      <c r="I1288" s="335" t="s">
        <v>3494</v>
      </c>
    </row>
    <row r="1289">
      <c r="G1289" s="584"/>
      <c r="H1289" s="584"/>
      <c r="I1289" s="335" t="s">
        <v>3494</v>
      </c>
    </row>
    <row r="1290">
      <c r="G1290" s="584"/>
      <c r="H1290" s="584"/>
      <c r="I1290" s="335" t="s">
        <v>3494</v>
      </c>
    </row>
    <row r="1291">
      <c r="G1291" s="584"/>
      <c r="H1291" s="584"/>
      <c r="I1291" s="335" t="s">
        <v>3494</v>
      </c>
    </row>
    <row r="1292">
      <c r="G1292" s="584"/>
      <c r="H1292" s="584"/>
      <c r="I1292" s="335" t="s">
        <v>3494</v>
      </c>
    </row>
    <row r="1293">
      <c r="G1293" s="584"/>
      <c r="H1293" s="584"/>
      <c r="I1293" s="335" t="s">
        <v>3494</v>
      </c>
    </row>
    <row r="1294">
      <c r="G1294" s="584"/>
      <c r="H1294" s="584"/>
      <c r="I1294" s="335" t="s">
        <v>3494</v>
      </c>
    </row>
    <row r="1295">
      <c r="G1295" s="584"/>
      <c r="H1295" s="584"/>
      <c r="I1295" s="335" t="s">
        <v>3494</v>
      </c>
    </row>
    <row r="1296">
      <c r="G1296" s="584"/>
      <c r="H1296" s="584"/>
      <c r="I1296" s="335" t="s">
        <v>3494</v>
      </c>
    </row>
    <row r="1297">
      <c r="G1297" s="584"/>
      <c r="H1297" s="584"/>
      <c r="I1297" s="335" t="s">
        <v>3494</v>
      </c>
    </row>
    <row r="1298">
      <c r="G1298" s="584"/>
      <c r="H1298" s="584"/>
      <c r="I1298" s="335" t="s">
        <v>3494</v>
      </c>
    </row>
    <row r="1299">
      <c r="G1299" s="584"/>
      <c r="H1299" s="584"/>
      <c r="I1299" s="335" t="s">
        <v>3494</v>
      </c>
    </row>
    <row r="1300">
      <c r="G1300" s="584"/>
      <c r="H1300" s="584"/>
      <c r="I1300" s="335" t="s">
        <v>3494</v>
      </c>
    </row>
    <row r="1301">
      <c r="G1301" s="584"/>
      <c r="H1301" s="584"/>
      <c r="I1301" s="335" t="s">
        <v>3494</v>
      </c>
    </row>
    <row r="1302">
      <c r="G1302" s="584"/>
      <c r="H1302" s="584"/>
      <c r="I1302" s="335" t="s">
        <v>3494</v>
      </c>
    </row>
    <row r="1303">
      <c r="G1303" s="584"/>
      <c r="H1303" s="584"/>
      <c r="I1303" s="335" t="s">
        <v>3494</v>
      </c>
    </row>
    <row r="1304">
      <c r="G1304" s="584"/>
      <c r="H1304" s="584"/>
      <c r="I1304" s="335" t="s">
        <v>3494</v>
      </c>
    </row>
    <row r="1305">
      <c r="G1305" s="584"/>
      <c r="H1305" s="584"/>
      <c r="I1305" s="335" t="s">
        <v>3494</v>
      </c>
    </row>
    <row r="1306">
      <c r="G1306" s="584"/>
      <c r="H1306" s="584"/>
      <c r="I1306" s="335" t="s">
        <v>3494</v>
      </c>
    </row>
    <row r="1307">
      <c r="G1307" s="584"/>
      <c r="H1307" s="584"/>
      <c r="I1307" s="335" t="s">
        <v>3494</v>
      </c>
    </row>
    <row r="1308">
      <c r="G1308" s="584"/>
      <c r="H1308" s="584"/>
      <c r="I1308" s="335" t="s">
        <v>3494</v>
      </c>
    </row>
    <row r="1309">
      <c r="G1309" s="584"/>
      <c r="H1309" s="584"/>
      <c r="I1309" s="335" t="s">
        <v>3494</v>
      </c>
    </row>
    <row r="1310">
      <c r="G1310" s="584"/>
      <c r="H1310" s="584"/>
      <c r="I1310" s="335" t="s">
        <v>3494</v>
      </c>
    </row>
    <row r="1311">
      <c r="G1311" s="584"/>
      <c r="H1311" s="584"/>
      <c r="I1311" s="335" t="s">
        <v>3494</v>
      </c>
    </row>
    <row r="1312">
      <c r="G1312" s="584"/>
      <c r="H1312" s="584"/>
      <c r="I1312" s="335" t="s">
        <v>3494</v>
      </c>
    </row>
    <row r="1313">
      <c r="G1313" s="584"/>
      <c r="H1313" s="584"/>
      <c r="I1313" s="335" t="s">
        <v>3494</v>
      </c>
    </row>
    <row r="1314">
      <c r="G1314" s="584"/>
      <c r="H1314" s="584"/>
      <c r="I1314" s="335" t="s">
        <v>3494</v>
      </c>
    </row>
    <row r="1315">
      <c r="G1315" s="584"/>
      <c r="H1315" s="584"/>
      <c r="I1315" s="335" t="s">
        <v>3494</v>
      </c>
    </row>
    <row r="1316">
      <c r="G1316" s="584"/>
      <c r="H1316" s="584"/>
      <c r="I1316" s="335" t="s">
        <v>3494</v>
      </c>
    </row>
    <row r="1317">
      <c r="G1317" s="584"/>
      <c r="H1317" s="584"/>
      <c r="I1317" s="335" t="s">
        <v>3494</v>
      </c>
    </row>
    <row r="1318">
      <c r="G1318" s="584"/>
      <c r="H1318" s="584"/>
      <c r="I1318" s="335" t="s">
        <v>3494</v>
      </c>
    </row>
    <row r="1319">
      <c r="G1319" s="584"/>
      <c r="H1319" s="584"/>
      <c r="I1319" s="335" t="s">
        <v>3494</v>
      </c>
    </row>
    <row r="1320">
      <c r="G1320" s="584"/>
      <c r="H1320" s="584"/>
      <c r="I1320" s="335" t="s">
        <v>3494</v>
      </c>
    </row>
    <row r="1321">
      <c r="G1321" s="584"/>
      <c r="H1321" s="584"/>
      <c r="I1321" s="335" t="s">
        <v>3494</v>
      </c>
    </row>
    <row r="1322">
      <c r="G1322" s="584"/>
      <c r="H1322" s="584"/>
      <c r="I1322" s="335" t="s">
        <v>3494</v>
      </c>
    </row>
    <row r="1323">
      <c r="G1323" s="584"/>
      <c r="H1323" s="584"/>
      <c r="I1323" s="335" t="s">
        <v>3494</v>
      </c>
    </row>
    <row r="1324">
      <c r="G1324" s="584"/>
      <c r="H1324" s="584"/>
      <c r="I1324" s="335" t="s">
        <v>3494</v>
      </c>
    </row>
    <row r="1325">
      <c r="G1325" s="584"/>
      <c r="H1325" s="584"/>
      <c r="I1325" s="335" t="s">
        <v>3494</v>
      </c>
    </row>
    <row r="1326">
      <c r="G1326" s="584"/>
      <c r="H1326" s="584"/>
      <c r="I1326" s="335" t="s">
        <v>3494</v>
      </c>
    </row>
    <row r="1327">
      <c r="G1327" s="584"/>
      <c r="H1327" s="584"/>
      <c r="I1327" s="335" t="s">
        <v>3494</v>
      </c>
    </row>
    <row r="1328">
      <c r="G1328" s="584"/>
      <c r="H1328" s="584"/>
      <c r="I1328" s="335" t="s">
        <v>3494</v>
      </c>
    </row>
    <row r="1329">
      <c r="G1329" s="584"/>
      <c r="H1329" s="584"/>
      <c r="I1329" s="335" t="s">
        <v>3494</v>
      </c>
    </row>
    <row r="1330">
      <c r="G1330" s="584"/>
      <c r="H1330" s="584"/>
      <c r="I1330" s="335" t="s">
        <v>3494</v>
      </c>
    </row>
    <row r="1331">
      <c r="G1331" s="584"/>
      <c r="H1331" s="584"/>
      <c r="I1331" s="335" t="s">
        <v>3494</v>
      </c>
    </row>
    <row r="1332">
      <c r="G1332" s="584"/>
      <c r="H1332" s="584"/>
      <c r="I1332" s="335" t="s">
        <v>3494</v>
      </c>
    </row>
    <row r="1333">
      <c r="G1333" s="584"/>
      <c r="H1333" s="584"/>
      <c r="I1333" s="335" t="s">
        <v>3494</v>
      </c>
    </row>
    <row r="1334">
      <c r="G1334" s="584"/>
      <c r="H1334" s="584"/>
      <c r="I1334" s="335" t="s">
        <v>3494</v>
      </c>
    </row>
    <row r="1335">
      <c r="G1335" s="584"/>
      <c r="H1335" s="584"/>
      <c r="I1335" s="335" t="s">
        <v>3494</v>
      </c>
    </row>
    <row r="1336">
      <c r="G1336" s="584"/>
      <c r="H1336" s="584"/>
      <c r="I1336" s="335" t="s">
        <v>3494</v>
      </c>
    </row>
    <row r="1337">
      <c r="G1337" s="584"/>
      <c r="H1337" s="584"/>
      <c r="I1337" s="335" t="s">
        <v>3494</v>
      </c>
    </row>
    <row r="1338">
      <c r="G1338" s="584"/>
      <c r="H1338" s="584"/>
      <c r="I1338" s="335" t="s">
        <v>3494</v>
      </c>
    </row>
    <row r="1339">
      <c r="G1339" s="584"/>
      <c r="H1339" s="584"/>
      <c r="I1339" s="335" t="s">
        <v>3494</v>
      </c>
    </row>
    <row r="1340">
      <c r="G1340" s="584"/>
      <c r="H1340" s="584"/>
      <c r="I1340" s="335" t="s">
        <v>3494</v>
      </c>
    </row>
    <row r="1341">
      <c r="G1341" s="584"/>
      <c r="H1341" s="584"/>
      <c r="I1341" s="335" t="s">
        <v>3494</v>
      </c>
    </row>
    <row r="1342">
      <c r="G1342" s="584"/>
      <c r="H1342" s="584"/>
      <c r="I1342" s="335" t="s">
        <v>3494</v>
      </c>
    </row>
    <row r="1343">
      <c r="G1343" s="584"/>
      <c r="H1343" s="584"/>
      <c r="I1343" s="335" t="s">
        <v>3494</v>
      </c>
    </row>
    <row r="1344">
      <c r="G1344" s="584"/>
      <c r="H1344" s="584"/>
      <c r="I1344" s="335" t="s">
        <v>3494</v>
      </c>
    </row>
    <row r="1345">
      <c r="G1345" s="584"/>
      <c r="H1345" s="584"/>
      <c r="I1345" s="335" t="s">
        <v>3494</v>
      </c>
    </row>
    <row r="1346">
      <c r="G1346" s="584"/>
      <c r="H1346" s="584"/>
      <c r="I1346" s="335" t="s">
        <v>3494</v>
      </c>
    </row>
    <row r="1347">
      <c r="G1347" s="584"/>
      <c r="H1347" s="584"/>
      <c r="I1347" s="335" t="s">
        <v>3494</v>
      </c>
    </row>
    <row r="1348">
      <c r="G1348" s="584"/>
      <c r="H1348" s="584"/>
      <c r="I1348" s="335" t="s">
        <v>3494</v>
      </c>
    </row>
    <row r="1349">
      <c r="G1349" s="584"/>
      <c r="H1349" s="584"/>
      <c r="I1349" s="335" t="s">
        <v>3494</v>
      </c>
    </row>
    <row r="1350">
      <c r="G1350" s="584"/>
      <c r="H1350" s="584"/>
      <c r="I1350" s="335" t="s">
        <v>3494</v>
      </c>
    </row>
    <row r="1351">
      <c r="G1351" s="584"/>
      <c r="H1351" s="584"/>
      <c r="I1351" s="335" t="s">
        <v>3494</v>
      </c>
    </row>
    <row r="1352">
      <c r="G1352" s="584"/>
      <c r="H1352" s="584"/>
      <c r="I1352" s="335" t="s">
        <v>3494</v>
      </c>
    </row>
    <row r="1353">
      <c r="G1353" s="584"/>
      <c r="H1353" s="584"/>
      <c r="I1353" s="335" t="s">
        <v>3494</v>
      </c>
    </row>
    <row r="1354">
      <c r="G1354" s="584"/>
      <c r="H1354" s="584"/>
      <c r="I1354" s="335" t="s">
        <v>3494</v>
      </c>
    </row>
    <row r="1355">
      <c r="G1355" s="584"/>
      <c r="H1355" s="584"/>
      <c r="I1355" s="335" t="s">
        <v>3494</v>
      </c>
    </row>
    <row r="1356">
      <c r="G1356" s="584"/>
      <c r="H1356" s="584"/>
      <c r="I1356" s="335" t="s">
        <v>3494</v>
      </c>
    </row>
    <row r="1357">
      <c r="G1357" s="584"/>
      <c r="H1357" s="584"/>
      <c r="I1357" s="335" t="s">
        <v>3494</v>
      </c>
    </row>
    <row r="1358">
      <c r="G1358" s="584"/>
      <c r="H1358" s="584"/>
      <c r="I1358" s="335" t="s">
        <v>3494</v>
      </c>
    </row>
    <row r="1359">
      <c r="G1359" s="584"/>
      <c r="H1359" s="584"/>
      <c r="I1359" s="335" t="s">
        <v>3494</v>
      </c>
    </row>
    <row r="1360">
      <c r="G1360" s="584"/>
      <c r="H1360" s="584"/>
      <c r="I1360" s="335" t="s">
        <v>3494</v>
      </c>
    </row>
    <row r="1361">
      <c r="G1361" s="584"/>
      <c r="H1361" s="584"/>
      <c r="I1361" s="335" t="s">
        <v>3494</v>
      </c>
    </row>
    <row r="1362">
      <c r="G1362" s="584"/>
      <c r="H1362" s="584"/>
      <c r="I1362" s="335" t="s">
        <v>3494</v>
      </c>
    </row>
    <row r="1363">
      <c r="G1363" s="584"/>
      <c r="H1363" s="584"/>
      <c r="I1363" s="335" t="s">
        <v>3494</v>
      </c>
    </row>
    <row r="1364">
      <c r="G1364" s="584"/>
      <c r="H1364" s="584"/>
      <c r="I1364" s="335" t="s">
        <v>3494</v>
      </c>
    </row>
    <row r="1365">
      <c r="G1365" s="584"/>
      <c r="H1365" s="584"/>
      <c r="I1365" s="335" t="s">
        <v>3494</v>
      </c>
    </row>
    <row r="1366">
      <c r="G1366" s="584"/>
      <c r="H1366" s="584"/>
      <c r="I1366" s="335" t="s">
        <v>3494</v>
      </c>
    </row>
    <row r="1367">
      <c r="G1367" s="584"/>
      <c r="H1367" s="584"/>
      <c r="I1367" s="335" t="s">
        <v>3494</v>
      </c>
    </row>
    <row r="1368">
      <c r="G1368" s="584"/>
      <c r="H1368" s="584"/>
      <c r="I1368" s="335" t="s">
        <v>3494</v>
      </c>
    </row>
    <row r="1369">
      <c r="G1369" s="584"/>
      <c r="H1369" s="584"/>
      <c r="I1369" s="335" t="s">
        <v>3494</v>
      </c>
    </row>
    <row r="1370">
      <c r="G1370" s="584"/>
      <c r="H1370" s="584"/>
      <c r="I1370" s="335" t="s">
        <v>3494</v>
      </c>
    </row>
    <row r="1371">
      <c r="G1371" s="584"/>
      <c r="H1371" s="584"/>
      <c r="I1371" s="335" t="s">
        <v>3494</v>
      </c>
    </row>
    <row r="1372">
      <c r="G1372" s="584"/>
      <c r="H1372" s="584"/>
      <c r="I1372" s="335" t="s">
        <v>3494</v>
      </c>
    </row>
    <row r="1373">
      <c r="G1373" s="584"/>
      <c r="H1373" s="584"/>
      <c r="I1373" s="335" t="s">
        <v>3494</v>
      </c>
    </row>
    <row r="1374">
      <c r="G1374" s="584"/>
      <c r="H1374" s="584"/>
      <c r="I1374" s="335" t="s">
        <v>3494</v>
      </c>
    </row>
    <row r="1375">
      <c r="G1375" s="584"/>
      <c r="H1375" s="584"/>
      <c r="I1375" s="335" t="s">
        <v>3494</v>
      </c>
    </row>
    <row r="1376">
      <c r="G1376" s="584"/>
      <c r="H1376" s="584"/>
      <c r="I1376" s="335" t="s">
        <v>3494</v>
      </c>
    </row>
    <row r="1377">
      <c r="G1377" s="584"/>
      <c r="H1377" s="584"/>
      <c r="I1377" s="335" t="s">
        <v>3494</v>
      </c>
    </row>
    <row r="1378">
      <c r="G1378" s="584"/>
      <c r="H1378" s="584"/>
      <c r="I1378" s="335" t="s">
        <v>3494</v>
      </c>
    </row>
    <row r="1379">
      <c r="G1379" s="584"/>
      <c r="H1379" s="584"/>
      <c r="I1379" s="335" t="s">
        <v>3494</v>
      </c>
    </row>
    <row r="1380">
      <c r="G1380" s="584"/>
      <c r="H1380" s="584"/>
      <c r="I1380" s="335" t="s">
        <v>3494</v>
      </c>
    </row>
    <row r="1381">
      <c r="G1381" s="584"/>
      <c r="H1381" s="584"/>
      <c r="I1381" s="335" t="s">
        <v>3494</v>
      </c>
    </row>
    <row r="1382">
      <c r="G1382" s="584"/>
      <c r="H1382" s="584"/>
      <c r="I1382" s="335" t="s">
        <v>3494</v>
      </c>
    </row>
    <row r="1383">
      <c r="G1383" s="584"/>
      <c r="H1383" s="584"/>
      <c r="I1383" s="335" t="s">
        <v>3494</v>
      </c>
    </row>
    <row r="1384">
      <c r="G1384" s="584"/>
      <c r="H1384" s="584"/>
      <c r="I1384" s="335" t="s">
        <v>3494</v>
      </c>
    </row>
    <row r="1385">
      <c r="G1385" s="584"/>
      <c r="H1385" s="584"/>
      <c r="I1385" s="335" t="s">
        <v>3494</v>
      </c>
    </row>
    <row r="1386">
      <c r="G1386" s="584"/>
      <c r="H1386" s="584"/>
      <c r="I1386" s="335" t="s">
        <v>3494</v>
      </c>
    </row>
    <row r="1387">
      <c r="G1387" s="584"/>
      <c r="H1387" s="584"/>
      <c r="I1387" s="335" t="s">
        <v>3494</v>
      </c>
    </row>
    <row r="1388">
      <c r="G1388" s="584"/>
      <c r="H1388" s="584"/>
      <c r="I1388" s="335" t="s">
        <v>3494</v>
      </c>
    </row>
    <row r="1389">
      <c r="G1389" s="584"/>
      <c r="H1389" s="584"/>
      <c r="I1389" s="335" t="s">
        <v>3494</v>
      </c>
    </row>
    <row r="1390">
      <c r="G1390" s="584"/>
      <c r="H1390" s="584"/>
      <c r="I1390" s="335" t="s">
        <v>3494</v>
      </c>
    </row>
    <row r="1391">
      <c r="G1391" s="584"/>
      <c r="H1391" s="584"/>
      <c r="I1391" s="335" t="s">
        <v>3494</v>
      </c>
    </row>
    <row r="1392">
      <c r="G1392" s="584"/>
      <c r="H1392" s="584"/>
      <c r="I1392" s="335" t="s">
        <v>3494</v>
      </c>
    </row>
    <row r="1393">
      <c r="G1393" s="584"/>
      <c r="H1393" s="584"/>
      <c r="I1393" s="335" t="s">
        <v>3494</v>
      </c>
    </row>
    <row r="1394">
      <c r="G1394" s="584"/>
      <c r="H1394" s="584"/>
      <c r="I1394" s="335" t="s">
        <v>3494</v>
      </c>
    </row>
    <row r="1395">
      <c r="G1395" s="584"/>
      <c r="H1395" s="584"/>
      <c r="I1395" s="335" t="s">
        <v>3494</v>
      </c>
    </row>
    <row r="1396">
      <c r="G1396" s="584"/>
      <c r="H1396" s="584"/>
      <c r="I1396" s="335" t="s">
        <v>3494</v>
      </c>
    </row>
    <row r="1397">
      <c r="G1397" s="584"/>
      <c r="H1397" s="584"/>
      <c r="I1397" s="335" t="s">
        <v>3494</v>
      </c>
    </row>
    <row r="1398">
      <c r="G1398" s="584"/>
      <c r="H1398" s="584"/>
      <c r="I1398" s="335" t="s">
        <v>3494</v>
      </c>
    </row>
    <row r="1399">
      <c r="G1399" s="584"/>
      <c r="H1399" s="584"/>
      <c r="I1399" s="335" t="s">
        <v>3494</v>
      </c>
    </row>
    <row r="1400">
      <c r="G1400" s="584"/>
      <c r="H1400" s="584"/>
      <c r="I1400" s="335" t="s">
        <v>3494</v>
      </c>
    </row>
    <row r="1401">
      <c r="G1401" s="584"/>
      <c r="H1401" s="584"/>
      <c r="I1401" s="335" t="s">
        <v>3494</v>
      </c>
    </row>
    <row r="1402">
      <c r="G1402" s="584"/>
      <c r="H1402" s="584"/>
      <c r="I1402" s="335" t="s">
        <v>3494</v>
      </c>
    </row>
    <row r="1403">
      <c r="G1403" s="584"/>
      <c r="H1403" s="584"/>
      <c r="I1403" s="335" t="s">
        <v>3494</v>
      </c>
    </row>
    <row r="1404">
      <c r="G1404" s="584"/>
      <c r="H1404" s="584"/>
      <c r="I1404" s="335" t="s">
        <v>3494</v>
      </c>
    </row>
    <row r="1405">
      <c r="G1405" s="584"/>
      <c r="H1405" s="584"/>
      <c r="I1405" s="335" t="s">
        <v>3494</v>
      </c>
    </row>
    <row r="1406">
      <c r="G1406" s="584"/>
      <c r="H1406" s="584"/>
      <c r="I1406" s="335" t="s">
        <v>3494</v>
      </c>
    </row>
    <row r="1407">
      <c r="G1407" s="584"/>
      <c r="H1407" s="584"/>
      <c r="I1407" s="335" t="s">
        <v>3494</v>
      </c>
    </row>
    <row r="1408">
      <c r="G1408" s="584"/>
      <c r="H1408" s="584"/>
      <c r="I1408" s="335" t="s">
        <v>3494</v>
      </c>
    </row>
    <row r="1409">
      <c r="G1409" s="584"/>
      <c r="H1409" s="584"/>
      <c r="I1409" s="335" t="s">
        <v>3494</v>
      </c>
    </row>
    <row r="1410">
      <c r="G1410" s="584"/>
      <c r="H1410" s="584"/>
      <c r="I1410" s="335" t="s">
        <v>3494</v>
      </c>
    </row>
    <row r="1411">
      <c r="G1411" s="584"/>
      <c r="H1411" s="584"/>
      <c r="I1411" s="335" t="s">
        <v>3494</v>
      </c>
    </row>
    <row r="1412">
      <c r="G1412" s="584"/>
      <c r="H1412" s="584"/>
      <c r="I1412" s="335" t="s">
        <v>3494</v>
      </c>
    </row>
    <row r="1413">
      <c r="G1413" s="584"/>
      <c r="H1413" s="584"/>
      <c r="I1413" s="335" t="s">
        <v>3494</v>
      </c>
    </row>
    <row r="1414">
      <c r="G1414" s="584"/>
      <c r="H1414" s="584"/>
      <c r="I1414" s="335" t="s">
        <v>3494</v>
      </c>
    </row>
    <row r="1415">
      <c r="G1415" s="584"/>
      <c r="H1415" s="584"/>
      <c r="I1415" s="335" t="s">
        <v>3494</v>
      </c>
    </row>
    <row r="1416">
      <c r="G1416" s="584"/>
      <c r="H1416" s="584"/>
      <c r="I1416" s="335" t="s">
        <v>3494</v>
      </c>
    </row>
    <row r="1417">
      <c r="G1417" s="584"/>
      <c r="H1417" s="584"/>
      <c r="I1417" s="335" t="s">
        <v>3494</v>
      </c>
    </row>
    <row r="1418">
      <c r="G1418" s="584"/>
      <c r="H1418" s="584"/>
      <c r="I1418" s="335" t="s">
        <v>3494</v>
      </c>
    </row>
    <row r="1419">
      <c r="G1419" s="584"/>
      <c r="H1419" s="584"/>
      <c r="I1419" s="335" t="s">
        <v>3494</v>
      </c>
    </row>
    <row r="1420">
      <c r="G1420" s="584"/>
      <c r="H1420" s="584"/>
      <c r="I1420" s="335" t="s">
        <v>3494</v>
      </c>
    </row>
    <row r="1421">
      <c r="G1421" s="584"/>
      <c r="H1421" s="584"/>
      <c r="I1421" s="335" t="s">
        <v>3494</v>
      </c>
    </row>
    <row r="1422">
      <c r="G1422" s="584"/>
      <c r="H1422" s="584"/>
      <c r="I1422" s="335" t="s">
        <v>3494</v>
      </c>
    </row>
    <row r="1423">
      <c r="G1423" s="584"/>
      <c r="H1423" s="584"/>
      <c r="I1423" s="335" t="s">
        <v>3494</v>
      </c>
    </row>
    <row r="1424">
      <c r="G1424" s="584"/>
      <c r="H1424" s="584"/>
      <c r="I1424" s="335" t="s">
        <v>3494</v>
      </c>
    </row>
    <row r="1425">
      <c r="G1425" s="584"/>
      <c r="H1425" s="584"/>
      <c r="I1425" s="335" t="s">
        <v>3494</v>
      </c>
    </row>
    <row r="1426">
      <c r="G1426" s="584"/>
      <c r="H1426" s="584"/>
      <c r="I1426" s="335" t="s">
        <v>3494</v>
      </c>
    </row>
    <row r="1427">
      <c r="G1427" s="584"/>
      <c r="H1427" s="584"/>
      <c r="I1427" s="335" t="s">
        <v>3494</v>
      </c>
    </row>
    <row r="1428">
      <c r="G1428" s="584"/>
      <c r="H1428" s="584"/>
      <c r="I1428" s="335" t="s">
        <v>3494</v>
      </c>
    </row>
    <row r="1429">
      <c r="G1429" s="584"/>
      <c r="H1429" s="584"/>
      <c r="I1429" s="335" t="s">
        <v>3494</v>
      </c>
    </row>
    <row r="1430">
      <c r="G1430" s="584"/>
      <c r="H1430" s="584"/>
      <c r="I1430" s="335" t="s">
        <v>3494</v>
      </c>
    </row>
    <row r="1431">
      <c r="G1431" s="584"/>
      <c r="H1431" s="584"/>
      <c r="I1431" s="335" t="s">
        <v>3494</v>
      </c>
    </row>
    <row r="1432">
      <c r="G1432" s="584"/>
      <c r="H1432" s="584"/>
      <c r="I1432" s="335" t="s">
        <v>3494</v>
      </c>
    </row>
    <row r="1433">
      <c r="G1433" s="584"/>
      <c r="H1433" s="584"/>
      <c r="I1433" s="335" t="s">
        <v>3494</v>
      </c>
    </row>
    <row r="1434">
      <c r="G1434" s="584"/>
      <c r="H1434" s="584"/>
      <c r="I1434" s="335" t="s">
        <v>3494</v>
      </c>
    </row>
    <row r="1435">
      <c r="G1435" s="584"/>
      <c r="H1435" s="584"/>
      <c r="I1435" s="335" t="s">
        <v>3494</v>
      </c>
    </row>
    <row r="1436">
      <c r="G1436" s="584"/>
      <c r="H1436" s="584"/>
      <c r="I1436" s="335" t="s">
        <v>3494</v>
      </c>
    </row>
    <row r="1437">
      <c r="G1437" s="584"/>
      <c r="H1437" s="584"/>
      <c r="I1437" s="335" t="s">
        <v>3494</v>
      </c>
    </row>
    <row r="1438">
      <c r="G1438" s="584"/>
      <c r="H1438" s="584"/>
      <c r="I1438" s="335" t="s">
        <v>3494</v>
      </c>
    </row>
    <row r="1439">
      <c r="G1439" s="584"/>
      <c r="H1439" s="584"/>
      <c r="I1439" s="335" t="s">
        <v>3494</v>
      </c>
    </row>
    <row r="1440">
      <c r="G1440" s="584"/>
      <c r="H1440" s="584"/>
      <c r="I1440" s="335" t="s">
        <v>3494</v>
      </c>
    </row>
    <row r="1441">
      <c r="G1441" s="584"/>
      <c r="H1441" s="584"/>
      <c r="I1441" s="335" t="s">
        <v>3494</v>
      </c>
    </row>
    <row r="1442">
      <c r="G1442" s="584"/>
      <c r="H1442" s="584"/>
      <c r="I1442" s="335" t="s">
        <v>3494</v>
      </c>
    </row>
    <row r="1443">
      <c r="G1443" s="584"/>
      <c r="H1443" s="584"/>
      <c r="I1443" s="335" t="s">
        <v>3494</v>
      </c>
    </row>
    <row r="1444">
      <c r="G1444" s="584"/>
      <c r="H1444" s="584"/>
      <c r="I1444" s="335" t="s">
        <v>3494</v>
      </c>
    </row>
    <row r="1445">
      <c r="G1445" s="584"/>
      <c r="H1445" s="584"/>
      <c r="I1445" s="335" t="s">
        <v>3494</v>
      </c>
    </row>
    <row r="1446">
      <c r="G1446" s="584"/>
      <c r="H1446" s="584"/>
      <c r="I1446" s="335" t="s">
        <v>3494</v>
      </c>
    </row>
    <row r="1447">
      <c r="G1447" s="584"/>
      <c r="H1447" s="584"/>
      <c r="I1447" s="335" t="s">
        <v>3494</v>
      </c>
    </row>
    <row r="1448">
      <c r="G1448" s="584"/>
      <c r="H1448" s="584"/>
      <c r="I1448" s="335" t="s">
        <v>3494</v>
      </c>
    </row>
    <row r="1449">
      <c r="G1449" s="584"/>
      <c r="H1449" s="584"/>
      <c r="I1449" s="335" t="s">
        <v>3494</v>
      </c>
    </row>
    <row r="1450">
      <c r="G1450" s="584"/>
      <c r="H1450" s="584"/>
      <c r="I1450" s="335" t="s">
        <v>3494</v>
      </c>
    </row>
    <row r="1451">
      <c r="G1451" s="584"/>
      <c r="H1451" s="584"/>
      <c r="I1451" s="335" t="s">
        <v>3494</v>
      </c>
    </row>
    <row r="1452">
      <c r="G1452" s="584"/>
      <c r="H1452" s="584"/>
      <c r="I1452" s="335" t="s">
        <v>3494</v>
      </c>
    </row>
    <row r="1453">
      <c r="G1453" s="584"/>
      <c r="H1453" s="584"/>
      <c r="I1453" s="335" t="s">
        <v>3494</v>
      </c>
    </row>
    <row r="1454">
      <c r="G1454" s="584"/>
      <c r="H1454" s="584"/>
      <c r="I1454" s="335" t="s">
        <v>3494</v>
      </c>
    </row>
    <row r="1455">
      <c r="G1455" s="584"/>
      <c r="H1455" s="584"/>
      <c r="I1455" s="335" t="s">
        <v>3494</v>
      </c>
    </row>
    <row r="1456">
      <c r="G1456" s="584"/>
      <c r="H1456" s="584"/>
      <c r="I1456" s="335" t="s">
        <v>3494</v>
      </c>
    </row>
    <row r="1457">
      <c r="G1457" s="584"/>
      <c r="H1457" s="584"/>
      <c r="I1457" s="335" t="s">
        <v>3494</v>
      </c>
    </row>
    <row r="1458">
      <c r="G1458" s="584"/>
      <c r="H1458" s="584"/>
      <c r="I1458" s="335" t="s">
        <v>3494</v>
      </c>
    </row>
    <row r="1459">
      <c r="G1459" s="584"/>
      <c r="H1459" s="584"/>
      <c r="I1459" s="335" t="s">
        <v>3494</v>
      </c>
    </row>
    <row r="1460">
      <c r="G1460" s="584"/>
      <c r="H1460" s="584"/>
      <c r="I1460" s="335" t="s">
        <v>3494</v>
      </c>
    </row>
    <row r="1461">
      <c r="G1461" s="584"/>
      <c r="H1461" s="584"/>
      <c r="I1461" s="335" t="s">
        <v>3494</v>
      </c>
    </row>
    <row r="1462">
      <c r="G1462" s="584"/>
      <c r="H1462" s="584"/>
      <c r="I1462" s="335" t="s">
        <v>3494</v>
      </c>
    </row>
    <row r="1463">
      <c r="G1463" s="584"/>
      <c r="H1463" s="584"/>
      <c r="I1463" s="335" t="s">
        <v>3494</v>
      </c>
    </row>
    <row r="1464">
      <c r="G1464" s="584"/>
      <c r="H1464" s="584"/>
      <c r="I1464" s="335" t="s">
        <v>3494</v>
      </c>
    </row>
    <row r="1465">
      <c r="G1465" s="584"/>
      <c r="H1465" s="584"/>
      <c r="I1465" s="335" t="s">
        <v>3494</v>
      </c>
    </row>
    <row r="1466">
      <c r="G1466" s="584"/>
      <c r="H1466" s="584"/>
      <c r="I1466" s="335" t="s">
        <v>3494</v>
      </c>
    </row>
    <row r="1467">
      <c r="G1467" s="584"/>
      <c r="H1467" s="584"/>
      <c r="I1467" s="335" t="s">
        <v>3494</v>
      </c>
    </row>
    <row r="1468">
      <c r="G1468" s="584"/>
      <c r="H1468" s="584"/>
      <c r="I1468" s="335" t="s">
        <v>3494</v>
      </c>
    </row>
    <row r="1469">
      <c r="G1469" s="584"/>
      <c r="H1469" s="584"/>
      <c r="I1469" s="335" t="s">
        <v>3494</v>
      </c>
    </row>
    <row r="1470">
      <c r="G1470" s="584"/>
      <c r="H1470" s="584"/>
      <c r="I1470" s="335" t="s">
        <v>3494</v>
      </c>
    </row>
    <row r="1471">
      <c r="G1471" s="584"/>
      <c r="H1471" s="584"/>
      <c r="I1471" s="335" t="s">
        <v>3494</v>
      </c>
    </row>
    <row r="1472">
      <c r="G1472" s="584"/>
      <c r="H1472" s="584"/>
      <c r="I1472" s="335" t="s">
        <v>3494</v>
      </c>
    </row>
    <row r="1473">
      <c r="G1473" s="584"/>
      <c r="H1473" s="584"/>
      <c r="I1473" s="335" t="s">
        <v>3494</v>
      </c>
    </row>
    <row r="1474">
      <c r="G1474" s="584"/>
      <c r="H1474" s="584"/>
      <c r="I1474" s="335" t="s">
        <v>3494</v>
      </c>
    </row>
    <row r="1475">
      <c r="G1475" s="584"/>
      <c r="H1475" s="584"/>
      <c r="I1475" s="335" t="s">
        <v>3494</v>
      </c>
    </row>
    <row r="1476">
      <c r="G1476" s="584"/>
      <c r="H1476" s="584"/>
      <c r="I1476" s="335" t="s">
        <v>3494</v>
      </c>
    </row>
    <row r="1477">
      <c r="G1477" s="584"/>
      <c r="H1477" s="584"/>
      <c r="I1477" s="335" t="s">
        <v>3494</v>
      </c>
    </row>
    <row r="1478">
      <c r="G1478" s="584"/>
      <c r="H1478" s="584"/>
      <c r="I1478" s="335" t="s">
        <v>3494</v>
      </c>
    </row>
    <row r="1479">
      <c r="G1479" s="584"/>
      <c r="H1479" s="584"/>
      <c r="I1479" s="335" t="s">
        <v>3494</v>
      </c>
    </row>
    <row r="1480">
      <c r="G1480" s="584"/>
      <c r="H1480" s="584"/>
      <c r="I1480" s="335" t="s">
        <v>3494</v>
      </c>
    </row>
    <row r="1481">
      <c r="G1481" s="584"/>
      <c r="H1481" s="584"/>
      <c r="I1481" s="335" t="s">
        <v>3494</v>
      </c>
    </row>
    <row r="1482">
      <c r="G1482" s="584"/>
      <c r="H1482" s="584"/>
      <c r="I1482" s="335" t="s">
        <v>3494</v>
      </c>
    </row>
    <row r="1483">
      <c r="G1483" s="584"/>
      <c r="H1483" s="584"/>
      <c r="I1483" s="335" t="s">
        <v>3494</v>
      </c>
    </row>
    <row r="1484">
      <c r="G1484" s="584"/>
      <c r="H1484" s="584"/>
      <c r="I1484" s="335" t="s">
        <v>3494</v>
      </c>
    </row>
    <row r="1485">
      <c r="G1485" s="584"/>
      <c r="H1485" s="584"/>
      <c r="I1485" s="335" t="s">
        <v>3494</v>
      </c>
    </row>
    <row r="1486">
      <c r="G1486" s="584"/>
      <c r="H1486" s="584"/>
      <c r="I1486" s="335" t="s">
        <v>3494</v>
      </c>
    </row>
    <row r="1487">
      <c r="G1487" s="584"/>
      <c r="H1487" s="584"/>
      <c r="I1487" s="335" t="s">
        <v>3494</v>
      </c>
    </row>
    <row r="1488">
      <c r="G1488" s="584"/>
      <c r="H1488" s="584"/>
      <c r="I1488" s="335" t="s">
        <v>3494</v>
      </c>
    </row>
    <row r="1489">
      <c r="G1489" s="584"/>
      <c r="H1489" s="584"/>
      <c r="I1489" s="335" t="s">
        <v>3494</v>
      </c>
    </row>
    <row r="1490">
      <c r="G1490" s="584"/>
      <c r="H1490" s="584"/>
      <c r="I1490" s="335" t="s">
        <v>3494</v>
      </c>
    </row>
    <row r="1491">
      <c r="G1491" s="584"/>
      <c r="H1491" s="584"/>
      <c r="I1491" s="335" t="s">
        <v>3494</v>
      </c>
    </row>
    <row r="1492">
      <c r="G1492" s="584"/>
      <c r="H1492" s="584"/>
      <c r="I1492" s="335" t="s">
        <v>3494</v>
      </c>
    </row>
    <row r="1493">
      <c r="G1493" s="584"/>
      <c r="H1493" s="584"/>
      <c r="I1493" s="335" t="s">
        <v>3494</v>
      </c>
    </row>
    <row r="1494">
      <c r="G1494" s="584"/>
      <c r="H1494" s="584"/>
      <c r="I1494" s="335" t="s">
        <v>3494</v>
      </c>
    </row>
    <row r="1495">
      <c r="G1495" s="584"/>
      <c r="H1495" s="584"/>
      <c r="I1495" s="335" t="s">
        <v>3494</v>
      </c>
    </row>
    <row r="1496">
      <c r="G1496" s="584"/>
      <c r="H1496" s="584"/>
      <c r="I1496" s="335" t="s">
        <v>3494</v>
      </c>
    </row>
    <row r="1497">
      <c r="G1497" s="584"/>
      <c r="H1497" s="584"/>
      <c r="I1497" s="335" t="s">
        <v>3494</v>
      </c>
    </row>
    <row r="1498">
      <c r="G1498" s="584"/>
      <c r="H1498" s="584"/>
      <c r="I1498" s="335" t="s">
        <v>3494</v>
      </c>
    </row>
    <row r="1499">
      <c r="G1499" s="584"/>
      <c r="H1499" s="584"/>
      <c r="I1499" s="335" t="s">
        <v>3494</v>
      </c>
    </row>
    <row r="1500">
      <c r="G1500" s="584"/>
      <c r="H1500" s="584"/>
      <c r="I1500" s="335" t="s">
        <v>3494</v>
      </c>
    </row>
    <row r="1501">
      <c r="G1501" s="584"/>
      <c r="H1501" s="584"/>
      <c r="I1501" s="335" t="s">
        <v>3494</v>
      </c>
    </row>
    <row r="1502">
      <c r="G1502" s="584"/>
      <c r="H1502" s="584"/>
      <c r="I1502" s="335" t="s">
        <v>3494</v>
      </c>
    </row>
    <row r="1503">
      <c r="G1503" s="584"/>
      <c r="H1503" s="584"/>
      <c r="I1503" s="335" t="s">
        <v>3494</v>
      </c>
    </row>
    <row r="1504">
      <c r="G1504" s="584"/>
      <c r="H1504" s="584"/>
      <c r="I1504" s="335" t="s">
        <v>3494</v>
      </c>
    </row>
    <row r="1505">
      <c r="G1505" s="584"/>
      <c r="H1505" s="584"/>
      <c r="I1505" s="335" t="s">
        <v>3494</v>
      </c>
    </row>
    <row r="1506">
      <c r="G1506" s="584"/>
      <c r="H1506" s="584"/>
      <c r="I1506" s="335" t="s">
        <v>3494</v>
      </c>
    </row>
    <row r="1507">
      <c r="G1507" s="584"/>
      <c r="H1507" s="584"/>
      <c r="I1507" s="335" t="s">
        <v>3494</v>
      </c>
    </row>
    <row r="1508">
      <c r="G1508" s="584"/>
      <c r="H1508" s="584"/>
      <c r="I1508" s="335" t="s">
        <v>3494</v>
      </c>
    </row>
    <row r="1509">
      <c r="G1509" s="584"/>
      <c r="H1509" s="584"/>
      <c r="I1509" s="335" t="s">
        <v>3494</v>
      </c>
    </row>
    <row r="1510">
      <c r="G1510" s="584"/>
      <c r="H1510" s="584"/>
      <c r="I1510" s="335" t="s">
        <v>3494</v>
      </c>
    </row>
    <row r="1511">
      <c r="G1511" s="584"/>
      <c r="H1511" s="584"/>
      <c r="I1511" s="335" t="s">
        <v>3494</v>
      </c>
    </row>
    <row r="1512">
      <c r="G1512" s="584"/>
      <c r="H1512" s="584"/>
      <c r="I1512" s="335" t="s">
        <v>3494</v>
      </c>
    </row>
    <row r="1513">
      <c r="G1513" s="584"/>
      <c r="H1513" s="584"/>
      <c r="I1513" s="335" t="s">
        <v>3494</v>
      </c>
    </row>
    <row r="1514">
      <c r="G1514" s="584"/>
      <c r="H1514" s="584"/>
      <c r="I1514" s="335" t="s">
        <v>3494</v>
      </c>
    </row>
    <row r="1515">
      <c r="G1515" s="584"/>
      <c r="H1515" s="584"/>
      <c r="I1515" s="335" t="s">
        <v>3494</v>
      </c>
    </row>
    <row r="1516">
      <c r="G1516" s="584"/>
      <c r="H1516" s="584"/>
      <c r="I1516" s="335" t="s">
        <v>3494</v>
      </c>
    </row>
    <row r="1517">
      <c r="G1517" s="584"/>
      <c r="H1517" s="584"/>
      <c r="I1517" s="335" t="s">
        <v>3494</v>
      </c>
    </row>
    <row r="1518">
      <c r="G1518" s="584"/>
      <c r="H1518" s="584"/>
      <c r="I1518" s="335" t="s">
        <v>3494</v>
      </c>
    </row>
    <row r="1519">
      <c r="G1519" s="584"/>
      <c r="H1519" s="584"/>
      <c r="I1519" s="335" t="s">
        <v>3494</v>
      </c>
    </row>
    <row r="1520">
      <c r="G1520" s="584"/>
      <c r="H1520" s="584"/>
      <c r="I1520" s="335" t="s">
        <v>3494</v>
      </c>
    </row>
    <row r="1521">
      <c r="G1521" s="584"/>
      <c r="H1521" s="584"/>
      <c r="I1521" s="335" t="s">
        <v>3494</v>
      </c>
    </row>
    <row r="1522">
      <c r="G1522" s="584"/>
      <c r="H1522" s="584"/>
      <c r="I1522" s="335" t="s">
        <v>3494</v>
      </c>
    </row>
    <row r="1523">
      <c r="G1523" s="584"/>
      <c r="H1523" s="584"/>
      <c r="I1523" s="335" t="s">
        <v>3494</v>
      </c>
    </row>
    <row r="1524">
      <c r="G1524" s="584"/>
      <c r="H1524" s="584"/>
      <c r="I1524" s="335" t="s">
        <v>3494</v>
      </c>
    </row>
    <row r="1525">
      <c r="G1525" s="584"/>
      <c r="H1525" s="584"/>
      <c r="I1525" s="335" t="s">
        <v>3494</v>
      </c>
    </row>
    <row r="1526">
      <c r="G1526" s="584"/>
      <c r="H1526" s="584"/>
      <c r="I1526" s="335" t="s">
        <v>3494</v>
      </c>
    </row>
    <row r="1527">
      <c r="G1527" s="584"/>
      <c r="H1527" s="584"/>
      <c r="I1527" s="335" t="s">
        <v>3494</v>
      </c>
    </row>
    <row r="1528">
      <c r="G1528" s="584"/>
      <c r="H1528" s="584"/>
      <c r="I1528" s="335" t="s">
        <v>3494</v>
      </c>
    </row>
    <row r="1529">
      <c r="G1529" s="584"/>
      <c r="H1529" s="584"/>
      <c r="I1529" s="335" t="s">
        <v>3494</v>
      </c>
    </row>
    <row r="1530">
      <c r="G1530" s="584"/>
      <c r="H1530" s="584"/>
      <c r="I1530" s="335" t="s">
        <v>3494</v>
      </c>
    </row>
    <row r="1531">
      <c r="G1531" s="584"/>
      <c r="H1531" s="584"/>
      <c r="I1531" s="335" t="s">
        <v>3494</v>
      </c>
    </row>
    <row r="1532">
      <c r="G1532" s="584"/>
      <c r="H1532" s="584"/>
      <c r="I1532" s="335" t="s">
        <v>3494</v>
      </c>
    </row>
    <row r="1533">
      <c r="G1533" s="584"/>
      <c r="H1533" s="584"/>
      <c r="I1533" s="335" t="s">
        <v>3494</v>
      </c>
    </row>
    <row r="1534">
      <c r="G1534" s="584"/>
      <c r="H1534" s="584"/>
      <c r="I1534" s="335" t="s">
        <v>3494</v>
      </c>
    </row>
    <row r="1535">
      <c r="G1535" s="584"/>
      <c r="H1535" s="584"/>
      <c r="I1535" s="335" t="s">
        <v>3494</v>
      </c>
    </row>
    <row r="1536">
      <c r="G1536" s="584"/>
      <c r="H1536" s="584"/>
      <c r="I1536" s="335" t="s">
        <v>3494</v>
      </c>
    </row>
    <row r="1537">
      <c r="G1537" s="584"/>
      <c r="H1537" s="584"/>
      <c r="I1537" s="335" t="s">
        <v>3494</v>
      </c>
    </row>
    <row r="1538">
      <c r="G1538" s="584"/>
      <c r="H1538" s="584"/>
      <c r="I1538" s="335" t="s">
        <v>3494</v>
      </c>
    </row>
    <row r="1539">
      <c r="G1539" s="584"/>
      <c r="H1539" s="584"/>
      <c r="I1539" s="335" t="s">
        <v>3494</v>
      </c>
    </row>
    <row r="1540">
      <c r="G1540" s="584"/>
      <c r="H1540" s="584"/>
      <c r="I1540" s="335" t="s">
        <v>3494</v>
      </c>
    </row>
    <row r="1541">
      <c r="G1541" s="584"/>
      <c r="H1541" s="584"/>
      <c r="I1541" s="335" t="s">
        <v>3494</v>
      </c>
    </row>
    <row r="1542">
      <c r="G1542" s="584"/>
      <c r="H1542" s="584"/>
      <c r="I1542" s="335" t="s">
        <v>3494</v>
      </c>
    </row>
    <row r="1543">
      <c r="G1543" s="584"/>
      <c r="H1543" s="584"/>
      <c r="I1543" s="335" t="s">
        <v>3494</v>
      </c>
    </row>
    <row r="1544">
      <c r="G1544" s="584"/>
      <c r="H1544" s="584"/>
      <c r="I1544" s="335" t="s">
        <v>3494</v>
      </c>
    </row>
    <row r="1545">
      <c r="G1545" s="584"/>
      <c r="H1545" s="584"/>
      <c r="I1545" s="335" t="s">
        <v>3494</v>
      </c>
    </row>
    <row r="1546">
      <c r="G1546" s="584"/>
      <c r="H1546" s="584"/>
      <c r="I1546" s="335" t="s">
        <v>3494</v>
      </c>
    </row>
    <row r="1547">
      <c r="G1547" s="584"/>
      <c r="H1547" s="584"/>
      <c r="I1547" s="335" t="s">
        <v>3494</v>
      </c>
    </row>
    <row r="1548">
      <c r="G1548" s="584"/>
      <c r="H1548" s="584"/>
      <c r="I1548" s="335" t="s">
        <v>3494</v>
      </c>
    </row>
    <row r="1549">
      <c r="G1549" s="584"/>
      <c r="H1549" s="584"/>
      <c r="I1549" s="335" t="s">
        <v>3494</v>
      </c>
    </row>
    <row r="1550">
      <c r="G1550" s="584"/>
      <c r="H1550" s="584"/>
      <c r="I1550" s="335" t="s">
        <v>3494</v>
      </c>
    </row>
    <row r="1551">
      <c r="G1551" s="584"/>
      <c r="H1551" s="584"/>
      <c r="I1551" s="335" t="s">
        <v>3494</v>
      </c>
    </row>
    <row r="1552">
      <c r="G1552" s="584"/>
      <c r="H1552" s="584"/>
      <c r="I1552" s="335" t="s">
        <v>3494</v>
      </c>
    </row>
    <row r="1553">
      <c r="G1553" s="584"/>
      <c r="H1553" s="584"/>
      <c r="I1553" s="335" t="s">
        <v>3494</v>
      </c>
    </row>
    <row r="1554">
      <c r="G1554" s="584"/>
      <c r="H1554" s="584"/>
      <c r="I1554" s="335" t="s">
        <v>3494</v>
      </c>
    </row>
    <row r="1555">
      <c r="G1555" s="584"/>
      <c r="H1555" s="584"/>
      <c r="I1555" s="335" t="s">
        <v>3494</v>
      </c>
    </row>
    <row r="1556">
      <c r="G1556" s="584"/>
      <c r="H1556" s="584"/>
      <c r="I1556" s="335" t="s">
        <v>3494</v>
      </c>
    </row>
    <row r="1557">
      <c r="G1557" s="584"/>
      <c r="H1557" s="584"/>
      <c r="I1557" s="335" t="s">
        <v>3494</v>
      </c>
    </row>
    <row r="1558">
      <c r="G1558" s="584"/>
      <c r="H1558" s="584"/>
      <c r="I1558" s="335" t="s">
        <v>3494</v>
      </c>
    </row>
    <row r="1559">
      <c r="G1559" s="584"/>
      <c r="H1559" s="584"/>
      <c r="I1559" s="335" t="s">
        <v>3494</v>
      </c>
    </row>
    <row r="1560">
      <c r="G1560" s="584"/>
      <c r="H1560" s="584"/>
      <c r="I1560" s="335" t="s">
        <v>3494</v>
      </c>
    </row>
    <row r="1561">
      <c r="G1561" s="584"/>
      <c r="H1561" s="584"/>
      <c r="I1561" s="335" t="s">
        <v>3494</v>
      </c>
    </row>
    <row r="1562">
      <c r="G1562" s="584"/>
      <c r="H1562" s="584"/>
      <c r="I1562" s="335" t="s">
        <v>3494</v>
      </c>
    </row>
    <row r="1563">
      <c r="G1563" s="584"/>
      <c r="H1563" s="584"/>
      <c r="I1563" s="335" t="s">
        <v>3494</v>
      </c>
    </row>
    <row r="1564">
      <c r="G1564" s="584"/>
      <c r="H1564" s="584"/>
      <c r="I1564" s="335" t="s">
        <v>3494</v>
      </c>
    </row>
    <row r="1565">
      <c r="G1565" s="584"/>
      <c r="H1565" s="584"/>
      <c r="I1565" s="335" t="s">
        <v>3494</v>
      </c>
    </row>
    <row r="1566">
      <c r="G1566" s="584"/>
      <c r="H1566" s="584"/>
      <c r="I1566" s="335" t="s">
        <v>3494</v>
      </c>
    </row>
    <row r="1567">
      <c r="G1567" s="584"/>
      <c r="H1567" s="584"/>
      <c r="I1567" s="335" t="s">
        <v>3494</v>
      </c>
    </row>
    <row r="1568">
      <c r="G1568" s="584"/>
      <c r="H1568" s="584"/>
      <c r="I1568" s="335" t="s">
        <v>3494</v>
      </c>
    </row>
    <row r="1569">
      <c r="G1569" s="584"/>
      <c r="H1569" s="584"/>
      <c r="I1569" s="335" t="s">
        <v>3494</v>
      </c>
    </row>
    <row r="1570">
      <c r="G1570" s="584"/>
      <c r="H1570" s="584"/>
      <c r="I1570" s="335" t="s">
        <v>3494</v>
      </c>
    </row>
    <row r="1571">
      <c r="G1571" s="584"/>
      <c r="H1571" s="584"/>
      <c r="I1571" s="335" t="s">
        <v>3494</v>
      </c>
    </row>
    <row r="1572">
      <c r="G1572" s="584"/>
      <c r="H1572" s="584"/>
      <c r="I1572" s="335" t="s">
        <v>3494</v>
      </c>
    </row>
    <row r="1573">
      <c r="G1573" s="584"/>
      <c r="H1573" s="584"/>
      <c r="I1573" s="335" t="s">
        <v>3494</v>
      </c>
    </row>
    <row r="1574">
      <c r="G1574" s="584"/>
      <c r="H1574" s="584"/>
      <c r="I1574" s="335" t="s">
        <v>3494</v>
      </c>
    </row>
    <row r="1575">
      <c r="G1575" s="584"/>
      <c r="H1575" s="584"/>
      <c r="I1575" s="335" t="s">
        <v>3494</v>
      </c>
    </row>
    <row r="1576">
      <c r="G1576" s="584"/>
      <c r="H1576" s="584"/>
      <c r="I1576" s="335" t="s">
        <v>3494</v>
      </c>
    </row>
    <row r="1577">
      <c r="G1577" s="584"/>
      <c r="H1577" s="584"/>
      <c r="I1577" s="335" t="s">
        <v>3494</v>
      </c>
    </row>
    <row r="1578">
      <c r="G1578" s="584"/>
      <c r="H1578" s="584"/>
      <c r="I1578" s="335" t="s">
        <v>3494</v>
      </c>
    </row>
    <row r="1579">
      <c r="G1579" s="584"/>
      <c r="H1579" s="584"/>
      <c r="I1579" s="335" t="s">
        <v>3494</v>
      </c>
    </row>
    <row r="1580">
      <c r="G1580" s="584"/>
      <c r="H1580" s="584"/>
      <c r="I1580" s="335" t="s">
        <v>3494</v>
      </c>
    </row>
    <row r="1581">
      <c r="G1581" s="584"/>
      <c r="H1581" s="584"/>
      <c r="I1581" s="335" t="s">
        <v>3494</v>
      </c>
    </row>
    <row r="1582">
      <c r="G1582" s="584"/>
      <c r="H1582" s="584"/>
      <c r="I1582" s="335" t="s">
        <v>3494</v>
      </c>
    </row>
    <row r="1583">
      <c r="G1583" s="584"/>
      <c r="H1583" s="584"/>
      <c r="I1583" s="335" t="s">
        <v>3494</v>
      </c>
    </row>
    <row r="1584">
      <c r="G1584" s="584"/>
      <c r="H1584" s="584"/>
      <c r="I1584" s="335" t="s">
        <v>3494</v>
      </c>
    </row>
    <row r="1585">
      <c r="G1585" s="584"/>
      <c r="H1585" s="584"/>
      <c r="I1585" s="335" t="s">
        <v>3494</v>
      </c>
    </row>
    <row r="1586">
      <c r="G1586" s="584"/>
      <c r="H1586" s="584"/>
      <c r="I1586" s="335" t="s">
        <v>3494</v>
      </c>
    </row>
    <row r="1587">
      <c r="G1587" s="584"/>
      <c r="H1587" s="584"/>
      <c r="I1587" s="335" t="s">
        <v>3494</v>
      </c>
    </row>
    <row r="1588">
      <c r="G1588" s="584"/>
      <c r="H1588" s="584"/>
      <c r="I1588" s="335" t="s">
        <v>3494</v>
      </c>
    </row>
    <row r="1589">
      <c r="G1589" s="584"/>
      <c r="H1589" s="584"/>
      <c r="I1589" s="335" t="s">
        <v>3494</v>
      </c>
    </row>
    <row r="1590">
      <c r="G1590" s="584"/>
      <c r="H1590" s="584"/>
      <c r="I1590" s="335" t="s">
        <v>3494</v>
      </c>
    </row>
    <row r="1591">
      <c r="G1591" s="584"/>
      <c r="H1591" s="584"/>
      <c r="I1591" s="335" t="s">
        <v>3494</v>
      </c>
    </row>
    <row r="1592">
      <c r="G1592" s="584"/>
      <c r="H1592" s="584"/>
      <c r="I1592" s="335" t="s">
        <v>3494</v>
      </c>
    </row>
    <row r="1593">
      <c r="G1593" s="584"/>
      <c r="H1593" s="584"/>
      <c r="I1593" s="335" t="s">
        <v>3494</v>
      </c>
    </row>
    <row r="1594">
      <c r="G1594" s="584"/>
      <c r="H1594" s="584"/>
      <c r="I1594" s="335" t="s">
        <v>3494</v>
      </c>
    </row>
    <row r="1595">
      <c r="G1595" s="584"/>
      <c r="H1595" s="584"/>
      <c r="I1595" s="335" t="s">
        <v>3494</v>
      </c>
    </row>
    <row r="1596">
      <c r="G1596" s="584"/>
      <c r="H1596" s="584"/>
      <c r="I1596" s="335" t="s">
        <v>3494</v>
      </c>
    </row>
    <row r="1597">
      <c r="G1597" s="584"/>
      <c r="H1597" s="584"/>
      <c r="I1597" s="335" t="s">
        <v>3494</v>
      </c>
    </row>
    <row r="1598">
      <c r="G1598" s="584"/>
      <c r="H1598" s="584"/>
      <c r="I1598" s="335" t="s">
        <v>3494</v>
      </c>
    </row>
    <row r="1599">
      <c r="G1599" s="584"/>
      <c r="H1599" s="584"/>
      <c r="I1599" s="335" t="s">
        <v>3494</v>
      </c>
    </row>
    <row r="1600">
      <c r="G1600" s="584"/>
      <c r="H1600" s="584"/>
      <c r="I1600" s="335" t="s">
        <v>3494</v>
      </c>
    </row>
    <row r="1601">
      <c r="G1601" s="584"/>
      <c r="H1601" s="584"/>
      <c r="I1601" s="335" t="s">
        <v>3494</v>
      </c>
    </row>
    <row r="1602">
      <c r="G1602" s="584"/>
      <c r="H1602" s="584"/>
      <c r="I1602" s="335" t="s">
        <v>3494</v>
      </c>
    </row>
    <row r="1603">
      <c r="G1603" s="584"/>
      <c r="H1603" s="584"/>
      <c r="I1603" s="335" t="s">
        <v>3494</v>
      </c>
    </row>
    <row r="1604">
      <c r="G1604" s="584"/>
      <c r="H1604" s="584"/>
      <c r="I1604" s="335" t="s">
        <v>3494</v>
      </c>
    </row>
    <row r="1605">
      <c r="G1605" s="584"/>
      <c r="H1605" s="584"/>
      <c r="I1605" s="335" t="s">
        <v>3494</v>
      </c>
    </row>
    <row r="1606">
      <c r="G1606" s="584"/>
      <c r="H1606" s="584"/>
      <c r="I1606" s="335" t="s">
        <v>3494</v>
      </c>
    </row>
    <row r="1607">
      <c r="G1607" s="584"/>
      <c r="H1607" s="584"/>
      <c r="I1607" s="335" t="s">
        <v>3494</v>
      </c>
    </row>
    <row r="1608">
      <c r="G1608" s="584"/>
      <c r="H1608" s="584"/>
      <c r="I1608" s="335" t="s">
        <v>3494</v>
      </c>
    </row>
    <row r="1609">
      <c r="G1609" s="584"/>
      <c r="H1609" s="584"/>
      <c r="I1609" s="335" t="s">
        <v>3494</v>
      </c>
    </row>
    <row r="1610">
      <c r="G1610" s="584"/>
      <c r="H1610" s="584"/>
      <c r="I1610" s="335" t="s">
        <v>3494</v>
      </c>
    </row>
    <row r="1611">
      <c r="G1611" s="584"/>
      <c r="H1611" s="584"/>
      <c r="I1611" s="335" t="s">
        <v>3494</v>
      </c>
    </row>
    <row r="1612">
      <c r="G1612" s="584"/>
      <c r="H1612" s="584"/>
      <c r="I1612" s="335" t="s">
        <v>3494</v>
      </c>
    </row>
    <row r="1613">
      <c r="G1613" s="584"/>
      <c r="H1613" s="584"/>
      <c r="I1613" s="335" t="s">
        <v>3494</v>
      </c>
    </row>
    <row r="1614">
      <c r="G1614" s="584"/>
      <c r="H1614" s="584"/>
      <c r="I1614" s="335" t="s">
        <v>3494</v>
      </c>
    </row>
    <row r="1615">
      <c r="G1615" s="584"/>
      <c r="H1615" s="584"/>
      <c r="I1615" s="335" t="s">
        <v>3494</v>
      </c>
    </row>
    <row r="1616">
      <c r="G1616" s="584"/>
      <c r="H1616" s="584"/>
      <c r="I1616" s="335" t="s">
        <v>3494</v>
      </c>
    </row>
    <row r="1617">
      <c r="G1617" s="584"/>
      <c r="H1617" s="584"/>
      <c r="I1617" s="335" t="s">
        <v>3494</v>
      </c>
    </row>
    <row r="1618">
      <c r="G1618" s="584"/>
      <c r="H1618" s="584"/>
      <c r="I1618" s="335" t="s">
        <v>3494</v>
      </c>
    </row>
    <row r="1619">
      <c r="G1619" s="584"/>
      <c r="H1619" s="584"/>
      <c r="I1619" s="335" t="s">
        <v>3494</v>
      </c>
    </row>
    <row r="1620">
      <c r="G1620" s="584"/>
      <c r="H1620" s="584"/>
      <c r="I1620" s="335" t="s">
        <v>3494</v>
      </c>
    </row>
    <row r="1621">
      <c r="G1621" s="584"/>
      <c r="H1621" s="584"/>
      <c r="I1621" s="335" t="s">
        <v>3494</v>
      </c>
    </row>
    <row r="1622">
      <c r="G1622" s="584"/>
      <c r="H1622" s="584"/>
      <c r="I1622" s="335" t="s">
        <v>3494</v>
      </c>
    </row>
    <row r="1623">
      <c r="G1623" s="584"/>
      <c r="H1623" s="584"/>
      <c r="I1623" s="335" t="s">
        <v>3494</v>
      </c>
    </row>
    <row r="1624">
      <c r="G1624" s="584"/>
      <c r="H1624" s="584"/>
      <c r="I1624" s="335" t="s">
        <v>3494</v>
      </c>
    </row>
    <row r="1625">
      <c r="G1625" s="584"/>
      <c r="H1625" s="584"/>
      <c r="I1625" s="335" t="s">
        <v>3494</v>
      </c>
    </row>
    <row r="1626">
      <c r="G1626" s="584"/>
      <c r="H1626" s="584"/>
      <c r="I1626" s="335" t="s">
        <v>3494</v>
      </c>
    </row>
    <row r="1627">
      <c r="G1627" s="584"/>
      <c r="H1627" s="584"/>
      <c r="I1627" s="335" t="s">
        <v>3494</v>
      </c>
    </row>
    <row r="1628">
      <c r="G1628" s="584"/>
      <c r="H1628" s="584"/>
      <c r="I1628" s="335" t="s">
        <v>3494</v>
      </c>
    </row>
    <row r="1629">
      <c r="G1629" s="584"/>
      <c r="H1629" s="584"/>
      <c r="I1629" s="335" t="s">
        <v>3494</v>
      </c>
    </row>
    <row r="1630">
      <c r="G1630" s="584"/>
      <c r="H1630" s="584"/>
      <c r="I1630" s="335" t="s">
        <v>3494</v>
      </c>
    </row>
    <row r="1631">
      <c r="G1631" s="584"/>
      <c r="H1631" s="584"/>
      <c r="I1631" s="335" t="s">
        <v>3494</v>
      </c>
    </row>
    <row r="1632">
      <c r="G1632" s="584"/>
      <c r="H1632" s="584"/>
      <c r="I1632" s="335" t="s">
        <v>3494</v>
      </c>
    </row>
    <row r="1633">
      <c r="G1633" s="584"/>
      <c r="H1633" s="584"/>
      <c r="I1633" s="335" t="s">
        <v>3494</v>
      </c>
    </row>
    <row r="1634">
      <c r="G1634" s="584"/>
      <c r="H1634" s="584"/>
      <c r="I1634" s="335" t="s">
        <v>3494</v>
      </c>
    </row>
    <row r="1635">
      <c r="G1635" s="584"/>
      <c r="H1635" s="584"/>
      <c r="I1635" s="335" t="s">
        <v>3494</v>
      </c>
    </row>
    <row r="1636">
      <c r="G1636" s="584"/>
      <c r="H1636" s="584"/>
      <c r="I1636" s="335" t="s">
        <v>3494</v>
      </c>
    </row>
    <row r="1637">
      <c r="G1637" s="584"/>
      <c r="H1637" s="584"/>
      <c r="I1637" s="335" t="s">
        <v>3494</v>
      </c>
    </row>
    <row r="1638">
      <c r="G1638" s="584"/>
      <c r="H1638" s="584"/>
      <c r="I1638" s="335" t="s">
        <v>3494</v>
      </c>
    </row>
    <row r="1639">
      <c r="G1639" s="584"/>
      <c r="H1639" s="584"/>
      <c r="I1639" s="335" t="s">
        <v>3494</v>
      </c>
    </row>
    <row r="1640">
      <c r="G1640" s="584"/>
      <c r="H1640" s="584"/>
      <c r="I1640" s="335" t="s">
        <v>3494</v>
      </c>
    </row>
    <row r="1641">
      <c r="G1641" s="584"/>
      <c r="H1641" s="584"/>
      <c r="I1641" s="335" t="s">
        <v>3494</v>
      </c>
    </row>
    <row r="1642">
      <c r="G1642" s="584"/>
      <c r="H1642" s="584"/>
      <c r="I1642" s="335" t="s">
        <v>3494</v>
      </c>
    </row>
    <row r="1643">
      <c r="G1643" s="584"/>
      <c r="H1643" s="584"/>
      <c r="I1643" s="335" t="s">
        <v>3494</v>
      </c>
    </row>
    <row r="1644">
      <c r="G1644" s="584"/>
      <c r="H1644" s="584"/>
      <c r="I1644" s="335" t="s">
        <v>3494</v>
      </c>
    </row>
    <row r="1645">
      <c r="G1645" s="584"/>
      <c r="H1645" s="584"/>
      <c r="I1645" s="335" t="s">
        <v>3494</v>
      </c>
    </row>
    <row r="1646">
      <c r="G1646" s="584"/>
      <c r="H1646" s="584"/>
      <c r="I1646" s="335" t="s">
        <v>3494</v>
      </c>
    </row>
    <row r="1647">
      <c r="G1647" s="584"/>
      <c r="H1647" s="584"/>
      <c r="I1647" s="335" t="s">
        <v>3494</v>
      </c>
    </row>
    <row r="1648">
      <c r="G1648" s="584"/>
      <c r="H1648" s="584"/>
      <c r="I1648" s="335" t="s">
        <v>3494</v>
      </c>
    </row>
    <row r="1649">
      <c r="G1649" s="584"/>
      <c r="H1649" s="584"/>
      <c r="I1649" s="335" t="s">
        <v>3494</v>
      </c>
    </row>
    <row r="1650">
      <c r="G1650" s="584"/>
      <c r="H1650" s="584"/>
      <c r="I1650" s="335" t="s">
        <v>3494</v>
      </c>
    </row>
    <row r="1651">
      <c r="G1651" s="584"/>
      <c r="H1651" s="584"/>
      <c r="I1651" s="335" t="s">
        <v>3494</v>
      </c>
    </row>
    <row r="1652">
      <c r="G1652" s="584"/>
      <c r="H1652" s="584"/>
      <c r="I1652" s="335" t="s">
        <v>3494</v>
      </c>
    </row>
    <row r="1653">
      <c r="G1653" s="584"/>
      <c r="H1653" s="584"/>
      <c r="I1653" s="335" t="s">
        <v>3494</v>
      </c>
    </row>
    <row r="1654">
      <c r="G1654" s="584"/>
      <c r="H1654" s="584"/>
      <c r="I1654" s="335" t="s">
        <v>3494</v>
      </c>
    </row>
    <row r="1655">
      <c r="G1655" s="584"/>
      <c r="H1655" s="584"/>
      <c r="I1655" s="335" t="s">
        <v>3494</v>
      </c>
    </row>
    <row r="1656">
      <c r="G1656" s="584"/>
      <c r="H1656" s="584"/>
      <c r="I1656" s="335" t="s">
        <v>3494</v>
      </c>
    </row>
    <row r="1657">
      <c r="G1657" s="584"/>
      <c r="H1657" s="584"/>
      <c r="I1657" s="335" t="s">
        <v>3494</v>
      </c>
    </row>
    <row r="1658">
      <c r="G1658" s="584"/>
      <c r="H1658" s="584"/>
      <c r="I1658" s="335" t="s">
        <v>3494</v>
      </c>
    </row>
    <row r="1659">
      <c r="G1659" s="584"/>
      <c r="H1659" s="584"/>
      <c r="I1659" s="335" t="s">
        <v>3494</v>
      </c>
    </row>
    <row r="1660">
      <c r="G1660" s="584"/>
      <c r="H1660" s="584"/>
      <c r="I1660" s="335" t="s">
        <v>3494</v>
      </c>
    </row>
    <row r="1661">
      <c r="G1661" s="584"/>
      <c r="H1661" s="584"/>
      <c r="I1661" s="335" t="s">
        <v>3494</v>
      </c>
    </row>
    <row r="1662">
      <c r="G1662" s="584"/>
      <c r="H1662" s="584"/>
      <c r="I1662" s="335" t="s">
        <v>3494</v>
      </c>
    </row>
    <row r="1663">
      <c r="G1663" s="584"/>
      <c r="H1663" s="584"/>
      <c r="I1663" s="335" t="s">
        <v>3494</v>
      </c>
    </row>
    <row r="1664">
      <c r="G1664" s="584"/>
      <c r="H1664" s="584"/>
      <c r="I1664" s="335" t="s">
        <v>3494</v>
      </c>
    </row>
    <row r="1665">
      <c r="G1665" s="584"/>
      <c r="H1665" s="584"/>
      <c r="I1665" s="335" t="s">
        <v>3494</v>
      </c>
    </row>
    <row r="1666">
      <c r="G1666" s="584"/>
      <c r="H1666" s="584"/>
      <c r="I1666" s="335" t="s">
        <v>3494</v>
      </c>
    </row>
    <row r="1667">
      <c r="G1667" s="584"/>
      <c r="H1667" s="584"/>
      <c r="I1667" s="335" t="s">
        <v>3494</v>
      </c>
    </row>
    <row r="1668">
      <c r="G1668" s="584"/>
      <c r="H1668" s="584"/>
      <c r="I1668" s="335" t="s">
        <v>3494</v>
      </c>
    </row>
    <row r="1669">
      <c r="G1669" s="584"/>
      <c r="H1669" s="584"/>
      <c r="I1669" s="335" t="s">
        <v>3494</v>
      </c>
    </row>
    <row r="1670">
      <c r="G1670" s="584"/>
      <c r="H1670" s="584"/>
      <c r="I1670" s="335" t="s">
        <v>3494</v>
      </c>
    </row>
    <row r="1671">
      <c r="G1671" s="584"/>
      <c r="H1671" s="584"/>
      <c r="I1671" s="335" t="s">
        <v>3494</v>
      </c>
    </row>
    <row r="1672">
      <c r="G1672" s="584"/>
      <c r="H1672" s="584"/>
      <c r="I1672" s="335" t="s">
        <v>3494</v>
      </c>
    </row>
    <row r="1673">
      <c r="G1673" s="584"/>
      <c r="H1673" s="584"/>
      <c r="I1673" s="335" t="s">
        <v>3494</v>
      </c>
    </row>
    <row r="1674">
      <c r="G1674" s="584"/>
      <c r="H1674" s="584"/>
      <c r="I1674" s="335" t="s">
        <v>3494</v>
      </c>
    </row>
    <row r="1675">
      <c r="G1675" s="584"/>
      <c r="H1675" s="584"/>
      <c r="I1675" s="335" t="s">
        <v>3494</v>
      </c>
    </row>
    <row r="1676">
      <c r="G1676" s="584"/>
      <c r="H1676" s="584"/>
      <c r="I1676" s="335" t="s">
        <v>3494</v>
      </c>
    </row>
    <row r="1677">
      <c r="G1677" s="584"/>
      <c r="H1677" s="584"/>
      <c r="I1677" s="335" t="s">
        <v>3494</v>
      </c>
    </row>
    <row r="1678">
      <c r="G1678" s="584"/>
      <c r="H1678" s="584"/>
      <c r="I1678" s="335" t="s">
        <v>3494</v>
      </c>
    </row>
    <row r="1679">
      <c r="G1679" s="584"/>
      <c r="H1679" s="584"/>
      <c r="I1679" s="335" t="s">
        <v>3494</v>
      </c>
    </row>
    <row r="1680">
      <c r="G1680" s="584"/>
      <c r="H1680" s="584"/>
      <c r="I1680" s="335" t="s">
        <v>3494</v>
      </c>
    </row>
    <row r="1681">
      <c r="G1681" s="584"/>
      <c r="H1681" s="584"/>
      <c r="I1681" s="335" t="s">
        <v>3494</v>
      </c>
    </row>
    <row r="1682">
      <c r="G1682" s="584"/>
      <c r="H1682" s="584"/>
      <c r="I1682" s="335" t="s">
        <v>3494</v>
      </c>
    </row>
    <row r="1683">
      <c r="G1683" s="584"/>
      <c r="H1683" s="584"/>
      <c r="I1683" s="335" t="s">
        <v>3494</v>
      </c>
    </row>
    <row r="1684">
      <c r="G1684" s="584"/>
      <c r="H1684" s="584"/>
      <c r="I1684" s="335" t="s">
        <v>3494</v>
      </c>
    </row>
    <row r="1685">
      <c r="G1685" s="584"/>
      <c r="H1685" s="584"/>
      <c r="I1685" s="335" t="s">
        <v>3494</v>
      </c>
    </row>
    <row r="1686">
      <c r="G1686" s="584"/>
      <c r="H1686" s="584"/>
      <c r="I1686" s="335" t="s">
        <v>3494</v>
      </c>
    </row>
    <row r="1687">
      <c r="G1687" s="584"/>
      <c r="H1687" s="584"/>
      <c r="I1687" s="335" t="s">
        <v>3494</v>
      </c>
    </row>
    <row r="1688">
      <c r="G1688" s="584"/>
      <c r="H1688" s="584"/>
      <c r="I1688" s="335" t="s">
        <v>3494</v>
      </c>
    </row>
    <row r="1689">
      <c r="G1689" s="584"/>
      <c r="H1689" s="584"/>
      <c r="I1689" s="335" t="s">
        <v>3494</v>
      </c>
    </row>
    <row r="1690">
      <c r="G1690" s="584"/>
      <c r="H1690" s="584"/>
      <c r="I1690" s="335" t="s">
        <v>3494</v>
      </c>
    </row>
    <row r="1691">
      <c r="G1691" s="584"/>
      <c r="H1691" s="584"/>
      <c r="I1691" s="335" t="s">
        <v>3494</v>
      </c>
    </row>
    <row r="1692">
      <c r="G1692" s="584"/>
      <c r="H1692" s="584"/>
      <c r="I1692" s="335" t="s">
        <v>3494</v>
      </c>
    </row>
    <row r="1693">
      <c r="G1693" s="584"/>
      <c r="H1693" s="584"/>
      <c r="I1693" s="335" t="s">
        <v>3494</v>
      </c>
    </row>
    <row r="1694">
      <c r="G1694" s="584"/>
      <c r="H1694" s="584"/>
      <c r="I1694" s="335" t="s">
        <v>3494</v>
      </c>
    </row>
    <row r="1695">
      <c r="G1695" s="584"/>
      <c r="H1695" s="584"/>
      <c r="I1695" s="335" t="s">
        <v>3494</v>
      </c>
    </row>
    <row r="1696">
      <c r="G1696" s="584"/>
      <c r="H1696" s="584"/>
      <c r="I1696" s="335" t="s">
        <v>3494</v>
      </c>
    </row>
    <row r="1697">
      <c r="G1697" s="584"/>
      <c r="H1697" s="584"/>
      <c r="I1697" s="335" t="s">
        <v>3494</v>
      </c>
    </row>
    <row r="1698">
      <c r="G1698" s="584"/>
      <c r="H1698" s="584"/>
      <c r="I1698" s="335" t="s">
        <v>3494</v>
      </c>
    </row>
    <row r="1699">
      <c r="G1699" s="584"/>
      <c r="H1699" s="584"/>
      <c r="I1699" s="335" t="s">
        <v>3494</v>
      </c>
    </row>
    <row r="1700">
      <c r="G1700" s="584"/>
      <c r="H1700" s="584"/>
      <c r="I1700" s="335" t="s">
        <v>3494</v>
      </c>
    </row>
    <row r="1701">
      <c r="G1701" s="584"/>
      <c r="H1701" s="584"/>
      <c r="I1701" s="335" t="s">
        <v>3494</v>
      </c>
    </row>
    <row r="1702">
      <c r="G1702" s="584"/>
      <c r="H1702" s="584"/>
      <c r="I1702" s="335" t="s">
        <v>3494</v>
      </c>
    </row>
    <row r="1703">
      <c r="G1703" s="584"/>
      <c r="H1703" s="584"/>
      <c r="I1703" s="335" t="s">
        <v>3494</v>
      </c>
    </row>
    <row r="1704">
      <c r="G1704" s="584"/>
      <c r="H1704" s="584"/>
      <c r="I1704" s="335" t="s">
        <v>3494</v>
      </c>
    </row>
    <row r="1705">
      <c r="G1705" s="584"/>
      <c r="H1705" s="584"/>
      <c r="I1705" s="335" t="s">
        <v>3494</v>
      </c>
    </row>
    <row r="1706">
      <c r="G1706" s="584"/>
      <c r="H1706" s="584"/>
      <c r="I1706" s="335" t="s">
        <v>3494</v>
      </c>
    </row>
    <row r="1707">
      <c r="G1707" s="584"/>
      <c r="H1707" s="584"/>
      <c r="I1707" s="335" t="s">
        <v>3494</v>
      </c>
    </row>
    <row r="1708">
      <c r="G1708" s="584"/>
      <c r="H1708" s="584"/>
      <c r="I1708" s="335" t="s">
        <v>3494</v>
      </c>
    </row>
    <row r="1709">
      <c r="G1709" s="584"/>
      <c r="H1709" s="584"/>
      <c r="I1709" s="335" t="s">
        <v>3494</v>
      </c>
    </row>
    <row r="1710">
      <c r="G1710" s="584"/>
      <c r="H1710" s="584"/>
      <c r="I1710" s="335" t="s">
        <v>3494</v>
      </c>
    </row>
    <row r="1711">
      <c r="G1711" s="584"/>
      <c r="H1711" s="584"/>
      <c r="I1711" s="335" t="s">
        <v>3494</v>
      </c>
    </row>
    <row r="1712">
      <c r="G1712" s="584"/>
      <c r="H1712" s="584"/>
      <c r="I1712" s="335" t="s">
        <v>3494</v>
      </c>
    </row>
    <row r="1713">
      <c r="G1713" s="584"/>
      <c r="H1713" s="584"/>
      <c r="I1713" s="335" t="s">
        <v>3494</v>
      </c>
    </row>
    <row r="1714">
      <c r="G1714" s="584"/>
      <c r="H1714" s="584"/>
      <c r="I1714" s="335" t="s">
        <v>3494</v>
      </c>
    </row>
    <row r="1715">
      <c r="G1715" s="584"/>
      <c r="H1715" s="584"/>
      <c r="I1715" s="335" t="s">
        <v>3494</v>
      </c>
    </row>
    <row r="1716">
      <c r="G1716" s="584"/>
      <c r="H1716" s="584"/>
      <c r="I1716" s="335" t="s">
        <v>3494</v>
      </c>
    </row>
    <row r="1717">
      <c r="G1717" s="584"/>
      <c r="H1717" s="584"/>
      <c r="I1717" s="335" t="s">
        <v>3494</v>
      </c>
    </row>
    <row r="1718">
      <c r="G1718" s="584"/>
      <c r="H1718" s="584"/>
      <c r="I1718" s="335" t="s">
        <v>3494</v>
      </c>
    </row>
    <row r="1719">
      <c r="G1719" s="584"/>
      <c r="H1719" s="584"/>
      <c r="I1719" s="335" t="s">
        <v>3494</v>
      </c>
    </row>
    <row r="1720">
      <c r="G1720" s="584"/>
      <c r="H1720" s="584"/>
      <c r="I1720" s="335" t="s">
        <v>3494</v>
      </c>
    </row>
    <row r="1721">
      <c r="G1721" s="584"/>
      <c r="H1721" s="584"/>
      <c r="I1721" s="335" t="s">
        <v>3494</v>
      </c>
    </row>
    <row r="1722">
      <c r="G1722" s="584"/>
      <c r="H1722" s="584"/>
      <c r="I1722" s="335" t="s">
        <v>3494</v>
      </c>
    </row>
    <row r="1723">
      <c r="G1723" s="584"/>
      <c r="H1723" s="584"/>
      <c r="I1723" s="335" t="s">
        <v>3494</v>
      </c>
    </row>
    <row r="1724">
      <c r="G1724" s="584"/>
      <c r="H1724" s="584"/>
      <c r="I1724" s="335" t="s">
        <v>3494</v>
      </c>
    </row>
    <row r="1725">
      <c r="G1725" s="584"/>
      <c r="H1725" s="584"/>
      <c r="I1725" s="335" t="s">
        <v>3494</v>
      </c>
    </row>
    <row r="1726">
      <c r="G1726" s="584"/>
      <c r="H1726" s="584"/>
      <c r="I1726" s="335" t="s">
        <v>3494</v>
      </c>
    </row>
    <row r="1727">
      <c r="G1727" s="584"/>
      <c r="H1727" s="584"/>
      <c r="I1727" s="335" t="s">
        <v>3494</v>
      </c>
    </row>
    <row r="1728">
      <c r="G1728" s="584"/>
      <c r="H1728" s="584"/>
      <c r="I1728" s="335" t="s">
        <v>3494</v>
      </c>
    </row>
    <row r="1729">
      <c r="G1729" s="584"/>
      <c r="H1729" s="584"/>
      <c r="I1729" s="335" t="s">
        <v>3494</v>
      </c>
    </row>
    <row r="1730">
      <c r="G1730" s="584"/>
      <c r="H1730" s="584"/>
      <c r="I1730" s="335" t="s">
        <v>3494</v>
      </c>
    </row>
    <row r="1731">
      <c r="G1731" s="584"/>
      <c r="H1731" s="584"/>
      <c r="I1731" s="335" t="s">
        <v>3494</v>
      </c>
    </row>
    <row r="1732">
      <c r="G1732" s="584"/>
      <c r="H1732" s="584"/>
      <c r="I1732" s="335" t="s">
        <v>3494</v>
      </c>
    </row>
    <row r="1733">
      <c r="G1733" s="584"/>
      <c r="H1733" s="584"/>
      <c r="I1733" s="335" t="s">
        <v>3494</v>
      </c>
    </row>
    <row r="1734">
      <c r="G1734" s="584"/>
      <c r="H1734" s="584"/>
      <c r="I1734" s="335" t="s">
        <v>3494</v>
      </c>
    </row>
    <row r="1735">
      <c r="G1735" s="584"/>
      <c r="H1735" s="584"/>
      <c r="I1735" s="335" t="s">
        <v>3494</v>
      </c>
    </row>
    <row r="1736">
      <c r="G1736" s="584"/>
      <c r="H1736" s="584"/>
      <c r="I1736" s="335" t="s">
        <v>3494</v>
      </c>
    </row>
    <row r="1737">
      <c r="G1737" s="584"/>
      <c r="H1737" s="584"/>
      <c r="I1737" s="335" t="s">
        <v>3494</v>
      </c>
    </row>
    <row r="1738">
      <c r="G1738" s="584"/>
      <c r="H1738" s="584"/>
      <c r="I1738" s="335" t="s">
        <v>3494</v>
      </c>
    </row>
    <row r="1739">
      <c r="G1739" s="584"/>
      <c r="H1739" s="584"/>
      <c r="I1739" s="335" t="s">
        <v>3494</v>
      </c>
    </row>
    <row r="1740">
      <c r="G1740" s="584"/>
      <c r="H1740" s="584"/>
      <c r="I1740" s="335" t="s">
        <v>3494</v>
      </c>
    </row>
    <row r="1741">
      <c r="G1741" s="584"/>
      <c r="H1741" s="584"/>
      <c r="I1741" s="335" t="s">
        <v>3494</v>
      </c>
    </row>
    <row r="1742">
      <c r="G1742" s="584"/>
      <c r="H1742" s="584"/>
      <c r="I1742" s="335" t="s">
        <v>3494</v>
      </c>
    </row>
    <row r="1743">
      <c r="G1743" s="584"/>
      <c r="H1743" s="584"/>
      <c r="I1743" s="335" t="s">
        <v>3494</v>
      </c>
    </row>
    <row r="1744">
      <c r="G1744" s="584"/>
      <c r="H1744" s="584"/>
      <c r="I1744" s="335" t="s">
        <v>3494</v>
      </c>
    </row>
    <row r="1745">
      <c r="G1745" s="584"/>
      <c r="H1745" s="584"/>
      <c r="I1745" s="335" t="s">
        <v>3494</v>
      </c>
    </row>
    <row r="1746">
      <c r="G1746" s="584"/>
      <c r="H1746" s="584"/>
      <c r="I1746" s="335" t="s">
        <v>3494</v>
      </c>
    </row>
    <row r="1747">
      <c r="G1747" s="584"/>
      <c r="H1747" s="584"/>
      <c r="I1747" s="335" t="s">
        <v>3494</v>
      </c>
    </row>
    <row r="1748">
      <c r="G1748" s="584"/>
      <c r="H1748" s="584"/>
      <c r="I1748" s="335" t="s">
        <v>3494</v>
      </c>
    </row>
    <row r="1749">
      <c r="G1749" s="584"/>
      <c r="H1749" s="584"/>
      <c r="I1749" s="335" t="s">
        <v>3494</v>
      </c>
    </row>
    <row r="1750">
      <c r="G1750" s="584"/>
      <c r="H1750" s="584"/>
      <c r="I1750" s="335" t="s">
        <v>3494</v>
      </c>
    </row>
    <row r="1751">
      <c r="G1751" s="584"/>
      <c r="H1751" s="584"/>
      <c r="I1751" s="335" t="s">
        <v>3494</v>
      </c>
    </row>
    <row r="1752">
      <c r="G1752" s="584"/>
      <c r="H1752" s="584"/>
      <c r="I1752" s="335" t="s">
        <v>3494</v>
      </c>
    </row>
    <row r="1753">
      <c r="G1753" s="584"/>
      <c r="H1753" s="584"/>
      <c r="I1753" s="335" t="s">
        <v>3494</v>
      </c>
    </row>
    <row r="1754">
      <c r="G1754" s="584"/>
      <c r="H1754" s="584"/>
      <c r="I1754" s="335" t="s">
        <v>3494</v>
      </c>
    </row>
    <row r="1755">
      <c r="G1755" s="584"/>
      <c r="H1755" s="584"/>
      <c r="I1755" s="335" t="s">
        <v>3494</v>
      </c>
    </row>
    <row r="1756">
      <c r="G1756" s="584"/>
      <c r="H1756" s="584"/>
      <c r="I1756" s="335" t="s">
        <v>3494</v>
      </c>
    </row>
    <row r="1757">
      <c r="G1757" s="584"/>
      <c r="H1757" s="584"/>
      <c r="I1757" s="335" t="s">
        <v>3494</v>
      </c>
    </row>
    <row r="1758">
      <c r="G1758" s="584"/>
      <c r="H1758" s="584"/>
      <c r="I1758" s="335" t="s">
        <v>3494</v>
      </c>
    </row>
    <row r="1759">
      <c r="G1759" s="584"/>
      <c r="H1759" s="584"/>
      <c r="I1759" s="335" t="s">
        <v>3494</v>
      </c>
    </row>
    <row r="1760">
      <c r="G1760" s="584"/>
      <c r="H1760" s="584"/>
      <c r="I1760" s="335" t="s">
        <v>3494</v>
      </c>
    </row>
    <row r="1761">
      <c r="G1761" s="584"/>
      <c r="H1761" s="584"/>
      <c r="I1761" s="335" t="s">
        <v>3494</v>
      </c>
    </row>
    <row r="1762">
      <c r="G1762" s="584"/>
      <c r="H1762" s="584"/>
      <c r="I1762" s="335" t="s">
        <v>3494</v>
      </c>
    </row>
    <row r="1763">
      <c r="G1763" s="584"/>
      <c r="H1763" s="584"/>
      <c r="I1763" s="335" t="s">
        <v>3494</v>
      </c>
    </row>
    <row r="1764">
      <c r="G1764" s="584"/>
      <c r="H1764" s="584"/>
      <c r="I1764" s="335" t="s">
        <v>3494</v>
      </c>
    </row>
    <row r="1765">
      <c r="G1765" s="584"/>
      <c r="H1765" s="584"/>
      <c r="I1765" s="335" t="s">
        <v>3494</v>
      </c>
    </row>
    <row r="1766">
      <c r="G1766" s="584"/>
      <c r="H1766" s="584"/>
      <c r="I1766" s="335" t="s">
        <v>3494</v>
      </c>
    </row>
    <row r="1767">
      <c r="G1767" s="584"/>
      <c r="H1767" s="584"/>
      <c r="I1767" s="335" t="s">
        <v>3494</v>
      </c>
    </row>
    <row r="1768">
      <c r="G1768" s="584"/>
      <c r="H1768" s="584"/>
      <c r="I1768" s="335" t="s">
        <v>3494</v>
      </c>
    </row>
    <row r="1769">
      <c r="G1769" s="584"/>
      <c r="H1769" s="584"/>
      <c r="I1769" s="335" t="s">
        <v>3494</v>
      </c>
    </row>
    <row r="1770">
      <c r="G1770" s="584"/>
      <c r="H1770" s="584"/>
      <c r="I1770" s="335" t="s">
        <v>3494</v>
      </c>
    </row>
    <row r="1771">
      <c r="G1771" s="584"/>
      <c r="H1771" s="584"/>
      <c r="I1771" s="335" t="s">
        <v>3494</v>
      </c>
    </row>
    <row r="1772">
      <c r="G1772" s="584"/>
      <c r="H1772" s="584"/>
      <c r="I1772" s="335" t="s">
        <v>3494</v>
      </c>
    </row>
    <row r="1773">
      <c r="G1773" s="584"/>
      <c r="H1773" s="584"/>
      <c r="I1773" s="335" t="s">
        <v>3494</v>
      </c>
    </row>
    <row r="1774">
      <c r="G1774" s="584"/>
      <c r="H1774" s="584"/>
      <c r="I1774" s="335" t="s">
        <v>3494</v>
      </c>
    </row>
    <row r="1775">
      <c r="G1775" s="584"/>
      <c r="H1775" s="584"/>
      <c r="I1775" s="335" t="s">
        <v>3494</v>
      </c>
    </row>
    <row r="1776">
      <c r="G1776" s="584"/>
      <c r="H1776" s="584"/>
      <c r="I1776" s="335" t="s">
        <v>3494</v>
      </c>
    </row>
    <row r="1777">
      <c r="G1777" s="584"/>
      <c r="H1777" s="584"/>
      <c r="I1777" s="335" t="s">
        <v>3494</v>
      </c>
    </row>
    <row r="1778">
      <c r="G1778" s="584"/>
      <c r="H1778" s="584"/>
      <c r="I1778" s="335" t="s">
        <v>3494</v>
      </c>
    </row>
    <row r="1779">
      <c r="G1779" s="584"/>
      <c r="H1779" s="584"/>
      <c r="I1779" s="335" t="s">
        <v>3494</v>
      </c>
    </row>
    <row r="1780">
      <c r="G1780" s="584"/>
      <c r="H1780" s="584"/>
      <c r="I1780" s="335" t="s">
        <v>3494</v>
      </c>
    </row>
    <row r="1781">
      <c r="G1781" s="584"/>
      <c r="H1781" s="584"/>
      <c r="I1781" s="335" t="s">
        <v>3494</v>
      </c>
    </row>
    <row r="1782">
      <c r="G1782" s="584"/>
      <c r="H1782" s="584"/>
      <c r="I1782" s="335" t="s">
        <v>3494</v>
      </c>
    </row>
    <row r="1783">
      <c r="G1783" s="584"/>
      <c r="H1783" s="584"/>
      <c r="I1783" s="335" t="s">
        <v>3494</v>
      </c>
    </row>
    <row r="1784">
      <c r="G1784" s="584"/>
      <c r="H1784" s="584"/>
      <c r="I1784" s="335" t="s">
        <v>3494</v>
      </c>
    </row>
    <row r="1785">
      <c r="G1785" s="584"/>
      <c r="H1785" s="584"/>
      <c r="I1785" s="335" t="s">
        <v>3494</v>
      </c>
    </row>
    <row r="1786">
      <c r="G1786" s="584"/>
      <c r="H1786" s="584"/>
      <c r="I1786" s="335" t="s">
        <v>3494</v>
      </c>
    </row>
    <row r="1787">
      <c r="G1787" s="584"/>
      <c r="H1787" s="584"/>
      <c r="I1787" s="335" t="s">
        <v>3494</v>
      </c>
    </row>
    <row r="1788">
      <c r="G1788" s="584"/>
      <c r="H1788" s="584"/>
      <c r="I1788" s="335" t="s">
        <v>3494</v>
      </c>
    </row>
    <row r="1789">
      <c r="G1789" s="584"/>
      <c r="H1789" s="584"/>
      <c r="I1789" s="335" t="s">
        <v>3494</v>
      </c>
    </row>
    <row r="1790">
      <c r="G1790" s="584"/>
      <c r="H1790" s="584"/>
      <c r="I1790" s="335" t="s">
        <v>3494</v>
      </c>
    </row>
    <row r="1791">
      <c r="G1791" s="584"/>
      <c r="H1791" s="584"/>
      <c r="I1791" s="335" t="s">
        <v>3494</v>
      </c>
    </row>
    <row r="1792">
      <c r="G1792" s="584"/>
      <c r="H1792" s="584"/>
      <c r="I1792" s="335" t="s">
        <v>3494</v>
      </c>
    </row>
    <row r="1793">
      <c r="G1793" s="584"/>
      <c r="H1793" s="584"/>
      <c r="I1793" s="335" t="s">
        <v>3494</v>
      </c>
    </row>
    <row r="1794">
      <c r="G1794" s="584"/>
      <c r="H1794" s="584"/>
      <c r="I1794" s="335" t="s">
        <v>3494</v>
      </c>
    </row>
    <row r="1795">
      <c r="G1795" s="584"/>
      <c r="H1795" s="584"/>
      <c r="I1795" s="335" t="s">
        <v>3494</v>
      </c>
    </row>
    <row r="1796">
      <c r="G1796" s="584"/>
      <c r="H1796" s="584"/>
      <c r="I1796" s="335" t="s">
        <v>3494</v>
      </c>
    </row>
    <row r="1797">
      <c r="G1797" s="584"/>
      <c r="H1797" s="584"/>
      <c r="I1797" s="335" t="s">
        <v>3494</v>
      </c>
    </row>
    <row r="1798">
      <c r="G1798" s="584"/>
      <c r="H1798" s="584"/>
      <c r="I1798" s="335" t="s">
        <v>3494</v>
      </c>
    </row>
    <row r="1799">
      <c r="G1799" s="584"/>
      <c r="H1799" s="584"/>
      <c r="I1799" s="335" t="s">
        <v>3494</v>
      </c>
    </row>
    <row r="1800">
      <c r="G1800" s="584"/>
      <c r="H1800" s="584"/>
      <c r="I1800" s="335" t="s">
        <v>3494</v>
      </c>
    </row>
    <row r="1801">
      <c r="G1801" s="584"/>
      <c r="H1801" s="584"/>
      <c r="I1801" s="335" t="s">
        <v>3494</v>
      </c>
    </row>
    <row r="1802">
      <c r="G1802" s="584"/>
      <c r="H1802" s="584"/>
      <c r="I1802" s="335" t="s">
        <v>3494</v>
      </c>
    </row>
    <row r="1803">
      <c r="G1803" s="584"/>
      <c r="H1803" s="584"/>
      <c r="I1803" s="335" t="s">
        <v>3494</v>
      </c>
    </row>
    <row r="1804">
      <c r="G1804" s="584"/>
      <c r="H1804" s="584"/>
      <c r="I1804" s="335" t="s">
        <v>3494</v>
      </c>
    </row>
    <row r="1805">
      <c r="G1805" s="584"/>
      <c r="H1805" s="584"/>
      <c r="I1805" s="335" t="s">
        <v>3494</v>
      </c>
    </row>
    <row r="1806">
      <c r="G1806" s="584"/>
      <c r="H1806" s="584"/>
      <c r="I1806" s="335" t="s">
        <v>3494</v>
      </c>
    </row>
    <row r="1807">
      <c r="G1807" s="584"/>
      <c r="H1807" s="584"/>
      <c r="I1807" s="335" t="s">
        <v>3494</v>
      </c>
    </row>
    <row r="1808">
      <c r="G1808" s="584"/>
      <c r="H1808" s="584"/>
      <c r="I1808" s="335" t="s">
        <v>3494</v>
      </c>
    </row>
    <row r="1809">
      <c r="G1809" s="584"/>
      <c r="H1809" s="584"/>
      <c r="I1809" s="335" t="s">
        <v>3494</v>
      </c>
    </row>
    <row r="1810">
      <c r="G1810" s="584"/>
      <c r="H1810" s="584"/>
      <c r="I1810" s="335" t="s">
        <v>3494</v>
      </c>
    </row>
    <row r="1811">
      <c r="G1811" s="584"/>
      <c r="H1811" s="584"/>
      <c r="I1811" s="335" t="s">
        <v>3494</v>
      </c>
    </row>
    <row r="1812">
      <c r="G1812" s="584"/>
      <c r="H1812" s="584"/>
      <c r="I1812" s="335" t="s">
        <v>3494</v>
      </c>
    </row>
    <row r="1813">
      <c r="G1813" s="584"/>
      <c r="H1813" s="584"/>
      <c r="I1813" s="335" t="s">
        <v>3494</v>
      </c>
    </row>
    <row r="1814">
      <c r="G1814" s="584"/>
      <c r="H1814" s="584"/>
      <c r="I1814" s="335" t="s">
        <v>3494</v>
      </c>
    </row>
    <row r="1815">
      <c r="G1815" s="584"/>
      <c r="H1815" s="584"/>
      <c r="I1815" s="335" t="s">
        <v>3494</v>
      </c>
    </row>
    <row r="1816">
      <c r="G1816" s="584"/>
      <c r="H1816" s="584"/>
      <c r="I1816" s="335" t="s">
        <v>3494</v>
      </c>
    </row>
    <row r="1817">
      <c r="G1817" s="584"/>
      <c r="H1817" s="584"/>
      <c r="I1817" s="335" t="s">
        <v>3494</v>
      </c>
    </row>
    <row r="1818">
      <c r="G1818" s="584"/>
      <c r="H1818" s="584"/>
      <c r="I1818" s="335" t="s">
        <v>3494</v>
      </c>
    </row>
    <row r="1819">
      <c r="G1819" s="584"/>
      <c r="H1819" s="584"/>
      <c r="I1819" s="335" t="s">
        <v>3494</v>
      </c>
    </row>
    <row r="1820">
      <c r="G1820" s="584"/>
      <c r="H1820" s="584"/>
      <c r="I1820" s="335" t="s">
        <v>3494</v>
      </c>
    </row>
    <row r="1821">
      <c r="G1821" s="584"/>
      <c r="H1821" s="584"/>
      <c r="I1821" s="335" t="s">
        <v>3494</v>
      </c>
    </row>
    <row r="1822">
      <c r="G1822" s="584"/>
      <c r="H1822" s="584"/>
      <c r="I1822" s="335" t="s">
        <v>3494</v>
      </c>
    </row>
    <row r="1823">
      <c r="G1823" s="584"/>
      <c r="H1823" s="584"/>
      <c r="I1823" s="335" t="s">
        <v>3494</v>
      </c>
    </row>
    <row r="1824">
      <c r="G1824" s="584"/>
      <c r="H1824" s="584"/>
      <c r="I1824" s="335" t="s">
        <v>3494</v>
      </c>
    </row>
    <row r="1825">
      <c r="G1825" s="584"/>
      <c r="H1825" s="584"/>
      <c r="I1825" s="335" t="s">
        <v>3494</v>
      </c>
    </row>
    <row r="1826">
      <c r="G1826" s="584"/>
      <c r="H1826" s="584"/>
      <c r="I1826" s="335" t="s">
        <v>3494</v>
      </c>
    </row>
    <row r="1827">
      <c r="G1827" s="584"/>
      <c r="H1827" s="584"/>
      <c r="I1827" s="335" t="s">
        <v>3494</v>
      </c>
    </row>
    <row r="1828">
      <c r="G1828" s="584"/>
      <c r="H1828" s="584"/>
      <c r="I1828" s="335" t="s">
        <v>3494</v>
      </c>
    </row>
    <row r="1829">
      <c r="G1829" s="584"/>
      <c r="H1829" s="584"/>
      <c r="I1829" s="335" t="s">
        <v>3494</v>
      </c>
    </row>
    <row r="1830">
      <c r="G1830" s="584"/>
      <c r="H1830" s="584"/>
      <c r="I1830" s="335" t="s">
        <v>3494</v>
      </c>
    </row>
    <row r="1831">
      <c r="G1831" s="584"/>
      <c r="H1831" s="584"/>
      <c r="I1831" s="335" t="s">
        <v>3494</v>
      </c>
    </row>
    <row r="1832">
      <c r="G1832" s="584"/>
      <c r="H1832" s="584"/>
      <c r="I1832" s="335" t="s">
        <v>3494</v>
      </c>
    </row>
    <row r="1833">
      <c r="G1833" s="584"/>
      <c r="H1833" s="584"/>
      <c r="I1833" s="335" t="s">
        <v>3494</v>
      </c>
    </row>
    <row r="1834">
      <c r="G1834" s="584"/>
      <c r="H1834" s="584"/>
      <c r="I1834" s="335" t="s">
        <v>3494</v>
      </c>
    </row>
    <row r="1835">
      <c r="G1835" s="584"/>
      <c r="H1835" s="584"/>
      <c r="I1835" s="335" t="s">
        <v>3494</v>
      </c>
    </row>
    <row r="1836">
      <c r="G1836" s="584"/>
      <c r="H1836" s="584"/>
      <c r="I1836" s="335" t="s">
        <v>3494</v>
      </c>
    </row>
    <row r="1837">
      <c r="G1837" s="584"/>
      <c r="H1837" s="584"/>
      <c r="I1837" s="335" t="s">
        <v>3494</v>
      </c>
    </row>
    <row r="1838">
      <c r="G1838" s="584"/>
      <c r="H1838" s="584"/>
      <c r="I1838" s="335" t="s">
        <v>3494</v>
      </c>
    </row>
    <row r="1839">
      <c r="G1839" s="584"/>
      <c r="H1839" s="584"/>
      <c r="I1839" s="335" t="s">
        <v>3494</v>
      </c>
    </row>
    <row r="1840">
      <c r="G1840" s="584"/>
      <c r="H1840" s="584"/>
      <c r="I1840" s="335" t="s">
        <v>3494</v>
      </c>
    </row>
    <row r="1841">
      <c r="G1841" s="584"/>
      <c r="H1841" s="584"/>
      <c r="I1841" s="335" t="s">
        <v>3494</v>
      </c>
    </row>
    <row r="1842">
      <c r="G1842" s="584"/>
      <c r="H1842" s="584"/>
      <c r="I1842" s="335" t="s">
        <v>3494</v>
      </c>
    </row>
    <row r="1843">
      <c r="G1843" s="584"/>
      <c r="H1843" s="584"/>
      <c r="I1843" s="335" t="s">
        <v>3494</v>
      </c>
    </row>
    <row r="1844">
      <c r="G1844" s="584"/>
      <c r="H1844" s="584"/>
      <c r="I1844" s="335" t="s">
        <v>3494</v>
      </c>
    </row>
    <row r="1845">
      <c r="G1845" s="584"/>
      <c r="H1845" s="584"/>
      <c r="I1845" s="335" t="s">
        <v>3494</v>
      </c>
    </row>
    <row r="1846">
      <c r="G1846" s="584"/>
      <c r="H1846" s="584"/>
      <c r="I1846" s="335" t="s">
        <v>3494</v>
      </c>
    </row>
    <row r="1847">
      <c r="G1847" s="584"/>
      <c r="H1847" s="584"/>
      <c r="I1847" s="335" t="s">
        <v>3494</v>
      </c>
    </row>
    <row r="1848">
      <c r="G1848" s="584"/>
      <c r="H1848" s="584"/>
      <c r="I1848" s="335" t="s">
        <v>3494</v>
      </c>
    </row>
    <row r="1849">
      <c r="G1849" s="584"/>
      <c r="H1849" s="584"/>
      <c r="I1849" s="335" t="s">
        <v>3494</v>
      </c>
    </row>
    <row r="1850">
      <c r="G1850" s="584"/>
      <c r="H1850" s="584"/>
      <c r="I1850" s="335" t="s">
        <v>3494</v>
      </c>
    </row>
    <row r="1851">
      <c r="G1851" s="584"/>
      <c r="H1851" s="584"/>
      <c r="I1851" s="335" t="s">
        <v>3494</v>
      </c>
    </row>
    <row r="1852">
      <c r="G1852" s="584"/>
      <c r="H1852" s="584"/>
      <c r="I1852" s="335" t="s">
        <v>3494</v>
      </c>
    </row>
    <row r="1853">
      <c r="G1853" s="584"/>
      <c r="H1853" s="584"/>
      <c r="I1853" s="335" t="s">
        <v>3494</v>
      </c>
    </row>
    <row r="1854">
      <c r="G1854" s="584"/>
      <c r="H1854" s="584"/>
      <c r="I1854" s="335" t="s">
        <v>3494</v>
      </c>
    </row>
    <row r="1855">
      <c r="G1855" s="584"/>
      <c r="H1855" s="584"/>
      <c r="I1855" s="335" t="s">
        <v>3494</v>
      </c>
    </row>
    <row r="1856">
      <c r="G1856" s="584"/>
      <c r="H1856" s="584"/>
      <c r="I1856" s="335" t="s">
        <v>3494</v>
      </c>
    </row>
    <row r="1857">
      <c r="G1857" s="584"/>
      <c r="H1857" s="584"/>
      <c r="I1857" s="335" t="s">
        <v>3494</v>
      </c>
    </row>
    <row r="1858">
      <c r="G1858" s="584"/>
      <c r="H1858" s="584"/>
      <c r="I1858" s="335" t="s">
        <v>3494</v>
      </c>
    </row>
    <row r="1859">
      <c r="G1859" s="584"/>
      <c r="H1859" s="584"/>
      <c r="I1859" s="335" t="s">
        <v>3494</v>
      </c>
    </row>
    <row r="1860">
      <c r="G1860" s="584"/>
      <c r="H1860" s="584"/>
      <c r="I1860" s="335" t="s">
        <v>3494</v>
      </c>
    </row>
    <row r="1861">
      <c r="G1861" s="584"/>
      <c r="H1861" s="584"/>
      <c r="I1861" s="335" t="s">
        <v>3494</v>
      </c>
    </row>
    <row r="1862">
      <c r="G1862" s="584"/>
      <c r="H1862" s="584"/>
      <c r="I1862" s="335" t="s">
        <v>3494</v>
      </c>
    </row>
    <row r="1863">
      <c r="G1863" s="584"/>
      <c r="H1863" s="584"/>
      <c r="I1863" s="335" t="s">
        <v>3494</v>
      </c>
    </row>
    <row r="1864">
      <c r="G1864" s="584"/>
      <c r="H1864" s="584"/>
      <c r="I1864" s="335" t="s">
        <v>3494</v>
      </c>
    </row>
    <row r="1865">
      <c r="G1865" s="584"/>
      <c r="H1865" s="584"/>
      <c r="I1865" s="335" t="s">
        <v>3494</v>
      </c>
    </row>
    <row r="1866">
      <c r="G1866" s="584"/>
      <c r="H1866" s="584"/>
      <c r="I1866" s="335" t="s">
        <v>3494</v>
      </c>
    </row>
    <row r="1867">
      <c r="G1867" s="584"/>
      <c r="H1867" s="584"/>
      <c r="I1867" s="335" t="s">
        <v>3494</v>
      </c>
    </row>
    <row r="1868">
      <c r="G1868" s="584"/>
      <c r="H1868" s="584"/>
      <c r="I1868" s="335" t="s">
        <v>3494</v>
      </c>
    </row>
    <row r="1869">
      <c r="G1869" s="584"/>
      <c r="H1869" s="584"/>
      <c r="I1869" s="335" t="s">
        <v>3494</v>
      </c>
    </row>
    <row r="1870">
      <c r="G1870" s="584"/>
      <c r="H1870" s="584"/>
      <c r="I1870" s="335" t="s">
        <v>3494</v>
      </c>
    </row>
    <row r="1871">
      <c r="G1871" s="584"/>
      <c r="H1871" s="584"/>
      <c r="I1871" s="335" t="s">
        <v>3494</v>
      </c>
    </row>
    <row r="1872">
      <c r="G1872" s="584"/>
      <c r="H1872" s="584"/>
      <c r="I1872" s="335" t="s">
        <v>3494</v>
      </c>
    </row>
    <row r="1873">
      <c r="G1873" s="584"/>
      <c r="H1873" s="584"/>
      <c r="I1873" s="335" t="s">
        <v>3494</v>
      </c>
    </row>
    <row r="1874">
      <c r="G1874" s="584"/>
      <c r="H1874" s="584"/>
      <c r="I1874" s="335" t="s">
        <v>3494</v>
      </c>
    </row>
    <row r="1875">
      <c r="G1875" s="584"/>
      <c r="H1875" s="584"/>
      <c r="I1875" s="335" t="s">
        <v>3494</v>
      </c>
    </row>
    <row r="1876">
      <c r="G1876" s="584"/>
      <c r="H1876" s="584"/>
      <c r="I1876" s="335" t="s">
        <v>3494</v>
      </c>
    </row>
    <row r="1877">
      <c r="G1877" s="584"/>
      <c r="H1877" s="584"/>
      <c r="I1877" s="335" t="s">
        <v>3494</v>
      </c>
    </row>
    <row r="1878">
      <c r="G1878" s="584"/>
      <c r="H1878" s="584"/>
      <c r="I1878" s="335" t="s">
        <v>3494</v>
      </c>
    </row>
    <row r="1879">
      <c r="G1879" s="584"/>
      <c r="H1879" s="584"/>
      <c r="I1879" s="335" t="s">
        <v>3494</v>
      </c>
    </row>
    <row r="1880">
      <c r="G1880" s="584"/>
      <c r="H1880" s="584"/>
      <c r="I1880" s="335" t="s">
        <v>3494</v>
      </c>
    </row>
    <row r="1881">
      <c r="G1881" s="584"/>
      <c r="H1881" s="584"/>
      <c r="I1881" s="335" t="s">
        <v>3494</v>
      </c>
    </row>
    <row r="1882">
      <c r="G1882" s="584"/>
      <c r="H1882" s="584"/>
      <c r="I1882" s="335" t="s">
        <v>3494</v>
      </c>
    </row>
    <row r="1883">
      <c r="G1883" s="584"/>
      <c r="H1883" s="584"/>
      <c r="I1883" s="335" t="s">
        <v>3494</v>
      </c>
    </row>
    <row r="1884">
      <c r="G1884" s="584"/>
      <c r="H1884" s="584"/>
      <c r="I1884" s="335" t="s">
        <v>3494</v>
      </c>
    </row>
    <row r="1885">
      <c r="G1885" s="584"/>
      <c r="H1885" s="584"/>
      <c r="I1885" s="335" t="s">
        <v>3494</v>
      </c>
    </row>
    <row r="1886">
      <c r="G1886" s="584"/>
      <c r="H1886" s="584"/>
      <c r="I1886" s="335" t="s">
        <v>3494</v>
      </c>
    </row>
    <row r="1887">
      <c r="G1887" s="584"/>
      <c r="H1887" s="584"/>
      <c r="I1887" s="335" t="s">
        <v>3494</v>
      </c>
    </row>
    <row r="1888">
      <c r="G1888" s="584"/>
      <c r="H1888" s="584"/>
      <c r="I1888" s="335" t="s">
        <v>3494</v>
      </c>
    </row>
    <row r="1889">
      <c r="G1889" s="584"/>
      <c r="H1889" s="584"/>
      <c r="I1889" s="335" t="s">
        <v>3494</v>
      </c>
    </row>
    <row r="1890">
      <c r="G1890" s="584"/>
      <c r="H1890" s="584"/>
      <c r="I1890" s="335" t="s">
        <v>3494</v>
      </c>
    </row>
    <row r="1891">
      <c r="G1891" s="584"/>
      <c r="H1891" s="584"/>
      <c r="I1891" s="335" t="s">
        <v>3494</v>
      </c>
    </row>
    <row r="1892">
      <c r="G1892" s="584"/>
      <c r="H1892" s="584"/>
      <c r="I1892" s="335" t="s">
        <v>3494</v>
      </c>
    </row>
    <row r="1893">
      <c r="G1893" s="584"/>
      <c r="H1893" s="584"/>
      <c r="I1893" s="335" t="s">
        <v>3494</v>
      </c>
    </row>
    <row r="1894">
      <c r="G1894" s="584"/>
      <c r="H1894" s="584"/>
      <c r="I1894" s="335" t="s">
        <v>3494</v>
      </c>
    </row>
    <row r="1895">
      <c r="G1895" s="584"/>
      <c r="H1895" s="584"/>
      <c r="I1895" s="335" t="s">
        <v>3494</v>
      </c>
    </row>
    <row r="1896">
      <c r="G1896" s="584"/>
      <c r="H1896" s="584"/>
      <c r="I1896" s="335" t="s">
        <v>3494</v>
      </c>
    </row>
    <row r="1897">
      <c r="G1897" s="584"/>
      <c r="H1897" s="584"/>
      <c r="I1897" s="335" t="s">
        <v>3494</v>
      </c>
    </row>
    <row r="1898">
      <c r="G1898" s="584"/>
      <c r="H1898" s="584"/>
      <c r="I1898" s="335" t="s">
        <v>3494</v>
      </c>
    </row>
    <row r="1899">
      <c r="G1899" s="584"/>
      <c r="H1899" s="584"/>
      <c r="I1899" s="335" t="s">
        <v>3494</v>
      </c>
    </row>
    <row r="1900">
      <c r="G1900" s="584"/>
      <c r="H1900" s="584"/>
      <c r="I1900" s="335" t="s">
        <v>3494</v>
      </c>
    </row>
    <row r="1901">
      <c r="G1901" s="584"/>
      <c r="H1901" s="584"/>
      <c r="I1901" s="335" t="s">
        <v>3494</v>
      </c>
    </row>
    <row r="1902">
      <c r="G1902" s="584"/>
      <c r="H1902" s="584"/>
      <c r="I1902" s="335" t="s">
        <v>3494</v>
      </c>
    </row>
    <row r="1903">
      <c r="G1903" s="584"/>
      <c r="H1903" s="584"/>
      <c r="I1903" s="335" t="s">
        <v>3494</v>
      </c>
    </row>
    <row r="1904">
      <c r="G1904" s="584"/>
      <c r="H1904" s="584"/>
      <c r="I1904" s="335" t="s">
        <v>3494</v>
      </c>
    </row>
    <row r="1905">
      <c r="G1905" s="584"/>
      <c r="H1905" s="584"/>
      <c r="I1905" s="335" t="s">
        <v>3494</v>
      </c>
    </row>
    <row r="1906">
      <c r="G1906" s="584"/>
      <c r="H1906" s="584"/>
      <c r="I1906" s="335" t="s">
        <v>3494</v>
      </c>
    </row>
    <row r="1907">
      <c r="G1907" s="584"/>
      <c r="H1907" s="584"/>
      <c r="I1907" s="335" t="s">
        <v>3494</v>
      </c>
    </row>
    <row r="1908">
      <c r="G1908" s="584"/>
      <c r="H1908" s="584"/>
      <c r="I1908" s="335" t="s">
        <v>3494</v>
      </c>
    </row>
    <row r="1909">
      <c r="G1909" s="584"/>
      <c r="H1909" s="584"/>
      <c r="I1909" s="335" t="s">
        <v>3494</v>
      </c>
    </row>
    <row r="1910">
      <c r="G1910" s="584"/>
      <c r="H1910" s="584"/>
      <c r="I1910" s="335" t="s">
        <v>3494</v>
      </c>
    </row>
    <row r="1911">
      <c r="G1911" s="584"/>
      <c r="H1911" s="584"/>
      <c r="I1911" s="335" t="s">
        <v>3494</v>
      </c>
    </row>
    <row r="1912">
      <c r="G1912" s="584"/>
      <c r="H1912" s="584"/>
      <c r="I1912" s="335" t="s">
        <v>3494</v>
      </c>
    </row>
    <row r="1913">
      <c r="G1913" s="584"/>
      <c r="H1913" s="584"/>
      <c r="I1913" s="335" t="s">
        <v>3494</v>
      </c>
    </row>
    <row r="1914">
      <c r="G1914" s="584"/>
      <c r="H1914" s="584"/>
      <c r="I1914" s="335" t="s">
        <v>3494</v>
      </c>
    </row>
    <row r="1915">
      <c r="G1915" s="584"/>
      <c r="H1915" s="584"/>
      <c r="I1915" s="335" t="s">
        <v>3494</v>
      </c>
    </row>
    <row r="1916">
      <c r="G1916" s="584"/>
      <c r="H1916" s="584"/>
      <c r="I1916" s="335" t="s">
        <v>3494</v>
      </c>
    </row>
    <row r="1917">
      <c r="G1917" s="584"/>
      <c r="H1917" s="584"/>
      <c r="I1917" s="335" t="s">
        <v>3494</v>
      </c>
    </row>
    <row r="1918">
      <c r="G1918" s="584"/>
      <c r="H1918" s="584"/>
      <c r="I1918" s="335" t="s">
        <v>3494</v>
      </c>
    </row>
    <row r="1919">
      <c r="G1919" s="584"/>
      <c r="H1919" s="584"/>
      <c r="I1919" s="335" t="s">
        <v>3494</v>
      </c>
    </row>
    <row r="1920">
      <c r="G1920" s="584"/>
      <c r="H1920" s="584"/>
      <c r="I1920" s="335" t="s">
        <v>3494</v>
      </c>
    </row>
    <row r="1921">
      <c r="G1921" s="584"/>
      <c r="H1921" s="584"/>
      <c r="I1921" s="335" t="s">
        <v>3494</v>
      </c>
    </row>
    <row r="1922">
      <c r="G1922" s="584"/>
      <c r="H1922" s="584"/>
      <c r="I1922" s="335" t="s">
        <v>3494</v>
      </c>
    </row>
    <row r="1923">
      <c r="G1923" s="584"/>
      <c r="H1923" s="584"/>
      <c r="I1923" s="335" t="s">
        <v>3494</v>
      </c>
    </row>
    <row r="1924">
      <c r="G1924" s="584"/>
      <c r="H1924" s="584"/>
      <c r="I1924" s="335" t="s">
        <v>3494</v>
      </c>
    </row>
    <row r="1925">
      <c r="G1925" s="584"/>
      <c r="H1925" s="584"/>
      <c r="I1925" s="335" t="s">
        <v>3494</v>
      </c>
    </row>
    <row r="1926">
      <c r="G1926" s="584"/>
      <c r="H1926" s="584"/>
      <c r="I1926" s="335" t="s">
        <v>3494</v>
      </c>
    </row>
    <row r="1927">
      <c r="G1927" s="584"/>
      <c r="H1927" s="584"/>
      <c r="I1927" s="335" t="s">
        <v>3494</v>
      </c>
    </row>
    <row r="1928">
      <c r="G1928" s="584"/>
      <c r="H1928" s="584"/>
      <c r="I1928" s="335" t="s">
        <v>3494</v>
      </c>
    </row>
    <row r="1929">
      <c r="G1929" s="584"/>
      <c r="H1929" s="584"/>
      <c r="I1929" s="335" t="s">
        <v>3494</v>
      </c>
    </row>
    <row r="1930">
      <c r="G1930" s="584"/>
      <c r="H1930" s="584"/>
      <c r="I1930" s="335" t="s">
        <v>3494</v>
      </c>
    </row>
    <row r="1931">
      <c r="G1931" s="584"/>
      <c r="H1931" s="584"/>
      <c r="I1931" s="335" t="s">
        <v>3494</v>
      </c>
    </row>
    <row r="1932">
      <c r="G1932" s="584"/>
      <c r="H1932" s="584"/>
      <c r="I1932" s="335" t="s">
        <v>3494</v>
      </c>
    </row>
    <row r="1933">
      <c r="G1933" s="584"/>
      <c r="H1933" s="584"/>
      <c r="I1933" s="335" t="s">
        <v>3494</v>
      </c>
    </row>
    <row r="1934">
      <c r="G1934" s="584"/>
      <c r="H1934" s="584"/>
      <c r="I1934" s="335" t="s">
        <v>3494</v>
      </c>
    </row>
    <row r="1935">
      <c r="G1935" s="584"/>
      <c r="H1935" s="584"/>
      <c r="I1935" s="335" t="s">
        <v>3494</v>
      </c>
    </row>
    <row r="1936">
      <c r="G1936" s="584"/>
      <c r="H1936" s="584"/>
      <c r="I1936" s="335" t="s">
        <v>3494</v>
      </c>
    </row>
    <row r="1937">
      <c r="G1937" s="584"/>
      <c r="H1937" s="584"/>
      <c r="I1937" s="335" t="s">
        <v>3494</v>
      </c>
    </row>
    <row r="1938">
      <c r="G1938" s="584"/>
      <c r="H1938" s="584"/>
      <c r="I1938" s="335" t="s">
        <v>3494</v>
      </c>
    </row>
    <row r="1939">
      <c r="G1939" s="584"/>
      <c r="H1939" s="584"/>
      <c r="I1939" s="335" t="s">
        <v>3494</v>
      </c>
    </row>
    <row r="1940">
      <c r="G1940" s="584"/>
      <c r="H1940" s="584"/>
      <c r="I1940" s="335" t="s">
        <v>3494</v>
      </c>
    </row>
    <row r="1941">
      <c r="G1941" s="584"/>
      <c r="H1941" s="584"/>
      <c r="I1941" s="335" t="s">
        <v>3494</v>
      </c>
    </row>
    <row r="1942">
      <c r="G1942" s="584"/>
      <c r="H1942" s="584"/>
      <c r="I1942" s="335" t="s">
        <v>3494</v>
      </c>
    </row>
    <row r="1943">
      <c r="G1943" s="584"/>
      <c r="H1943" s="584"/>
      <c r="I1943" s="335" t="s">
        <v>3494</v>
      </c>
    </row>
    <row r="1944">
      <c r="G1944" s="584"/>
      <c r="H1944" s="584"/>
      <c r="I1944" s="335" t="s">
        <v>3494</v>
      </c>
    </row>
    <row r="1945">
      <c r="G1945" s="584"/>
      <c r="H1945" s="584"/>
      <c r="I1945" s="335" t="s">
        <v>3494</v>
      </c>
    </row>
    <row r="1946">
      <c r="G1946" s="584"/>
      <c r="H1946" s="584"/>
      <c r="I1946" s="335" t="s">
        <v>3494</v>
      </c>
    </row>
    <row r="1947">
      <c r="G1947" s="584"/>
      <c r="H1947" s="584"/>
      <c r="I1947" s="335" t="s">
        <v>3494</v>
      </c>
    </row>
    <row r="1948">
      <c r="G1948" s="584"/>
      <c r="H1948" s="584"/>
      <c r="I1948" s="335" t="s">
        <v>3494</v>
      </c>
    </row>
    <row r="1949">
      <c r="G1949" s="584"/>
      <c r="H1949" s="584"/>
      <c r="I1949" s="335" t="s">
        <v>3494</v>
      </c>
    </row>
    <row r="1950">
      <c r="G1950" s="584"/>
      <c r="H1950" s="584"/>
      <c r="I1950" s="335" t="s">
        <v>3494</v>
      </c>
    </row>
    <row r="1951">
      <c r="G1951" s="584"/>
      <c r="H1951" s="584"/>
      <c r="I1951" s="335" t="s">
        <v>3494</v>
      </c>
    </row>
    <row r="1952">
      <c r="G1952" s="584"/>
      <c r="H1952" s="584"/>
      <c r="I1952" s="335" t="s">
        <v>3494</v>
      </c>
    </row>
    <row r="1953">
      <c r="G1953" s="584"/>
      <c r="H1953" s="584"/>
      <c r="I1953" s="335" t="s">
        <v>3494</v>
      </c>
    </row>
    <row r="1954">
      <c r="G1954" s="584"/>
      <c r="H1954" s="584"/>
      <c r="I1954" s="335" t="s">
        <v>3494</v>
      </c>
    </row>
    <row r="1955">
      <c r="G1955" s="584"/>
      <c r="H1955" s="584"/>
      <c r="I1955" s="335" t="s">
        <v>3494</v>
      </c>
    </row>
    <row r="1956">
      <c r="G1956" s="584"/>
      <c r="H1956" s="584"/>
      <c r="I1956" s="335" t="s">
        <v>3494</v>
      </c>
    </row>
    <row r="1957">
      <c r="G1957" s="584"/>
      <c r="H1957" s="584"/>
      <c r="I1957" s="335" t="s">
        <v>3494</v>
      </c>
    </row>
    <row r="1958">
      <c r="G1958" s="584"/>
      <c r="H1958" s="584"/>
      <c r="I1958" s="335" t="s">
        <v>3494</v>
      </c>
    </row>
    <row r="1959">
      <c r="G1959" s="584"/>
      <c r="H1959" s="584"/>
      <c r="I1959" s="335" t="s">
        <v>3494</v>
      </c>
    </row>
    <row r="1960">
      <c r="G1960" s="584"/>
      <c r="H1960" s="584"/>
      <c r="I1960" s="335" t="s">
        <v>3494</v>
      </c>
    </row>
    <row r="1961">
      <c r="G1961" s="584"/>
      <c r="H1961" s="584"/>
      <c r="I1961" s="335" t="s">
        <v>3494</v>
      </c>
    </row>
    <row r="1962">
      <c r="G1962" s="584"/>
      <c r="H1962" s="584"/>
      <c r="I1962" s="335" t="s">
        <v>3494</v>
      </c>
    </row>
    <row r="1963">
      <c r="G1963" s="584"/>
      <c r="H1963" s="584"/>
      <c r="I1963" s="335" t="s">
        <v>3494</v>
      </c>
    </row>
    <row r="1964">
      <c r="G1964" s="584"/>
      <c r="H1964" s="584"/>
      <c r="I1964" s="335" t="s">
        <v>3494</v>
      </c>
    </row>
    <row r="1965">
      <c r="G1965" s="584"/>
      <c r="H1965" s="584"/>
      <c r="I1965" s="335" t="s">
        <v>3494</v>
      </c>
    </row>
    <row r="1966">
      <c r="G1966" s="584"/>
      <c r="H1966" s="584"/>
      <c r="I1966" s="335" t="s">
        <v>3494</v>
      </c>
    </row>
    <row r="1967">
      <c r="G1967" s="584"/>
      <c r="H1967" s="584"/>
      <c r="I1967" s="335" t="s">
        <v>3494</v>
      </c>
    </row>
    <row r="1968">
      <c r="G1968" s="584"/>
      <c r="H1968" s="584"/>
      <c r="I1968" s="335" t="s">
        <v>3494</v>
      </c>
    </row>
    <row r="1969">
      <c r="G1969" s="584"/>
      <c r="H1969" s="584"/>
      <c r="I1969" s="335" t="s">
        <v>3494</v>
      </c>
    </row>
    <row r="1970">
      <c r="G1970" s="584"/>
      <c r="H1970" s="584"/>
      <c r="I1970" s="335" t="s">
        <v>3494</v>
      </c>
    </row>
    <row r="1971">
      <c r="G1971" s="584"/>
      <c r="H1971" s="584"/>
      <c r="I1971" s="335" t="s">
        <v>3494</v>
      </c>
    </row>
    <row r="1972">
      <c r="G1972" s="584"/>
      <c r="H1972" s="584"/>
      <c r="I1972" s="335" t="s">
        <v>3494</v>
      </c>
    </row>
    <row r="1973">
      <c r="G1973" s="584"/>
      <c r="H1973" s="584"/>
      <c r="I1973" s="335" t="s">
        <v>3494</v>
      </c>
    </row>
    <row r="1974">
      <c r="G1974" s="584"/>
      <c r="H1974" s="584"/>
      <c r="I1974" s="335" t="s">
        <v>3494</v>
      </c>
    </row>
    <row r="1975">
      <c r="G1975" s="584"/>
      <c r="H1975" s="584"/>
      <c r="I1975" s="335" t="s">
        <v>3494</v>
      </c>
    </row>
    <row r="1976">
      <c r="G1976" s="584"/>
      <c r="H1976" s="584"/>
      <c r="I1976" s="335" t="s">
        <v>3494</v>
      </c>
    </row>
    <row r="1977">
      <c r="G1977" s="584"/>
      <c r="H1977" s="584"/>
      <c r="I1977" s="335" t="s">
        <v>3494</v>
      </c>
    </row>
    <row r="1978">
      <c r="G1978" s="584"/>
      <c r="H1978" s="584"/>
      <c r="I1978" s="335" t="s">
        <v>3494</v>
      </c>
    </row>
    <row r="1979">
      <c r="G1979" s="584"/>
      <c r="H1979" s="584"/>
      <c r="I1979" s="335" t="s">
        <v>3494</v>
      </c>
    </row>
    <row r="1980">
      <c r="G1980" s="584"/>
      <c r="H1980" s="584"/>
      <c r="I1980" s="335" t="s">
        <v>3494</v>
      </c>
    </row>
    <row r="1981">
      <c r="G1981" s="584"/>
      <c r="H1981" s="584"/>
      <c r="I1981" s="335" t="s">
        <v>3494</v>
      </c>
    </row>
    <row r="1982">
      <c r="G1982" s="584"/>
      <c r="H1982" s="584"/>
      <c r="I1982" s="335" t="s">
        <v>3494</v>
      </c>
    </row>
    <row r="1983">
      <c r="G1983" s="584"/>
      <c r="H1983" s="584"/>
      <c r="I1983" s="335" t="s">
        <v>3494</v>
      </c>
    </row>
    <row r="1984">
      <c r="G1984" s="584"/>
      <c r="H1984" s="584"/>
      <c r="I1984" s="335" t="s">
        <v>3494</v>
      </c>
    </row>
    <row r="1985">
      <c r="G1985" s="584"/>
      <c r="H1985" s="584"/>
      <c r="I1985" s="335" t="s">
        <v>3494</v>
      </c>
    </row>
    <row r="1986">
      <c r="G1986" s="584"/>
      <c r="H1986" s="584"/>
      <c r="I1986" s="335" t="s">
        <v>3494</v>
      </c>
    </row>
    <row r="1987">
      <c r="G1987" s="584"/>
      <c r="H1987" s="584"/>
      <c r="I1987" s="335" t="s">
        <v>3494</v>
      </c>
    </row>
    <row r="1988">
      <c r="G1988" s="584"/>
      <c r="H1988" s="584"/>
      <c r="I1988" s="335" t="s">
        <v>3494</v>
      </c>
    </row>
    <row r="1989">
      <c r="G1989" s="584"/>
      <c r="H1989" s="584"/>
      <c r="I1989" s="335" t="s">
        <v>3494</v>
      </c>
    </row>
    <row r="1990">
      <c r="G1990" s="584"/>
      <c r="H1990" s="584"/>
      <c r="I1990" s="335" t="s">
        <v>3494</v>
      </c>
    </row>
    <row r="1991">
      <c r="G1991" s="584"/>
      <c r="H1991" s="584"/>
      <c r="I1991" s="335" t="s">
        <v>3494</v>
      </c>
    </row>
    <row r="1992">
      <c r="G1992" s="584"/>
      <c r="H1992" s="584"/>
      <c r="I1992" s="335" t="s">
        <v>3494</v>
      </c>
    </row>
    <row r="1993">
      <c r="G1993" s="584"/>
      <c r="H1993" s="584"/>
      <c r="I1993" s="335" t="s">
        <v>3494</v>
      </c>
    </row>
    <row r="1994">
      <c r="G1994" s="584"/>
      <c r="H1994" s="584"/>
      <c r="I1994" s="335" t="s">
        <v>3494</v>
      </c>
    </row>
    <row r="1995">
      <c r="G1995" s="584"/>
      <c r="H1995" s="584"/>
      <c r="I1995" s="335" t="s">
        <v>3494</v>
      </c>
    </row>
    <row r="1996">
      <c r="G1996" s="584"/>
      <c r="H1996" s="584"/>
      <c r="I1996" s="335" t="s">
        <v>3494</v>
      </c>
    </row>
    <row r="1997">
      <c r="G1997" s="584"/>
      <c r="H1997" s="584"/>
      <c r="I1997" s="335" t="s">
        <v>3494</v>
      </c>
    </row>
    <row r="1998">
      <c r="G1998" s="584"/>
      <c r="H1998" s="584"/>
      <c r="I1998" s="335" t="s">
        <v>3494</v>
      </c>
    </row>
    <row r="1999">
      <c r="G1999" s="584"/>
      <c r="H1999" s="584"/>
      <c r="I1999" s="335" t="s">
        <v>3494</v>
      </c>
    </row>
    <row r="2000">
      <c r="G2000" s="584"/>
      <c r="H2000" s="584"/>
      <c r="I2000" s="335" t="s">
        <v>3494</v>
      </c>
    </row>
    <row r="2001">
      <c r="G2001" s="584"/>
      <c r="H2001" s="584"/>
      <c r="I2001" s="335" t="s">
        <v>3494</v>
      </c>
    </row>
    <row r="2002">
      <c r="G2002" s="584"/>
      <c r="H2002" s="584"/>
      <c r="I2002" s="335" t="s">
        <v>3494</v>
      </c>
    </row>
    <row r="2003">
      <c r="G2003" s="584"/>
      <c r="H2003" s="584"/>
      <c r="I2003" s="335" t="s">
        <v>3494</v>
      </c>
    </row>
    <row r="2004">
      <c r="G2004" s="584"/>
      <c r="H2004" s="584"/>
      <c r="I2004" s="335" t="s">
        <v>3494</v>
      </c>
    </row>
    <row r="2005">
      <c r="G2005" s="584"/>
      <c r="H2005" s="584"/>
      <c r="I2005" s="335" t="s">
        <v>3494</v>
      </c>
    </row>
    <row r="2006">
      <c r="G2006" s="584"/>
      <c r="H2006" s="584"/>
      <c r="I2006" s="335" t="s">
        <v>3494</v>
      </c>
    </row>
    <row r="2007">
      <c r="G2007" s="584"/>
      <c r="H2007" s="584"/>
      <c r="I2007" s="335" t="s">
        <v>3494</v>
      </c>
    </row>
    <row r="2008">
      <c r="G2008" s="584"/>
      <c r="H2008" s="584"/>
      <c r="I2008" s="335" t="s">
        <v>3494</v>
      </c>
    </row>
    <row r="2009">
      <c r="G2009" s="584"/>
      <c r="H2009" s="584"/>
      <c r="I2009" s="335" t="s">
        <v>3494</v>
      </c>
    </row>
    <row r="2010">
      <c r="G2010" s="584"/>
      <c r="H2010" s="584"/>
      <c r="I2010" s="335" t="s">
        <v>3494</v>
      </c>
    </row>
    <row r="2011">
      <c r="G2011" s="584"/>
      <c r="H2011" s="584"/>
      <c r="I2011" s="335" t="s">
        <v>3494</v>
      </c>
    </row>
    <row r="2012">
      <c r="G2012" s="584"/>
      <c r="H2012" s="584"/>
      <c r="I2012" s="335" t="s">
        <v>3494</v>
      </c>
    </row>
    <row r="2013">
      <c r="G2013" s="584"/>
      <c r="H2013" s="584"/>
      <c r="I2013" s="335" t="s">
        <v>3494</v>
      </c>
    </row>
    <row r="2014">
      <c r="G2014" s="584"/>
      <c r="H2014" s="584"/>
      <c r="I2014" s="335" t="s">
        <v>3494</v>
      </c>
    </row>
    <row r="2015">
      <c r="G2015" s="584"/>
      <c r="H2015" s="584"/>
      <c r="I2015" s="335" t="s">
        <v>3494</v>
      </c>
    </row>
    <row r="2016">
      <c r="G2016" s="584"/>
      <c r="H2016" s="584"/>
      <c r="I2016" s="335" t="s">
        <v>3494</v>
      </c>
    </row>
    <row r="2017">
      <c r="G2017" s="584"/>
      <c r="H2017" s="584"/>
      <c r="I2017" s="335" t="s">
        <v>3494</v>
      </c>
    </row>
    <row r="2018">
      <c r="G2018" s="584"/>
      <c r="H2018" s="584"/>
      <c r="I2018" s="335" t="s">
        <v>3494</v>
      </c>
    </row>
    <row r="2019">
      <c r="G2019" s="584"/>
      <c r="H2019" s="584"/>
      <c r="I2019" s="335" t="s">
        <v>3494</v>
      </c>
    </row>
    <row r="2020">
      <c r="G2020" s="584"/>
      <c r="H2020" s="584"/>
      <c r="I2020" s="335" t="s">
        <v>3494</v>
      </c>
    </row>
    <row r="2021">
      <c r="G2021" s="584"/>
      <c r="H2021" s="584"/>
      <c r="I2021" s="335" t="s">
        <v>3494</v>
      </c>
    </row>
    <row r="2022">
      <c r="G2022" s="584"/>
      <c r="H2022" s="584"/>
      <c r="I2022" s="335" t="s">
        <v>3494</v>
      </c>
    </row>
    <row r="2023">
      <c r="G2023" s="584"/>
      <c r="H2023" s="584"/>
      <c r="I2023" s="335" t="s">
        <v>3494</v>
      </c>
    </row>
    <row r="2024">
      <c r="G2024" s="584"/>
      <c r="H2024" s="584"/>
      <c r="I2024" s="335" t="s">
        <v>3494</v>
      </c>
    </row>
    <row r="2025">
      <c r="G2025" s="584"/>
      <c r="H2025" s="584"/>
      <c r="I2025" s="335" t="s">
        <v>3494</v>
      </c>
    </row>
    <row r="2026">
      <c r="G2026" s="584"/>
      <c r="H2026" s="584"/>
      <c r="I2026" s="335" t="s">
        <v>3494</v>
      </c>
    </row>
    <row r="2027">
      <c r="G2027" s="584"/>
      <c r="H2027" s="584"/>
      <c r="I2027" s="335" t="s">
        <v>3494</v>
      </c>
    </row>
    <row r="2028">
      <c r="G2028" s="584"/>
      <c r="H2028" s="584"/>
      <c r="I2028" s="335" t="s">
        <v>3494</v>
      </c>
    </row>
    <row r="2029">
      <c r="G2029" s="584"/>
      <c r="H2029" s="584"/>
      <c r="I2029" s="335" t="s">
        <v>3494</v>
      </c>
    </row>
    <row r="2030">
      <c r="G2030" s="584"/>
      <c r="H2030" s="584"/>
      <c r="I2030" s="335" t="s">
        <v>3494</v>
      </c>
    </row>
    <row r="2031">
      <c r="G2031" s="584"/>
      <c r="H2031" s="584"/>
      <c r="I2031" s="335" t="s">
        <v>3494</v>
      </c>
    </row>
    <row r="2032">
      <c r="G2032" s="584"/>
      <c r="H2032" s="584"/>
      <c r="I2032" s="335" t="s">
        <v>3494</v>
      </c>
    </row>
    <row r="2033">
      <c r="G2033" s="584"/>
      <c r="H2033" s="584"/>
      <c r="I2033" s="335" t="s">
        <v>3494</v>
      </c>
    </row>
    <row r="2034">
      <c r="G2034" s="584"/>
      <c r="H2034" s="584"/>
      <c r="I2034" s="335" t="s">
        <v>3494</v>
      </c>
    </row>
    <row r="2035">
      <c r="G2035" s="584"/>
      <c r="H2035" s="584"/>
      <c r="I2035" s="335" t="s">
        <v>3494</v>
      </c>
    </row>
    <row r="2036">
      <c r="G2036" s="584"/>
      <c r="H2036" s="584"/>
      <c r="I2036" s="335" t="s">
        <v>3494</v>
      </c>
    </row>
    <row r="2037">
      <c r="G2037" s="584"/>
      <c r="H2037" s="584"/>
      <c r="I2037" s="335" t="s">
        <v>3494</v>
      </c>
    </row>
    <row r="2038">
      <c r="G2038" s="584"/>
      <c r="H2038" s="584"/>
      <c r="I2038" s="335" t="s">
        <v>3494</v>
      </c>
    </row>
    <row r="2039">
      <c r="G2039" s="584"/>
      <c r="H2039" s="584"/>
      <c r="I2039" s="335" t="s">
        <v>3494</v>
      </c>
    </row>
    <row r="2040">
      <c r="G2040" s="584"/>
      <c r="H2040" s="584"/>
      <c r="I2040" s="335" t="s">
        <v>3494</v>
      </c>
    </row>
    <row r="2041">
      <c r="G2041" s="584"/>
      <c r="H2041" s="584"/>
      <c r="I2041" s="335" t="s">
        <v>3494</v>
      </c>
    </row>
    <row r="2042">
      <c r="G2042" s="584"/>
      <c r="H2042" s="584"/>
      <c r="I2042" s="335" t="s">
        <v>3494</v>
      </c>
    </row>
    <row r="2043">
      <c r="G2043" s="584"/>
      <c r="H2043" s="584"/>
      <c r="I2043" s="335" t="s">
        <v>3494</v>
      </c>
    </row>
    <row r="2044">
      <c r="G2044" s="584"/>
      <c r="H2044" s="584"/>
      <c r="I2044" s="335" t="s">
        <v>3494</v>
      </c>
    </row>
    <row r="2045">
      <c r="G2045" s="584"/>
      <c r="H2045" s="584"/>
      <c r="I2045" s="335" t="s">
        <v>3494</v>
      </c>
    </row>
    <row r="2046">
      <c r="G2046" s="584"/>
      <c r="H2046" s="584"/>
      <c r="I2046" s="335" t="s">
        <v>3494</v>
      </c>
    </row>
    <row r="2047">
      <c r="G2047" s="584"/>
      <c r="H2047" s="584"/>
      <c r="I2047" s="335" t="s">
        <v>3494</v>
      </c>
    </row>
    <row r="2048">
      <c r="G2048" s="584"/>
      <c r="H2048" s="584"/>
      <c r="I2048" s="335" t="s">
        <v>3494</v>
      </c>
    </row>
    <row r="2049">
      <c r="G2049" s="584"/>
      <c r="H2049" s="584"/>
      <c r="I2049" s="335" t="s">
        <v>3494</v>
      </c>
    </row>
    <row r="2050">
      <c r="G2050" s="584"/>
      <c r="H2050" s="584"/>
      <c r="I2050" s="335" t="s">
        <v>3494</v>
      </c>
    </row>
    <row r="2051">
      <c r="G2051" s="584"/>
      <c r="H2051" s="584"/>
      <c r="I2051" s="335" t="s">
        <v>3494</v>
      </c>
    </row>
    <row r="2052">
      <c r="G2052" s="584"/>
      <c r="H2052" s="584"/>
      <c r="I2052" s="335" t="s">
        <v>3494</v>
      </c>
    </row>
    <row r="2053">
      <c r="G2053" s="584"/>
      <c r="H2053" s="584"/>
      <c r="I2053" s="335" t="s">
        <v>3494</v>
      </c>
    </row>
    <row r="2054">
      <c r="G2054" s="584"/>
      <c r="H2054" s="584"/>
      <c r="I2054" s="335" t="s">
        <v>3494</v>
      </c>
    </row>
    <row r="2055">
      <c r="G2055" s="584"/>
      <c r="H2055" s="584"/>
      <c r="I2055" s="335" t="s">
        <v>3494</v>
      </c>
    </row>
    <row r="2056">
      <c r="G2056" s="584"/>
      <c r="H2056" s="584"/>
      <c r="I2056" s="335" t="s">
        <v>3494</v>
      </c>
    </row>
    <row r="2057">
      <c r="G2057" s="584"/>
      <c r="H2057" s="584"/>
      <c r="I2057" s="335" t="s">
        <v>3494</v>
      </c>
    </row>
    <row r="2058">
      <c r="G2058" s="584"/>
      <c r="H2058" s="584"/>
      <c r="I2058" s="335" t="s">
        <v>3494</v>
      </c>
    </row>
    <row r="2059">
      <c r="G2059" s="584"/>
      <c r="H2059" s="584"/>
      <c r="I2059" s="335" t="s">
        <v>3494</v>
      </c>
    </row>
    <row r="2060">
      <c r="G2060" s="584"/>
      <c r="H2060" s="584"/>
      <c r="I2060" s="335" t="s">
        <v>3494</v>
      </c>
    </row>
    <row r="2061">
      <c r="G2061" s="584"/>
      <c r="H2061" s="584"/>
      <c r="I2061" s="335" t="s">
        <v>3494</v>
      </c>
    </row>
    <row r="2062">
      <c r="G2062" s="584"/>
      <c r="H2062" s="584"/>
      <c r="I2062" s="335" t="s">
        <v>3494</v>
      </c>
    </row>
    <row r="2063">
      <c r="G2063" s="584"/>
      <c r="H2063" s="584"/>
      <c r="I2063" s="335" t="s">
        <v>3494</v>
      </c>
    </row>
    <row r="2064">
      <c r="G2064" s="584"/>
      <c r="H2064" s="584"/>
      <c r="I2064" s="335" t="s">
        <v>3494</v>
      </c>
    </row>
    <row r="2065">
      <c r="G2065" s="584"/>
      <c r="H2065" s="584"/>
      <c r="I2065" s="335" t="s">
        <v>3494</v>
      </c>
    </row>
    <row r="2066">
      <c r="G2066" s="584"/>
      <c r="H2066" s="584"/>
      <c r="I2066" s="335" t="s">
        <v>3494</v>
      </c>
    </row>
    <row r="2067">
      <c r="G2067" s="584"/>
      <c r="H2067" s="584"/>
      <c r="I2067" s="335" t="s">
        <v>3494</v>
      </c>
    </row>
    <row r="2068">
      <c r="G2068" s="584"/>
      <c r="H2068" s="584"/>
      <c r="I2068" s="335" t="s">
        <v>3494</v>
      </c>
    </row>
    <row r="2069">
      <c r="G2069" s="584"/>
      <c r="H2069" s="584"/>
      <c r="I2069" s="335" t="s">
        <v>3494</v>
      </c>
    </row>
    <row r="2070">
      <c r="G2070" s="584"/>
      <c r="H2070" s="584"/>
      <c r="I2070" s="335" t="s">
        <v>3494</v>
      </c>
    </row>
    <row r="2071">
      <c r="G2071" s="584"/>
      <c r="H2071" s="584"/>
      <c r="I2071" s="335" t="s">
        <v>3494</v>
      </c>
    </row>
    <row r="2072">
      <c r="G2072" s="584"/>
      <c r="H2072" s="584"/>
      <c r="I2072" s="335" t="s">
        <v>3494</v>
      </c>
    </row>
    <row r="2073">
      <c r="G2073" s="584"/>
      <c r="H2073" s="584"/>
      <c r="I2073" s="335" t="s">
        <v>3494</v>
      </c>
    </row>
    <row r="2074">
      <c r="G2074" s="584"/>
      <c r="H2074" s="584"/>
      <c r="I2074" s="335" t="s">
        <v>3494</v>
      </c>
    </row>
    <row r="2075">
      <c r="G2075" s="584"/>
      <c r="H2075" s="584"/>
      <c r="I2075" s="335" t="s">
        <v>3494</v>
      </c>
    </row>
    <row r="2076">
      <c r="G2076" s="584"/>
      <c r="H2076" s="584"/>
      <c r="I2076" s="335" t="s">
        <v>3494</v>
      </c>
    </row>
    <row r="2077">
      <c r="G2077" s="584"/>
      <c r="H2077" s="584"/>
      <c r="I2077" s="335" t="s">
        <v>3494</v>
      </c>
    </row>
    <row r="2078">
      <c r="G2078" s="584"/>
      <c r="H2078" s="584"/>
      <c r="I2078" s="335" t="s">
        <v>3494</v>
      </c>
    </row>
    <row r="2079">
      <c r="G2079" s="584"/>
      <c r="H2079" s="584"/>
      <c r="I2079" s="335" t="s">
        <v>3494</v>
      </c>
    </row>
    <row r="2080">
      <c r="G2080" s="584"/>
      <c r="H2080" s="584"/>
      <c r="I2080" s="335" t="s">
        <v>3494</v>
      </c>
    </row>
    <row r="2081">
      <c r="G2081" s="584"/>
      <c r="H2081" s="584"/>
      <c r="I2081" s="335" t="s">
        <v>3494</v>
      </c>
    </row>
    <row r="2082">
      <c r="G2082" s="584"/>
      <c r="H2082" s="584"/>
      <c r="I2082" s="335" t="s">
        <v>3494</v>
      </c>
    </row>
    <row r="2083">
      <c r="G2083" s="584"/>
      <c r="H2083" s="584"/>
      <c r="I2083" s="335" t="s">
        <v>3494</v>
      </c>
    </row>
    <row r="2084">
      <c r="G2084" s="584"/>
      <c r="H2084" s="584"/>
      <c r="I2084" s="335" t="s">
        <v>3494</v>
      </c>
    </row>
    <row r="2085">
      <c r="G2085" s="584"/>
      <c r="H2085" s="584"/>
      <c r="I2085" s="335" t="s">
        <v>3494</v>
      </c>
    </row>
    <row r="2086">
      <c r="G2086" s="584"/>
      <c r="H2086" s="584"/>
      <c r="I2086" s="335" t="s">
        <v>3494</v>
      </c>
    </row>
    <row r="2087">
      <c r="G2087" s="584"/>
      <c r="H2087" s="584"/>
      <c r="I2087" s="335" t="s">
        <v>3494</v>
      </c>
    </row>
    <row r="2088">
      <c r="G2088" s="584"/>
      <c r="H2088" s="584"/>
      <c r="I2088" s="335" t="s">
        <v>3494</v>
      </c>
    </row>
    <row r="2089">
      <c r="G2089" s="584"/>
      <c r="H2089" s="584"/>
      <c r="I2089" s="335" t="s">
        <v>3494</v>
      </c>
    </row>
    <row r="2090">
      <c r="G2090" s="584"/>
      <c r="H2090" s="584"/>
      <c r="I2090" s="335" t="s">
        <v>3494</v>
      </c>
    </row>
    <row r="2091">
      <c r="G2091" s="584"/>
      <c r="H2091" s="584"/>
      <c r="I2091" s="335" t="s">
        <v>3494</v>
      </c>
    </row>
    <row r="2092">
      <c r="G2092" s="584"/>
      <c r="H2092" s="584"/>
      <c r="I2092" s="335" t="s">
        <v>3494</v>
      </c>
    </row>
    <row r="2093">
      <c r="G2093" s="584"/>
      <c r="H2093" s="584"/>
      <c r="I2093" s="335" t="s">
        <v>3494</v>
      </c>
    </row>
    <row r="2094">
      <c r="G2094" s="584"/>
      <c r="H2094" s="584"/>
      <c r="I2094" s="335" t="s">
        <v>3494</v>
      </c>
    </row>
    <row r="2095">
      <c r="G2095" s="584"/>
      <c r="H2095" s="584"/>
      <c r="I2095" s="335" t="s">
        <v>3494</v>
      </c>
    </row>
    <row r="2096">
      <c r="G2096" s="584"/>
      <c r="H2096" s="584"/>
      <c r="I2096" s="335" t="s">
        <v>3494</v>
      </c>
    </row>
    <row r="2097">
      <c r="G2097" s="584"/>
      <c r="H2097" s="584"/>
      <c r="I2097" s="335" t="s">
        <v>3494</v>
      </c>
    </row>
    <row r="2098">
      <c r="G2098" s="584"/>
      <c r="H2098" s="584"/>
      <c r="I2098" s="335" t="s">
        <v>3494</v>
      </c>
    </row>
    <row r="2099">
      <c r="G2099" s="584"/>
      <c r="H2099" s="584"/>
      <c r="I2099" s="335" t="s">
        <v>3494</v>
      </c>
    </row>
    <row r="2100">
      <c r="G2100" s="584"/>
      <c r="H2100" s="584"/>
      <c r="I2100" s="335" t="s">
        <v>3494</v>
      </c>
    </row>
    <row r="2101">
      <c r="G2101" s="584"/>
      <c r="H2101" s="584"/>
      <c r="I2101" s="335" t="s">
        <v>3494</v>
      </c>
    </row>
    <row r="2102">
      <c r="G2102" s="584"/>
      <c r="H2102" s="584"/>
      <c r="I2102" s="335" t="s">
        <v>3494</v>
      </c>
    </row>
    <row r="2103">
      <c r="G2103" s="584"/>
      <c r="H2103" s="584"/>
      <c r="I2103" s="335" t="s">
        <v>3494</v>
      </c>
    </row>
    <row r="2104">
      <c r="G2104" s="584"/>
      <c r="H2104" s="584"/>
      <c r="I2104" s="335" t="s">
        <v>3494</v>
      </c>
    </row>
    <row r="2105">
      <c r="G2105" s="584"/>
      <c r="H2105" s="584"/>
      <c r="I2105" s="335" t="s">
        <v>3494</v>
      </c>
    </row>
    <row r="2106">
      <c r="G2106" s="584"/>
      <c r="H2106" s="584"/>
      <c r="I2106" s="335" t="s">
        <v>3494</v>
      </c>
    </row>
    <row r="2107">
      <c r="G2107" s="584"/>
      <c r="H2107" s="584"/>
      <c r="I2107" s="335" t="s">
        <v>3494</v>
      </c>
    </row>
    <row r="2108">
      <c r="G2108" s="584"/>
      <c r="H2108" s="584"/>
      <c r="I2108" s="335" t="s">
        <v>3494</v>
      </c>
    </row>
    <row r="2109">
      <c r="G2109" s="584"/>
      <c r="H2109" s="584"/>
      <c r="I2109" s="335" t="s">
        <v>3494</v>
      </c>
    </row>
    <row r="2110">
      <c r="G2110" s="584"/>
      <c r="H2110" s="584"/>
      <c r="I2110" s="335" t="s">
        <v>3494</v>
      </c>
    </row>
    <row r="2111">
      <c r="G2111" s="584"/>
      <c r="H2111" s="584"/>
      <c r="I2111" s="335" t="s">
        <v>3494</v>
      </c>
    </row>
    <row r="2112">
      <c r="G2112" s="584"/>
      <c r="H2112" s="584"/>
      <c r="I2112" s="335" t="s">
        <v>3494</v>
      </c>
    </row>
    <row r="2113">
      <c r="G2113" s="584"/>
      <c r="H2113" s="584"/>
      <c r="I2113" s="335" t="s">
        <v>3494</v>
      </c>
    </row>
    <row r="2114">
      <c r="G2114" s="584"/>
      <c r="H2114" s="584"/>
      <c r="I2114" s="335" t="s">
        <v>3494</v>
      </c>
    </row>
    <row r="2115">
      <c r="G2115" s="584"/>
      <c r="H2115" s="584"/>
      <c r="I2115" s="335" t="s">
        <v>3494</v>
      </c>
    </row>
    <row r="2116">
      <c r="G2116" s="584"/>
      <c r="H2116" s="584"/>
      <c r="I2116" s="335" t="s">
        <v>3494</v>
      </c>
    </row>
    <row r="2117">
      <c r="G2117" s="584"/>
      <c r="H2117" s="584"/>
      <c r="I2117" s="335" t="s">
        <v>3494</v>
      </c>
    </row>
    <row r="2118">
      <c r="G2118" s="584"/>
      <c r="H2118" s="584"/>
      <c r="I2118" s="335" t="s">
        <v>3494</v>
      </c>
    </row>
    <row r="2119">
      <c r="G2119" s="584"/>
      <c r="H2119" s="584"/>
      <c r="I2119" s="335" t="s">
        <v>3494</v>
      </c>
    </row>
    <row r="2120">
      <c r="G2120" s="584"/>
      <c r="H2120" s="584"/>
      <c r="I2120" s="335" t="s">
        <v>3494</v>
      </c>
    </row>
    <row r="2121">
      <c r="G2121" s="584"/>
      <c r="H2121" s="584"/>
      <c r="I2121" s="335" t="s">
        <v>3494</v>
      </c>
    </row>
    <row r="2122">
      <c r="G2122" s="584"/>
      <c r="H2122" s="584"/>
      <c r="I2122" s="335" t="s">
        <v>3494</v>
      </c>
    </row>
    <row r="2123">
      <c r="G2123" s="584"/>
      <c r="H2123" s="584"/>
      <c r="I2123" s="335" t="s">
        <v>3494</v>
      </c>
    </row>
    <row r="2124">
      <c r="G2124" s="584"/>
      <c r="H2124" s="584"/>
      <c r="I2124" s="335" t="s">
        <v>3494</v>
      </c>
    </row>
    <row r="2125">
      <c r="G2125" s="584"/>
      <c r="H2125" s="584"/>
      <c r="I2125" s="335" t="s">
        <v>3494</v>
      </c>
    </row>
    <row r="2126">
      <c r="G2126" s="584"/>
      <c r="H2126" s="584"/>
      <c r="I2126" s="335" t="s">
        <v>3494</v>
      </c>
    </row>
    <row r="2127">
      <c r="G2127" s="584"/>
      <c r="H2127" s="584"/>
      <c r="I2127" s="335" t="s">
        <v>3494</v>
      </c>
    </row>
    <row r="2128">
      <c r="G2128" s="584"/>
      <c r="H2128" s="584"/>
      <c r="I2128" s="335" t="s">
        <v>3494</v>
      </c>
    </row>
    <row r="2129">
      <c r="G2129" s="584"/>
      <c r="H2129" s="584"/>
      <c r="I2129" s="335" t="s">
        <v>3494</v>
      </c>
    </row>
    <row r="2130">
      <c r="G2130" s="584"/>
      <c r="H2130" s="584"/>
      <c r="I2130" s="335" t="s">
        <v>3494</v>
      </c>
    </row>
    <row r="2131">
      <c r="G2131" s="584"/>
      <c r="H2131" s="584"/>
      <c r="I2131" s="335" t="s">
        <v>3494</v>
      </c>
    </row>
    <row r="2132">
      <c r="G2132" s="584"/>
      <c r="H2132" s="584"/>
      <c r="I2132" s="335" t="s">
        <v>3494</v>
      </c>
    </row>
    <row r="2133">
      <c r="G2133" s="584"/>
      <c r="H2133" s="584"/>
      <c r="I2133" s="335" t="s">
        <v>3494</v>
      </c>
    </row>
    <row r="2134">
      <c r="G2134" s="584"/>
      <c r="H2134" s="584"/>
      <c r="I2134" s="335" t="s">
        <v>3494</v>
      </c>
    </row>
    <row r="2135">
      <c r="G2135" s="584"/>
      <c r="H2135" s="584"/>
      <c r="I2135" s="335" t="s">
        <v>3494</v>
      </c>
    </row>
    <row r="2136">
      <c r="G2136" s="584"/>
      <c r="H2136" s="584"/>
      <c r="I2136" s="335" t="s">
        <v>3494</v>
      </c>
    </row>
    <row r="2137">
      <c r="G2137" s="584"/>
      <c r="H2137" s="584"/>
      <c r="I2137" s="335" t="s">
        <v>3494</v>
      </c>
    </row>
    <row r="2138">
      <c r="G2138" s="584"/>
      <c r="H2138" s="584"/>
      <c r="I2138" s="335" t="s">
        <v>3494</v>
      </c>
    </row>
    <row r="2139">
      <c r="G2139" s="584"/>
      <c r="H2139" s="584"/>
      <c r="I2139" s="335" t="s">
        <v>3494</v>
      </c>
    </row>
    <row r="2140">
      <c r="G2140" s="584"/>
      <c r="H2140" s="584"/>
      <c r="I2140" s="335" t="s">
        <v>3494</v>
      </c>
    </row>
    <row r="2141">
      <c r="G2141" s="584"/>
      <c r="H2141" s="584"/>
      <c r="I2141" s="335" t="s">
        <v>3494</v>
      </c>
    </row>
    <row r="2142">
      <c r="G2142" s="584"/>
      <c r="H2142" s="584"/>
      <c r="I2142" s="335" t="s">
        <v>3494</v>
      </c>
    </row>
    <row r="2143">
      <c r="G2143" s="584"/>
      <c r="H2143" s="584"/>
      <c r="I2143" s="335" t="s">
        <v>3494</v>
      </c>
    </row>
    <row r="2144">
      <c r="G2144" s="584"/>
      <c r="H2144" s="584"/>
      <c r="I2144" s="335" t="s">
        <v>3494</v>
      </c>
    </row>
    <row r="2145">
      <c r="G2145" s="584"/>
      <c r="H2145" s="584"/>
      <c r="I2145" s="335" t="s">
        <v>3494</v>
      </c>
    </row>
    <row r="2146">
      <c r="G2146" s="584"/>
      <c r="H2146" s="584"/>
      <c r="I2146" s="335" t="s">
        <v>3494</v>
      </c>
    </row>
    <row r="2147">
      <c r="G2147" s="584"/>
      <c r="H2147" s="584"/>
      <c r="I2147" s="335" t="s">
        <v>3494</v>
      </c>
    </row>
    <row r="2148">
      <c r="G2148" s="584"/>
      <c r="H2148" s="584"/>
      <c r="I2148" s="335" t="s">
        <v>3494</v>
      </c>
    </row>
    <row r="2149">
      <c r="G2149" s="584"/>
      <c r="H2149" s="584"/>
      <c r="I2149" s="335" t="s">
        <v>3494</v>
      </c>
    </row>
    <row r="2150">
      <c r="G2150" s="584"/>
      <c r="H2150" s="584"/>
      <c r="I2150" s="335" t="s">
        <v>3494</v>
      </c>
    </row>
    <row r="2151">
      <c r="G2151" s="584"/>
      <c r="H2151" s="584"/>
      <c r="I2151" s="335" t="s">
        <v>3494</v>
      </c>
    </row>
    <row r="2152">
      <c r="G2152" s="584"/>
      <c r="H2152" s="584"/>
      <c r="I2152" s="335" t="s">
        <v>3494</v>
      </c>
    </row>
    <row r="2153">
      <c r="G2153" s="584"/>
      <c r="H2153" s="584"/>
      <c r="I2153" s="335" t="s">
        <v>3494</v>
      </c>
    </row>
    <row r="2154">
      <c r="G2154" s="584"/>
      <c r="H2154" s="584"/>
      <c r="I2154" s="335" t="s">
        <v>3494</v>
      </c>
    </row>
    <row r="2155">
      <c r="G2155" s="584"/>
      <c r="H2155" s="584"/>
      <c r="I2155" s="335" t="s">
        <v>3494</v>
      </c>
    </row>
    <row r="2156">
      <c r="G2156" s="584"/>
      <c r="H2156" s="584"/>
      <c r="I2156" s="335" t="s">
        <v>3494</v>
      </c>
    </row>
    <row r="2157">
      <c r="G2157" s="584"/>
      <c r="H2157" s="584"/>
      <c r="I2157" s="335" t="s">
        <v>3494</v>
      </c>
    </row>
    <row r="2158">
      <c r="G2158" s="584"/>
      <c r="H2158" s="584"/>
      <c r="I2158" s="335" t="s">
        <v>3494</v>
      </c>
    </row>
    <row r="2159">
      <c r="G2159" s="584"/>
      <c r="H2159" s="584"/>
      <c r="I2159" s="335" t="s">
        <v>3494</v>
      </c>
    </row>
    <row r="2160">
      <c r="G2160" s="584"/>
      <c r="H2160" s="584"/>
      <c r="I2160" s="335" t="s">
        <v>3494</v>
      </c>
    </row>
    <row r="2161">
      <c r="G2161" s="584"/>
      <c r="H2161" s="584"/>
      <c r="I2161" s="335" t="s">
        <v>3494</v>
      </c>
    </row>
    <row r="2162">
      <c r="G2162" s="584"/>
      <c r="H2162" s="584"/>
      <c r="I2162" s="335" t="s">
        <v>3494</v>
      </c>
    </row>
    <row r="2163">
      <c r="G2163" s="584"/>
      <c r="H2163" s="584"/>
      <c r="I2163" s="335" t="s">
        <v>3494</v>
      </c>
    </row>
    <row r="2164">
      <c r="G2164" s="584"/>
      <c r="H2164" s="584"/>
      <c r="I2164" s="335" t="s">
        <v>3494</v>
      </c>
    </row>
    <row r="2165">
      <c r="G2165" s="584"/>
      <c r="H2165" s="584"/>
      <c r="I2165" s="335" t="s">
        <v>3494</v>
      </c>
    </row>
    <row r="2166">
      <c r="G2166" s="584"/>
      <c r="H2166" s="584"/>
      <c r="I2166" s="335" t="s">
        <v>3494</v>
      </c>
    </row>
    <row r="2167">
      <c r="G2167" s="584"/>
      <c r="H2167" s="584"/>
      <c r="I2167" s="335" t="s">
        <v>3494</v>
      </c>
    </row>
    <row r="2168">
      <c r="G2168" s="584"/>
      <c r="H2168" s="584"/>
      <c r="I2168" s="335" t="s">
        <v>3494</v>
      </c>
    </row>
    <row r="2169">
      <c r="G2169" s="584"/>
      <c r="H2169" s="584"/>
      <c r="I2169" s="335" t="s">
        <v>3494</v>
      </c>
    </row>
    <row r="2170">
      <c r="G2170" s="584"/>
      <c r="H2170" s="584"/>
      <c r="I2170" s="335" t="s">
        <v>3494</v>
      </c>
    </row>
    <row r="2171">
      <c r="G2171" s="584"/>
      <c r="H2171" s="584"/>
      <c r="I2171" s="335" t="s">
        <v>3494</v>
      </c>
    </row>
    <row r="2172">
      <c r="G2172" s="584"/>
      <c r="H2172" s="584"/>
      <c r="I2172" s="335" t="s">
        <v>3494</v>
      </c>
    </row>
    <row r="2173">
      <c r="G2173" s="584"/>
      <c r="H2173" s="584"/>
      <c r="I2173" s="335" t="s">
        <v>3494</v>
      </c>
    </row>
    <row r="2174">
      <c r="G2174" s="584"/>
      <c r="H2174" s="584"/>
      <c r="I2174" s="335" t="s">
        <v>3494</v>
      </c>
    </row>
    <row r="2175">
      <c r="G2175" s="584"/>
      <c r="H2175" s="584"/>
      <c r="I2175" s="335" t="s">
        <v>3494</v>
      </c>
    </row>
    <row r="2176">
      <c r="G2176" s="584"/>
      <c r="H2176" s="584"/>
      <c r="I2176" s="335" t="s">
        <v>3494</v>
      </c>
    </row>
    <row r="2177">
      <c r="G2177" s="584"/>
      <c r="H2177" s="584"/>
      <c r="I2177" s="335" t="s">
        <v>3494</v>
      </c>
    </row>
    <row r="2178">
      <c r="G2178" s="584"/>
      <c r="H2178" s="584"/>
      <c r="I2178" s="335" t="s">
        <v>3494</v>
      </c>
    </row>
    <row r="2179">
      <c r="G2179" s="584"/>
      <c r="H2179" s="584"/>
      <c r="I2179" s="335" t="s">
        <v>3494</v>
      </c>
    </row>
    <row r="2180">
      <c r="G2180" s="584"/>
      <c r="H2180" s="584"/>
      <c r="I2180" s="335" t="s">
        <v>3494</v>
      </c>
    </row>
    <row r="2181">
      <c r="G2181" s="584"/>
      <c r="H2181" s="584"/>
      <c r="I2181" s="335" t="s">
        <v>3494</v>
      </c>
    </row>
    <row r="2182">
      <c r="G2182" s="584"/>
      <c r="H2182" s="584"/>
      <c r="I2182" s="335" t="s">
        <v>3494</v>
      </c>
    </row>
    <row r="2183">
      <c r="G2183" s="584"/>
      <c r="H2183" s="584"/>
      <c r="I2183" s="335" t="s">
        <v>3494</v>
      </c>
    </row>
    <row r="2184">
      <c r="G2184" s="584"/>
      <c r="H2184" s="584"/>
      <c r="I2184" s="335" t="s">
        <v>3494</v>
      </c>
    </row>
    <row r="2185">
      <c r="G2185" s="584"/>
      <c r="H2185" s="584"/>
      <c r="I2185" s="335" t="s">
        <v>3494</v>
      </c>
    </row>
    <row r="2186">
      <c r="G2186" s="584"/>
      <c r="H2186" s="584"/>
      <c r="I2186" s="335" t="s">
        <v>3494</v>
      </c>
    </row>
    <row r="2187">
      <c r="G2187" s="584"/>
      <c r="H2187" s="584"/>
      <c r="I2187" s="335" t="s">
        <v>3494</v>
      </c>
    </row>
    <row r="2188">
      <c r="G2188" s="584"/>
      <c r="H2188" s="584"/>
      <c r="I2188" s="335" t="s">
        <v>3494</v>
      </c>
    </row>
    <row r="2189">
      <c r="G2189" s="584"/>
      <c r="H2189" s="584"/>
      <c r="I2189" s="335" t="s">
        <v>3494</v>
      </c>
    </row>
    <row r="2190">
      <c r="G2190" s="584"/>
      <c r="H2190" s="584"/>
      <c r="I2190" s="335" t="s">
        <v>3494</v>
      </c>
    </row>
    <row r="2191">
      <c r="G2191" s="584"/>
      <c r="H2191" s="584"/>
      <c r="I2191" s="335" t="s">
        <v>3494</v>
      </c>
    </row>
    <row r="2192">
      <c r="G2192" s="584"/>
      <c r="H2192" s="584"/>
      <c r="I2192" s="335" t="s">
        <v>3494</v>
      </c>
    </row>
    <row r="2193">
      <c r="G2193" s="584"/>
      <c r="H2193" s="584"/>
      <c r="I2193" s="335" t="s">
        <v>3494</v>
      </c>
    </row>
    <row r="2194">
      <c r="G2194" s="584"/>
      <c r="H2194" s="584"/>
      <c r="I2194" s="335" t="s">
        <v>3494</v>
      </c>
    </row>
    <row r="2195">
      <c r="G2195" s="584"/>
      <c r="H2195" s="584"/>
      <c r="I2195" s="335" t="s">
        <v>3494</v>
      </c>
    </row>
    <row r="2196">
      <c r="G2196" s="584"/>
      <c r="H2196" s="584"/>
      <c r="I2196" s="335" t="s">
        <v>3494</v>
      </c>
    </row>
    <row r="2197">
      <c r="G2197" s="584"/>
      <c r="H2197" s="584"/>
      <c r="I2197" s="335" t="s">
        <v>3494</v>
      </c>
    </row>
    <row r="2198">
      <c r="G2198" s="584"/>
      <c r="H2198" s="584"/>
      <c r="I2198" s="335" t="s">
        <v>3494</v>
      </c>
    </row>
    <row r="2199">
      <c r="G2199" s="584"/>
      <c r="H2199" s="584"/>
      <c r="I2199" s="335" t="s">
        <v>3494</v>
      </c>
    </row>
    <row r="2200">
      <c r="G2200" s="584"/>
      <c r="H2200" s="584"/>
      <c r="I2200" s="335" t="s">
        <v>3494</v>
      </c>
    </row>
    <row r="2201">
      <c r="G2201" s="584"/>
      <c r="H2201" s="584"/>
      <c r="I2201" s="335" t="s">
        <v>3494</v>
      </c>
    </row>
    <row r="2202">
      <c r="G2202" s="584"/>
      <c r="H2202" s="584"/>
      <c r="I2202" s="335" t="s">
        <v>3494</v>
      </c>
    </row>
    <row r="2203">
      <c r="G2203" s="584"/>
      <c r="H2203" s="584"/>
      <c r="I2203" s="335" t="s">
        <v>3494</v>
      </c>
    </row>
    <row r="2204">
      <c r="G2204" s="584"/>
      <c r="H2204" s="584"/>
      <c r="I2204" s="335" t="s">
        <v>3494</v>
      </c>
    </row>
    <row r="2205">
      <c r="G2205" s="584"/>
      <c r="H2205" s="584"/>
      <c r="I2205" s="335" t="s">
        <v>3494</v>
      </c>
    </row>
    <row r="2206">
      <c r="G2206" s="584"/>
      <c r="H2206" s="584"/>
      <c r="I2206" s="335" t="s">
        <v>3494</v>
      </c>
    </row>
    <row r="2207">
      <c r="G2207" s="584"/>
      <c r="H2207" s="584"/>
      <c r="I2207" s="335" t="s">
        <v>3494</v>
      </c>
    </row>
    <row r="2208">
      <c r="G2208" s="584"/>
      <c r="H2208" s="584"/>
      <c r="I2208" s="335" t="s">
        <v>3494</v>
      </c>
    </row>
    <row r="2209">
      <c r="G2209" s="584"/>
      <c r="H2209" s="584"/>
      <c r="I2209" s="335" t="s">
        <v>3494</v>
      </c>
    </row>
    <row r="2210">
      <c r="G2210" s="584"/>
      <c r="H2210" s="584"/>
      <c r="I2210" s="335" t="s">
        <v>3494</v>
      </c>
    </row>
    <row r="2211">
      <c r="G2211" s="584"/>
      <c r="H2211" s="584"/>
      <c r="I2211" s="335" t="s">
        <v>3494</v>
      </c>
    </row>
    <row r="2212">
      <c r="G2212" s="584"/>
      <c r="H2212" s="584"/>
      <c r="I2212" s="335" t="s">
        <v>3494</v>
      </c>
    </row>
    <row r="2213">
      <c r="G2213" s="584"/>
      <c r="H2213" s="584"/>
      <c r="I2213" s="335" t="s">
        <v>3494</v>
      </c>
    </row>
    <row r="2214">
      <c r="G2214" s="584"/>
      <c r="H2214" s="584"/>
      <c r="I2214" s="335" t="s">
        <v>3494</v>
      </c>
    </row>
    <row r="2215">
      <c r="G2215" s="584"/>
      <c r="H2215" s="584"/>
      <c r="I2215" s="335" t="s">
        <v>3494</v>
      </c>
    </row>
    <row r="2216">
      <c r="G2216" s="584"/>
      <c r="H2216" s="584"/>
      <c r="I2216" s="335" t="s">
        <v>3494</v>
      </c>
    </row>
    <row r="2217">
      <c r="G2217" s="584"/>
      <c r="H2217" s="584"/>
      <c r="I2217" s="335" t="s">
        <v>3494</v>
      </c>
    </row>
    <row r="2218">
      <c r="G2218" s="584"/>
      <c r="H2218" s="584"/>
      <c r="I2218" s="335" t="s">
        <v>3494</v>
      </c>
    </row>
    <row r="2219">
      <c r="G2219" s="584"/>
      <c r="H2219" s="584"/>
      <c r="I2219" s="335" t="s">
        <v>3494</v>
      </c>
    </row>
    <row r="2220">
      <c r="G2220" s="584"/>
      <c r="H2220" s="584"/>
      <c r="I2220" s="335" t="s">
        <v>3494</v>
      </c>
    </row>
    <row r="2221">
      <c r="G2221" s="584"/>
      <c r="H2221" s="584"/>
      <c r="I2221" s="335" t="s">
        <v>3494</v>
      </c>
    </row>
    <row r="2222">
      <c r="G2222" s="584"/>
      <c r="H2222" s="584"/>
      <c r="I2222" s="335" t="s">
        <v>3494</v>
      </c>
    </row>
    <row r="2223">
      <c r="G2223" s="584"/>
      <c r="H2223" s="584"/>
      <c r="I2223" s="335" t="s">
        <v>3494</v>
      </c>
    </row>
    <row r="2224">
      <c r="G2224" s="584"/>
      <c r="H2224" s="584"/>
      <c r="I2224" s="335" t="s">
        <v>3494</v>
      </c>
    </row>
    <row r="2225">
      <c r="G2225" s="584"/>
      <c r="H2225" s="584"/>
      <c r="I2225" s="335" t="s">
        <v>3494</v>
      </c>
    </row>
    <row r="2226">
      <c r="G2226" s="584"/>
      <c r="H2226" s="584"/>
      <c r="I2226" s="335" t="s">
        <v>3494</v>
      </c>
    </row>
    <row r="2227">
      <c r="G2227" s="584"/>
      <c r="H2227" s="584"/>
      <c r="I2227" s="335" t="s">
        <v>3494</v>
      </c>
    </row>
    <row r="2228">
      <c r="G2228" s="584"/>
      <c r="H2228" s="584"/>
      <c r="I2228" s="335" t="s">
        <v>3494</v>
      </c>
    </row>
    <row r="2229">
      <c r="G2229" s="584"/>
      <c r="H2229" s="584"/>
      <c r="I2229" s="335" t="s">
        <v>3494</v>
      </c>
    </row>
    <row r="2230">
      <c r="G2230" s="584"/>
      <c r="H2230" s="584"/>
      <c r="I2230" s="335" t="s">
        <v>3494</v>
      </c>
    </row>
    <row r="2231">
      <c r="G2231" s="584"/>
      <c r="H2231" s="584"/>
      <c r="I2231" s="335" t="s">
        <v>3494</v>
      </c>
    </row>
    <row r="2232">
      <c r="G2232" s="584"/>
      <c r="H2232" s="584"/>
      <c r="I2232" s="335" t="s">
        <v>3494</v>
      </c>
    </row>
    <row r="2233">
      <c r="G2233" s="584"/>
      <c r="H2233" s="584"/>
      <c r="I2233" s="335" t="s">
        <v>3494</v>
      </c>
    </row>
    <row r="2234">
      <c r="G2234" s="584"/>
      <c r="H2234" s="584"/>
      <c r="I2234" s="335" t="s">
        <v>3494</v>
      </c>
    </row>
    <row r="2235">
      <c r="G2235" s="584"/>
      <c r="H2235" s="584"/>
      <c r="I2235" s="335" t="s">
        <v>3494</v>
      </c>
    </row>
    <row r="2236">
      <c r="G2236" s="584"/>
      <c r="H2236" s="584"/>
      <c r="I2236" s="335" t="s">
        <v>3494</v>
      </c>
    </row>
    <row r="2237">
      <c r="G2237" s="584"/>
      <c r="H2237" s="584"/>
      <c r="I2237" s="335" t="s">
        <v>3494</v>
      </c>
    </row>
    <row r="2238">
      <c r="G2238" s="584"/>
      <c r="H2238" s="584"/>
      <c r="I2238" s="335" t="s">
        <v>3494</v>
      </c>
    </row>
    <row r="2239">
      <c r="G2239" s="584"/>
      <c r="H2239" s="584"/>
      <c r="I2239" s="335" t="s">
        <v>3494</v>
      </c>
    </row>
    <row r="2240">
      <c r="G2240" s="584"/>
      <c r="H2240" s="584"/>
      <c r="I2240" s="335" t="s">
        <v>3494</v>
      </c>
    </row>
    <row r="2241">
      <c r="G2241" s="584"/>
      <c r="H2241" s="584"/>
      <c r="I2241" s="335" t="s">
        <v>3494</v>
      </c>
    </row>
    <row r="2242">
      <c r="G2242" s="584"/>
      <c r="H2242" s="584"/>
      <c r="I2242" s="335" t="s">
        <v>3494</v>
      </c>
    </row>
    <row r="2243">
      <c r="G2243" s="584"/>
      <c r="H2243" s="584"/>
      <c r="I2243" s="335" t="s">
        <v>3494</v>
      </c>
    </row>
    <row r="2244">
      <c r="G2244" s="584"/>
      <c r="H2244" s="584"/>
      <c r="I2244" s="335" t="s">
        <v>3494</v>
      </c>
    </row>
    <row r="2245">
      <c r="G2245" s="584"/>
      <c r="H2245" s="584"/>
      <c r="I2245" s="335" t="s">
        <v>3494</v>
      </c>
    </row>
    <row r="2246">
      <c r="G2246" s="584"/>
      <c r="H2246" s="584"/>
      <c r="I2246" s="335" t="s">
        <v>3494</v>
      </c>
    </row>
    <row r="2247">
      <c r="G2247" s="584"/>
      <c r="H2247" s="584"/>
      <c r="I2247" s="335" t="s">
        <v>3494</v>
      </c>
    </row>
    <row r="2248">
      <c r="G2248" s="584"/>
      <c r="H2248" s="584"/>
      <c r="I2248" s="335" t="s">
        <v>3494</v>
      </c>
    </row>
    <row r="2249">
      <c r="G2249" s="584"/>
      <c r="H2249" s="584"/>
      <c r="I2249" s="335" t="s">
        <v>3494</v>
      </c>
    </row>
    <row r="2250">
      <c r="G2250" s="584"/>
      <c r="H2250" s="584"/>
      <c r="I2250" s="335" t="s">
        <v>3494</v>
      </c>
    </row>
    <row r="2251">
      <c r="G2251" s="584"/>
      <c r="H2251" s="584"/>
      <c r="I2251" s="335" t="s">
        <v>3494</v>
      </c>
    </row>
    <row r="2252">
      <c r="G2252" s="584"/>
      <c r="H2252" s="584"/>
      <c r="I2252" s="335" t="s">
        <v>3494</v>
      </c>
    </row>
    <row r="2253">
      <c r="G2253" s="584"/>
      <c r="H2253" s="584"/>
      <c r="I2253" s="335" t="s">
        <v>3494</v>
      </c>
    </row>
    <row r="2254">
      <c r="G2254" s="584"/>
      <c r="H2254" s="584"/>
      <c r="I2254" s="335" t="s">
        <v>3494</v>
      </c>
    </row>
    <row r="2255">
      <c r="G2255" s="584"/>
      <c r="H2255" s="584"/>
      <c r="I2255" s="335" t="s">
        <v>3494</v>
      </c>
    </row>
    <row r="2256">
      <c r="G2256" s="584"/>
      <c r="H2256" s="584"/>
      <c r="I2256" s="335" t="s">
        <v>3494</v>
      </c>
    </row>
    <row r="2257">
      <c r="G2257" s="584"/>
      <c r="H2257" s="584"/>
      <c r="I2257" s="335" t="s">
        <v>3494</v>
      </c>
    </row>
    <row r="2258">
      <c r="G2258" s="584"/>
      <c r="H2258" s="584"/>
      <c r="I2258" s="335" t="s">
        <v>3494</v>
      </c>
    </row>
    <row r="2259">
      <c r="G2259" s="584"/>
      <c r="H2259" s="584"/>
      <c r="I2259" s="335" t="s">
        <v>3494</v>
      </c>
    </row>
    <row r="2260">
      <c r="G2260" s="584"/>
      <c r="H2260" s="584"/>
      <c r="I2260" s="335" t="s">
        <v>3494</v>
      </c>
    </row>
    <row r="2261">
      <c r="G2261" s="584"/>
      <c r="H2261" s="584"/>
      <c r="I2261" s="335" t="s">
        <v>3494</v>
      </c>
    </row>
    <row r="2262">
      <c r="G2262" s="584"/>
      <c r="H2262" s="584"/>
      <c r="I2262" s="335" t="s">
        <v>3494</v>
      </c>
    </row>
    <row r="2263">
      <c r="G2263" s="584"/>
      <c r="H2263" s="584"/>
      <c r="I2263" s="335" t="s">
        <v>3494</v>
      </c>
    </row>
    <row r="2264">
      <c r="G2264" s="584"/>
      <c r="H2264" s="584"/>
      <c r="I2264" s="335" t="s">
        <v>3494</v>
      </c>
    </row>
    <row r="2265">
      <c r="G2265" s="584"/>
      <c r="H2265" s="584"/>
      <c r="I2265" s="335" t="s">
        <v>3494</v>
      </c>
    </row>
    <row r="2266">
      <c r="G2266" s="584"/>
      <c r="H2266" s="584"/>
      <c r="I2266" s="335" t="s">
        <v>3494</v>
      </c>
    </row>
    <row r="2267">
      <c r="G2267" s="584"/>
      <c r="H2267" s="584"/>
      <c r="I2267" s="335" t="s">
        <v>3494</v>
      </c>
    </row>
    <row r="2268">
      <c r="G2268" s="584"/>
      <c r="H2268" s="584"/>
      <c r="I2268" s="335" t="s">
        <v>3494</v>
      </c>
    </row>
    <row r="2269">
      <c r="G2269" s="584"/>
      <c r="H2269" s="584"/>
      <c r="I2269" s="335" t="s">
        <v>3494</v>
      </c>
    </row>
    <row r="2270">
      <c r="G2270" s="584"/>
      <c r="H2270" s="584"/>
      <c r="I2270" s="335" t="s">
        <v>3494</v>
      </c>
    </row>
    <row r="2271">
      <c r="G2271" s="584"/>
      <c r="H2271" s="584"/>
      <c r="I2271" s="335" t="s">
        <v>3494</v>
      </c>
    </row>
    <row r="2272">
      <c r="G2272" s="584"/>
      <c r="H2272" s="584"/>
      <c r="I2272" s="335" t="s">
        <v>3494</v>
      </c>
    </row>
    <row r="2273">
      <c r="G2273" s="584"/>
      <c r="H2273" s="584"/>
      <c r="I2273" s="335" t="s">
        <v>3494</v>
      </c>
    </row>
    <row r="2274">
      <c r="G2274" s="584"/>
      <c r="H2274" s="584"/>
      <c r="I2274" s="335" t="s">
        <v>3494</v>
      </c>
    </row>
    <row r="2275">
      <c r="G2275" s="584"/>
      <c r="H2275" s="584"/>
      <c r="I2275" s="335" t="s">
        <v>3494</v>
      </c>
    </row>
    <row r="2276">
      <c r="G2276" s="584"/>
      <c r="H2276" s="584"/>
      <c r="I2276" s="335" t="s">
        <v>3494</v>
      </c>
    </row>
    <row r="2277">
      <c r="G2277" s="584"/>
      <c r="H2277" s="584"/>
      <c r="I2277" s="335" t="s">
        <v>3494</v>
      </c>
    </row>
    <row r="2278">
      <c r="G2278" s="584"/>
      <c r="H2278" s="584"/>
      <c r="I2278" s="335" t="s">
        <v>3494</v>
      </c>
    </row>
    <row r="2279">
      <c r="G2279" s="584"/>
      <c r="H2279" s="584"/>
      <c r="I2279" s="335" t="s">
        <v>3494</v>
      </c>
    </row>
    <row r="2280">
      <c r="G2280" s="584"/>
      <c r="H2280" s="584"/>
      <c r="I2280" s="335" t="s">
        <v>3494</v>
      </c>
    </row>
    <row r="2281">
      <c r="G2281" s="584"/>
      <c r="H2281" s="584"/>
      <c r="I2281" s="335" t="s">
        <v>3494</v>
      </c>
    </row>
    <row r="2282">
      <c r="G2282" s="584"/>
      <c r="H2282" s="584"/>
      <c r="I2282" s="335" t="s">
        <v>3494</v>
      </c>
    </row>
    <row r="2283">
      <c r="G2283" s="584"/>
      <c r="H2283" s="584"/>
      <c r="I2283" s="335" t="s">
        <v>3494</v>
      </c>
    </row>
    <row r="2284">
      <c r="G2284" s="584"/>
      <c r="H2284" s="584"/>
      <c r="I2284" s="335" t="s">
        <v>3494</v>
      </c>
    </row>
    <row r="2285">
      <c r="G2285" s="584"/>
      <c r="H2285" s="584"/>
      <c r="I2285" s="335" t="s">
        <v>3494</v>
      </c>
    </row>
    <row r="2286">
      <c r="G2286" s="584"/>
      <c r="H2286" s="584"/>
      <c r="I2286" s="335" t="s">
        <v>3494</v>
      </c>
    </row>
    <row r="2287">
      <c r="G2287" s="584"/>
      <c r="H2287" s="584"/>
      <c r="I2287" s="335" t="s">
        <v>3494</v>
      </c>
    </row>
    <row r="2288">
      <c r="G2288" s="584"/>
      <c r="H2288" s="584"/>
      <c r="I2288" s="335" t="s">
        <v>3494</v>
      </c>
    </row>
    <row r="2289">
      <c r="G2289" s="584"/>
      <c r="H2289" s="584"/>
      <c r="I2289" s="335" t="s">
        <v>3494</v>
      </c>
    </row>
    <row r="2290">
      <c r="G2290" s="584"/>
      <c r="H2290" s="584"/>
      <c r="I2290" s="335" t="s">
        <v>3494</v>
      </c>
    </row>
    <row r="2291">
      <c r="G2291" s="584"/>
      <c r="H2291" s="584"/>
      <c r="I2291" s="335" t="s">
        <v>3494</v>
      </c>
    </row>
    <row r="2292">
      <c r="G2292" s="584"/>
      <c r="H2292" s="584"/>
      <c r="I2292" s="335" t="s">
        <v>3494</v>
      </c>
    </row>
    <row r="2293">
      <c r="G2293" s="584"/>
      <c r="H2293" s="584"/>
      <c r="I2293" s="335" t="s">
        <v>3494</v>
      </c>
    </row>
    <row r="2294">
      <c r="G2294" s="584"/>
      <c r="H2294" s="584"/>
      <c r="I2294" s="335" t="s">
        <v>3494</v>
      </c>
    </row>
    <row r="2295">
      <c r="G2295" s="584"/>
      <c r="H2295" s="584"/>
      <c r="I2295" s="335" t="s">
        <v>3494</v>
      </c>
    </row>
    <row r="2296">
      <c r="G2296" s="584"/>
      <c r="H2296" s="584"/>
      <c r="I2296" s="335" t="s">
        <v>3494</v>
      </c>
    </row>
    <row r="2297">
      <c r="G2297" s="584"/>
      <c r="H2297" s="584"/>
      <c r="I2297" s="335" t="s">
        <v>3494</v>
      </c>
    </row>
    <row r="2298">
      <c r="G2298" s="584"/>
      <c r="H2298" s="584"/>
      <c r="I2298" s="335" t="s">
        <v>3494</v>
      </c>
    </row>
    <row r="2299">
      <c r="G2299" s="584"/>
      <c r="H2299" s="584"/>
      <c r="I2299" s="335" t="s">
        <v>3494</v>
      </c>
    </row>
    <row r="2300">
      <c r="G2300" s="584"/>
      <c r="H2300" s="584"/>
      <c r="I2300" s="335" t="s">
        <v>3494</v>
      </c>
    </row>
    <row r="2301">
      <c r="G2301" s="584"/>
      <c r="H2301" s="584"/>
      <c r="I2301" s="335" t="s">
        <v>3494</v>
      </c>
    </row>
    <row r="2302">
      <c r="G2302" s="584"/>
      <c r="H2302" s="584"/>
      <c r="I2302" s="335" t="s">
        <v>3494</v>
      </c>
    </row>
    <row r="2303">
      <c r="G2303" s="584"/>
      <c r="H2303" s="584"/>
      <c r="I2303" s="335" t="s">
        <v>3494</v>
      </c>
    </row>
    <row r="2304">
      <c r="G2304" s="584"/>
      <c r="H2304" s="584"/>
      <c r="I2304" s="335" t="s">
        <v>3494</v>
      </c>
    </row>
    <row r="2305">
      <c r="G2305" s="584"/>
      <c r="H2305" s="584"/>
      <c r="I2305" s="335" t="s">
        <v>3494</v>
      </c>
    </row>
    <row r="2306">
      <c r="G2306" s="584"/>
      <c r="H2306" s="584"/>
      <c r="I2306" s="335" t="s">
        <v>3494</v>
      </c>
    </row>
    <row r="2307">
      <c r="G2307" s="584"/>
      <c r="H2307" s="584"/>
      <c r="I2307" s="335" t="s">
        <v>3494</v>
      </c>
    </row>
    <row r="2308">
      <c r="G2308" s="584"/>
      <c r="H2308" s="584"/>
      <c r="I2308" s="335" t="s">
        <v>3494</v>
      </c>
    </row>
    <row r="2309">
      <c r="G2309" s="584"/>
      <c r="H2309" s="584"/>
      <c r="I2309" s="335" t="s">
        <v>3494</v>
      </c>
    </row>
    <row r="2310">
      <c r="G2310" s="584"/>
      <c r="H2310" s="584"/>
      <c r="I2310" s="335" t="s">
        <v>3494</v>
      </c>
    </row>
    <row r="2311">
      <c r="G2311" s="584"/>
      <c r="H2311" s="584"/>
      <c r="I2311" s="335" t="s">
        <v>3494</v>
      </c>
    </row>
    <row r="2312">
      <c r="G2312" s="584"/>
      <c r="H2312" s="584"/>
      <c r="I2312" s="335" t="s">
        <v>3494</v>
      </c>
    </row>
    <row r="2313">
      <c r="G2313" s="584"/>
      <c r="H2313" s="584"/>
      <c r="I2313" s="335" t="s">
        <v>3494</v>
      </c>
    </row>
    <row r="2314">
      <c r="G2314" s="584"/>
      <c r="H2314" s="584"/>
      <c r="I2314" s="335" t="s">
        <v>3494</v>
      </c>
    </row>
    <row r="2315">
      <c r="G2315" s="584"/>
      <c r="H2315" s="584"/>
      <c r="I2315" s="335" t="s">
        <v>3494</v>
      </c>
    </row>
    <row r="2316">
      <c r="G2316" s="584"/>
      <c r="H2316" s="584"/>
      <c r="I2316" s="335" t="s">
        <v>3494</v>
      </c>
    </row>
    <row r="2317">
      <c r="G2317" s="584"/>
      <c r="H2317" s="584"/>
      <c r="I2317" s="335" t="s">
        <v>3494</v>
      </c>
    </row>
    <row r="2318">
      <c r="G2318" s="584"/>
      <c r="H2318" s="584"/>
      <c r="I2318" s="335" t="s">
        <v>3494</v>
      </c>
    </row>
    <row r="2319">
      <c r="G2319" s="584"/>
      <c r="H2319" s="584"/>
      <c r="I2319" s="335" t="s">
        <v>3494</v>
      </c>
    </row>
    <row r="2320">
      <c r="G2320" s="584"/>
      <c r="H2320" s="584"/>
      <c r="I2320" s="335" t="s">
        <v>3494</v>
      </c>
    </row>
    <row r="2321">
      <c r="G2321" s="584"/>
      <c r="H2321" s="584"/>
      <c r="I2321" s="335" t="s">
        <v>3494</v>
      </c>
    </row>
    <row r="2322">
      <c r="G2322" s="584"/>
      <c r="H2322" s="584"/>
      <c r="I2322" s="335" t="s">
        <v>3494</v>
      </c>
    </row>
    <row r="2323">
      <c r="G2323" s="584"/>
      <c r="H2323" s="584"/>
      <c r="I2323" s="335" t="s">
        <v>3494</v>
      </c>
    </row>
    <row r="2324">
      <c r="G2324" s="584"/>
      <c r="H2324" s="584"/>
      <c r="I2324" s="335" t="s">
        <v>3494</v>
      </c>
    </row>
    <row r="2325">
      <c r="G2325" s="584"/>
      <c r="H2325" s="584"/>
      <c r="I2325" s="335" t="s">
        <v>3494</v>
      </c>
    </row>
    <row r="2326">
      <c r="G2326" s="584"/>
      <c r="H2326" s="584"/>
      <c r="I2326" s="335" t="s">
        <v>3494</v>
      </c>
    </row>
    <row r="2327">
      <c r="G2327" s="584"/>
      <c r="H2327" s="584"/>
      <c r="I2327" s="335" t="s">
        <v>3494</v>
      </c>
    </row>
    <row r="2328">
      <c r="G2328" s="584"/>
      <c r="H2328" s="584"/>
      <c r="I2328" s="335" t="s">
        <v>3494</v>
      </c>
    </row>
    <row r="2329">
      <c r="G2329" s="584"/>
      <c r="H2329" s="584"/>
      <c r="I2329" s="335" t="s">
        <v>3494</v>
      </c>
    </row>
    <row r="2330">
      <c r="G2330" s="584"/>
      <c r="H2330" s="584"/>
      <c r="I2330" s="335" t="s">
        <v>3494</v>
      </c>
    </row>
    <row r="2331">
      <c r="G2331" s="584"/>
      <c r="H2331" s="584"/>
      <c r="I2331" s="335" t="s">
        <v>3494</v>
      </c>
    </row>
    <row r="2332">
      <c r="G2332" s="584"/>
      <c r="H2332" s="584"/>
      <c r="I2332" s="335" t="s">
        <v>3494</v>
      </c>
    </row>
    <row r="2333">
      <c r="G2333" s="584"/>
      <c r="H2333" s="584"/>
      <c r="I2333" s="335" t="s">
        <v>3494</v>
      </c>
    </row>
    <row r="2334">
      <c r="G2334" s="584"/>
      <c r="H2334" s="584"/>
      <c r="I2334" s="335" t="s">
        <v>3494</v>
      </c>
    </row>
    <row r="2335">
      <c r="G2335" s="584"/>
      <c r="H2335" s="584"/>
      <c r="I2335" s="335" t="s">
        <v>3494</v>
      </c>
    </row>
    <row r="2336">
      <c r="G2336" s="584"/>
      <c r="H2336" s="584"/>
      <c r="I2336" s="335" t="s">
        <v>3494</v>
      </c>
    </row>
    <row r="2337">
      <c r="G2337" s="584"/>
      <c r="H2337" s="584"/>
      <c r="I2337" s="335" t="s">
        <v>3494</v>
      </c>
    </row>
    <row r="2338">
      <c r="G2338" s="584"/>
      <c r="H2338" s="584"/>
      <c r="I2338" s="335" t="s">
        <v>3494</v>
      </c>
    </row>
    <row r="2339">
      <c r="G2339" s="584"/>
      <c r="H2339" s="584"/>
      <c r="I2339" s="335" t="s">
        <v>3494</v>
      </c>
    </row>
    <row r="2340">
      <c r="G2340" s="584"/>
      <c r="H2340" s="584"/>
      <c r="I2340" s="335" t="s">
        <v>3494</v>
      </c>
    </row>
    <row r="2341">
      <c r="G2341" s="584"/>
      <c r="H2341" s="584"/>
      <c r="I2341" s="335" t="s">
        <v>3494</v>
      </c>
    </row>
    <row r="2342">
      <c r="G2342" s="584"/>
      <c r="H2342" s="584"/>
      <c r="I2342" s="335" t="s">
        <v>3494</v>
      </c>
    </row>
    <row r="2343">
      <c r="G2343" s="584"/>
      <c r="H2343" s="584"/>
      <c r="I2343" s="335" t="s">
        <v>3494</v>
      </c>
    </row>
    <row r="2344">
      <c r="G2344" s="584"/>
      <c r="H2344" s="584"/>
      <c r="I2344" s="335" t="s">
        <v>3494</v>
      </c>
    </row>
    <row r="2345">
      <c r="G2345" s="584"/>
      <c r="H2345" s="584"/>
      <c r="I2345" s="335" t="s">
        <v>3494</v>
      </c>
    </row>
    <row r="2346">
      <c r="G2346" s="584"/>
      <c r="H2346" s="584"/>
      <c r="I2346" s="335" t="s">
        <v>3494</v>
      </c>
    </row>
    <row r="2347">
      <c r="G2347" s="584"/>
      <c r="H2347" s="584"/>
      <c r="I2347" s="335" t="s">
        <v>3494</v>
      </c>
    </row>
    <row r="2348">
      <c r="G2348" s="584"/>
      <c r="H2348" s="584"/>
      <c r="I2348" s="335" t="s">
        <v>3494</v>
      </c>
    </row>
    <row r="2349">
      <c r="G2349" s="584"/>
      <c r="H2349" s="584"/>
      <c r="I2349" s="335" t="s">
        <v>3494</v>
      </c>
    </row>
    <row r="2350">
      <c r="G2350" s="584"/>
      <c r="H2350" s="584"/>
      <c r="I2350" s="335" t="s">
        <v>3494</v>
      </c>
    </row>
    <row r="2351">
      <c r="G2351" s="584"/>
      <c r="H2351" s="584"/>
      <c r="I2351" s="335" t="s">
        <v>3494</v>
      </c>
    </row>
    <row r="2352">
      <c r="G2352" s="584"/>
      <c r="H2352" s="584"/>
      <c r="I2352" s="335" t="s">
        <v>3494</v>
      </c>
    </row>
    <row r="2353">
      <c r="G2353" s="584"/>
      <c r="H2353" s="584"/>
      <c r="I2353" s="335" t="s">
        <v>3494</v>
      </c>
    </row>
    <row r="2354">
      <c r="G2354" s="584"/>
      <c r="H2354" s="584"/>
      <c r="I2354" s="335" t="s">
        <v>3494</v>
      </c>
    </row>
    <row r="2355">
      <c r="G2355" s="584"/>
      <c r="H2355" s="584"/>
      <c r="I2355" s="335" t="s">
        <v>3494</v>
      </c>
    </row>
    <row r="2356">
      <c r="G2356" s="584"/>
      <c r="H2356" s="584"/>
      <c r="I2356" s="335" t="s">
        <v>3494</v>
      </c>
    </row>
    <row r="2357">
      <c r="G2357" s="584"/>
      <c r="H2357" s="584"/>
      <c r="I2357" s="335" t="s">
        <v>3494</v>
      </c>
    </row>
    <row r="2358">
      <c r="G2358" s="584"/>
      <c r="H2358" s="584"/>
      <c r="I2358" s="335" t="s">
        <v>3494</v>
      </c>
    </row>
    <row r="2359">
      <c r="G2359" s="584"/>
      <c r="H2359" s="584"/>
      <c r="I2359" s="335" t="s">
        <v>3494</v>
      </c>
    </row>
    <row r="2360">
      <c r="G2360" s="584"/>
      <c r="H2360" s="584"/>
      <c r="I2360" s="335" t="s">
        <v>3494</v>
      </c>
    </row>
    <row r="2361">
      <c r="G2361" s="584"/>
      <c r="H2361" s="584"/>
      <c r="I2361" s="335" t="s">
        <v>3494</v>
      </c>
    </row>
    <row r="2362">
      <c r="G2362" s="584"/>
      <c r="H2362" s="584"/>
      <c r="I2362" s="335" t="s">
        <v>3494</v>
      </c>
    </row>
    <row r="2363">
      <c r="G2363" s="584"/>
      <c r="H2363" s="584"/>
      <c r="I2363" s="335" t="s">
        <v>3494</v>
      </c>
    </row>
    <row r="2364">
      <c r="G2364" s="584"/>
      <c r="H2364" s="584"/>
      <c r="I2364" s="335" t="s">
        <v>3494</v>
      </c>
    </row>
    <row r="2365">
      <c r="G2365" s="584"/>
      <c r="H2365" s="584"/>
      <c r="I2365" s="335" t="s">
        <v>3494</v>
      </c>
    </row>
    <row r="2366">
      <c r="G2366" s="584"/>
      <c r="H2366" s="584"/>
      <c r="I2366" s="335" t="s">
        <v>3494</v>
      </c>
    </row>
    <row r="2367">
      <c r="G2367" s="584"/>
      <c r="H2367" s="584"/>
      <c r="I2367" s="335" t="s">
        <v>3494</v>
      </c>
    </row>
    <row r="2368">
      <c r="G2368" s="584"/>
      <c r="H2368" s="584"/>
      <c r="I2368" s="335" t="s">
        <v>3494</v>
      </c>
    </row>
    <row r="2369">
      <c r="G2369" s="584"/>
      <c r="H2369" s="584"/>
      <c r="I2369" s="335" t="s">
        <v>3494</v>
      </c>
    </row>
    <row r="2370">
      <c r="G2370" s="584"/>
      <c r="H2370" s="584"/>
      <c r="I2370" s="335" t="s">
        <v>3494</v>
      </c>
    </row>
    <row r="2371">
      <c r="G2371" s="584"/>
      <c r="H2371" s="584"/>
      <c r="I2371" s="335" t="s">
        <v>3494</v>
      </c>
    </row>
    <row r="2372">
      <c r="G2372" s="584"/>
      <c r="H2372" s="584"/>
      <c r="I2372" s="335" t="s">
        <v>3494</v>
      </c>
    </row>
    <row r="2373">
      <c r="G2373" s="584"/>
      <c r="H2373" s="584"/>
      <c r="I2373" s="335" t="s">
        <v>3494</v>
      </c>
    </row>
    <row r="2374">
      <c r="G2374" s="584"/>
      <c r="H2374" s="584"/>
      <c r="I2374" s="335" t="s">
        <v>3494</v>
      </c>
    </row>
    <row r="2375">
      <c r="G2375" s="584"/>
      <c r="H2375" s="584"/>
      <c r="I2375" s="335" t="s">
        <v>3494</v>
      </c>
    </row>
    <row r="2376">
      <c r="G2376" s="584"/>
      <c r="H2376" s="584"/>
      <c r="I2376" s="335" t="s">
        <v>3494</v>
      </c>
    </row>
    <row r="2377">
      <c r="G2377" s="584"/>
      <c r="H2377" s="584"/>
      <c r="I2377" s="335" t="s">
        <v>3494</v>
      </c>
    </row>
    <row r="2378">
      <c r="G2378" s="584"/>
      <c r="H2378" s="584"/>
      <c r="I2378" s="335" t="s">
        <v>3494</v>
      </c>
    </row>
    <row r="2379">
      <c r="G2379" s="584"/>
      <c r="H2379" s="584"/>
      <c r="I2379" s="335" t="s">
        <v>3494</v>
      </c>
    </row>
    <row r="2380">
      <c r="G2380" s="584"/>
      <c r="H2380" s="584"/>
      <c r="I2380" s="335" t="s">
        <v>3494</v>
      </c>
    </row>
    <row r="2381">
      <c r="G2381" s="584"/>
      <c r="H2381" s="584"/>
      <c r="I2381" s="335" t="s">
        <v>3494</v>
      </c>
    </row>
    <row r="2382">
      <c r="G2382" s="584"/>
      <c r="H2382" s="584"/>
      <c r="I2382" s="335" t="s">
        <v>3494</v>
      </c>
    </row>
    <row r="2383">
      <c r="G2383" s="584"/>
      <c r="H2383" s="584"/>
      <c r="I2383" s="335" t="s">
        <v>3494</v>
      </c>
    </row>
    <row r="2384">
      <c r="G2384" s="584"/>
      <c r="H2384" s="584"/>
      <c r="I2384" s="335" t="s">
        <v>3494</v>
      </c>
    </row>
    <row r="2385">
      <c r="G2385" s="584"/>
      <c r="H2385" s="584"/>
      <c r="I2385" s="335" t="s">
        <v>3494</v>
      </c>
    </row>
    <row r="2386">
      <c r="G2386" s="584"/>
      <c r="H2386" s="584"/>
      <c r="I2386" s="335" t="s">
        <v>3494</v>
      </c>
    </row>
    <row r="2387">
      <c r="G2387" s="584"/>
      <c r="H2387" s="584"/>
      <c r="I2387" s="335" t="s">
        <v>3494</v>
      </c>
    </row>
    <row r="2388">
      <c r="G2388" s="584"/>
      <c r="H2388" s="584"/>
      <c r="I2388" s="335" t="s">
        <v>3494</v>
      </c>
    </row>
    <row r="2389">
      <c r="G2389" s="584"/>
      <c r="H2389" s="584"/>
      <c r="I2389" s="335" t="s">
        <v>3494</v>
      </c>
    </row>
    <row r="2390">
      <c r="G2390" s="584"/>
      <c r="H2390" s="584"/>
      <c r="I2390" s="335" t="s">
        <v>3494</v>
      </c>
    </row>
    <row r="2391">
      <c r="G2391" s="584"/>
      <c r="H2391" s="584"/>
      <c r="I2391" s="335" t="s">
        <v>3494</v>
      </c>
    </row>
    <row r="2392">
      <c r="G2392" s="584"/>
      <c r="H2392" s="584"/>
      <c r="I2392" s="335" t="s">
        <v>3494</v>
      </c>
    </row>
    <row r="2393">
      <c r="G2393" s="584"/>
      <c r="H2393" s="584"/>
      <c r="I2393" s="335" t="s">
        <v>3494</v>
      </c>
    </row>
    <row r="2394">
      <c r="G2394" s="584"/>
      <c r="H2394" s="584"/>
      <c r="I2394" s="335" t="s">
        <v>3494</v>
      </c>
    </row>
    <row r="2395">
      <c r="G2395" s="584"/>
      <c r="H2395" s="584"/>
      <c r="I2395" s="335" t="s">
        <v>3494</v>
      </c>
    </row>
    <row r="2396">
      <c r="G2396" s="584"/>
      <c r="H2396" s="584"/>
      <c r="I2396" s="335" t="s">
        <v>3494</v>
      </c>
    </row>
    <row r="2397">
      <c r="G2397" s="584"/>
      <c r="H2397" s="584"/>
      <c r="I2397" s="335" t="s">
        <v>3494</v>
      </c>
    </row>
    <row r="2398">
      <c r="G2398" s="584"/>
      <c r="H2398" s="584"/>
      <c r="I2398" s="335" t="s">
        <v>3494</v>
      </c>
    </row>
    <row r="2399">
      <c r="G2399" s="584"/>
      <c r="H2399" s="584"/>
      <c r="I2399" s="335" t="s">
        <v>3494</v>
      </c>
    </row>
    <row r="2400">
      <c r="G2400" s="584"/>
      <c r="H2400" s="584"/>
      <c r="I2400" s="335" t="s">
        <v>3494</v>
      </c>
    </row>
    <row r="2401">
      <c r="G2401" s="584"/>
      <c r="H2401" s="584"/>
      <c r="I2401" s="335" t="s">
        <v>3494</v>
      </c>
    </row>
    <row r="2402">
      <c r="G2402" s="584"/>
      <c r="H2402" s="584"/>
      <c r="I2402" s="335" t="s">
        <v>3494</v>
      </c>
    </row>
    <row r="2403">
      <c r="G2403" s="584"/>
      <c r="H2403" s="584"/>
      <c r="I2403" s="335" t="s">
        <v>3494</v>
      </c>
    </row>
    <row r="2404">
      <c r="G2404" s="584"/>
      <c r="H2404" s="584"/>
      <c r="I2404" s="335" t="s">
        <v>3494</v>
      </c>
    </row>
    <row r="2405">
      <c r="G2405" s="584"/>
      <c r="H2405" s="584"/>
      <c r="I2405" s="335" t="s">
        <v>3494</v>
      </c>
    </row>
    <row r="2406">
      <c r="G2406" s="584"/>
      <c r="H2406" s="584"/>
      <c r="I2406" s="335" t="s">
        <v>3494</v>
      </c>
    </row>
    <row r="2407">
      <c r="G2407" s="584"/>
      <c r="H2407" s="584"/>
      <c r="I2407" s="335" t="s">
        <v>3494</v>
      </c>
    </row>
    <row r="2408">
      <c r="G2408" s="584"/>
      <c r="H2408" s="584"/>
      <c r="I2408" s="335" t="s">
        <v>3494</v>
      </c>
    </row>
    <row r="2409">
      <c r="G2409" s="584"/>
      <c r="H2409" s="584"/>
      <c r="I2409" s="335" t="s">
        <v>3494</v>
      </c>
    </row>
    <row r="2410">
      <c r="G2410" s="584"/>
      <c r="H2410" s="584"/>
      <c r="I2410" s="335" t="s">
        <v>3494</v>
      </c>
    </row>
    <row r="2411">
      <c r="G2411" s="584"/>
      <c r="H2411" s="584"/>
      <c r="I2411" s="335" t="s">
        <v>3494</v>
      </c>
    </row>
    <row r="2412">
      <c r="G2412" s="584"/>
      <c r="H2412" s="584"/>
      <c r="I2412" s="335" t="s">
        <v>3494</v>
      </c>
    </row>
    <row r="2413">
      <c r="G2413" s="584"/>
      <c r="H2413" s="584"/>
      <c r="I2413" s="335" t="s">
        <v>3494</v>
      </c>
    </row>
    <row r="2414">
      <c r="G2414" s="584"/>
      <c r="H2414" s="584"/>
      <c r="I2414" s="335" t="s">
        <v>3494</v>
      </c>
    </row>
    <row r="2415">
      <c r="G2415" s="584"/>
      <c r="H2415" s="584"/>
      <c r="I2415" s="335" t="s">
        <v>3494</v>
      </c>
    </row>
    <row r="2416">
      <c r="G2416" s="584"/>
      <c r="H2416" s="584"/>
      <c r="I2416" s="335" t="s">
        <v>3494</v>
      </c>
    </row>
    <row r="2417">
      <c r="G2417" s="584"/>
      <c r="H2417" s="584"/>
      <c r="I2417" s="335" t="s">
        <v>3494</v>
      </c>
    </row>
    <row r="2418">
      <c r="G2418" s="584"/>
      <c r="H2418" s="584"/>
      <c r="I2418" s="335" t="s">
        <v>3494</v>
      </c>
    </row>
    <row r="2419">
      <c r="G2419" s="584"/>
      <c r="H2419" s="584"/>
      <c r="I2419" s="335" t="s">
        <v>3494</v>
      </c>
    </row>
    <row r="2420">
      <c r="G2420" s="584"/>
      <c r="H2420" s="584"/>
      <c r="I2420" s="335" t="s">
        <v>3494</v>
      </c>
    </row>
    <row r="2421">
      <c r="G2421" s="584"/>
      <c r="H2421" s="584"/>
      <c r="I2421" s="335" t="s">
        <v>3494</v>
      </c>
    </row>
    <row r="2422">
      <c r="G2422" s="584"/>
      <c r="H2422" s="584"/>
      <c r="I2422" s="335" t="s">
        <v>3494</v>
      </c>
    </row>
    <row r="2423">
      <c r="G2423" s="584"/>
      <c r="H2423" s="584"/>
      <c r="I2423" s="335" t="s">
        <v>3494</v>
      </c>
    </row>
    <row r="2424">
      <c r="G2424" s="584"/>
      <c r="H2424" s="584"/>
      <c r="I2424" s="335" t="s">
        <v>3494</v>
      </c>
    </row>
    <row r="2425">
      <c r="G2425" s="584"/>
      <c r="H2425" s="584"/>
      <c r="I2425" s="335" t="s">
        <v>3494</v>
      </c>
    </row>
    <row r="2426">
      <c r="G2426" s="584"/>
      <c r="H2426" s="584"/>
      <c r="I2426" s="335" t="s">
        <v>3494</v>
      </c>
    </row>
    <row r="2427">
      <c r="G2427" s="584"/>
      <c r="H2427" s="584"/>
      <c r="I2427" s="335" t="s">
        <v>3494</v>
      </c>
    </row>
    <row r="2428">
      <c r="G2428" s="584"/>
      <c r="H2428" s="584"/>
      <c r="I2428" s="335" t="s">
        <v>3494</v>
      </c>
    </row>
    <row r="2429">
      <c r="G2429" s="584"/>
      <c r="H2429" s="584"/>
      <c r="I2429" s="335" t="s">
        <v>3494</v>
      </c>
    </row>
    <row r="2430">
      <c r="G2430" s="584"/>
      <c r="H2430" s="584"/>
      <c r="I2430" s="335" t="s">
        <v>3494</v>
      </c>
    </row>
    <row r="2431">
      <c r="G2431" s="584"/>
      <c r="H2431" s="584"/>
      <c r="I2431" s="335" t="s">
        <v>3494</v>
      </c>
    </row>
    <row r="2432">
      <c r="G2432" s="584"/>
      <c r="H2432" s="584"/>
      <c r="I2432" s="335" t="s">
        <v>3494</v>
      </c>
    </row>
    <row r="2433">
      <c r="G2433" s="584"/>
      <c r="H2433" s="584"/>
      <c r="I2433" s="335" t="s">
        <v>3494</v>
      </c>
    </row>
    <row r="2434">
      <c r="G2434" s="584"/>
      <c r="H2434" s="584"/>
      <c r="I2434" s="335" t="s">
        <v>3494</v>
      </c>
    </row>
    <row r="2435">
      <c r="G2435" s="584"/>
      <c r="H2435" s="584"/>
      <c r="I2435" s="335" t="s">
        <v>3494</v>
      </c>
    </row>
    <row r="2436">
      <c r="G2436" s="584"/>
      <c r="H2436" s="584"/>
      <c r="I2436" s="335" t="s">
        <v>3494</v>
      </c>
    </row>
    <row r="2437">
      <c r="G2437" s="584"/>
      <c r="H2437" s="584"/>
      <c r="I2437" s="335" t="s">
        <v>3494</v>
      </c>
    </row>
    <row r="2438">
      <c r="G2438" s="584"/>
      <c r="H2438" s="584"/>
      <c r="I2438" s="335" t="s">
        <v>3494</v>
      </c>
    </row>
    <row r="2439">
      <c r="G2439" s="584"/>
      <c r="H2439" s="584"/>
      <c r="I2439" s="335" t="s">
        <v>3494</v>
      </c>
    </row>
    <row r="2440">
      <c r="G2440" s="584"/>
      <c r="H2440" s="584"/>
      <c r="I2440" s="335" t="s">
        <v>3494</v>
      </c>
    </row>
    <row r="2441">
      <c r="G2441" s="584"/>
      <c r="H2441" s="584"/>
      <c r="I2441" s="335" t="s">
        <v>3494</v>
      </c>
    </row>
    <row r="2442">
      <c r="G2442" s="584"/>
      <c r="H2442" s="584"/>
      <c r="I2442" s="335" t="s">
        <v>3494</v>
      </c>
    </row>
    <row r="2443">
      <c r="G2443" s="584"/>
      <c r="H2443" s="584"/>
      <c r="I2443" s="335" t="s">
        <v>3494</v>
      </c>
    </row>
    <row r="2444">
      <c r="G2444" s="584"/>
      <c r="H2444" s="584"/>
      <c r="I2444" s="335" t="s">
        <v>3494</v>
      </c>
    </row>
    <row r="2445">
      <c r="G2445" s="584"/>
      <c r="H2445" s="584"/>
      <c r="I2445" s="335" t="s">
        <v>3494</v>
      </c>
    </row>
    <row r="2446">
      <c r="G2446" s="584"/>
      <c r="H2446" s="584"/>
      <c r="I2446" s="335" t="s">
        <v>3494</v>
      </c>
    </row>
    <row r="2447">
      <c r="G2447" s="584"/>
      <c r="H2447" s="584"/>
      <c r="I2447" s="335" t="s">
        <v>3494</v>
      </c>
    </row>
    <row r="2448">
      <c r="G2448" s="584"/>
      <c r="H2448" s="584"/>
      <c r="I2448" s="335" t="s">
        <v>3494</v>
      </c>
    </row>
    <row r="2449">
      <c r="G2449" s="584"/>
      <c r="H2449" s="584"/>
      <c r="I2449" s="335" t="s">
        <v>3494</v>
      </c>
    </row>
    <row r="2450">
      <c r="G2450" s="584"/>
      <c r="H2450" s="584"/>
      <c r="I2450" s="335" t="s">
        <v>3494</v>
      </c>
    </row>
    <row r="2451">
      <c r="G2451" s="584"/>
      <c r="H2451" s="584"/>
      <c r="I2451" s="335" t="s">
        <v>3494</v>
      </c>
    </row>
    <row r="2452">
      <c r="G2452" s="584"/>
      <c r="H2452" s="584"/>
      <c r="I2452" s="335" t="s">
        <v>3494</v>
      </c>
    </row>
    <row r="2453">
      <c r="G2453" s="584"/>
      <c r="H2453" s="584"/>
      <c r="I2453" s="335" t="s">
        <v>3494</v>
      </c>
    </row>
    <row r="2454">
      <c r="G2454" s="584"/>
      <c r="H2454" s="584"/>
      <c r="I2454" s="335" t="s">
        <v>3494</v>
      </c>
    </row>
    <row r="2455">
      <c r="G2455" s="584"/>
      <c r="H2455" s="584"/>
      <c r="I2455" s="335" t="s">
        <v>3494</v>
      </c>
    </row>
    <row r="2456">
      <c r="G2456" s="584"/>
      <c r="H2456" s="584"/>
      <c r="I2456" s="335" t="s">
        <v>3494</v>
      </c>
    </row>
    <row r="2457">
      <c r="G2457" s="584"/>
      <c r="H2457" s="584"/>
      <c r="I2457" s="335" t="s">
        <v>3494</v>
      </c>
    </row>
    <row r="2458">
      <c r="G2458" s="584"/>
      <c r="H2458" s="584"/>
      <c r="I2458" s="335" t="s">
        <v>3494</v>
      </c>
    </row>
    <row r="2459">
      <c r="G2459" s="584"/>
      <c r="H2459" s="584"/>
      <c r="I2459" s="335" t="s">
        <v>3494</v>
      </c>
    </row>
    <row r="2460">
      <c r="G2460" s="584"/>
      <c r="H2460" s="584"/>
      <c r="I2460" s="335" t="s">
        <v>3494</v>
      </c>
    </row>
    <row r="2461">
      <c r="G2461" s="584"/>
      <c r="H2461" s="584"/>
      <c r="I2461" s="335" t="s">
        <v>3494</v>
      </c>
    </row>
    <row r="2462">
      <c r="G2462" s="584"/>
      <c r="H2462" s="584"/>
      <c r="I2462" s="335" t="s">
        <v>3494</v>
      </c>
    </row>
    <row r="2463">
      <c r="G2463" s="584"/>
      <c r="H2463" s="584"/>
      <c r="I2463" s="335" t="s">
        <v>3494</v>
      </c>
    </row>
    <row r="2464">
      <c r="G2464" s="584"/>
      <c r="H2464" s="584"/>
      <c r="I2464" s="335" t="s">
        <v>3494</v>
      </c>
    </row>
    <row r="2465">
      <c r="G2465" s="584"/>
      <c r="H2465" s="584"/>
      <c r="I2465" s="335" t="s">
        <v>3494</v>
      </c>
    </row>
    <row r="2466">
      <c r="G2466" s="584"/>
      <c r="H2466" s="584"/>
      <c r="I2466" s="335" t="s">
        <v>3494</v>
      </c>
    </row>
    <row r="2467">
      <c r="G2467" s="584"/>
      <c r="H2467" s="584"/>
      <c r="I2467" s="335" t="s">
        <v>3494</v>
      </c>
    </row>
    <row r="2468">
      <c r="G2468" s="584"/>
      <c r="H2468" s="584"/>
      <c r="I2468" s="335" t="s">
        <v>3494</v>
      </c>
    </row>
    <row r="2469">
      <c r="G2469" s="584"/>
      <c r="H2469" s="584"/>
      <c r="I2469" s="335" t="s">
        <v>3494</v>
      </c>
    </row>
    <row r="2470">
      <c r="G2470" s="584"/>
      <c r="H2470" s="584"/>
      <c r="I2470" s="335" t="s">
        <v>3494</v>
      </c>
    </row>
    <row r="2471">
      <c r="G2471" s="584"/>
      <c r="H2471" s="584"/>
      <c r="I2471" s="335" t="s">
        <v>3494</v>
      </c>
    </row>
    <row r="2472">
      <c r="G2472" s="584"/>
      <c r="H2472" s="584"/>
      <c r="I2472" s="335" t="s">
        <v>3494</v>
      </c>
    </row>
    <row r="2473">
      <c r="G2473" s="584"/>
      <c r="H2473" s="584"/>
      <c r="I2473" s="335" t="s">
        <v>3494</v>
      </c>
    </row>
    <row r="2474">
      <c r="G2474" s="584"/>
      <c r="H2474" s="584"/>
      <c r="I2474" s="335" t="s">
        <v>3494</v>
      </c>
    </row>
    <row r="2475">
      <c r="G2475" s="584"/>
      <c r="H2475" s="584"/>
      <c r="I2475" s="335" t="s">
        <v>3494</v>
      </c>
    </row>
    <row r="2476">
      <c r="G2476" s="584"/>
      <c r="H2476" s="584"/>
      <c r="I2476" s="335" t="s">
        <v>3494</v>
      </c>
    </row>
    <row r="2477">
      <c r="G2477" s="584"/>
      <c r="H2477" s="584"/>
      <c r="I2477" s="335" t="s">
        <v>3494</v>
      </c>
    </row>
    <row r="2478">
      <c r="G2478" s="584"/>
      <c r="H2478" s="584"/>
      <c r="I2478" s="335" t="s">
        <v>3494</v>
      </c>
    </row>
    <row r="2479">
      <c r="G2479" s="584"/>
      <c r="H2479" s="584"/>
      <c r="I2479" s="335" t="s">
        <v>3494</v>
      </c>
    </row>
    <row r="2480">
      <c r="G2480" s="584"/>
      <c r="H2480" s="584"/>
      <c r="I2480" s="335" t="s">
        <v>3494</v>
      </c>
    </row>
    <row r="2481">
      <c r="G2481" s="584"/>
      <c r="H2481" s="584"/>
      <c r="I2481" s="335" t="s">
        <v>3494</v>
      </c>
    </row>
    <row r="2482">
      <c r="G2482" s="584"/>
      <c r="H2482" s="584"/>
      <c r="I2482" s="335" t="s">
        <v>3494</v>
      </c>
    </row>
    <row r="2483">
      <c r="G2483" s="584"/>
      <c r="H2483" s="584"/>
      <c r="I2483" s="335" t="s">
        <v>3494</v>
      </c>
    </row>
    <row r="2484">
      <c r="G2484" s="584"/>
      <c r="H2484" s="584"/>
      <c r="I2484" s="335" t="s">
        <v>3494</v>
      </c>
    </row>
    <row r="2485">
      <c r="G2485" s="584"/>
      <c r="H2485" s="584"/>
      <c r="I2485" s="335" t="s">
        <v>3494</v>
      </c>
    </row>
    <row r="2486">
      <c r="G2486" s="584"/>
      <c r="H2486" s="584"/>
      <c r="I2486" s="335" t="s">
        <v>3494</v>
      </c>
    </row>
    <row r="2487">
      <c r="G2487" s="584"/>
      <c r="H2487" s="584"/>
      <c r="I2487" s="335" t="s">
        <v>3494</v>
      </c>
    </row>
    <row r="2488">
      <c r="G2488" s="584"/>
      <c r="H2488" s="584"/>
      <c r="I2488" s="335" t="s">
        <v>3494</v>
      </c>
    </row>
    <row r="2489">
      <c r="G2489" s="584"/>
      <c r="H2489" s="584"/>
      <c r="I2489" s="335" t="s">
        <v>3494</v>
      </c>
    </row>
    <row r="2490">
      <c r="G2490" s="584"/>
      <c r="H2490" s="584"/>
      <c r="I2490" s="335" t="s">
        <v>3494</v>
      </c>
    </row>
    <row r="2491">
      <c r="G2491" s="584"/>
      <c r="H2491" s="584"/>
      <c r="I2491" s="335" t="s">
        <v>3494</v>
      </c>
    </row>
    <row r="2492">
      <c r="G2492" s="584"/>
      <c r="H2492" s="584"/>
      <c r="I2492" s="335" t="s">
        <v>3494</v>
      </c>
    </row>
    <row r="2493">
      <c r="G2493" s="584"/>
      <c r="H2493" s="584"/>
      <c r="I2493" s="335" t="s">
        <v>3494</v>
      </c>
    </row>
    <row r="2494">
      <c r="G2494" s="584"/>
      <c r="H2494" s="584"/>
      <c r="I2494" s="335" t="s">
        <v>3494</v>
      </c>
    </row>
    <row r="2495">
      <c r="G2495" s="584"/>
      <c r="H2495" s="584"/>
      <c r="I2495" s="335" t="s">
        <v>3494</v>
      </c>
    </row>
    <row r="2496">
      <c r="G2496" s="584"/>
      <c r="H2496" s="584"/>
      <c r="I2496" s="335" t="s">
        <v>3494</v>
      </c>
    </row>
    <row r="2497">
      <c r="G2497" s="584"/>
      <c r="H2497" s="584"/>
      <c r="I2497" s="335" t="s">
        <v>3494</v>
      </c>
    </row>
    <row r="2498">
      <c r="G2498" s="584"/>
      <c r="H2498" s="584"/>
      <c r="I2498" s="335" t="s">
        <v>3494</v>
      </c>
    </row>
    <row r="2499">
      <c r="G2499" s="584"/>
      <c r="H2499" s="584"/>
      <c r="I2499" s="335" t="s">
        <v>3494</v>
      </c>
    </row>
    <row r="2500">
      <c r="G2500" s="584"/>
      <c r="H2500" s="584"/>
      <c r="I2500" s="335" t="s">
        <v>3494</v>
      </c>
    </row>
    <row r="2501">
      <c r="G2501" s="584"/>
      <c r="H2501" s="584"/>
      <c r="I2501" s="335" t="s">
        <v>3494</v>
      </c>
    </row>
    <row r="2502">
      <c r="G2502" s="584"/>
      <c r="H2502" s="584"/>
      <c r="I2502" s="335" t="s">
        <v>3494</v>
      </c>
    </row>
    <row r="2503">
      <c r="G2503" s="584"/>
      <c r="H2503" s="584"/>
      <c r="I2503" s="335" t="s">
        <v>3494</v>
      </c>
    </row>
    <row r="2504">
      <c r="G2504" s="584"/>
      <c r="H2504" s="584"/>
      <c r="I2504" s="335" t="s">
        <v>3494</v>
      </c>
    </row>
    <row r="2505">
      <c r="G2505" s="584"/>
      <c r="H2505" s="584"/>
      <c r="I2505" s="335" t="s">
        <v>3494</v>
      </c>
    </row>
    <row r="2506">
      <c r="G2506" s="584"/>
      <c r="H2506" s="584"/>
      <c r="I2506" s="335" t="s">
        <v>3494</v>
      </c>
    </row>
    <row r="2507">
      <c r="G2507" s="584"/>
      <c r="H2507" s="584"/>
      <c r="I2507" s="335" t="s">
        <v>3494</v>
      </c>
    </row>
    <row r="2508">
      <c r="G2508" s="584"/>
      <c r="H2508" s="584"/>
      <c r="I2508" s="335" t="s">
        <v>3494</v>
      </c>
    </row>
    <row r="2509">
      <c r="G2509" s="584"/>
      <c r="H2509" s="584"/>
      <c r="I2509" s="335" t="s">
        <v>3494</v>
      </c>
    </row>
    <row r="2510">
      <c r="G2510" s="584"/>
      <c r="H2510" s="584"/>
      <c r="I2510" s="335" t="s">
        <v>3494</v>
      </c>
    </row>
    <row r="2511">
      <c r="G2511" s="584"/>
      <c r="H2511" s="584"/>
      <c r="I2511" s="335" t="s">
        <v>3494</v>
      </c>
    </row>
    <row r="2512">
      <c r="G2512" s="584"/>
      <c r="H2512" s="584"/>
      <c r="I2512" s="335" t="s">
        <v>3494</v>
      </c>
    </row>
    <row r="2513">
      <c r="G2513" s="584"/>
      <c r="H2513" s="584"/>
      <c r="I2513" s="335" t="s">
        <v>3494</v>
      </c>
    </row>
    <row r="2514">
      <c r="G2514" s="584"/>
      <c r="H2514" s="584"/>
      <c r="I2514" s="335" t="s">
        <v>3494</v>
      </c>
    </row>
    <row r="2515">
      <c r="G2515" s="584"/>
      <c r="H2515" s="584"/>
      <c r="I2515" s="335" t="s">
        <v>3494</v>
      </c>
    </row>
    <row r="2516">
      <c r="G2516" s="584"/>
      <c r="H2516" s="584"/>
      <c r="I2516" s="335" t="s">
        <v>3494</v>
      </c>
    </row>
    <row r="2517">
      <c r="G2517" s="584"/>
      <c r="H2517" s="584"/>
      <c r="I2517" s="335" t="s">
        <v>3494</v>
      </c>
    </row>
    <row r="2518">
      <c r="G2518" s="584"/>
      <c r="H2518" s="584"/>
      <c r="I2518" s="335" t="s">
        <v>3494</v>
      </c>
    </row>
    <row r="2519">
      <c r="G2519" s="584"/>
      <c r="H2519" s="584"/>
      <c r="I2519" s="335" t="s">
        <v>3494</v>
      </c>
    </row>
    <row r="2520">
      <c r="G2520" s="584"/>
      <c r="H2520" s="584"/>
      <c r="I2520" s="335" t="s">
        <v>3494</v>
      </c>
    </row>
    <row r="2521">
      <c r="G2521" s="584"/>
      <c r="H2521" s="584"/>
      <c r="I2521" s="335" t="s">
        <v>3494</v>
      </c>
    </row>
    <row r="2522">
      <c r="G2522" s="584"/>
      <c r="H2522" s="584"/>
      <c r="I2522" s="335" t="s">
        <v>3494</v>
      </c>
    </row>
    <row r="2523">
      <c r="G2523" s="584"/>
      <c r="H2523" s="584"/>
      <c r="I2523" s="335" t="s">
        <v>3494</v>
      </c>
    </row>
    <row r="2524">
      <c r="G2524" s="584"/>
      <c r="H2524" s="584"/>
      <c r="I2524" s="335" t="s">
        <v>3494</v>
      </c>
    </row>
    <row r="2525">
      <c r="G2525" s="584"/>
      <c r="H2525" s="584"/>
      <c r="I2525" s="335" t="s">
        <v>3494</v>
      </c>
    </row>
    <row r="2526">
      <c r="G2526" s="584"/>
      <c r="H2526" s="584"/>
      <c r="I2526" s="335" t="s">
        <v>3494</v>
      </c>
    </row>
    <row r="2527">
      <c r="G2527" s="584"/>
      <c r="H2527" s="584"/>
      <c r="I2527" s="335" t="s">
        <v>3494</v>
      </c>
    </row>
    <row r="2528">
      <c r="G2528" s="584"/>
      <c r="H2528" s="584"/>
      <c r="I2528" s="335" t="s">
        <v>3494</v>
      </c>
    </row>
    <row r="2529">
      <c r="G2529" s="584"/>
      <c r="H2529" s="584"/>
      <c r="I2529" s="335" t="s">
        <v>3494</v>
      </c>
    </row>
    <row r="2530">
      <c r="G2530" s="584"/>
      <c r="H2530" s="584"/>
      <c r="I2530" s="335" t="s">
        <v>3494</v>
      </c>
    </row>
    <row r="2531">
      <c r="G2531" s="584"/>
      <c r="H2531" s="584"/>
      <c r="I2531" s="335" t="s">
        <v>3494</v>
      </c>
    </row>
    <row r="2532">
      <c r="G2532" s="584"/>
      <c r="H2532" s="584"/>
      <c r="I2532" s="335" t="s">
        <v>3494</v>
      </c>
    </row>
    <row r="2533">
      <c r="G2533" s="584"/>
      <c r="H2533" s="584"/>
      <c r="I2533" s="335" t="s">
        <v>3494</v>
      </c>
    </row>
    <row r="2534">
      <c r="G2534" s="584"/>
      <c r="H2534" s="584"/>
      <c r="I2534" s="335" t="s">
        <v>3494</v>
      </c>
    </row>
    <row r="2535">
      <c r="G2535" s="584"/>
      <c r="H2535" s="584"/>
      <c r="I2535" s="335" t="s">
        <v>3494</v>
      </c>
    </row>
    <row r="2536">
      <c r="G2536" s="584"/>
      <c r="H2536" s="584"/>
      <c r="I2536" s="335" t="s">
        <v>3494</v>
      </c>
    </row>
    <row r="2537">
      <c r="G2537" s="584"/>
      <c r="H2537" s="584"/>
      <c r="I2537" s="335" t="s">
        <v>3494</v>
      </c>
    </row>
    <row r="2538">
      <c r="G2538" s="584"/>
      <c r="H2538" s="584"/>
      <c r="I2538" s="335" t="s">
        <v>3494</v>
      </c>
    </row>
    <row r="2539">
      <c r="G2539" s="584"/>
      <c r="H2539" s="584"/>
      <c r="I2539" s="335" t="s">
        <v>3494</v>
      </c>
    </row>
    <row r="2540">
      <c r="G2540" s="584"/>
      <c r="H2540" s="584"/>
      <c r="I2540" s="335" t="s">
        <v>3494</v>
      </c>
    </row>
    <row r="2541">
      <c r="G2541" s="584"/>
      <c r="H2541" s="584"/>
      <c r="I2541" s="335" t="s">
        <v>3494</v>
      </c>
    </row>
    <row r="2542">
      <c r="G2542" s="584"/>
      <c r="H2542" s="584"/>
      <c r="I2542" s="335" t="s">
        <v>3494</v>
      </c>
    </row>
    <row r="2543">
      <c r="G2543" s="584"/>
      <c r="H2543" s="584"/>
      <c r="I2543" s="335" t="s">
        <v>3494</v>
      </c>
    </row>
    <row r="2544">
      <c r="G2544" s="584"/>
      <c r="H2544" s="584"/>
      <c r="I2544" s="335" t="s">
        <v>3494</v>
      </c>
    </row>
    <row r="2545">
      <c r="G2545" s="584"/>
      <c r="H2545" s="584"/>
      <c r="I2545" s="335" t="s">
        <v>3494</v>
      </c>
    </row>
    <row r="2546">
      <c r="G2546" s="584"/>
      <c r="H2546" s="584"/>
      <c r="I2546" s="335" t="s">
        <v>3494</v>
      </c>
    </row>
    <row r="2547">
      <c r="G2547" s="584"/>
      <c r="H2547" s="584"/>
      <c r="I2547" s="335" t="s">
        <v>3494</v>
      </c>
    </row>
    <row r="2548">
      <c r="G2548" s="584"/>
      <c r="H2548" s="584"/>
      <c r="I2548" s="335" t="s">
        <v>3494</v>
      </c>
    </row>
    <row r="2549">
      <c r="G2549" s="584"/>
      <c r="H2549" s="584"/>
      <c r="I2549" s="335" t="s">
        <v>3494</v>
      </c>
    </row>
    <row r="2550">
      <c r="G2550" s="584"/>
      <c r="H2550" s="584"/>
      <c r="I2550" s="335" t="s">
        <v>3494</v>
      </c>
    </row>
    <row r="2551">
      <c r="G2551" s="584"/>
      <c r="H2551" s="584"/>
      <c r="I2551" s="335" t="s">
        <v>3494</v>
      </c>
    </row>
    <row r="2552">
      <c r="G2552" s="584"/>
      <c r="H2552" s="584"/>
      <c r="I2552" s="335" t="s">
        <v>3494</v>
      </c>
    </row>
    <row r="2553">
      <c r="G2553" s="584"/>
      <c r="H2553" s="584"/>
      <c r="I2553" s="335" t="s">
        <v>3494</v>
      </c>
    </row>
    <row r="2554">
      <c r="G2554" s="584"/>
      <c r="H2554" s="584"/>
      <c r="I2554" s="335" t="s">
        <v>3494</v>
      </c>
    </row>
    <row r="2555">
      <c r="G2555" s="584"/>
      <c r="H2555" s="584"/>
      <c r="I2555" s="335" t="s">
        <v>3494</v>
      </c>
    </row>
    <row r="2556">
      <c r="G2556" s="584"/>
      <c r="H2556" s="584"/>
      <c r="I2556" s="335" t="s">
        <v>3494</v>
      </c>
    </row>
    <row r="2557">
      <c r="G2557" s="584"/>
      <c r="H2557" s="584"/>
      <c r="I2557" s="335" t="s">
        <v>3494</v>
      </c>
    </row>
    <row r="2558">
      <c r="G2558" s="584"/>
      <c r="H2558" s="584"/>
      <c r="I2558" s="335" t="s">
        <v>3494</v>
      </c>
    </row>
    <row r="2559">
      <c r="G2559" s="584"/>
      <c r="H2559" s="584"/>
      <c r="I2559" s="335" t="s">
        <v>3494</v>
      </c>
    </row>
    <row r="2560">
      <c r="G2560" s="584"/>
      <c r="H2560" s="584"/>
      <c r="I2560" s="335" t="s">
        <v>3494</v>
      </c>
    </row>
    <row r="2561">
      <c r="G2561" s="584"/>
      <c r="H2561" s="584"/>
      <c r="I2561" s="335" t="s">
        <v>3494</v>
      </c>
    </row>
    <row r="2562">
      <c r="G2562" s="584"/>
      <c r="H2562" s="584"/>
      <c r="I2562" s="335" t="s">
        <v>3494</v>
      </c>
    </row>
    <row r="2563">
      <c r="G2563" s="584"/>
      <c r="H2563" s="584"/>
      <c r="I2563" s="335" t="s">
        <v>3494</v>
      </c>
    </row>
    <row r="2564">
      <c r="G2564" s="584"/>
      <c r="H2564" s="584"/>
      <c r="I2564" s="335" t="s">
        <v>3494</v>
      </c>
    </row>
    <row r="2565">
      <c r="G2565" s="584"/>
      <c r="H2565" s="584"/>
      <c r="I2565" s="335" t="s">
        <v>3494</v>
      </c>
    </row>
    <row r="2566">
      <c r="G2566" s="584"/>
      <c r="H2566" s="584"/>
      <c r="I2566" s="335" t="s">
        <v>3494</v>
      </c>
    </row>
    <row r="2567">
      <c r="G2567" s="584"/>
      <c r="H2567" s="584"/>
      <c r="I2567" s="335" t="s">
        <v>3494</v>
      </c>
    </row>
    <row r="2568">
      <c r="G2568" s="584"/>
      <c r="H2568" s="584"/>
      <c r="I2568" s="335" t="s">
        <v>3494</v>
      </c>
    </row>
    <row r="2569">
      <c r="G2569" s="584"/>
      <c r="H2569" s="584"/>
      <c r="I2569" s="335" t="s">
        <v>3494</v>
      </c>
    </row>
    <row r="2570">
      <c r="G2570" s="584"/>
      <c r="H2570" s="584"/>
      <c r="I2570" s="335" t="s">
        <v>3494</v>
      </c>
    </row>
    <row r="2571">
      <c r="G2571" s="584"/>
      <c r="H2571" s="584"/>
      <c r="I2571" s="335" t="s">
        <v>3494</v>
      </c>
    </row>
    <row r="2572">
      <c r="G2572" s="584"/>
      <c r="H2572" s="584"/>
      <c r="I2572" s="335" t="s">
        <v>3494</v>
      </c>
    </row>
    <row r="2573">
      <c r="G2573" s="584"/>
      <c r="H2573" s="584"/>
      <c r="I2573" s="335" t="s">
        <v>3494</v>
      </c>
    </row>
    <row r="2574">
      <c r="G2574" s="584"/>
      <c r="H2574" s="584"/>
      <c r="I2574" s="335" t="s">
        <v>3494</v>
      </c>
    </row>
    <row r="2575">
      <c r="G2575" s="584"/>
      <c r="H2575" s="584"/>
      <c r="I2575" s="335" t="s">
        <v>3494</v>
      </c>
    </row>
    <row r="2576">
      <c r="G2576" s="584"/>
      <c r="H2576" s="584"/>
      <c r="I2576" s="335" t="s">
        <v>3494</v>
      </c>
    </row>
    <row r="2577">
      <c r="G2577" s="584"/>
      <c r="H2577" s="584"/>
      <c r="I2577" s="335" t="s">
        <v>3494</v>
      </c>
    </row>
    <row r="2578">
      <c r="G2578" s="584"/>
      <c r="H2578" s="584"/>
      <c r="I2578" s="335" t="s">
        <v>3494</v>
      </c>
    </row>
    <row r="2579">
      <c r="G2579" s="584"/>
      <c r="H2579" s="584"/>
      <c r="I2579" s="335" t="s">
        <v>3494</v>
      </c>
    </row>
    <row r="2580">
      <c r="G2580" s="584"/>
      <c r="H2580" s="584"/>
      <c r="I2580" s="335" t="s">
        <v>3494</v>
      </c>
    </row>
    <row r="2581">
      <c r="G2581" s="584"/>
      <c r="H2581" s="584"/>
      <c r="I2581" s="335" t="s">
        <v>3494</v>
      </c>
    </row>
    <row r="2582">
      <c r="G2582" s="584"/>
      <c r="H2582" s="584"/>
      <c r="I2582" s="335" t="s">
        <v>3494</v>
      </c>
    </row>
    <row r="2583">
      <c r="G2583" s="584"/>
      <c r="H2583" s="584"/>
      <c r="I2583" s="335" t="s">
        <v>3494</v>
      </c>
    </row>
    <row r="2584">
      <c r="G2584" s="584"/>
      <c r="H2584" s="584"/>
      <c r="I2584" s="335" t="s">
        <v>3494</v>
      </c>
    </row>
    <row r="2585">
      <c r="G2585" s="584"/>
      <c r="H2585" s="584"/>
      <c r="I2585" s="335" t="s">
        <v>3494</v>
      </c>
    </row>
    <row r="2586">
      <c r="G2586" s="584"/>
      <c r="H2586" s="584"/>
      <c r="I2586" s="335" t="s">
        <v>3494</v>
      </c>
    </row>
    <row r="2587">
      <c r="G2587" s="584"/>
      <c r="H2587" s="584"/>
      <c r="I2587" s="335" t="s">
        <v>3494</v>
      </c>
    </row>
    <row r="2588">
      <c r="G2588" s="584"/>
      <c r="H2588" s="584"/>
      <c r="I2588" s="335" t="s">
        <v>3494</v>
      </c>
    </row>
    <row r="2589">
      <c r="G2589" s="584"/>
      <c r="H2589" s="584"/>
      <c r="I2589" s="335" t="s">
        <v>3494</v>
      </c>
    </row>
    <row r="2590">
      <c r="G2590" s="584"/>
      <c r="H2590" s="584"/>
      <c r="I2590" s="335" t="s">
        <v>3494</v>
      </c>
    </row>
    <row r="2591">
      <c r="G2591" s="584"/>
      <c r="H2591" s="584"/>
      <c r="I2591" s="335" t="s">
        <v>3494</v>
      </c>
    </row>
    <row r="2592">
      <c r="G2592" s="584"/>
      <c r="H2592" s="584"/>
      <c r="I2592" s="335" t="s">
        <v>3494</v>
      </c>
    </row>
    <row r="2593">
      <c r="G2593" s="584"/>
      <c r="H2593" s="584"/>
      <c r="I2593" s="335" t="s">
        <v>3494</v>
      </c>
    </row>
    <row r="2594">
      <c r="G2594" s="584"/>
      <c r="H2594" s="584"/>
      <c r="I2594" s="335" t="s">
        <v>3494</v>
      </c>
    </row>
    <row r="2595">
      <c r="G2595" s="584"/>
      <c r="H2595" s="584"/>
      <c r="I2595" s="335" t="s">
        <v>3494</v>
      </c>
    </row>
    <row r="2596">
      <c r="G2596" s="584"/>
      <c r="H2596" s="584"/>
      <c r="I2596" s="335" t="s">
        <v>3494</v>
      </c>
    </row>
    <row r="2597">
      <c r="G2597" s="584"/>
      <c r="H2597" s="584"/>
      <c r="I2597" s="335" t="s">
        <v>3494</v>
      </c>
    </row>
    <row r="2598">
      <c r="G2598" s="584"/>
      <c r="H2598" s="584"/>
      <c r="I2598" s="335" t="s">
        <v>3494</v>
      </c>
    </row>
    <row r="2599">
      <c r="G2599" s="584"/>
      <c r="H2599" s="584"/>
      <c r="I2599" s="335" t="s">
        <v>3494</v>
      </c>
    </row>
    <row r="2600">
      <c r="G2600" s="584"/>
      <c r="H2600" s="584"/>
      <c r="I2600" s="335" t="s">
        <v>3494</v>
      </c>
    </row>
    <row r="2601">
      <c r="G2601" s="584"/>
      <c r="H2601" s="584"/>
      <c r="I2601" s="335" t="s">
        <v>3494</v>
      </c>
    </row>
    <row r="2602">
      <c r="G2602" s="584"/>
      <c r="H2602" s="584"/>
      <c r="I2602" s="335" t="s">
        <v>3494</v>
      </c>
    </row>
    <row r="2603">
      <c r="G2603" s="584"/>
      <c r="H2603" s="584"/>
      <c r="I2603" s="335" t="s">
        <v>3494</v>
      </c>
    </row>
    <row r="2604">
      <c r="G2604" s="584"/>
      <c r="H2604" s="584"/>
      <c r="I2604" s="335" t="s">
        <v>3494</v>
      </c>
    </row>
    <row r="2605">
      <c r="G2605" s="584"/>
      <c r="H2605" s="584"/>
      <c r="I2605" s="335" t="s">
        <v>3494</v>
      </c>
    </row>
    <row r="2606">
      <c r="G2606" s="584"/>
      <c r="H2606" s="584"/>
      <c r="I2606" s="335" t="s">
        <v>3494</v>
      </c>
    </row>
    <row r="2607">
      <c r="G2607" s="584"/>
      <c r="H2607" s="584"/>
      <c r="I2607" s="335" t="s">
        <v>3494</v>
      </c>
    </row>
    <row r="2608">
      <c r="G2608" s="584"/>
      <c r="H2608" s="584"/>
      <c r="I2608" s="335" t="s">
        <v>3494</v>
      </c>
    </row>
    <row r="2609">
      <c r="G2609" s="584"/>
      <c r="H2609" s="584"/>
      <c r="I2609" s="335" t="s">
        <v>3494</v>
      </c>
    </row>
    <row r="2610">
      <c r="G2610" s="584"/>
      <c r="H2610" s="584"/>
      <c r="I2610" s="335" t="s">
        <v>3494</v>
      </c>
    </row>
    <row r="2611">
      <c r="G2611" s="584"/>
      <c r="H2611" s="584"/>
      <c r="I2611" s="335" t="s">
        <v>3494</v>
      </c>
    </row>
    <row r="2612">
      <c r="G2612" s="584"/>
      <c r="H2612" s="584"/>
      <c r="I2612" s="335" t="s">
        <v>3494</v>
      </c>
    </row>
    <row r="2613">
      <c r="G2613" s="584"/>
      <c r="H2613" s="584"/>
      <c r="I2613" s="335" t="s">
        <v>3494</v>
      </c>
    </row>
    <row r="2614">
      <c r="G2614" s="584"/>
      <c r="H2614" s="584"/>
      <c r="I2614" s="335" t="s">
        <v>3494</v>
      </c>
    </row>
    <row r="2615">
      <c r="G2615" s="584"/>
      <c r="H2615" s="584"/>
      <c r="I2615" s="335" t="s">
        <v>3494</v>
      </c>
    </row>
    <row r="2616">
      <c r="G2616" s="584"/>
      <c r="H2616" s="584"/>
      <c r="I2616" s="335" t="s">
        <v>3494</v>
      </c>
    </row>
    <row r="2617">
      <c r="G2617" s="584"/>
      <c r="H2617" s="584"/>
      <c r="I2617" s="335" t="s">
        <v>3494</v>
      </c>
    </row>
    <row r="2618">
      <c r="G2618" s="584"/>
      <c r="H2618" s="584"/>
      <c r="I2618" s="335" t="s">
        <v>3494</v>
      </c>
    </row>
    <row r="2619">
      <c r="G2619" s="584"/>
      <c r="H2619" s="584"/>
      <c r="I2619" s="335" t="s">
        <v>3494</v>
      </c>
    </row>
    <row r="2620">
      <c r="G2620" s="584"/>
      <c r="H2620" s="584"/>
      <c r="I2620" s="335" t="s">
        <v>3494</v>
      </c>
    </row>
    <row r="2621">
      <c r="G2621" s="584"/>
      <c r="H2621" s="584"/>
      <c r="I2621" s="335" t="s">
        <v>3494</v>
      </c>
    </row>
    <row r="2622">
      <c r="G2622" s="584"/>
      <c r="H2622" s="584"/>
      <c r="I2622" s="335" t="s">
        <v>3494</v>
      </c>
    </row>
    <row r="2623">
      <c r="G2623" s="584"/>
      <c r="H2623" s="584"/>
      <c r="I2623" s="335" t="s">
        <v>3494</v>
      </c>
    </row>
    <row r="2624">
      <c r="G2624" s="584"/>
      <c r="H2624" s="584"/>
      <c r="I2624" s="335" t="s">
        <v>3494</v>
      </c>
    </row>
    <row r="2625">
      <c r="G2625" s="584"/>
      <c r="H2625" s="584"/>
      <c r="I2625" s="335" t="s">
        <v>3494</v>
      </c>
    </row>
    <row r="2626">
      <c r="G2626" s="584"/>
      <c r="H2626" s="584"/>
      <c r="I2626" s="335" t="s">
        <v>3494</v>
      </c>
    </row>
    <row r="2627">
      <c r="G2627" s="584"/>
      <c r="H2627" s="584"/>
      <c r="I2627" s="335" t="s">
        <v>3494</v>
      </c>
    </row>
    <row r="2628">
      <c r="G2628" s="584"/>
      <c r="H2628" s="584"/>
      <c r="I2628" s="335" t="s">
        <v>3494</v>
      </c>
    </row>
    <row r="2629">
      <c r="G2629" s="584"/>
      <c r="H2629" s="584"/>
      <c r="I2629" s="335" t="s">
        <v>3494</v>
      </c>
    </row>
    <row r="2630">
      <c r="G2630" s="584"/>
      <c r="H2630" s="584"/>
      <c r="I2630" s="335" t="s">
        <v>3494</v>
      </c>
    </row>
    <row r="2631">
      <c r="G2631" s="584"/>
      <c r="H2631" s="584"/>
      <c r="I2631" s="335" t="s">
        <v>3494</v>
      </c>
    </row>
    <row r="2632">
      <c r="G2632" s="584"/>
      <c r="H2632" s="584"/>
      <c r="I2632" s="335" t="s">
        <v>3494</v>
      </c>
    </row>
    <row r="2633">
      <c r="G2633" s="584"/>
      <c r="H2633" s="584"/>
      <c r="I2633" s="335" t="s">
        <v>3494</v>
      </c>
    </row>
    <row r="2634">
      <c r="G2634" s="584"/>
      <c r="H2634" s="584"/>
      <c r="I2634" s="335" t="s">
        <v>3494</v>
      </c>
    </row>
    <row r="2635">
      <c r="G2635" s="584"/>
      <c r="H2635" s="584"/>
      <c r="I2635" s="335" t="s">
        <v>3494</v>
      </c>
    </row>
    <row r="2636">
      <c r="G2636" s="584"/>
      <c r="H2636" s="584"/>
      <c r="I2636" s="335" t="s">
        <v>3494</v>
      </c>
    </row>
    <row r="2637">
      <c r="G2637" s="584"/>
      <c r="H2637" s="584"/>
      <c r="I2637" s="335" t="s">
        <v>3494</v>
      </c>
    </row>
    <row r="2638">
      <c r="G2638" s="584"/>
      <c r="H2638" s="584"/>
      <c r="I2638" s="335" t="s">
        <v>3494</v>
      </c>
    </row>
    <row r="2639">
      <c r="G2639" s="584"/>
      <c r="H2639" s="584"/>
      <c r="I2639" s="335" t="s">
        <v>3494</v>
      </c>
    </row>
    <row r="2640">
      <c r="G2640" s="584"/>
      <c r="H2640" s="584"/>
      <c r="I2640" s="335" t="s">
        <v>3494</v>
      </c>
    </row>
    <row r="2641">
      <c r="G2641" s="584"/>
      <c r="H2641" s="584"/>
      <c r="I2641" s="335" t="s">
        <v>3494</v>
      </c>
    </row>
    <row r="2642">
      <c r="G2642" s="584"/>
      <c r="H2642" s="584"/>
      <c r="I2642" s="335" t="s">
        <v>3494</v>
      </c>
    </row>
    <row r="2643">
      <c r="G2643" s="584"/>
      <c r="H2643" s="584"/>
      <c r="I2643" s="335" t="s">
        <v>3494</v>
      </c>
    </row>
    <row r="2644">
      <c r="G2644" s="584"/>
      <c r="H2644" s="584"/>
      <c r="I2644" s="335" t="s">
        <v>3494</v>
      </c>
    </row>
    <row r="2645">
      <c r="G2645" s="584"/>
      <c r="H2645" s="584"/>
      <c r="I2645" s="335" t="s">
        <v>3494</v>
      </c>
    </row>
    <row r="2646">
      <c r="G2646" s="584"/>
      <c r="H2646" s="584"/>
      <c r="I2646" s="335" t="s">
        <v>3494</v>
      </c>
    </row>
    <row r="2647">
      <c r="G2647" s="584"/>
      <c r="H2647" s="584"/>
      <c r="I2647" s="335" t="s">
        <v>3494</v>
      </c>
    </row>
    <row r="2648">
      <c r="G2648" s="584"/>
      <c r="H2648" s="584"/>
      <c r="I2648" s="335" t="s">
        <v>3494</v>
      </c>
    </row>
    <row r="2649">
      <c r="G2649" s="584"/>
      <c r="H2649" s="584"/>
      <c r="I2649" s="335" t="s">
        <v>3494</v>
      </c>
    </row>
    <row r="2650">
      <c r="G2650" s="584"/>
      <c r="H2650" s="584"/>
      <c r="I2650" s="335" t="s">
        <v>3494</v>
      </c>
    </row>
    <row r="2651">
      <c r="G2651" s="584"/>
      <c r="H2651" s="584"/>
      <c r="I2651" s="335" t="s">
        <v>3494</v>
      </c>
    </row>
    <row r="2652">
      <c r="G2652" s="584"/>
      <c r="H2652" s="584"/>
      <c r="I2652" s="335" t="s">
        <v>3494</v>
      </c>
    </row>
    <row r="2653">
      <c r="G2653" s="584"/>
      <c r="H2653" s="584"/>
      <c r="I2653" s="335" t="s">
        <v>3494</v>
      </c>
    </row>
    <row r="2654">
      <c r="G2654" s="584"/>
      <c r="H2654" s="584"/>
      <c r="I2654" s="335" t="s">
        <v>3494</v>
      </c>
    </row>
    <row r="2655">
      <c r="G2655" s="584"/>
      <c r="H2655" s="584"/>
      <c r="I2655" s="335" t="s">
        <v>3494</v>
      </c>
    </row>
    <row r="2656">
      <c r="G2656" s="584"/>
      <c r="H2656" s="584"/>
      <c r="I2656" s="335" t="s">
        <v>3494</v>
      </c>
    </row>
    <row r="2657">
      <c r="G2657" s="584"/>
      <c r="H2657" s="584"/>
      <c r="I2657" s="335" t="s">
        <v>3494</v>
      </c>
    </row>
    <row r="2658">
      <c r="G2658" s="584"/>
      <c r="H2658" s="584"/>
      <c r="I2658" s="335" t="s">
        <v>3494</v>
      </c>
    </row>
    <row r="2659">
      <c r="G2659" s="584"/>
      <c r="H2659" s="584"/>
      <c r="I2659" s="335" t="s">
        <v>3494</v>
      </c>
    </row>
    <row r="2660">
      <c r="G2660" s="584"/>
      <c r="H2660" s="584"/>
      <c r="I2660" s="335" t="s">
        <v>3494</v>
      </c>
    </row>
    <row r="2661">
      <c r="G2661" s="584"/>
      <c r="H2661" s="584"/>
      <c r="I2661" s="335" t="s">
        <v>3494</v>
      </c>
    </row>
    <row r="2662">
      <c r="G2662" s="584"/>
      <c r="H2662" s="584"/>
      <c r="I2662" s="335" t="s">
        <v>3494</v>
      </c>
    </row>
    <row r="2663">
      <c r="G2663" s="584"/>
      <c r="H2663" s="584"/>
      <c r="I2663" s="335" t="s">
        <v>3494</v>
      </c>
    </row>
    <row r="2664">
      <c r="G2664" s="584"/>
      <c r="H2664" s="584"/>
      <c r="I2664" s="335" t="s">
        <v>3494</v>
      </c>
    </row>
    <row r="2665">
      <c r="G2665" s="584"/>
      <c r="H2665" s="584"/>
      <c r="I2665" s="335" t="s">
        <v>3494</v>
      </c>
    </row>
    <row r="2666">
      <c r="G2666" s="584"/>
      <c r="H2666" s="584"/>
      <c r="I2666" s="335" t="s">
        <v>3494</v>
      </c>
    </row>
    <row r="2667">
      <c r="G2667" s="584"/>
      <c r="H2667" s="584"/>
      <c r="I2667" s="335" t="s">
        <v>3494</v>
      </c>
    </row>
    <row r="2668">
      <c r="G2668" s="584"/>
      <c r="H2668" s="584"/>
      <c r="I2668" s="335" t="s">
        <v>3494</v>
      </c>
    </row>
    <row r="2669">
      <c r="G2669" s="584"/>
      <c r="H2669" s="584"/>
      <c r="I2669" s="335" t="s">
        <v>3494</v>
      </c>
    </row>
    <row r="2670">
      <c r="G2670" s="584"/>
      <c r="H2670" s="584"/>
      <c r="I2670" s="335" t="s">
        <v>3494</v>
      </c>
    </row>
    <row r="2671">
      <c r="G2671" s="584"/>
      <c r="H2671" s="584"/>
      <c r="I2671" s="335" t="s">
        <v>3494</v>
      </c>
    </row>
    <row r="2672">
      <c r="G2672" s="584"/>
      <c r="H2672" s="584"/>
      <c r="I2672" s="335" t="s">
        <v>3494</v>
      </c>
    </row>
    <row r="2673">
      <c r="G2673" s="584"/>
      <c r="H2673" s="584"/>
      <c r="I2673" s="335" t="s">
        <v>3494</v>
      </c>
    </row>
    <row r="2674">
      <c r="G2674" s="584"/>
      <c r="H2674" s="584"/>
      <c r="I2674" s="335" t="s">
        <v>3494</v>
      </c>
    </row>
    <row r="2675">
      <c r="G2675" s="584"/>
      <c r="H2675" s="584"/>
      <c r="I2675" s="335" t="s">
        <v>3494</v>
      </c>
    </row>
    <row r="2676">
      <c r="G2676" s="584"/>
      <c r="H2676" s="584"/>
      <c r="I2676" s="335" t="s">
        <v>3494</v>
      </c>
    </row>
    <row r="2677">
      <c r="G2677" s="584"/>
      <c r="H2677" s="584"/>
      <c r="I2677" s="335" t="s">
        <v>3494</v>
      </c>
    </row>
    <row r="2678">
      <c r="G2678" s="584"/>
      <c r="H2678" s="584"/>
      <c r="I2678" s="335" t="s">
        <v>3494</v>
      </c>
    </row>
    <row r="2679">
      <c r="G2679" s="584"/>
      <c r="H2679" s="584"/>
      <c r="I2679" s="335" t="s">
        <v>3494</v>
      </c>
    </row>
    <row r="2680">
      <c r="G2680" s="584"/>
      <c r="H2680" s="584"/>
      <c r="I2680" s="335" t="s">
        <v>3494</v>
      </c>
    </row>
    <row r="2681">
      <c r="G2681" s="584"/>
      <c r="H2681" s="584"/>
      <c r="I2681" s="335" t="s">
        <v>3494</v>
      </c>
    </row>
    <row r="2682">
      <c r="G2682" s="584"/>
      <c r="H2682" s="584"/>
      <c r="I2682" s="335" t="s">
        <v>3494</v>
      </c>
    </row>
    <row r="2683">
      <c r="G2683" s="584"/>
      <c r="H2683" s="584"/>
      <c r="I2683" s="335" t="s">
        <v>3494</v>
      </c>
    </row>
    <row r="2684">
      <c r="G2684" s="584"/>
      <c r="H2684" s="584"/>
      <c r="I2684" s="335" t="s">
        <v>3494</v>
      </c>
    </row>
    <row r="2685">
      <c r="G2685" s="584"/>
      <c r="H2685" s="584"/>
      <c r="I2685" s="335" t="s">
        <v>3494</v>
      </c>
    </row>
    <row r="2686">
      <c r="G2686" s="584"/>
      <c r="H2686" s="584"/>
      <c r="I2686" s="335" t="s">
        <v>3494</v>
      </c>
    </row>
    <row r="2687">
      <c r="G2687" s="584"/>
      <c r="H2687" s="584"/>
      <c r="I2687" s="335" t="s">
        <v>3494</v>
      </c>
    </row>
    <row r="2688">
      <c r="G2688" s="584"/>
      <c r="H2688" s="584"/>
      <c r="I2688" s="335" t="s">
        <v>3494</v>
      </c>
    </row>
    <row r="2689">
      <c r="G2689" s="584"/>
      <c r="H2689" s="584"/>
      <c r="I2689" s="335" t="s">
        <v>3494</v>
      </c>
    </row>
    <row r="2690">
      <c r="G2690" s="584"/>
      <c r="H2690" s="584"/>
      <c r="I2690" s="335" t="s">
        <v>3494</v>
      </c>
    </row>
    <row r="2691">
      <c r="G2691" s="584"/>
      <c r="H2691" s="584"/>
      <c r="I2691" s="335" t="s">
        <v>3494</v>
      </c>
    </row>
    <row r="2692">
      <c r="G2692" s="584"/>
      <c r="H2692" s="584"/>
      <c r="I2692" s="335" t="s">
        <v>3494</v>
      </c>
    </row>
    <row r="2693">
      <c r="G2693" s="584"/>
      <c r="H2693" s="584"/>
      <c r="I2693" s="335" t="s">
        <v>3494</v>
      </c>
    </row>
    <row r="2694">
      <c r="G2694" s="584"/>
      <c r="H2694" s="584"/>
      <c r="I2694" s="335" t="s">
        <v>3494</v>
      </c>
    </row>
    <row r="2695">
      <c r="G2695" s="584"/>
      <c r="H2695" s="584"/>
      <c r="I2695" s="335" t="s">
        <v>3494</v>
      </c>
    </row>
    <row r="2696">
      <c r="G2696" s="584"/>
      <c r="H2696" s="584"/>
      <c r="I2696" s="335" t="s">
        <v>3494</v>
      </c>
    </row>
    <row r="2697">
      <c r="G2697" s="584"/>
      <c r="H2697" s="584"/>
      <c r="I2697" s="335" t="s">
        <v>3494</v>
      </c>
    </row>
    <row r="2698">
      <c r="G2698" s="584"/>
      <c r="H2698" s="584"/>
      <c r="I2698" s="335" t="s">
        <v>3494</v>
      </c>
    </row>
    <row r="2699">
      <c r="G2699" s="584"/>
      <c r="H2699" s="584"/>
      <c r="I2699" s="335" t="s">
        <v>3494</v>
      </c>
    </row>
    <row r="2700">
      <c r="G2700" s="584"/>
      <c r="H2700" s="584"/>
      <c r="I2700" s="335" t="s">
        <v>3494</v>
      </c>
    </row>
    <row r="2701">
      <c r="G2701" s="584"/>
      <c r="H2701" s="584"/>
      <c r="I2701" s="335" t="s">
        <v>3494</v>
      </c>
    </row>
    <row r="2702">
      <c r="G2702" s="584"/>
      <c r="H2702" s="584"/>
      <c r="I2702" s="335" t="s">
        <v>3494</v>
      </c>
    </row>
    <row r="2703">
      <c r="G2703" s="584"/>
      <c r="H2703" s="584"/>
      <c r="I2703" s="335" t="s">
        <v>3494</v>
      </c>
    </row>
    <row r="2704">
      <c r="G2704" s="584"/>
      <c r="H2704" s="584"/>
      <c r="I2704" s="335" t="s">
        <v>3494</v>
      </c>
    </row>
    <row r="2705">
      <c r="G2705" s="584"/>
      <c r="H2705" s="584"/>
      <c r="I2705" s="335" t="s">
        <v>3494</v>
      </c>
    </row>
    <row r="2706">
      <c r="G2706" s="584"/>
      <c r="H2706" s="584"/>
      <c r="I2706" s="335" t="s">
        <v>3494</v>
      </c>
    </row>
    <row r="2707">
      <c r="G2707" s="584"/>
      <c r="H2707" s="584"/>
      <c r="I2707" s="335" t="s">
        <v>3494</v>
      </c>
    </row>
    <row r="2708">
      <c r="G2708" s="584"/>
      <c r="H2708" s="584"/>
      <c r="I2708" s="335" t="s">
        <v>3494</v>
      </c>
    </row>
    <row r="2709">
      <c r="G2709" s="584"/>
      <c r="H2709" s="584"/>
      <c r="I2709" s="335" t="s">
        <v>3494</v>
      </c>
    </row>
    <row r="2710">
      <c r="G2710" s="584"/>
      <c r="H2710" s="584"/>
      <c r="I2710" s="335" t="s">
        <v>3494</v>
      </c>
    </row>
    <row r="2711">
      <c r="G2711" s="584"/>
      <c r="H2711" s="584"/>
      <c r="I2711" s="335" t="s">
        <v>3494</v>
      </c>
    </row>
    <row r="2712">
      <c r="G2712" s="584"/>
      <c r="H2712" s="584"/>
      <c r="I2712" s="335" t="s">
        <v>3494</v>
      </c>
    </row>
    <row r="2713">
      <c r="G2713" s="584"/>
      <c r="H2713" s="584"/>
      <c r="I2713" s="335" t="s">
        <v>3494</v>
      </c>
    </row>
    <row r="2714">
      <c r="G2714" s="584"/>
      <c r="H2714" s="584"/>
      <c r="I2714" s="335" t="s">
        <v>3494</v>
      </c>
    </row>
    <row r="2715">
      <c r="G2715" s="584"/>
      <c r="H2715" s="584"/>
      <c r="I2715" s="335" t="s">
        <v>3494</v>
      </c>
    </row>
    <row r="2716">
      <c r="G2716" s="584"/>
      <c r="H2716" s="584"/>
      <c r="I2716" s="335" t="s">
        <v>3494</v>
      </c>
    </row>
    <row r="2717">
      <c r="G2717" s="584"/>
      <c r="H2717" s="584"/>
      <c r="I2717" s="335" t="s">
        <v>3494</v>
      </c>
    </row>
    <row r="2718">
      <c r="G2718" s="584"/>
      <c r="H2718" s="584"/>
      <c r="I2718" s="335" t="s">
        <v>3494</v>
      </c>
    </row>
    <row r="2719">
      <c r="G2719" s="584"/>
      <c r="H2719" s="584"/>
      <c r="I2719" s="335" t="s">
        <v>3494</v>
      </c>
    </row>
    <row r="2720">
      <c r="G2720" s="584"/>
      <c r="H2720" s="584"/>
      <c r="I2720" s="335" t="s">
        <v>3494</v>
      </c>
    </row>
    <row r="2721">
      <c r="G2721" s="584"/>
      <c r="H2721" s="584"/>
      <c r="I2721" s="335" t="s">
        <v>3494</v>
      </c>
    </row>
    <row r="2722">
      <c r="G2722" s="584"/>
      <c r="H2722" s="584"/>
      <c r="I2722" s="335" t="s">
        <v>3494</v>
      </c>
    </row>
    <row r="2723">
      <c r="G2723" s="584"/>
      <c r="H2723" s="584"/>
      <c r="I2723" s="335" t="s">
        <v>3494</v>
      </c>
    </row>
    <row r="2724">
      <c r="G2724" s="584"/>
      <c r="H2724" s="584"/>
      <c r="I2724" s="335" t="s">
        <v>3494</v>
      </c>
    </row>
    <row r="2725">
      <c r="G2725" s="584"/>
      <c r="H2725" s="584"/>
      <c r="I2725" s="335" t="s">
        <v>3494</v>
      </c>
    </row>
    <row r="2726">
      <c r="G2726" s="584"/>
      <c r="H2726" s="584"/>
      <c r="I2726" s="335" t="s">
        <v>3494</v>
      </c>
    </row>
    <row r="2727">
      <c r="G2727" s="584"/>
      <c r="H2727" s="584"/>
      <c r="I2727" s="335" t="s">
        <v>3494</v>
      </c>
    </row>
    <row r="2728">
      <c r="G2728" s="584"/>
      <c r="H2728" s="584"/>
      <c r="I2728" s="335" t="s">
        <v>3494</v>
      </c>
    </row>
    <row r="2729">
      <c r="G2729" s="584"/>
      <c r="H2729" s="584"/>
      <c r="I2729" s="335" t="s">
        <v>3494</v>
      </c>
    </row>
    <row r="2730">
      <c r="G2730" s="584"/>
      <c r="H2730" s="584"/>
      <c r="I2730" s="335" t="s">
        <v>3494</v>
      </c>
    </row>
    <row r="2731">
      <c r="G2731" s="584"/>
      <c r="H2731" s="584"/>
      <c r="I2731" s="335" t="s">
        <v>3494</v>
      </c>
    </row>
    <row r="2732">
      <c r="G2732" s="584"/>
      <c r="H2732" s="584"/>
      <c r="I2732" s="335" t="s">
        <v>3494</v>
      </c>
    </row>
    <row r="2733">
      <c r="G2733" s="584"/>
      <c r="H2733" s="584"/>
      <c r="I2733" s="335" t="s">
        <v>3494</v>
      </c>
    </row>
    <row r="2734">
      <c r="G2734" s="584"/>
      <c r="H2734" s="584"/>
      <c r="I2734" s="335" t="s">
        <v>3494</v>
      </c>
    </row>
    <row r="2735">
      <c r="G2735" s="584"/>
      <c r="H2735" s="584"/>
      <c r="I2735" s="335" t="s">
        <v>3494</v>
      </c>
    </row>
    <row r="2736">
      <c r="G2736" s="584"/>
      <c r="H2736" s="584"/>
      <c r="I2736" s="335" t="s">
        <v>3494</v>
      </c>
    </row>
    <row r="2737">
      <c r="G2737" s="584"/>
      <c r="H2737" s="584"/>
      <c r="I2737" s="335" t="s">
        <v>3494</v>
      </c>
    </row>
    <row r="2738">
      <c r="G2738" s="584"/>
      <c r="H2738" s="584"/>
      <c r="I2738" s="335" t="s">
        <v>3494</v>
      </c>
    </row>
    <row r="2739">
      <c r="G2739" s="584"/>
      <c r="H2739" s="584"/>
      <c r="I2739" s="335" t="s">
        <v>3494</v>
      </c>
    </row>
    <row r="2740">
      <c r="G2740" s="584"/>
      <c r="H2740" s="584"/>
      <c r="I2740" s="335" t="s">
        <v>3494</v>
      </c>
    </row>
    <row r="2741">
      <c r="G2741" s="584"/>
      <c r="H2741" s="584"/>
      <c r="I2741" s="335" t="s">
        <v>3494</v>
      </c>
    </row>
    <row r="2742">
      <c r="G2742" s="584"/>
      <c r="H2742" s="584"/>
      <c r="I2742" s="335" t="s">
        <v>3494</v>
      </c>
    </row>
    <row r="2743">
      <c r="G2743" s="584"/>
      <c r="H2743" s="584"/>
      <c r="I2743" s="335" t="s">
        <v>3494</v>
      </c>
    </row>
    <row r="2744">
      <c r="G2744" s="584"/>
      <c r="H2744" s="584"/>
      <c r="I2744" s="335" t="s">
        <v>3494</v>
      </c>
    </row>
    <row r="2745">
      <c r="G2745" s="584"/>
      <c r="H2745" s="584"/>
      <c r="I2745" s="335" t="s">
        <v>3494</v>
      </c>
    </row>
    <row r="2746">
      <c r="G2746" s="584"/>
      <c r="H2746" s="584"/>
      <c r="I2746" s="335" t="s">
        <v>3494</v>
      </c>
    </row>
    <row r="2747">
      <c r="G2747" s="584"/>
      <c r="H2747" s="584"/>
      <c r="I2747" s="335" t="s">
        <v>3494</v>
      </c>
    </row>
    <row r="2748">
      <c r="G2748" s="584"/>
      <c r="H2748" s="584"/>
      <c r="I2748" s="335" t="s">
        <v>3494</v>
      </c>
    </row>
    <row r="2749">
      <c r="G2749" s="584"/>
      <c r="H2749" s="584"/>
      <c r="I2749" s="335" t="s">
        <v>3494</v>
      </c>
    </row>
    <row r="2750">
      <c r="G2750" s="584"/>
      <c r="H2750" s="584"/>
      <c r="I2750" s="335" t="s">
        <v>3494</v>
      </c>
    </row>
    <row r="2751">
      <c r="G2751" s="584"/>
      <c r="H2751" s="584"/>
      <c r="I2751" s="335" t="s">
        <v>3494</v>
      </c>
    </row>
    <row r="2752">
      <c r="G2752" s="584"/>
      <c r="H2752" s="584"/>
      <c r="I2752" s="335" t="s">
        <v>3494</v>
      </c>
    </row>
    <row r="2753">
      <c r="G2753" s="584"/>
      <c r="H2753" s="584"/>
      <c r="I2753" s="335" t="s">
        <v>3494</v>
      </c>
    </row>
    <row r="2754">
      <c r="G2754" s="584"/>
      <c r="H2754" s="584"/>
      <c r="I2754" s="335" t="s">
        <v>3494</v>
      </c>
    </row>
    <row r="2755">
      <c r="G2755" s="584"/>
      <c r="H2755" s="584"/>
      <c r="I2755" s="335" t="s">
        <v>3494</v>
      </c>
    </row>
    <row r="2756">
      <c r="G2756" s="584"/>
      <c r="H2756" s="584"/>
      <c r="I2756" s="335" t="s">
        <v>3494</v>
      </c>
    </row>
    <row r="2757">
      <c r="G2757" s="584"/>
      <c r="H2757" s="584"/>
      <c r="I2757" s="335" t="s">
        <v>3494</v>
      </c>
    </row>
    <row r="2758">
      <c r="G2758" s="584"/>
      <c r="H2758" s="584"/>
      <c r="I2758" s="335" t="s">
        <v>3494</v>
      </c>
    </row>
    <row r="2759">
      <c r="G2759" s="584"/>
      <c r="H2759" s="584"/>
      <c r="I2759" s="335" t="s">
        <v>3494</v>
      </c>
    </row>
    <row r="2760">
      <c r="G2760" s="584"/>
      <c r="H2760" s="584"/>
      <c r="I2760" s="335" t="s">
        <v>3494</v>
      </c>
    </row>
    <row r="2761">
      <c r="G2761" s="584"/>
      <c r="H2761" s="584"/>
      <c r="I2761" s="335" t="s">
        <v>3494</v>
      </c>
    </row>
    <row r="2762">
      <c r="G2762" s="584"/>
      <c r="H2762" s="584"/>
      <c r="I2762" s="335" t="s">
        <v>3494</v>
      </c>
    </row>
    <row r="2763">
      <c r="G2763" s="584"/>
      <c r="H2763" s="584"/>
      <c r="I2763" s="335" t="s">
        <v>3494</v>
      </c>
    </row>
    <row r="2764">
      <c r="G2764" s="584"/>
      <c r="H2764" s="584"/>
      <c r="I2764" s="335" t="s">
        <v>3494</v>
      </c>
    </row>
    <row r="2765">
      <c r="G2765" s="584"/>
      <c r="H2765" s="584"/>
      <c r="I2765" s="335" t="s">
        <v>3494</v>
      </c>
    </row>
    <row r="2766">
      <c r="G2766" s="584"/>
      <c r="H2766" s="584"/>
      <c r="I2766" s="335" t="s">
        <v>3494</v>
      </c>
    </row>
    <row r="2767">
      <c r="G2767" s="584"/>
      <c r="H2767" s="584"/>
      <c r="I2767" s="335" t="s">
        <v>3494</v>
      </c>
    </row>
    <row r="2768">
      <c r="G2768" s="584"/>
      <c r="H2768" s="584"/>
      <c r="I2768" s="335" t="s">
        <v>3494</v>
      </c>
    </row>
    <row r="2769">
      <c r="G2769" s="584"/>
      <c r="H2769" s="584"/>
      <c r="I2769" s="335" t="s">
        <v>3494</v>
      </c>
    </row>
    <row r="2770">
      <c r="G2770" s="584"/>
      <c r="H2770" s="584"/>
      <c r="I2770" s="335" t="s">
        <v>3494</v>
      </c>
    </row>
    <row r="2771">
      <c r="G2771" s="584"/>
      <c r="H2771" s="584"/>
      <c r="I2771" s="335" t="s">
        <v>3494</v>
      </c>
    </row>
    <row r="2772">
      <c r="G2772" s="584"/>
      <c r="H2772" s="584"/>
      <c r="I2772" s="335" t="s">
        <v>3494</v>
      </c>
    </row>
    <row r="2773">
      <c r="G2773" s="584"/>
      <c r="H2773" s="584"/>
      <c r="I2773" s="335" t="s">
        <v>3494</v>
      </c>
    </row>
    <row r="2774">
      <c r="G2774" s="584"/>
      <c r="H2774" s="584"/>
      <c r="I2774" s="335" t="s">
        <v>3494</v>
      </c>
    </row>
    <row r="2775">
      <c r="G2775" s="584"/>
      <c r="H2775" s="584"/>
      <c r="I2775" s="335" t="s">
        <v>3494</v>
      </c>
    </row>
    <row r="2776">
      <c r="G2776" s="584"/>
      <c r="H2776" s="584"/>
      <c r="I2776" s="335" t="s">
        <v>3494</v>
      </c>
    </row>
    <row r="2777">
      <c r="G2777" s="584"/>
      <c r="H2777" s="584"/>
      <c r="I2777" s="335" t="s">
        <v>3494</v>
      </c>
    </row>
    <row r="2778">
      <c r="G2778" s="584"/>
      <c r="H2778" s="584"/>
      <c r="I2778" s="335" t="s">
        <v>3494</v>
      </c>
    </row>
    <row r="2779">
      <c r="G2779" s="584"/>
      <c r="H2779" s="584"/>
      <c r="I2779" s="335" t="s">
        <v>3494</v>
      </c>
    </row>
    <row r="2780">
      <c r="G2780" s="584"/>
      <c r="H2780" s="584"/>
      <c r="I2780" s="335" t="s">
        <v>3494</v>
      </c>
    </row>
    <row r="2781">
      <c r="G2781" s="584"/>
      <c r="H2781" s="584"/>
      <c r="I2781" s="335" t="s">
        <v>3494</v>
      </c>
    </row>
    <row r="2782">
      <c r="G2782" s="584"/>
      <c r="H2782" s="584"/>
      <c r="I2782" s="335" t="s">
        <v>3494</v>
      </c>
    </row>
    <row r="2783">
      <c r="G2783" s="584"/>
      <c r="H2783" s="584"/>
      <c r="I2783" s="335" t="s">
        <v>3494</v>
      </c>
    </row>
    <row r="2784">
      <c r="G2784" s="584"/>
      <c r="H2784" s="584"/>
      <c r="I2784" s="335" t="s">
        <v>3494</v>
      </c>
    </row>
    <row r="2785">
      <c r="G2785" s="584"/>
      <c r="H2785" s="584"/>
      <c r="I2785" s="335" t="s">
        <v>3494</v>
      </c>
    </row>
    <row r="2786">
      <c r="G2786" s="584"/>
      <c r="H2786" s="584"/>
      <c r="I2786" s="335" t="s">
        <v>3494</v>
      </c>
    </row>
    <row r="2787">
      <c r="G2787" s="584"/>
      <c r="H2787" s="584"/>
      <c r="I2787" s="335" t="s">
        <v>3494</v>
      </c>
    </row>
    <row r="2788">
      <c r="G2788" s="584"/>
      <c r="H2788" s="584"/>
      <c r="I2788" s="335" t="s">
        <v>3494</v>
      </c>
    </row>
    <row r="2789">
      <c r="G2789" s="584"/>
      <c r="H2789" s="584"/>
      <c r="I2789" s="335" t="s">
        <v>3494</v>
      </c>
    </row>
    <row r="2790">
      <c r="G2790" s="584"/>
      <c r="H2790" s="584"/>
      <c r="I2790" s="335" t="s">
        <v>3494</v>
      </c>
    </row>
    <row r="2791">
      <c r="G2791" s="584"/>
      <c r="H2791" s="584"/>
      <c r="I2791" s="335" t="s">
        <v>3494</v>
      </c>
    </row>
    <row r="2792">
      <c r="G2792" s="584"/>
      <c r="H2792" s="584"/>
      <c r="I2792" s="335" t="s">
        <v>3494</v>
      </c>
    </row>
    <row r="2793">
      <c r="G2793" s="584"/>
      <c r="H2793" s="584"/>
      <c r="I2793" s="335" t="s">
        <v>3494</v>
      </c>
    </row>
    <row r="2794">
      <c r="G2794" s="584"/>
      <c r="H2794" s="584"/>
      <c r="I2794" s="335" t="s">
        <v>3494</v>
      </c>
    </row>
    <row r="2795">
      <c r="G2795" s="584"/>
      <c r="H2795" s="584"/>
      <c r="I2795" s="335" t="s">
        <v>3494</v>
      </c>
    </row>
    <row r="2796">
      <c r="G2796" s="584"/>
      <c r="H2796" s="584"/>
      <c r="I2796" s="335" t="s">
        <v>3494</v>
      </c>
    </row>
    <row r="2797">
      <c r="G2797" s="584"/>
      <c r="H2797" s="584"/>
      <c r="I2797" s="335" t="s">
        <v>3494</v>
      </c>
    </row>
    <row r="2798">
      <c r="G2798" s="584"/>
      <c r="H2798" s="584"/>
      <c r="I2798" s="335" t="s">
        <v>3494</v>
      </c>
    </row>
    <row r="2799">
      <c r="G2799" s="584"/>
      <c r="H2799" s="584"/>
      <c r="I2799" s="335" t="s">
        <v>3494</v>
      </c>
    </row>
    <row r="2800">
      <c r="G2800" s="584"/>
      <c r="H2800" s="584"/>
      <c r="I2800" s="335" t="s">
        <v>3494</v>
      </c>
    </row>
    <row r="2801">
      <c r="G2801" s="584"/>
      <c r="H2801" s="584"/>
      <c r="I2801" s="335" t="s">
        <v>3494</v>
      </c>
    </row>
    <row r="2802">
      <c r="G2802" s="584"/>
      <c r="H2802" s="584"/>
      <c r="I2802" s="335" t="s">
        <v>3494</v>
      </c>
    </row>
    <row r="2803">
      <c r="G2803" s="584"/>
      <c r="H2803" s="584"/>
      <c r="I2803" s="335" t="s">
        <v>3494</v>
      </c>
    </row>
    <row r="2804">
      <c r="G2804" s="584"/>
      <c r="H2804" s="584"/>
      <c r="I2804" s="335" t="s">
        <v>3494</v>
      </c>
    </row>
    <row r="2805">
      <c r="G2805" s="584"/>
      <c r="H2805" s="584"/>
      <c r="I2805" s="335" t="s">
        <v>3494</v>
      </c>
    </row>
    <row r="2806">
      <c r="G2806" s="584"/>
      <c r="H2806" s="584"/>
      <c r="I2806" s="335" t="s">
        <v>3494</v>
      </c>
    </row>
    <row r="2807">
      <c r="G2807" s="584"/>
      <c r="H2807" s="584"/>
      <c r="I2807" s="335" t="s">
        <v>3494</v>
      </c>
    </row>
    <row r="2808">
      <c r="G2808" s="584"/>
      <c r="H2808" s="584"/>
      <c r="I2808" s="335" t="s">
        <v>3494</v>
      </c>
    </row>
    <row r="2809">
      <c r="G2809" s="584"/>
      <c r="H2809" s="584"/>
      <c r="I2809" s="335" t="s">
        <v>3494</v>
      </c>
    </row>
    <row r="2810">
      <c r="G2810" s="584"/>
      <c r="H2810" s="584"/>
      <c r="I2810" s="335" t="s">
        <v>3494</v>
      </c>
    </row>
    <row r="2811">
      <c r="G2811" s="584"/>
      <c r="H2811" s="584"/>
      <c r="I2811" s="335" t="s">
        <v>3494</v>
      </c>
    </row>
    <row r="2812">
      <c r="G2812" s="584"/>
      <c r="H2812" s="584"/>
      <c r="I2812" s="335" t="s">
        <v>3494</v>
      </c>
    </row>
    <row r="2813">
      <c r="G2813" s="584"/>
      <c r="H2813" s="584"/>
      <c r="I2813" s="335" t="s">
        <v>3494</v>
      </c>
    </row>
    <row r="2814">
      <c r="G2814" s="584"/>
      <c r="H2814" s="584"/>
      <c r="I2814" s="335" t="s">
        <v>3494</v>
      </c>
    </row>
    <row r="2815">
      <c r="G2815" s="584"/>
      <c r="H2815" s="584"/>
      <c r="I2815" s="335" t="s">
        <v>3494</v>
      </c>
    </row>
    <row r="2816">
      <c r="G2816" s="584"/>
      <c r="H2816" s="584"/>
      <c r="I2816" s="335" t="s">
        <v>3494</v>
      </c>
    </row>
    <row r="2817">
      <c r="G2817" s="584"/>
      <c r="H2817" s="584"/>
      <c r="I2817" s="335" t="s">
        <v>3494</v>
      </c>
    </row>
    <row r="2818">
      <c r="G2818" s="584"/>
      <c r="H2818" s="584"/>
      <c r="I2818" s="335" t="s">
        <v>3494</v>
      </c>
    </row>
    <row r="2819">
      <c r="G2819" s="584"/>
      <c r="H2819" s="584"/>
      <c r="I2819" s="335" t="s">
        <v>3494</v>
      </c>
    </row>
    <row r="2820">
      <c r="G2820" s="584"/>
      <c r="H2820" s="584"/>
      <c r="I2820" s="335" t="s">
        <v>3494</v>
      </c>
    </row>
    <row r="2821">
      <c r="G2821" s="584"/>
      <c r="H2821" s="584"/>
      <c r="I2821" s="335" t="s">
        <v>3494</v>
      </c>
    </row>
    <row r="2822">
      <c r="G2822" s="584"/>
      <c r="H2822" s="584"/>
      <c r="I2822" s="335" t="s">
        <v>3494</v>
      </c>
    </row>
    <row r="2823">
      <c r="G2823" s="584"/>
      <c r="H2823" s="584"/>
      <c r="I2823" s="335" t="s">
        <v>3494</v>
      </c>
    </row>
    <row r="2824">
      <c r="G2824" s="584"/>
      <c r="H2824" s="584"/>
      <c r="I2824" s="335" t="s">
        <v>3494</v>
      </c>
    </row>
    <row r="2825">
      <c r="G2825" s="584"/>
      <c r="H2825" s="584"/>
      <c r="I2825" s="335" t="s">
        <v>3494</v>
      </c>
    </row>
    <row r="2826">
      <c r="G2826" s="584"/>
      <c r="H2826" s="584"/>
      <c r="I2826" s="335" t="s">
        <v>3494</v>
      </c>
    </row>
    <row r="2827">
      <c r="G2827" s="584"/>
      <c r="H2827" s="584"/>
      <c r="I2827" s="335" t="s">
        <v>3494</v>
      </c>
    </row>
    <row r="2828">
      <c r="G2828" s="584"/>
      <c r="H2828" s="584"/>
      <c r="I2828" s="335" t="s">
        <v>3494</v>
      </c>
    </row>
    <row r="2829">
      <c r="G2829" s="584"/>
      <c r="H2829" s="584"/>
      <c r="I2829" s="335" t="s">
        <v>3494</v>
      </c>
    </row>
    <row r="2830">
      <c r="G2830" s="584"/>
      <c r="H2830" s="584"/>
      <c r="I2830" s="335" t="s">
        <v>3494</v>
      </c>
    </row>
    <row r="2831">
      <c r="G2831" s="584"/>
      <c r="H2831" s="584"/>
      <c r="I2831" s="335" t="s">
        <v>3494</v>
      </c>
    </row>
    <row r="2832">
      <c r="G2832" s="584"/>
      <c r="H2832" s="584"/>
      <c r="I2832" s="335" t="s">
        <v>3494</v>
      </c>
    </row>
    <row r="2833">
      <c r="G2833" s="584"/>
      <c r="H2833" s="584"/>
      <c r="I2833" s="335" t="s">
        <v>3494</v>
      </c>
    </row>
    <row r="2834">
      <c r="G2834" s="584"/>
      <c r="H2834" s="584"/>
      <c r="I2834" s="335" t="s">
        <v>3494</v>
      </c>
    </row>
    <row r="2835">
      <c r="G2835" s="584"/>
      <c r="H2835" s="584"/>
      <c r="I2835" s="335" t="s">
        <v>3494</v>
      </c>
    </row>
    <row r="2836">
      <c r="G2836" s="584"/>
      <c r="H2836" s="584"/>
      <c r="I2836" s="335" t="s">
        <v>3494</v>
      </c>
    </row>
    <row r="2837">
      <c r="G2837" s="584"/>
      <c r="H2837" s="584"/>
      <c r="I2837" s="335" t="s">
        <v>3494</v>
      </c>
    </row>
    <row r="2838">
      <c r="G2838" s="584"/>
      <c r="H2838" s="584"/>
      <c r="I2838" s="335" t="s">
        <v>3494</v>
      </c>
    </row>
    <row r="2839">
      <c r="G2839" s="584"/>
      <c r="H2839" s="584"/>
      <c r="I2839" s="335" t="s">
        <v>3494</v>
      </c>
    </row>
    <row r="2840">
      <c r="G2840" s="584"/>
      <c r="H2840" s="584"/>
      <c r="I2840" s="335" t="s">
        <v>3494</v>
      </c>
    </row>
    <row r="2841">
      <c r="G2841" s="584"/>
      <c r="H2841" s="584"/>
      <c r="I2841" s="335" t="s">
        <v>3494</v>
      </c>
    </row>
    <row r="2842">
      <c r="G2842" s="584"/>
      <c r="H2842" s="584"/>
      <c r="I2842" s="335" t="s">
        <v>3494</v>
      </c>
    </row>
    <row r="2843">
      <c r="G2843" s="584"/>
      <c r="H2843" s="584"/>
      <c r="I2843" s="335" t="s">
        <v>3494</v>
      </c>
    </row>
    <row r="2844">
      <c r="G2844" s="584"/>
      <c r="H2844" s="584"/>
      <c r="I2844" s="335" t="s">
        <v>3494</v>
      </c>
    </row>
    <row r="2845">
      <c r="G2845" s="584"/>
      <c r="H2845" s="584"/>
      <c r="I2845" s="335" t="s">
        <v>3494</v>
      </c>
    </row>
    <row r="2846">
      <c r="G2846" s="584"/>
      <c r="H2846" s="584"/>
      <c r="I2846" s="335" t="s">
        <v>3494</v>
      </c>
    </row>
    <row r="2847">
      <c r="G2847" s="584"/>
      <c r="H2847" s="584"/>
      <c r="I2847" s="335" t="s">
        <v>3494</v>
      </c>
    </row>
    <row r="2848">
      <c r="G2848" s="584"/>
      <c r="H2848" s="584"/>
      <c r="I2848" s="335" t="s">
        <v>3494</v>
      </c>
    </row>
    <row r="2849">
      <c r="G2849" s="584"/>
      <c r="H2849" s="584"/>
      <c r="I2849" s="335" t="s">
        <v>3494</v>
      </c>
    </row>
    <row r="2850">
      <c r="G2850" s="584"/>
      <c r="H2850" s="584"/>
      <c r="I2850" s="335" t="s">
        <v>3494</v>
      </c>
    </row>
    <row r="2851">
      <c r="G2851" s="584"/>
      <c r="H2851" s="584"/>
      <c r="I2851" s="335" t="s">
        <v>3494</v>
      </c>
    </row>
    <row r="2852">
      <c r="G2852" s="584"/>
      <c r="H2852" s="584"/>
      <c r="I2852" s="335" t="s">
        <v>3494</v>
      </c>
    </row>
    <row r="2853">
      <c r="G2853" s="584"/>
      <c r="H2853" s="584"/>
      <c r="I2853" s="335" t="s">
        <v>3494</v>
      </c>
    </row>
    <row r="2854">
      <c r="G2854" s="584"/>
      <c r="H2854" s="584"/>
      <c r="I2854" s="335" t="s">
        <v>3494</v>
      </c>
    </row>
    <row r="2855">
      <c r="G2855" s="584"/>
      <c r="H2855" s="584"/>
      <c r="I2855" s="335" t="s">
        <v>3494</v>
      </c>
    </row>
    <row r="2856">
      <c r="G2856" s="584"/>
      <c r="H2856" s="584"/>
      <c r="I2856" s="335" t="s">
        <v>3494</v>
      </c>
    </row>
    <row r="2857">
      <c r="G2857" s="584"/>
      <c r="H2857" s="584"/>
      <c r="I2857" s="335" t="s">
        <v>3494</v>
      </c>
    </row>
    <row r="2858">
      <c r="G2858" s="584"/>
      <c r="H2858" s="584"/>
      <c r="I2858" s="335" t="s">
        <v>3494</v>
      </c>
    </row>
    <row r="2859">
      <c r="G2859" s="584"/>
      <c r="H2859" s="584"/>
      <c r="I2859" s="335" t="s">
        <v>3494</v>
      </c>
    </row>
    <row r="2860">
      <c r="G2860" s="584"/>
      <c r="H2860" s="584"/>
      <c r="I2860" s="335" t="s">
        <v>3494</v>
      </c>
    </row>
    <row r="2861">
      <c r="G2861" s="584"/>
      <c r="H2861" s="584"/>
      <c r="I2861" s="335" t="s">
        <v>3494</v>
      </c>
    </row>
    <row r="2862">
      <c r="G2862" s="584"/>
      <c r="H2862" s="584"/>
      <c r="I2862" s="335" t="s">
        <v>3494</v>
      </c>
    </row>
    <row r="2863">
      <c r="G2863" s="584"/>
      <c r="H2863" s="584"/>
      <c r="I2863" s="335" t="s">
        <v>3494</v>
      </c>
    </row>
    <row r="2864">
      <c r="G2864" s="584"/>
      <c r="H2864" s="584"/>
      <c r="I2864" s="335" t="s">
        <v>3494</v>
      </c>
    </row>
    <row r="2865">
      <c r="G2865" s="584"/>
      <c r="H2865" s="584"/>
      <c r="I2865" s="335" t="s">
        <v>3494</v>
      </c>
    </row>
    <row r="2866">
      <c r="G2866" s="584"/>
      <c r="H2866" s="584"/>
      <c r="I2866" s="335" t="s">
        <v>3494</v>
      </c>
    </row>
    <row r="2867">
      <c r="G2867" s="584"/>
      <c r="H2867" s="584"/>
      <c r="I2867" s="335" t="s">
        <v>3494</v>
      </c>
    </row>
    <row r="2868">
      <c r="G2868" s="584"/>
      <c r="H2868" s="584"/>
      <c r="I2868" s="335" t="s">
        <v>3494</v>
      </c>
    </row>
    <row r="2869">
      <c r="G2869" s="584"/>
      <c r="H2869" s="584"/>
      <c r="I2869" s="335" t="s">
        <v>3494</v>
      </c>
    </row>
    <row r="2870">
      <c r="G2870" s="584"/>
      <c r="H2870" s="584"/>
      <c r="I2870" s="335" t="s">
        <v>3494</v>
      </c>
    </row>
    <row r="2871">
      <c r="G2871" s="584"/>
      <c r="H2871" s="584"/>
      <c r="I2871" s="335" t="s">
        <v>3494</v>
      </c>
    </row>
    <row r="2872">
      <c r="G2872" s="584"/>
      <c r="H2872" s="584"/>
      <c r="I2872" s="335" t="s">
        <v>3494</v>
      </c>
    </row>
    <row r="2873">
      <c r="G2873" s="584"/>
      <c r="H2873" s="584"/>
      <c r="I2873" s="335" t="s">
        <v>3494</v>
      </c>
    </row>
    <row r="2874">
      <c r="G2874" s="584"/>
      <c r="H2874" s="584"/>
      <c r="I2874" s="335" t="s">
        <v>3494</v>
      </c>
    </row>
    <row r="2875">
      <c r="G2875" s="584"/>
      <c r="H2875" s="584"/>
      <c r="I2875" s="335" t="s">
        <v>3494</v>
      </c>
    </row>
    <row r="2876">
      <c r="G2876" s="584"/>
      <c r="H2876" s="584"/>
      <c r="I2876" s="335" t="s">
        <v>3494</v>
      </c>
    </row>
    <row r="2877">
      <c r="G2877" s="584"/>
      <c r="H2877" s="584"/>
      <c r="I2877" s="335" t="s">
        <v>3494</v>
      </c>
    </row>
    <row r="2878">
      <c r="G2878" s="584"/>
      <c r="H2878" s="584"/>
      <c r="I2878" s="335" t="s">
        <v>3494</v>
      </c>
    </row>
    <row r="2879">
      <c r="G2879" s="584"/>
      <c r="H2879" s="584"/>
      <c r="I2879" s="335" t="s">
        <v>3494</v>
      </c>
    </row>
    <row r="2880">
      <c r="G2880" s="584"/>
      <c r="H2880" s="584"/>
      <c r="I2880" s="335" t="s">
        <v>3494</v>
      </c>
    </row>
    <row r="2881">
      <c r="G2881" s="584"/>
      <c r="H2881" s="584"/>
      <c r="I2881" s="335" t="s">
        <v>3494</v>
      </c>
    </row>
    <row r="2882">
      <c r="G2882" s="584"/>
      <c r="H2882" s="584"/>
      <c r="I2882" s="335" t="s">
        <v>3494</v>
      </c>
    </row>
    <row r="2883">
      <c r="G2883" s="584"/>
      <c r="H2883" s="584"/>
      <c r="I2883" s="335" t="s">
        <v>3494</v>
      </c>
    </row>
    <row r="2884">
      <c r="G2884" s="584"/>
      <c r="H2884" s="584"/>
      <c r="I2884" s="335" t="s">
        <v>3494</v>
      </c>
    </row>
    <row r="2885">
      <c r="G2885" s="584"/>
      <c r="H2885" s="584"/>
      <c r="I2885" s="335" t="s">
        <v>3494</v>
      </c>
    </row>
    <row r="2886">
      <c r="G2886" s="584"/>
      <c r="H2886" s="584"/>
      <c r="I2886" s="335" t="s">
        <v>3494</v>
      </c>
    </row>
    <row r="2887">
      <c r="G2887" s="584"/>
      <c r="H2887" s="584"/>
      <c r="I2887" s="335" t="s">
        <v>3494</v>
      </c>
    </row>
    <row r="2888">
      <c r="G2888" s="584"/>
      <c r="H2888" s="584"/>
      <c r="I2888" s="335" t="s">
        <v>3494</v>
      </c>
    </row>
    <row r="2889">
      <c r="G2889" s="584"/>
      <c r="H2889" s="584"/>
      <c r="I2889" s="335" t="s">
        <v>3494</v>
      </c>
    </row>
    <row r="2890">
      <c r="G2890" s="584"/>
      <c r="H2890" s="584"/>
      <c r="I2890" s="335" t="s">
        <v>3494</v>
      </c>
    </row>
    <row r="2891">
      <c r="G2891" s="584"/>
      <c r="H2891" s="584"/>
      <c r="I2891" s="335" t="s">
        <v>3494</v>
      </c>
    </row>
    <row r="2892">
      <c r="G2892" s="584"/>
      <c r="H2892" s="584"/>
      <c r="I2892" s="335" t="s">
        <v>3494</v>
      </c>
    </row>
    <row r="2893">
      <c r="G2893" s="584"/>
      <c r="H2893" s="584"/>
      <c r="I2893" s="335" t="s">
        <v>3494</v>
      </c>
    </row>
    <row r="2894">
      <c r="G2894" s="584"/>
      <c r="H2894" s="584"/>
      <c r="I2894" s="335" t="s">
        <v>3494</v>
      </c>
    </row>
    <row r="2895">
      <c r="G2895" s="584"/>
      <c r="H2895" s="584"/>
      <c r="I2895" s="335" t="s">
        <v>3494</v>
      </c>
    </row>
    <row r="2896">
      <c r="G2896" s="584"/>
      <c r="H2896" s="584"/>
      <c r="I2896" s="335" t="s">
        <v>3494</v>
      </c>
    </row>
    <row r="2897">
      <c r="G2897" s="584"/>
      <c r="H2897" s="584"/>
      <c r="I2897" s="335" t="s">
        <v>3494</v>
      </c>
    </row>
    <row r="2898">
      <c r="G2898" s="584"/>
      <c r="H2898" s="584"/>
      <c r="I2898" s="335" t="s">
        <v>3494</v>
      </c>
    </row>
    <row r="2899">
      <c r="G2899" s="584"/>
      <c r="H2899" s="584"/>
      <c r="I2899" s="335" t="s">
        <v>3494</v>
      </c>
    </row>
    <row r="2900">
      <c r="G2900" s="584"/>
      <c r="H2900" s="584"/>
      <c r="I2900" s="335" t="s">
        <v>3494</v>
      </c>
    </row>
    <row r="2901">
      <c r="G2901" s="584"/>
      <c r="H2901" s="584"/>
      <c r="I2901" s="335" t="s">
        <v>3494</v>
      </c>
    </row>
    <row r="2902">
      <c r="G2902" s="584"/>
      <c r="H2902" s="584"/>
      <c r="I2902" s="335" t="s">
        <v>3494</v>
      </c>
    </row>
    <row r="2903">
      <c r="G2903" s="584"/>
      <c r="H2903" s="584"/>
      <c r="I2903" s="335" t="s">
        <v>3494</v>
      </c>
    </row>
    <row r="2904">
      <c r="G2904" s="584"/>
      <c r="H2904" s="584"/>
      <c r="I2904" s="335" t="s">
        <v>3494</v>
      </c>
    </row>
    <row r="2905">
      <c r="G2905" s="584"/>
      <c r="H2905" s="584"/>
      <c r="I2905" s="335" t="s">
        <v>3494</v>
      </c>
    </row>
    <row r="2906">
      <c r="G2906" s="584"/>
      <c r="H2906" s="584"/>
      <c r="I2906" s="335" t="s">
        <v>3494</v>
      </c>
    </row>
    <row r="2907">
      <c r="G2907" s="584"/>
      <c r="H2907" s="584"/>
      <c r="I2907" s="335" t="s">
        <v>3494</v>
      </c>
    </row>
    <row r="2908">
      <c r="G2908" s="584"/>
      <c r="H2908" s="584"/>
      <c r="I2908" s="335" t="s">
        <v>3494</v>
      </c>
    </row>
    <row r="2909">
      <c r="G2909" s="584"/>
      <c r="H2909" s="584"/>
      <c r="I2909" s="335" t="s">
        <v>3494</v>
      </c>
    </row>
    <row r="2910">
      <c r="G2910" s="584"/>
      <c r="H2910" s="584"/>
      <c r="I2910" s="335" t="s">
        <v>3494</v>
      </c>
    </row>
    <row r="2911">
      <c r="G2911" s="584"/>
      <c r="H2911" s="584"/>
      <c r="I2911" s="335" t="s">
        <v>3494</v>
      </c>
    </row>
    <row r="2912">
      <c r="G2912" s="584"/>
      <c r="H2912" s="584"/>
      <c r="I2912" s="335" t="s">
        <v>3494</v>
      </c>
    </row>
    <row r="2913">
      <c r="G2913" s="584"/>
      <c r="H2913" s="584"/>
      <c r="I2913" s="335" t="s">
        <v>3494</v>
      </c>
    </row>
    <row r="2914">
      <c r="G2914" s="584"/>
      <c r="H2914" s="584"/>
      <c r="I2914" s="335" t="s">
        <v>3494</v>
      </c>
    </row>
    <row r="2915">
      <c r="G2915" s="584"/>
      <c r="H2915" s="584"/>
      <c r="I2915" s="335" t="s">
        <v>3494</v>
      </c>
    </row>
    <row r="2916">
      <c r="G2916" s="584"/>
      <c r="H2916" s="584"/>
      <c r="I2916" s="335" t="s">
        <v>3494</v>
      </c>
    </row>
    <row r="2917">
      <c r="G2917" s="584"/>
      <c r="H2917" s="584"/>
      <c r="I2917" s="335" t="s">
        <v>3494</v>
      </c>
    </row>
    <row r="2918">
      <c r="G2918" s="584"/>
      <c r="H2918" s="584"/>
      <c r="I2918" s="335" t="s">
        <v>3494</v>
      </c>
    </row>
    <row r="2919">
      <c r="G2919" s="584"/>
      <c r="H2919" s="584"/>
      <c r="I2919" s="335" t="s">
        <v>3494</v>
      </c>
    </row>
    <row r="2920">
      <c r="G2920" s="584"/>
      <c r="H2920" s="584"/>
      <c r="I2920" s="335" t="s">
        <v>3494</v>
      </c>
    </row>
    <row r="2921">
      <c r="G2921" s="584"/>
      <c r="H2921" s="584"/>
      <c r="I2921" s="335" t="s">
        <v>3494</v>
      </c>
    </row>
    <row r="2922">
      <c r="G2922" s="584"/>
      <c r="H2922" s="584"/>
      <c r="I2922" s="335" t="s">
        <v>3494</v>
      </c>
    </row>
    <row r="2923">
      <c r="G2923" s="584"/>
      <c r="H2923" s="584"/>
      <c r="I2923" s="335" t="s">
        <v>3494</v>
      </c>
    </row>
    <row r="2924">
      <c r="G2924" s="584"/>
      <c r="H2924" s="584"/>
      <c r="I2924" s="335" t="s">
        <v>3494</v>
      </c>
    </row>
    <row r="2925">
      <c r="G2925" s="584"/>
      <c r="H2925" s="584"/>
      <c r="I2925" s="335" t="s">
        <v>3494</v>
      </c>
    </row>
    <row r="2926">
      <c r="G2926" s="584"/>
      <c r="H2926" s="584"/>
      <c r="I2926" s="335" t="s">
        <v>3494</v>
      </c>
    </row>
    <row r="2927">
      <c r="G2927" s="584"/>
      <c r="H2927" s="584"/>
      <c r="I2927" s="335" t="s">
        <v>3494</v>
      </c>
    </row>
    <row r="2928">
      <c r="G2928" s="584"/>
      <c r="H2928" s="584"/>
      <c r="I2928" s="335" t="s">
        <v>3494</v>
      </c>
    </row>
    <row r="2929">
      <c r="G2929" s="584"/>
      <c r="H2929" s="584"/>
      <c r="I2929" s="335" t="s">
        <v>3494</v>
      </c>
    </row>
    <row r="2930">
      <c r="G2930" s="584"/>
      <c r="H2930" s="584"/>
      <c r="I2930" s="335" t="s">
        <v>3494</v>
      </c>
    </row>
    <row r="2931">
      <c r="G2931" s="584"/>
      <c r="H2931" s="584"/>
      <c r="I2931" s="335" t="s">
        <v>3494</v>
      </c>
    </row>
    <row r="2932">
      <c r="G2932" s="584"/>
      <c r="H2932" s="584"/>
      <c r="I2932" s="335" t="s">
        <v>3494</v>
      </c>
    </row>
    <row r="2933">
      <c r="G2933" s="584"/>
      <c r="H2933" s="584"/>
      <c r="I2933" s="335" t="s">
        <v>3494</v>
      </c>
    </row>
    <row r="2934">
      <c r="G2934" s="584"/>
      <c r="H2934" s="584"/>
      <c r="I2934" s="335" t="s">
        <v>3494</v>
      </c>
    </row>
    <row r="2935">
      <c r="G2935" s="584"/>
      <c r="H2935" s="584"/>
      <c r="I2935" s="335" t="s">
        <v>3494</v>
      </c>
    </row>
    <row r="2936">
      <c r="G2936" s="584"/>
      <c r="H2936" s="584"/>
      <c r="I2936" s="335" t="s">
        <v>3494</v>
      </c>
    </row>
    <row r="2937">
      <c r="G2937" s="584"/>
      <c r="H2937" s="584"/>
      <c r="I2937" s="335" t="s">
        <v>3494</v>
      </c>
    </row>
    <row r="2938">
      <c r="G2938" s="584"/>
      <c r="H2938" s="584"/>
      <c r="I2938" s="335" t="s">
        <v>3494</v>
      </c>
    </row>
    <row r="2939">
      <c r="G2939" s="584"/>
      <c r="H2939" s="584"/>
      <c r="I2939" s="335" t="s">
        <v>3494</v>
      </c>
    </row>
    <row r="2940">
      <c r="G2940" s="584"/>
      <c r="H2940" s="584"/>
      <c r="I2940" s="335" t="s">
        <v>3494</v>
      </c>
    </row>
    <row r="2941">
      <c r="G2941" s="584"/>
      <c r="H2941" s="584"/>
      <c r="I2941" s="335" t="s">
        <v>3494</v>
      </c>
    </row>
    <row r="2942">
      <c r="G2942" s="584"/>
      <c r="H2942" s="584"/>
      <c r="I2942" s="335" t="s">
        <v>3494</v>
      </c>
    </row>
    <row r="2943">
      <c r="G2943" s="584"/>
      <c r="H2943" s="584"/>
      <c r="I2943" s="335" t="s">
        <v>3494</v>
      </c>
    </row>
    <row r="2944">
      <c r="G2944" s="584"/>
      <c r="H2944" s="584"/>
      <c r="I2944" s="335" t="s">
        <v>3494</v>
      </c>
    </row>
    <row r="2945">
      <c r="G2945" s="584"/>
      <c r="H2945" s="584"/>
      <c r="I2945" s="335" t="s">
        <v>3494</v>
      </c>
    </row>
    <row r="2946">
      <c r="G2946" s="584"/>
      <c r="H2946" s="584"/>
      <c r="I2946" s="335" t="s">
        <v>3494</v>
      </c>
    </row>
    <row r="2947">
      <c r="G2947" s="584"/>
      <c r="H2947" s="584"/>
      <c r="I2947" s="335" t="s">
        <v>3494</v>
      </c>
    </row>
    <row r="2948">
      <c r="G2948" s="584"/>
      <c r="H2948" s="584"/>
      <c r="I2948" s="335" t="s">
        <v>3494</v>
      </c>
    </row>
    <row r="2949">
      <c r="G2949" s="584"/>
      <c r="H2949" s="584"/>
      <c r="I2949" s="335" t="s">
        <v>3494</v>
      </c>
    </row>
    <row r="2950">
      <c r="G2950" s="584"/>
      <c r="H2950" s="584"/>
      <c r="I2950" s="335" t="s">
        <v>3494</v>
      </c>
    </row>
    <row r="2951">
      <c r="G2951" s="584"/>
      <c r="H2951" s="584"/>
      <c r="I2951" s="335" t="s">
        <v>3494</v>
      </c>
    </row>
    <row r="2952">
      <c r="G2952" s="584"/>
      <c r="H2952" s="584"/>
      <c r="I2952" s="335" t="s">
        <v>3494</v>
      </c>
    </row>
    <row r="2953">
      <c r="G2953" s="584"/>
      <c r="H2953" s="584"/>
      <c r="I2953" s="335" t="s">
        <v>3494</v>
      </c>
    </row>
    <row r="2954">
      <c r="G2954" s="584"/>
      <c r="H2954" s="584"/>
      <c r="I2954" s="335" t="s">
        <v>3494</v>
      </c>
    </row>
    <row r="2955">
      <c r="G2955" s="584"/>
      <c r="H2955" s="584"/>
      <c r="I2955" s="335" t="s">
        <v>3494</v>
      </c>
    </row>
    <row r="2956">
      <c r="G2956" s="584"/>
      <c r="H2956" s="584"/>
      <c r="I2956" s="335" t="s">
        <v>3494</v>
      </c>
    </row>
    <row r="2957">
      <c r="G2957" s="584"/>
      <c r="H2957" s="584"/>
      <c r="I2957" s="335" t="s">
        <v>3494</v>
      </c>
    </row>
    <row r="2958">
      <c r="G2958" s="584"/>
      <c r="H2958" s="584"/>
      <c r="I2958" s="335" t="s">
        <v>3494</v>
      </c>
    </row>
    <row r="2959">
      <c r="G2959" s="584"/>
      <c r="H2959" s="584"/>
      <c r="I2959" s="335" t="s">
        <v>3494</v>
      </c>
    </row>
    <row r="2960">
      <c r="G2960" s="584"/>
      <c r="H2960" s="584"/>
      <c r="I2960" s="335" t="s">
        <v>3494</v>
      </c>
    </row>
    <row r="2961">
      <c r="G2961" s="584"/>
      <c r="H2961" s="584"/>
      <c r="I2961" s="335" t="s">
        <v>3494</v>
      </c>
    </row>
    <row r="2962">
      <c r="G2962" s="584"/>
      <c r="H2962" s="584"/>
      <c r="I2962" s="335" t="s">
        <v>3494</v>
      </c>
    </row>
    <row r="2963">
      <c r="G2963" s="584"/>
      <c r="H2963" s="584"/>
      <c r="I2963" s="335" t="s">
        <v>3494</v>
      </c>
    </row>
    <row r="2964">
      <c r="G2964" s="584"/>
      <c r="H2964" s="584"/>
      <c r="I2964" s="335" t="s">
        <v>3494</v>
      </c>
    </row>
    <row r="2965">
      <c r="G2965" s="584"/>
      <c r="H2965" s="584"/>
      <c r="I2965" s="335" t="s">
        <v>3494</v>
      </c>
    </row>
    <row r="2966">
      <c r="G2966" s="584"/>
      <c r="H2966" s="584"/>
      <c r="I2966" s="335" t="s">
        <v>3494</v>
      </c>
    </row>
    <row r="2967">
      <c r="G2967" s="584"/>
      <c r="H2967" s="584"/>
      <c r="I2967" s="335" t="s">
        <v>3494</v>
      </c>
    </row>
    <row r="2968">
      <c r="G2968" s="584"/>
      <c r="H2968" s="584"/>
      <c r="I2968" s="335" t="s">
        <v>3494</v>
      </c>
    </row>
    <row r="2969">
      <c r="G2969" s="584"/>
      <c r="H2969" s="584"/>
      <c r="I2969" s="335" t="s">
        <v>3494</v>
      </c>
    </row>
    <row r="2970">
      <c r="G2970" s="584"/>
      <c r="H2970" s="584"/>
      <c r="I2970" s="335" t="s">
        <v>3494</v>
      </c>
    </row>
    <row r="2971">
      <c r="G2971" s="584"/>
      <c r="H2971" s="584"/>
      <c r="I2971" s="335" t="s">
        <v>3494</v>
      </c>
    </row>
    <row r="2972">
      <c r="G2972" s="584"/>
      <c r="H2972" s="584"/>
      <c r="I2972" s="335" t="s">
        <v>3494</v>
      </c>
    </row>
    <row r="2973">
      <c r="G2973" s="584"/>
      <c r="H2973" s="584"/>
      <c r="I2973" s="335" t="s">
        <v>3494</v>
      </c>
    </row>
    <row r="2974">
      <c r="G2974" s="584"/>
      <c r="H2974" s="584"/>
      <c r="I2974" s="335" t="s">
        <v>3494</v>
      </c>
    </row>
    <row r="2975">
      <c r="G2975" s="584"/>
      <c r="H2975" s="584"/>
      <c r="I2975" s="335" t="s">
        <v>3494</v>
      </c>
    </row>
    <row r="2976">
      <c r="G2976" s="584"/>
      <c r="H2976" s="584"/>
      <c r="I2976" s="335" t="s">
        <v>3494</v>
      </c>
    </row>
    <row r="2977">
      <c r="G2977" s="584"/>
      <c r="H2977" s="584"/>
      <c r="I2977" s="335" t="s">
        <v>3494</v>
      </c>
    </row>
    <row r="2978">
      <c r="G2978" s="584"/>
      <c r="H2978" s="584"/>
      <c r="I2978" s="335" t="s">
        <v>3494</v>
      </c>
    </row>
    <row r="2979">
      <c r="G2979" s="584"/>
      <c r="H2979" s="584"/>
      <c r="I2979" s="335" t="s">
        <v>3494</v>
      </c>
    </row>
    <row r="2980">
      <c r="G2980" s="584"/>
      <c r="H2980" s="584"/>
      <c r="I2980" s="335" t="s">
        <v>3494</v>
      </c>
    </row>
    <row r="2981">
      <c r="G2981" s="584"/>
      <c r="H2981" s="584"/>
      <c r="I2981" s="335" t="s">
        <v>3494</v>
      </c>
    </row>
    <row r="2982">
      <c r="G2982" s="584"/>
      <c r="H2982" s="584"/>
      <c r="I2982" s="335" t="s">
        <v>3494</v>
      </c>
    </row>
    <row r="2983">
      <c r="G2983" s="584"/>
      <c r="H2983" s="584"/>
      <c r="I2983" s="335" t="s">
        <v>3494</v>
      </c>
    </row>
    <row r="2984">
      <c r="G2984" s="584"/>
      <c r="H2984" s="584"/>
      <c r="I2984" s="335" t="s">
        <v>3494</v>
      </c>
    </row>
    <row r="2985">
      <c r="G2985" s="584"/>
      <c r="H2985" s="584"/>
      <c r="I2985" s="335" t="s">
        <v>3494</v>
      </c>
    </row>
    <row r="2986">
      <c r="G2986" s="584"/>
      <c r="H2986" s="584"/>
      <c r="I2986" s="335" t="s">
        <v>3494</v>
      </c>
    </row>
    <row r="2987">
      <c r="G2987" s="584"/>
      <c r="H2987" s="584"/>
      <c r="I2987" s="335" t="s">
        <v>3494</v>
      </c>
    </row>
    <row r="2988">
      <c r="G2988" s="584"/>
      <c r="H2988" s="584"/>
      <c r="I2988" s="335" t="s">
        <v>3494</v>
      </c>
    </row>
    <row r="2989">
      <c r="G2989" s="584"/>
      <c r="H2989" s="584"/>
      <c r="I2989" s="335" t="s">
        <v>3494</v>
      </c>
    </row>
    <row r="2990">
      <c r="G2990" s="584"/>
      <c r="H2990" s="584"/>
      <c r="I2990" s="335" t="s">
        <v>3494</v>
      </c>
    </row>
    <row r="2991">
      <c r="G2991" s="584"/>
      <c r="H2991" s="584"/>
      <c r="I2991" s="335" t="s">
        <v>3494</v>
      </c>
    </row>
    <row r="2992">
      <c r="G2992" s="584"/>
      <c r="H2992" s="584"/>
      <c r="I2992" s="335" t="s">
        <v>3494</v>
      </c>
    </row>
    <row r="2993">
      <c r="G2993" s="584"/>
      <c r="H2993" s="584"/>
      <c r="I2993" s="335" t="s">
        <v>3494</v>
      </c>
    </row>
    <row r="2994">
      <c r="G2994" s="584"/>
      <c r="H2994" s="584"/>
      <c r="I2994" s="335" t="s">
        <v>3494</v>
      </c>
    </row>
    <row r="2995">
      <c r="G2995" s="584"/>
      <c r="H2995" s="584"/>
      <c r="I2995" s="335" t="s">
        <v>3494</v>
      </c>
    </row>
    <row r="2996">
      <c r="G2996" s="584"/>
      <c r="H2996" s="584"/>
      <c r="I2996" s="335" t="s">
        <v>3494</v>
      </c>
    </row>
    <row r="2997">
      <c r="G2997" s="584"/>
      <c r="H2997" s="584"/>
      <c r="I2997" s="335" t="s">
        <v>3494</v>
      </c>
    </row>
    <row r="2998">
      <c r="G2998" s="584"/>
      <c r="H2998" s="584"/>
      <c r="I2998" s="335" t="s">
        <v>3494</v>
      </c>
    </row>
    <row r="2999">
      <c r="G2999" s="584"/>
      <c r="H2999" s="584"/>
      <c r="I2999" s="335" t="s">
        <v>3494</v>
      </c>
    </row>
    <row r="3000">
      <c r="G3000" s="584"/>
      <c r="H3000" s="584"/>
      <c r="I3000" s="335" t="s">
        <v>3494</v>
      </c>
    </row>
    <row r="3001">
      <c r="G3001" s="584"/>
      <c r="H3001" s="584"/>
      <c r="I3001" s="335" t="s">
        <v>3494</v>
      </c>
    </row>
    <row r="3002">
      <c r="G3002" s="584"/>
      <c r="H3002" s="584"/>
      <c r="I3002" s="335" t="s">
        <v>3494</v>
      </c>
    </row>
    <row r="3003">
      <c r="G3003" s="584"/>
      <c r="H3003" s="584"/>
      <c r="I3003" s="335" t="s">
        <v>3494</v>
      </c>
    </row>
    <row r="3004">
      <c r="G3004" s="584"/>
      <c r="H3004" s="584"/>
      <c r="I3004" s="335" t="s">
        <v>3494</v>
      </c>
    </row>
    <row r="3005">
      <c r="G3005" s="584"/>
      <c r="H3005" s="584"/>
      <c r="I3005" s="335" t="s">
        <v>3494</v>
      </c>
    </row>
    <row r="3006">
      <c r="G3006" s="584"/>
      <c r="H3006" s="584"/>
      <c r="I3006" s="335" t="s">
        <v>3494</v>
      </c>
    </row>
    <row r="3007">
      <c r="G3007" s="584"/>
      <c r="H3007" s="584"/>
      <c r="I3007" s="335" t="s">
        <v>3494</v>
      </c>
    </row>
    <row r="3008">
      <c r="G3008" s="584"/>
      <c r="H3008" s="584"/>
      <c r="I3008" s="335" t="s">
        <v>3494</v>
      </c>
    </row>
    <row r="3009">
      <c r="G3009" s="584"/>
      <c r="H3009" s="584"/>
      <c r="I3009" s="335" t="s">
        <v>3494</v>
      </c>
    </row>
    <row r="3010">
      <c r="G3010" s="584"/>
      <c r="H3010" s="584"/>
      <c r="I3010" s="335" t="s">
        <v>3494</v>
      </c>
    </row>
    <row r="3011">
      <c r="G3011" s="584"/>
      <c r="H3011" s="584"/>
      <c r="I3011" s="335" t="s">
        <v>3494</v>
      </c>
    </row>
    <row r="3012">
      <c r="G3012" s="584"/>
      <c r="H3012" s="584"/>
      <c r="I3012" s="335" t="s">
        <v>3494</v>
      </c>
    </row>
    <row r="3013">
      <c r="G3013" s="584"/>
      <c r="H3013" s="584"/>
      <c r="I3013" s="335" t="s">
        <v>3494</v>
      </c>
    </row>
    <row r="3014">
      <c r="G3014" s="584"/>
      <c r="H3014" s="584"/>
      <c r="I3014" s="335" t="s">
        <v>3494</v>
      </c>
    </row>
    <row r="3015">
      <c r="G3015" s="584"/>
      <c r="H3015" s="584"/>
      <c r="I3015" s="335" t="s">
        <v>3494</v>
      </c>
    </row>
    <row r="3016">
      <c r="G3016" s="584"/>
      <c r="H3016" s="584"/>
      <c r="I3016" s="335" t="s">
        <v>3494</v>
      </c>
    </row>
    <row r="3017">
      <c r="G3017" s="584"/>
      <c r="H3017" s="584"/>
      <c r="I3017" s="335" t="s">
        <v>3494</v>
      </c>
    </row>
    <row r="3018">
      <c r="G3018" s="584"/>
      <c r="H3018" s="584"/>
      <c r="I3018" s="335" t="s">
        <v>3494</v>
      </c>
    </row>
    <row r="3019">
      <c r="G3019" s="584"/>
      <c r="H3019" s="584"/>
      <c r="I3019" s="335" t="s">
        <v>3494</v>
      </c>
    </row>
    <row r="3020">
      <c r="G3020" s="584"/>
      <c r="H3020" s="584"/>
      <c r="I3020" s="335" t="s">
        <v>3494</v>
      </c>
    </row>
    <row r="3021">
      <c r="G3021" s="584"/>
      <c r="H3021" s="584"/>
      <c r="I3021" s="335" t="s">
        <v>3494</v>
      </c>
    </row>
    <row r="3022">
      <c r="G3022" s="584"/>
      <c r="H3022" s="584"/>
      <c r="I3022" s="335" t="s">
        <v>3494</v>
      </c>
    </row>
    <row r="3023">
      <c r="G3023" s="584"/>
      <c r="H3023" s="584"/>
      <c r="I3023" s="335" t="s">
        <v>3494</v>
      </c>
    </row>
    <row r="3024">
      <c r="G3024" s="584"/>
      <c r="H3024" s="584"/>
      <c r="I3024" s="335" t="s">
        <v>3494</v>
      </c>
    </row>
    <row r="3025">
      <c r="G3025" s="584"/>
      <c r="H3025" s="584"/>
      <c r="I3025" s="335" t="s">
        <v>3494</v>
      </c>
    </row>
    <row r="3026">
      <c r="G3026" s="584"/>
      <c r="H3026" s="584"/>
      <c r="I3026" s="335" t="s">
        <v>3494</v>
      </c>
    </row>
    <row r="3027">
      <c r="G3027" s="584"/>
      <c r="H3027" s="584"/>
      <c r="I3027" s="335" t="s">
        <v>3494</v>
      </c>
    </row>
    <row r="3028">
      <c r="G3028" s="584"/>
      <c r="H3028" s="584"/>
      <c r="I3028" s="335" t="s">
        <v>3494</v>
      </c>
    </row>
    <row r="3029">
      <c r="G3029" s="584"/>
      <c r="H3029" s="584"/>
      <c r="I3029" s="335" t="s">
        <v>3494</v>
      </c>
    </row>
    <row r="3030">
      <c r="G3030" s="584"/>
      <c r="H3030" s="584"/>
      <c r="I3030" s="335" t="s">
        <v>3494</v>
      </c>
    </row>
    <row r="3031">
      <c r="G3031" s="584"/>
      <c r="H3031" s="584"/>
      <c r="I3031" s="335" t="s">
        <v>3494</v>
      </c>
    </row>
    <row r="3032">
      <c r="G3032" s="584"/>
      <c r="H3032" s="584"/>
      <c r="I3032" s="335" t="s">
        <v>3494</v>
      </c>
    </row>
    <row r="3033">
      <c r="G3033" s="584"/>
      <c r="H3033" s="584"/>
      <c r="I3033" s="335" t="s">
        <v>3494</v>
      </c>
    </row>
    <row r="3034">
      <c r="G3034" s="584"/>
      <c r="H3034" s="584"/>
      <c r="I3034" s="335" t="s">
        <v>3494</v>
      </c>
    </row>
    <row r="3035">
      <c r="G3035" s="584"/>
      <c r="H3035" s="584"/>
      <c r="I3035" s="335" t="s">
        <v>3494</v>
      </c>
    </row>
    <row r="3036">
      <c r="G3036" s="584"/>
      <c r="H3036" s="584"/>
      <c r="I3036" s="335" t="s">
        <v>3494</v>
      </c>
    </row>
    <row r="3037">
      <c r="G3037" s="584"/>
      <c r="H3037" s="584"/>
      <c r="I3037" s="335" t="s">
        <v>3494</v>
      </c>
    </row>
    <row r="3038">
      <c r="G3038" s="584"/>
      <c r="H3038" s="584"/>
      <c r="I3038" s="335" t="s">
        <v>3494</v>
      </c>
    </row>
    <row r="3039">
      <c r="G3039" s="584"/>
      <c r="H3039" s="584"/>
      <c r="I3039" s="335" t="s">
        <v>3494</v>
      </c>
    </row>
    <row r="3040">
      <c r="G3040" s="584"/>
      <c r="H3040" s="584"/>
      <c r="I3040" s="335" t="s">
        <v>3494</v>
      </c>
    </row>
    <row r="3041">
      <c r="G3041" s="584"/>
      <c r="H3041" s="584"/>
      <c r="I3041" s="335" t="s">
        <v>3494</v>
      </c>
    </row>
    <row r="3042">
      <c r="G3042" s="584"/>
      <c r="H3042" s="584"/>
      <c r="I3042" s="335" t="s">
        <v>3494</v>
      </c>
    </row>
    <row r="3043">
      <c r="G3043" s="584"/>
      <c r="H3043" s="584"/>
      <c r="I3043" s="335" t="s">
        <v>3494</v>
      </c>
    </row>
    <row r="3044">
      <c r="G3044" s="584"/>
      <c r="H3044" s="584"/>
      <c r="I3044" s="335" t="s">
        <v>3494</v>
      </c>
    </row>
    <row r="3045">
      <c r="G3045" s="584"/>
      <c r="H3045" s="584"/>
      <c r="I3045" s="335" t="s">
        <v>3494</v>
      </c>
    </row>
    <row r="3046">
      <c r="G3046" s="584"/>
      <c r="H3046" s="584"/>
      <c r="I3046" s="335" t="s">
        <v>3494</v>
      </c>
    </row>
    <row r="3047">
      <c r="G3047" s="584"/>
      <c r="H3047" s="584"/>
      <c r="I3047" s="335" t="s">
        <v>3494</v>
      </c>
    </row>
    <row r="3048">
      <c r="G3048" s="584"/>
      <c r="H3048" s="584"/>
      <c r="I3048" s="335" t="s">
        <v>3494</v>
      </c>
    </row>
    <row r="3049">
      <c r="G3049" s="584"/>
      <c r="H3049" s="584"/>
      <c r="I3049" s="335" t="s">
        <v>3494</v>
      </c>
    </row>
    <row r="3050">
      <c r="G3050" s="584"/>
      <c r="H3050" s="584"/>
      <c r="I3050" s="335" t="s">
        <v>3494</v>
      </c>
    </row>
    <row r="3051">
      <c r="G3051" s="584"/>
      <c r="H3051" s="584"/>
      <c r="I3051" s="335" t="s">
        <v>3494</v>
      </c>
    </row>
    <row r="3052">
      <c r="G3052" s="584"/>
      <c r="H3052" s="584"/>
      <c r="I3052" s="335" t="s">
        <v>3494</v>
      </c>
    </row>
    <row r="3053">
      <c r="G3053" s="584"/>
      <c r="H3053" s="584"/>
      <c r="I3053" s="335" t="s">
        <v>3494</v>
      </c>
    </row>
    <row r="3054">
      <c r="G3054" s="584"/>
      <c r="H3054" s="584"/>
      <c r="I3054" s="335" t="s">
        <v>3494</v>
      </c>
    </row>
    <row r="3055">
      <c r="G3055" s="584"/>
      <c r="H3055" s="584"/>
      <c r="I3055" s="335" t="s">
        <v>3494</v>
      </c>
    </row>
    <row r="3056">
      <c r="G3056" s="584"/>
      <c r="H3056" s="584"/>
      <c r="I3056" s="335" t="s">
        <v>3494</v>
      </c>
    </row>
    <row r="3057">
      <c r="G3057" s="584"/>
      <c r="H3057" s="584"/>
      <c r="I3057" s="335" t="s">
        <v>3494</v>
      </c>
    </row>
    <row r="3058">
      <c r="G3058" s="584"/>
      <c r="H3058" s="584"/>
      <c r="I3058" s="335" t="s">
        <v>3494</v>
      </c>
    </row>
    <row r="3059">
      <c r="G3059" s="584"/>
      <c r="H3059" s="584"/>
      <c r="I3059" s="335" t="s">
        <v>3494</v>
      </c>
    </row>
    <row r="3060">
      <c r="G3060" s="584"/>
      <c r="H3060" s="584"/>
      <c r="I3060" s="335" t="s">
        <v>3494</v>
      </c>
    </row>
    <row r="3061">
      <c r="G3061" s="584"/>
      <c r="H3061" s="584"/>
      <c r="I3061" s="335" t="s">
        <v>3494</v>
      </c>
    </row>
    <row r="3062">
      <c r="G3062" s="584"/>
      <c r="H3062" s="584"/>
      <c r="I3062" s="335" t="s">
        <v>3494</v>
      </c>
    </row>
    <row r="3063">
      <c r="G3063" s="584"/>
      <c r="H3063" s="584"/>
      <c r="I3063" s="335" t="s">
        <v>3494</v>
      </c>
    </row>
    <row r="3064">
      <c r="G3064" s="584"/>
      <c r="H3064" s="584"/>
      <c r="I3064" s="335" t="s">
        <v>3494</v>
      </c>
    </row>
    <row r="3065">
      <c r="G3065" s="584"/>
      <c r="H3065" s="584"/>
      <c r="I3065" s="335" t="s">
        <v>3494</v>
      </c>
    </row>
    <row r="3066">
      <c r="G3066" s="584"/>
      <c r="H3066" s="584"/>
      <c r="I3066" s="335" t="s">
        <v>3494</v>
      </c>
    </row>
    <row r="3067">
      <c r="G3067" s="584"/>
      <c r="H3067" s="584"/>
      <c r="I3067" s="335" t="s">
        <v>3494</v>
      </c>
    </row>
    <row r="3068">
      <c r="G3068" s="584"/>
      <c r="H3068" s="584"/>
      <c r="I3068" s="335" t="s">
        <v>3494</v>
      </c>
    </row>
    <row r="3069">
      <c r="G3069" s="584"/>
      <c r="H3069" s="584"/>
      <c r="I3069" s="335" t="s">
        <v>3494</v>
      </c>
    </row>
    <row r="3070">
      <c r="G3070" s="584"/>
      <c r="H3070" s="584"/>
      <c r="I3070" s="335" t="s">
        <v>3494</v>
      </c>
    </row>
    <row r="3071">
      <c r="G3071" s="584"/>
      <c r="H3071" s="584"/>
      <c r="I3071" s="335" t="s">
        <v>3494</v>
      </c>
    </row>
    <row r="3072">
      <c r="G3072" s="584"/>
      <c r="H3072" s="584"/>
      <c r="I3072" s="335" t="s">
        <v>3494</v>
      </c>
    </row>
    <row r="3073">
      <c r="G3073" s="584"/>
      <c r="H3073" s="584"/>
      <c r="I3073" s="335" t="s">
        <v>3494</v>
      </c>
    </row>
    <row r="3074">
      <c r="G3074" s="584"/>
      <c r="H3074" s="584"/>
      <c r="I3074" s="335" t="s">
        <v>3494</v>
      </c>
    </row>
    <row r="3075">
      <c r="G3075" s="584"/>
      <c r="H3075" s="584"/>
      <c r="I3075" s="335" t="s">
        <v>3494</v>
      </c>
    </row>
    <row r="3076">
      <c r="G3076" s="584"/>
      <c r="H3076" s="584"/>
      <c r="I3076" s="335" t="s">
        <v>3494</v>
      </c>
    </row>
    <row r="3077">
      <c r="G3077" s="584"/>
      <c r="H3077" s="584"/>
      <c r="I3077" s="335" t="s">
        <v>3494</v>
      </c>
    </row>
    <row r="3078">
      <c r="G3078" s="584"/>
      <c r="H3078" s="584"/>
      <c r="I3078" s="335" t="s">
        <v>3494</v>
      </c>
    </row>
    <row r="3079">
      <c r="G3079" s="584"/>
      <c r="H3079" s="584"/>
      <c r="I3079" s="335" t="s">
        <v>3494</v>
      </c>
    </row>
    <row r="3080">
      <c r="G3080" s="584"/>
      <c r="H3080" s="584"/>
      <c r="I3080" s="335" t="s">
        <v>3494</v>
      </c>
    </row>
    <row r="3081">
      <c r="G3081" s="584"/>
      <c r="H3081" s="584"/>
      <c r="I3081" s="335" t="s">
        <v>3494</v>
      </c>
    </row>
    <row r="3082">
      <c r="G3082" s="584"/>
      <c r="H3082" s="584"/>
      <c r="I3082" s="335" t="s">
        <v>3494</v>
      </c>
    </row>
    <row r="3083">
      <c r="G3083" s="584"/>
      <c r="H3083" s="584"/>
      <c r="I3083" s="335" t="s">
        <v>3494</v>
      </c>
    </row>
    <row r="3084">
      <c r="G3084" s="584"/>
      <c r="H3084" s="584"/>
      <c r="I3084" s="335" t="s">
        <v>3494</v>
      </c>
    </row>
    <row r="3085">
      <c r="G3085" s="584"/>
      <c r="H3085" s="584"/>
      <c r="I3085" s="335" t="s">
        <v>3494</v>
      </c>
    </row>
    <row r="3086">
      <c r="G3086" s="584"/>
      <c r="H3086" s="584"/>
      <c r="I3086" s="335" t="s">
        <v>3494</v>
      </c>
    </row>
    <row r="3087">
      <c r="G3087" s="584"/>
      <c r="H3087" s="584"/>
      <c r="I3087" s="335" t="s">
        <v>3494</v>
      </c>
    </row>
    <row r="3088">
      <c r="G3088" s="584"/>
      <c r="H3088" s="584"/>
      <c r="I3088" s="335" t="s">
        <v>3494</v>
      </c>
    </row>
    <row r="3089">
      <c r="G3089" s="584"/>
      <c r="H3089" s="584"/>
      <c r="I3089" s="335" t="s">
        <v>3494</v>
      </c>
    </row>
    <row r="3090">
      <c r="G3090" s="584"/>
      <c r="H3090" s="584"/>
      <c r="I3090" s="335" t="s">
        <v>3494</v>
      </c>
    </row>
    <row r="3091">
      <c r="G3091" s="584"/>
      <c r="H3091" s="584"/>
      <c r="I3091" s="335" t="s">
        <v>3494</v>
      </c>
    </row>
    <row r="3092">
      <c r="G3092" s="584"/>
      <c r="H3092" s="584"/>
      <c r="I3092" s="335" t="s">
        <v>3494</v>
      </c>
    </row>
    <row r="3093">
      <c r="G3093" s="584"/>
      <c r="H3093" s="584"/>
      <c r="I3093" s="335" t="s">
        <v>3494</v>
      </c>
    </row>
    <row r="3094">
      <c r="G3094" s="584"/>
      <c r="H3094" s="584"/>
      <c r="I3094" s="335" t="s">
        <v>3494</v>
      </c>
    </row>
    <row r="3095">
      <c r="G3095" s="584"/>
      <c r="H3095" s="584"/>
      <c r="I3095" s="335" t="s">
        <v>3494</v>
      </c>
    </row>
    <row r="3096">
      <c r="G3096" s="584"/>
      <c r="H3096" s="584"/>
      <c r="I3096" s="335" t="s">
        <v>3494</v>
      </c>
    </row>
    <row r="3097">
      <c r="G3097" s="584"/>
      <c r="H3097" s="584"/>
      <c r="I3097" s="335" t="s">
        <v>3494</v>
      </c>
    </row>
    <row r="3098">
      <c r="G3098" s="584"/>
      <c r="H3098" s="584"/>
      <c r="I3098" s="335" t="s">
        <v>3494</v>
      </c>
    </row>
    <row r="3099">
      <c r="G3099" s="584"/>
      <c r="H3099" s="584"/>
      <c r="I3099" s="335" t="s">
        <v>3494</v>
      </c>
    </row>
    <row r="3100">
      <c r="G3100" s="584"/>
      <c r="H3100" s="584"/>
      <c r="I3100" s="335" t="s">
        <v>3494</v>
      </c>
    </row>
    <row r="3101">
      <c r="G3101" s="584"/>
      <c r="H3101" s="584"/>
      <c r="I3101" s="335" t="s">
        <v>3494</v>
      </c>
    </row>
    <row r="3102">
      <c r="G3102" s="584"/>
      <c r="H3102" s="584"/>
      <c r="I3102" s="335" t="s">
        <v>3494</v>
      </c>
    </row>
    <row r="3103">
      <c r="G3103" s="584"/>
      <c r="H3103" s="584"/>
      <c r="I3103" s="335" t="s">
        <v>3494</v>
      </c>
    </row>
    <row r="3104">
      <c r="G3104" s="584"/>
      <c r="H3104" s="584"/>
      <c r="I3104" s="335" t="s">
        <v>3494</v>
      </c>
    </row>
    <row r="3105">
      <c r="G3105" s="584"/>
      <c r="H3105" s="584"/>
      <c r="I3105" s="335" t="s">
        <v>3494</v>
      </c>
    </row>
    <row r="3106">
      <c r="G3106" s="584"/>
      <c r="H3106" s="584"/>
      <c r="I3106" s="335" t="s">
        <v>3494</v>
      </c>
    </row>
    <row r="3107">
      <c r="G3107" s="584"/>
      <c r="H3107" s="584"/>
      <c r="I3107" s="335" t="s">
        <v>3494</v>
      </c>
    </row>
    <row r="3108">
      <c r="G3108" s="584"/>
      <c r="H3108" s="584"/>
      <c r="I3108" s="335" t="s">
        <v>3494</v>
      </c>
    </row>
    <row r="3109">
      <c r="G3109" s="584"/>
      <c r="H3109" s="584"/>
      <c r="I3109" s="335" t="s">
        <v>3494</v>
      </c>
    </row>
    <row r="3110">
      <c r="G3110" s="584"/>
      <c r="H3110" s="584"/>
      <c r="I3110" s="335" t="s">
        <v>3494</v>
      </c>
    </row>
    <row r="3111">
      <c r="G3111" s="584"/>
      <c r="H3111" s="584"/>
      <c r="I3111" s="335" t="s">
        <v>3494</v>
      </c>
    </row>
    <row r="3112">
      <c r="G3112" s="584"/>
      <c r="H3112" s="584"/>
      <c r="I3112" s="335" t="s">
        <v>3494</v>
      </c>
    </row>
    <row r="3113">
      <c r="G3113" s="584"/>
      <c r="H3113" s="584"/>
      <c r="I3113" s="335" t="s">
        <v>3494</v>
      </c>
    </row>
    <row r="3114">
      <c r="G3114" s="584"/>
      <c r="H3114" s="584"/>
      <c r="I3114" s="335" t="s">
        <v>3494</v>
      </c>
    </row>
    <row r="3115">
      <c r="G3115" s="584"/>
      <c r="H3115" s="584"/>
      <c r="I3115" s="335" t="s">
        <v>3494</v>
      </c>
    </row>
    <row r="3116">
      <c r="G3116" s="584"/>
      <c r="H3116" s="584"/>
      <c r="I3116" s="335" t="s">
        <v>3494</v>
      </c>
    </row>
    <row r="3117">
      <c r="G3117" s="584"/>
      <c r="H3117" s="584"/>
      <c r="I3117" s="335" t="s">
        <v>3494</v>
      </c>
    </row>
    <row r="3118">
      <c r="G3118" s="584"/>
      <c r="H3118" s="584"/>
      <c r="I3118" s="335" t="s">
        <v>3494</v>
      </c>
    </row>
    <row r="3119">
      <c r="G3119" s="584"/>
      <c r="H3119" s="584"/>
      <c r="I3119" s="335" t="s">
        <v>3494</v>
      </c>
    </row>
    <row r="3120">
      <c r="G3120" s="584"/>
      <c r="H3120" s="584"/>
      <c r="I3120" s="335" t="s">
        <v>3494</v>
      </c>
    </row>
    <row r="3121">
      <c r="G3121" s="584"/>
      <c r="H3121" s="584"/>
      <c r="I3121" s="335" t="s">
        <v>3494</v>
      </c>
    </row>
    <row r="3122">
      <c r="G3122" s="584"/>
      <c r="H3122" s="584"/>
      <c r="I3122" s="335" t="s">
        <v>3494</v>
      </c>
    </row>
    <row r="3123">
      <c r="G3123" s="584"/>
      <c r="H3123" s="584"/>
      <c r="I3123" s="335" t="s">
        <v>3494</v>
      </c>
    </row>
    <row r="3124">
      <c r="G3124" s="584"/>
      <c r="H3124" s="584"/>
      <c r="I3124" s="335" t="s">
        <v>3494</v>
      </c>
    </row>
    <row r="3125">
      <c r="G3125" s="584"/>
      <c r="H3125" s="584"/>
      <c r="I3125" s="335" t="s">
        <v>3494</v>
      </c>
    </row>
    <row r="3126">
      <c r="G3126" s="584"/>
      <c r="H3126" s="584"/>
      <c r="I3126" s="335" t="s">
        <v>3494</v>
      </c>
    </row>
    <row r="3127">
      <c r="G3127" s="584"/>
      <c r="H3127" s="584"/>
      <c r="I3127" s="335" t="s">
        <v>3494</v>
      </c>
    </row>
    <row r="3128">
      <c r="G3128" s="584"/>
      <c r="H3128" s="584"/>
      <c r="I3128" s="335" t="s">
        <v>3494</v>
      </c>
    </row>
    <row r="3129">
      <c r="G3129" s="584"/>
      <c r="H3129" s="584"/>
      <c r="I3129" s="335" t="s">
        <v>3494</v>
      </c>
    </row>
    <row r="3130">
      <c r="G3130" s="584"/>
      <c r="H3130" s="584"/>
      <c r="I3130" s="335" t="s">
        <v>3494</v>
      </c>
    </row>
    <row r="3131">
      <c r="G3131" s="584"/>
      <c r="H3131" s="584"/>
      <c r="I3131" s="335" t="s">
        <v>3494</v>
      </c>
    </row>
    <row r="3132">
      <c r="G3132" s="584"/>
      <c r="H3132" s="584"/>
      <c r="I3132" s="335" t="s">
        <v>3494</v>
      </c>
    </row>
    <row r="3133">
      <c r="G3133" s="584"/>
      <c r="H3133" s="584"/>
      <c r="I3133" s="335" t="s">
        <v>3494</v>
      </c>
    </row>
    <row r="3134">
      <c r="G3134" s="584"/>
      <c r="H3134" s="584"/>
      <c r="I3134" s="335" t="s">
        <v>3494</v>
      </c>
    </row>
    <row r="3135">
      <c r="G3135" s="584"/>
      <c r="H3135" s="584"/>
      <c r="I3135" s="335" t="s">
        <v>3494</v>
      </c>
    </row>
    <row r="3136">
      <c r="G3136" s="584"/>
      <c r="H3136" s="584"/>
      <c r="I3136" s="335" t="s">
        <v>3494</v>
      </c>
    </row>
    <row r="3137">
      <c r="G3137" s="584"/>
      <c r="H3137" s="584"/>
      <c r="I3137" s="335" t="s">
        <v>3494</v>
      </c>
    </row>
    <row r="3138">
      <c r="G3138" s="584"/>
      <c r="H3138" s="584"/>
      <c r="I3138" s="335" t="s">
        <v>3494</v>
      </c>
    </row>
    <row r="3139">
      <c r="G3139" s="584"/>
      <c r="H3139" s="584"/>
      <c r="I3139" s="335" t="s">
        <v>3494</v>
      </c>
    </row>
    <row r="3140">
      <c r="G3140" s="584"/>
      <c r="H3140" s="584"/>
      <c r="I3140" s="335" t="s">
        <v>3494</v>
      </c>
    </row>
    <row r="3141">
      <c r="G3141" s="584"/>
      <c r="H3141" s="584"/>
      <c r="I3141" s="335" t="s">
        <v>3494</v>
      </c>
    </row>
    <row r="3142">
      <c r="G3142" s="584"/>
      <c r="H3142" s="584"/>
      <c r="I3142" s="335" t="s">
        <v>3494</v>
      </c>
    </row>
    <row r="3143">
      <c r="G3143" s="584"/>
      <c r="H3143" s="584"/>
      <c r="I3143" s="335" t="s">
        <v>3494</v>
      </c>
    </row>
    <row r="3144">
      <c r="G3144" s="584"/>
      <c r="H3144" s="584"/>
      <c r="I3144" s="335" t="s">
        <v>3494</v>
      </c>
    </row>
    <row r="3145">
      <c r="G3145" s="584"/>
      <c r="H3145" s="584"/>
      <c r="I3145" s="335" t="s">
        <v>3494</v>
      </c>
    </row>
    <row r="3146">
      <c r="G3146" s="584"/>
      <c r="H3146" s="584"/>
      <c r="I3146" s="335" t="s">
        <v>3494</v>
      </c>
    </row>
    <row r="3147">
      <c r="G3147" s="584"/>
      <c r="H3147" s="584"/>
      <c r="I3147" s="335" t="s">
        <v>3494</v>
      </c>
    </row>
    <row r="3148">
      <c r="G3148" s="584"/>
      <c r="H3148" s="584"/>
      <c r="I3148" s="335" t="s">
        <v>3494</v>
      </c>
    </row>
    <row r="3149">
      <c r="G3149" s="584"/>
      <c r="H3149" s="584"/>
      <c r="I3149" s="335" t="s">
        <v>3494</v>
      </c>
    </row>
    <row r="3150">
      <c r="G3150" s="584"/>
      <c r="H3150" s="584"/>
      <c r="I3150" s="335" t="s">
        <v>3494</v>
      </c>
    </row>
    <row r="3151">
      <c r="G3151" s="584"/>
      <c r="H3151" s="584"/>
      <c r="I3151" s="335" t="s">
        <v>3494</v>
      </c>
    </row>
    <row r="3152">
      <c r="G3152" s="584"/>
      <c r="H3152" s="584"/>
      <c r="I3152" s="335" t="s">
        <v>3494</v>
      </c>
    </row>
    <row r="3153">
      <c r="G3153" s="584"/>
      <c r="H3153" s="584"/>
      <c r="I3153" s="335" t="s">
        <v>3494</v>
      </c>
    </row>
    <row r="3154">
      <c r="G3154" s="584"/>
      <c r="H3154" s="584"/>
      <c r="I3154" s="335" t="s">
        <v>3494</v>
      </c>
    </row>
    <row r="3155">
      <c r="G3155" s="584"/>
      <c r="H3155" s="584"/>
      <c r="I3155" s="335" t="s">
        <v>3494</v>
      </c>
    </row>
    <row r="3156">
      <c r="G3156" s="584"/>
      <c r="H3156" s="584"/>
      <c r="I3156" s="335" t="s">
        <v>3494</v>
      </c>
    </row>
    <row r="3157">
      <c r="G3157" s="584"/>
      <c r="H3157" s="584"/>
      <c r="I3157" s="335" t="s">
        <v>3494</v>
      </c>
    </row>
    <row r="3158">
      <c r="G3158" s="584"/>
      <c r="H3158" s="584"/>
      <c r="I3158" s="335" t="s">
        <v>3494</v>
      </c>
    </row>
    <row r="3159">
      <c r="G3159" s="584"/>
      <c r="H3159" s="584"/>
      <c r="I3159" s="335" t="s">
        <v>3494</v>
      </c>
    </row>
    <row r="3160">
      <c r="G3160" s="584"/>
      <c r="H3160" s="584"/>
      <c r="I3160" s="335" t="s">
        <v>3494</v>
      </c>
    </row>
    <row r="3161">
      <c r="G3161" s="584"/>
      <c r="H3161" s="584"/>
      <c r="I3161" s="335" t="s">
        <v>3494</v>
      </c>
    </row>
    <row r="3162">
      <c r="G3162" s="584"/>
      <c r="H3162" s="584"/>
      <c r="I3162" s="335" t="s">
        <v>3494</v>
      </c>
    </row>
    <row r="3163">
      <c r="G3163" s="584"/>
      <c r="H3163" s="584"/>
      <c r="I3163" s="335" t="s">
        <v>3494</v>
      </c>
    </row>
    <row r="3164">
      <c r="G3164" s="584"/>
      <c r="H3164" s="584"/>
      <c r="I3164" s="335" t="s">
        <v>3494</v>
      </c>
    </row>
    <row r="3165">
      <c r="G3165" s="584"/>
      <c r="H3165" s="584"/>
      <c r="I3165" s="335" t="s">
        <v>3494</v>
      </c>
    </row>
    <row r="3166">
      <c r="G3166" s="584"/>
      <c r="H3166" s="584"/>
      <c r="I3166" s="335" t="s">
        <v>3494</v>
      </c>
    </row>
    <row r="3167">
      <c r="G3167" s="584"/>
      <c r="H3167" s="584"/>
      <c r="I3167" s="335" t="s">
        <v>3494</v>
      </c>
    </row>
    <row r="3168">
      <c r="G3168" s="584"/>
      <c r="H3168" s="584"/>
      <c r="I3168" s="335" t="s">
        <v>3494</v>
      </c>
    </row>
    <row r="3169">
      <c r="G3169" s="584"/>
      <c r="H3169" s="584"/>
      <c r="I3169" s="335" t="s">
        <v>3494</v>
      </c>
    </row>
    <row r="3170">
      <c r="G3170" s="584"/>
      <c r="H3170" s="584"/>
      <c r="I3170" s="335" t="s">
        <v>3494</v>
      </c>
    </row>
    <row r="3171">
      <c r="G3171" s="584"/>
      <c r="H3171" s="584"/>
      <c r="I3171" s="335" t="s">
        <v>3494</v>
      </c>
    </row>
    <row r="3172">
      <c r="G3172" s="584"/>
      <c r="H3172" s="584"/>
      <c r="I3172" s="335" t="s">
        <v>3494</v>
      </c>
    </row>
    <row r="3173">
      <c r="G3173" s="584"/>
      <c r="H3173" s="584"/>
      <c r="I3173" s="335" t="s">
        <v>3494</v>
      </c>
    </row>
    <row r="3174">
      <c r="G3174" s="584"/>
      <c r="H3174" s="584"/>
      <c r="I3174" s="335" t="s">
        <v>3494</v>
      </c>
    </row>
    <row r="3175">
      <c r="G3175" s="584"/>
      <c r="H3175" s="584"/>
      <c r="I3175" s="335" t="s">
        <v>3494</v>
      </c>
    </row>
    <row r="3176">
      <c r="G3176" s="584"/>
      <c r="H3176" s="584"/>
      <c r="I3176" s="335" t="s">
        <v>3494</v>
      </c>
    </row>
    <row r="3177">
      <c r="G3177" s="584"/>
      <c r="H3177" s="584"/>
      <c r="I3177" s="335" t="s">
        <v>3494</v>
      </c>
    </row>
    <row r="3178">
      <c r="G3178" s="584"/>
      <c r="H3178" s="584"/>
      <c r="I3178" s="335" t="s">
        <v>3494</v>
      </c>
    </row>
    <row r="3179">
      <c r="G3179" s="584"/>
      <c r="H3179" s="584"/>
      <c r="I3179" s="335" t="s">
        <v>3494</v>
      </c>
    </row>
    <row r="3180">
      <c r="G3180" s="584"/>
      <c r="H3180" s="584"/>
      <c r="I3180" s="335" t="s">
        <v>3494</v>
      </c>
    </row>
    <row r="3181">
      <c r="G3181" s="584"/>
      <c r="H3181" s="584"/>
      <c r="I3181" s="335" t="s">
        <v>3494</v>
      </c>
    </row>
    <row r="3182">
      <c r="G3182" s="584"/>
      <c r="H3182" s="584"/>
      <c r="I3182" s="335" t="s">
        <v>3494</v>
      </c>
    </row>
    <row r="3183">
      <c r="G3183" s="584"/>
      <c r="H3183" s="584"/>
      <c r="I3183" s="335" t="s">
        <v>3494</v>
      </c>
    </row>
    <row r="3184">
      <c r="G3184" s="584"/>
      <c r="H3184" s="584"/>
      <c r="I3184" s="335" t="s">
        <v>3494</v>
      </c>
    </row>
    <row r="3185">
      <c r="G3185" s="584"/>
      <c r="H3185" s="584"/>
      <c r="I3185" s="335" t="s">
        <v>3494</v>
      </c>
    </row>
    <row r="3186">
      <c r="G3186" s="584"/>
      <c r="H3186" s="584"/>
      <c r="I3186" s="335" t="s">
        <v>3494</v>
      </c>
    </row>
    <row r="3187">
      <c r="G3187" s="584"/>
      <c r="H3187" s="584"/>
      <c r="I3187" s="335" t="s">
        <v>3494</v>
      </c>
    </row>
    <row r="3188">
      <c r="G3188" s="584"/>
      <c r="H3188" s="584"/>
      <c r="I3188" s="335" t="s">
        <v>3494</v>
      </c>
    </row>
    <row r="3189">
      <c r="G3189" s="584"/>
      <c r="H3189" s="584"/>
      <c r="I3189" s="335" t="s">
        <v>3494</v>
      </c>
    </row>
    <row r="3190">
      <c r="G3190" s="584"/>
      <c r="H3190" s="584"/>
      <c r="I3190" s="335" t="s">
        <v>3494</v>
      </c>
    </row>
    <row r="3191">
      <c r="G3191" s="584"/>
      <c r="H3191" s="584"/>
      <c r="I3191" s="335" t="s">
        <v>3494</v>
      </c>
    </row>
    <row r="3192">
      <c r="G3192" s="584"/>
      <c r="H3192" s="584"/>
      <c r="I3192" s="335" t="s">
        <v>3494</v>
      </c>
    </row>
    <row r="3193">
      <c r="G3193" s="584"/>
      <c r="H3193" s="584"/>
      <c r="I3193" s="335" t="s">
        <v>3494</v>
      </c>
    </row>
    <row r="3194">
      <c r="G3194" s="584"/>
      <c r="H3194" s="584"/>
      <c r="I3194" s="335" t="s">
        <v>3494</v>
      </c>
    </row>
    <row r="3195">
      <c r="G3195" s="584"/>
      <c r="H3195" s="584"/>
      <c r="I3195" s="335" t="s">
        <v>3494</v>
      </c>
    </row>
    <row r="3196">
      <c r="G3196" s="584"/>
      <c r="H3196" s="584"/>
      <c r="I3196" s="335" t="s">
        <v>3494</v>
      </c>
    </row>
    <row r="3197">
      <c r="G3197" s="584"/>
      <c r="H3197" s="584"/>
      <c r="I3197" s="335" t="s">
        <v>3494</v>
      </c>
    </row>
    <row r="3198">
      <c r="G3198" s="584"/>
      <c r="H3198" s="584"/>
      <c r="I3198" s="335" t="s">
        <v>3494</v>
      </c>
    </row>
    <row r="3199">
      <c r="G3199" s="584"/>
      <c r="H3199" s="584"/>
      <c r="I3199" s="335" t="s">
        <v>3494</v>
      </c>
    </row>
    <row r="3200">
      <c r="G3200" s="584"/>
      <c r="H3200" s="584"/>
      <c r="I3200" s="335" t="s">
        <v>3494</v>
      </c>
    </row>
    <row r="3201">
      <c r="G3201" s="584"/>
      <c r="H3201" s="584"/>
      <c r="I3201" s="335" t="s">
        <v>3494</v>
      </c>
    </row>
    <row r="3202">
      <c r="G3202" s="584"/>
      <c r="H3202" s="584"/>
      <c r="I3202" s="335" t="s">
        <v>3494</v>
      </c>
    </row>
    <row r="3203">
      <c r="G3203" s="584"/>
      <c r="H3203" s="584"/>
      <c r="I3203" s="335" t="s">
        <v>3494</v>
      </c>
    </row>
    <row r="3204">
      <c r="G3204" s="584"/>
      <c r="H3204" s="584"/>
      <c r="I3204" s="335" t="s">
        <v>3494</v>
      </c>
    </row>
    <row r="3205">
      <c r="G3205" s="584"/>
      <c r="H3205" s="584"/>
      <c r="I3205" s="335" t="s">
        <v>3494</v>
      </c>
    </row>
    <row r="3206">
      <c r="G3206" s="584"/>
      <c r="H3206" s="584"/>
      <c r="I3206" s="335" t="s">
        <v>3494</v>
      </c>
    </row>
    <row r="3207">
      <c r="G3207" s="584"/>
      <c r="H3207" s="584"/>
      <c r="I3207" s="335" t="s">
        <v>3494</v>
      </c>
    </row>
    <row r="3208">
      <c r="G3208" s="584"/>
      <c r="H3208" s="584"/>
      <c r="I3208" s="335" t="s">
        <v>3494</v>
      </c>
    </row>
    <row r="3209">
      <c r="G3209" s="584"/>
      <c r="H3209" s="584"/>
      <c r="I3209" s="335" t="s">
        <v>3494</v>
      </c>
    </row>
    <row r="3210">
      <c r="G3210" s="584"/>
      <c r="H3210" s="584"/>
      <c r="I3210" s="335" t="s">
        <v>3494</v>
      </c>
    </row>
    <row r="3211">
      <c r="G3211" s="584"/>
      <c r="H3211" s="584"/>
      <c r="I3211" s="335" t="s">
        <v>3494</v>
      </c>
    </row>
    <row r="3212">
      <c r="G3212" s="584"/>
      <c r="H3212" s="584"/>
      <c r="I3212" s="335" t="s">
        <v>3494</v>
      </c>
    </row>
    <row r="3213">
      <c r="G3213" s="584"/>
      <c r="H3213" s="584"/>
      <c r="I3213" s="335" t="s">
        <v>3494</v>
      </c>
    </row>
    <row r="3214">
      <c r="G3214" s="584"/>
      <c r="H3214" s="584"/>
      <c r="I3214" s="335" t="s">
        <v>3494</v>
      </c>
    </row>
    <row r="3215">
      <c r="G3215" s="584"/>
      <c r="H3215" s="584"/>
      <c r="I3215" s="335" t="s">
        <v>3494</v>
      </c>
    </row>
    <row r="3216">
      <c r="G3216" s="584"/>
      <c r="H3216" s="584"/>
      <c r="I3216" s="335" t="s">
        <v>3494</v>
      </c>
    </row>
    <row r="3217">
      <c r="G3217" s="584"/>
      <c r="H3217" s="584"/>
      <c r="I3217" s="335" t="s">
        <v>3494</v>
      </c>
    </row>
    <row r="3218">
      <c r="G3218" s="584"/>
      <c r="H3218" s="584"/>
      <c r="I3218" s="335" t="s">
        <v>3494</v>
      </c>
    </row>
    <row r="3219">
      <c r="G3219" s="584"/>
      <c r="H3219" s="584"/>
      <c r="I3219" s="335" t="s">
        <v>3494</v>
      </c>
    </row>
    <row r="3220">
      <c r="G3220" s="584"/>
      <c r="H3220" s="584"/>
      <c r="I3220" s="335" t="s">
        <v>3494</v>
      </c>
    </row>
    <row r="3221">
      <c r="G3221" s="584"/>
      <c r="H3221" s="584"/>
      <c r="I3221" s="335" t="s">
        <v>3494</v>
      </c>
    </row>
    <row r="3222">
      <c r="G3222" s="584"/>
      <c r="H3222" s="584"/>
      <c r="I3222" s="335" t="s">
        <v>3494</v>
      </c>
    </row>
    <row r="3223">
      <c r="G3223" s="584"/>
      <c r="H3223" s="584"/>
      <c r="I3223" s="335" t="s">
        <v>3494</v>
      </c>
    </row>
    <row r="3224">
      <c r="G3224" s="584"/>
      <c r="H3224" s="584"/>
      <c r="I3224" s="335" t="s">
        <v>3494</v>
      </c>
    </row>
    <row r="3225">
      <c r="G3225" s="584"/>
      <c r="H3225" s="584"/>
      <c r="I3225" s="335" t="s">
        <v>3494</v>
      </c>
    </row>
    <row r="3226">
      <c r="G3226" s="584"/>
      <c r="H3226" s="584"/>
      <c r="I3226" s="335" t="s">
        <v>3494</v>
      </c>
    </row>
    <row r="3227">
      <c r="G3227" s="584"/>
      <c r="H3227" s="584"/>
      <c r="I3227" s="335" t="s">
        <v>3494</v>
      </c>
    </row>
    <row r="3228">
      <c r="G3228" s="584"/>
      <c r="H3228" s="584"/>
      <c r="I3228" s="335" t="s">
        <v>3494</v>
      </c>
    </row>
    <row r="3229">
      <c r="G3229" s="584"/>
      <c r="H3229" s="584"/>
      <c r="I3229" s="335" t="s">
        <v>3494</v>
      </c>
    </row>
    <row r="3230">
      <c r="G3230" s="584"/>
      <c r="H3230" s="584"/>
      <c r="I3230" s="335" t="s">
        <v>3494</v>
      </c>
    </row>
    <row r="3231">
      <c r="G3231" s="584"/>
      <c r="H3231" s="584"/>
      <c r="I3231" s="335" t="s">
        <v>3494</v>
      </c>
    </row>
    <row r="3232">
      <c r="G3232" s="584"/>
      <c r="H3232" s="584"/>
      <c r="I3232" s="335" t="s">
        <v>3494</v>
      </c>
    </row>
    <row r="3233">
      <c r="G3233" s="584"/>
      <c r="H3233" s="584"/>
      <c r="I3233" s="335" t="s">
        <v>3494</v>
      </c>
    </row>
    <row r="3234">
      <c r="G3234" s="584"/>
      <c r="H3234" s="584"/>
      <c r="I3234" s="335" t="s">
        <v>3494</v>
      </c>
    </row>
    <row r="3235">
      <c r="G3235" s="584"/>
      <c r="H3235" s="584"/>
      <c r="I3235" s="335" t="s">
        <v>3494</v>
      </c>
    </row>
    <row r="3236">
      <c r="G3236" s="584"/>
      <c r="H3236" s="584"/>
      <c r="I3236" s="335" t="s">
        <v>3494</v>
      </c>
    </row>
    <row r="3237">
      <c r="G3237" s="584"/>
      <c r="H3237" s="584"/>
      <c r="I3237" s="335" t="s">
        <v>3494</v>
      </c>
    </row>
    <row r="3238">
      <c r="G3238" s="584"/>
      <c r="H3238" s="584"/>
      <c r="I3238" s="335" t="s">
        <v>3494</v>
      </c>
    </row>
    <row r="3239">
      <c r="G3239" s="584"/>
      <c r="H3239" s="584"/>
      <c r="I3239" s="335" t="s">
        <v>3494</v>
      </c>
    </row>
    <row r="3240">
      <c r="G3240" s="584"/>
      <c r="H3240" s="584"/>
      <c r="I3240" s="335" t="s">
        <v>3494</v>
      </c>
    </row>
    <row r="3241">
      <c r="G3241" s="584"/>
      <c r="H3241" s="584"/>
      <c r="I3241" s="335" t="s">
        <v>3494</v>
      </c>
    </row>
    <row r="3242">
      <c r="G3242" s="584"/>
      <c r="H3242" s="584"/>
      <c r="I3242" s="335" t="s">
        <v>3494</v>
      </c>
    </row>
    <row r="3243">
      <c r="G3243" s="584"/>
      <c r="H3243" s="584"/>
      <c r="I3243" s="335" t="s">
        <v>3494</v>
      </c>
    </row>
    <row r="3244">
      <c r="G3244" s="584"/>
      <c r="H3244" s="584"/>
      <c r="I3244" s="335" t="s">
        <v>3494</v>
      </c>
    </row>
    <row r="3245">
      <c r="G3245" s="584"/>
      <c r="H3245" s="584"/>
      <c r="I3245" s="335" t="s">
        <v>3494</v>
      </c>
    </row>
    <row r="3246">
      <c r="G3246" s="584"/>
      <c r="H3246" s="584"/>
      <c r="I3246" s="335" t="s">
        <v>3494</v>
      </c>
    </row>
    <row r="3247">
      <c r="G3247" s="584"/>
      <c r="H3247" s="584"/>
      <c r="I3247" s="335" t="s">
        <v>3494</v>
      </c>
    </row>
    <row r="3248">
      <c r="G3248" s="584"/>
      <c r="H3248" s="584"/>
      <c r="I3248" s="335" t="s">
        <v>3494</v>
      </c>
    </row>
    <row r="3249">
      <c r="G3249" s="584"/>
      <c r="H3249" s="584"/>
      <c r="I3249" s="335" t="s">
        <v>3494</v>
      </c>
    </row>
    <row r="3250">
      <c r="G3250" s="584"/>
      <c r="H3250" s="584"/>
      <c r="I3250" s="335" t="s">
        <v>3494</v>
      </c>
    </row>
    <row r="3251">
      <c r="G3251" s="584"/>
      <c r="H3251" s="584"/>
      <c r="I3251" s="335" t="s">
        <v>3494</v>
      </c>
    </row>
    <row r="3252">
      <c r="G3252" s="584"/>
      <c r="H3252" s="584"/>
      <c r="I3252" s="335" t="s">
        <v>3494</v>
      </c>
    </row>
    <row r="3253">
      <c r="G3253" s="584"/>
      <c r="H3253" s="584"/>
      <c r="I3253" s="335" t="s">
        <v>3494</v>
      </c>
    </row>
    <row r="3254">
      <c r="G3254" s="584"/>
      <c r="H3254" s="584"/>
      <c r="I3254" s="335" t="s">
        <v>3494</v>
      </c>
    </row>
    <row r="3255">
      <c r="G3255" s="584"/>
      <c r="H3255" s="584"/>
      <c r="I3255" s="335" t="s">
        <v>3494</v>
      </c>
    </row>
    <row r="3256">
      <c r="G3256" s="584"/>
      <c r="H3256" s="584"/>
      <c r="I3256" s="335" t="s">
        <v>3494</v>
      </c>
    </row>
    <row r="3257">
      <c r="G3257" s="584"/>
      <c r="H3257" s="584"/>
      <c r="I3257" s="335" t="s">
        <v>3494</v>
      </c>
    </row>
    <row r="3258">
      <c r="G3258" s="584"/>
      <c r="H3258" s="584"/>
      <c r="I3258" s="335" t="s">
        <v>3494</v>
      </c>
    </row>
    <row r="3259">
      <c r="G3259" s="584"/>
      <c r="H3259" s="584"/>
      <c r="I3259" s="335" t="s">
        <v>3494</v>
      </c>
    </row>
    <row r="3260">
      <c r="G3260" s="584"/>
      <c r="H3260" s="584"/>
      <c r="I3260" s="335" t="s">
        <v>3494</v>
      </c>
    </row>
    <row r="3261">
      <c r="G3261" s="584"/>
      <c r="H3261" s="584"/>
      <c r="I3261" s="335" t="s">
        <v>3494</v>
      </c>
    </row>
    <row r="3262">
      <c r="G3262" s="584"/>
      <c r="H3262" s="584"/>
      <c r="I3262" s="335" t="s">
        <v>3494</v>
      </c>
    </row>
    <row r="3263">
      <c r="G3263" s="584"/>
      <c r="H3263" s="584"/>
      <c r="I3263" s="335" t="s">
        <v>3494</v>
      </c>
    </row>
    <row r="3264">
      <c r="G3264" s="584"/>
      <c r="H3264" s="584"/>
      <c r="I3264" s="335" t="s">
        <v>3494</v>
      </c>
    </row>
    <row r="3265">
      <c r="G3265" s="584"/>
      <c r="H3265" s="584"/>
      <c r="I3265" s="335" t="s">
        <v>3494</v>
      </c>
    </row>
    <row r="3266">
      <c r="G3266" s="584"/>
      <c r="H3266" s="584"/>
      <c r="I3266" s="335" t="s">
        <v>3494</v>
      </c>
    </row>
    <row r="3267">
      <c r="G3267" s="584"/>
      <c r="H3267" s="584"/>
      <c r="I3267" s="335" t="s">
        <v>3494</v>
      </c>
    </row>
    <row r="3268">
      <c r="G3268" s="584"/>
      <c r="H3268" s="584"/>
      <c r="I3268" s="335" t="s">
        <v>3494</v>
      </c>
    </row>
    <row r="3269">
      <c r="G3269" s="584"/>
      <c r="H3269" s="584"/>
      <c r="I3269" s="335" t="s">
        <v>3494</v>
      </c>
    </row>
    <row r="3270">
      <c r="G3270" s="584"/>
      <c r="H3270" s="584"/>
      <c r="I3270" s="335" t="s">
        <v>3494</v>
      </c>
    </row>
    <row r="3271">
      <c r="G3271" s="584"/>
      <c r="H3271" s="584"/>
      <c r="I3271" s="335" t="s">
        <v>3494</v>
      </c>
    </row>
    <row r="3272">
      <c r="G3272" s="584"/>
      <c r="H3272" s="584"/>
      <c r="I3272" s="335" t="s">
        <v>3494</v>
      </c>
    </row>
    <row r="3273">
      <c r="G3273" s="584"/>
      <c r="H3273" s="584"/>
      <c r="I3273" s="335" t="s">
        <v>3494</v>
      </c>
    </row>
    <row r="3274">
      <c r="G3274" s="584"/>
      <c r="H3274" s="584"/>
      <c r="I3274" s="335" t="s">
        <v>3494</v>
      </c>
    </row>
    <row r="3275">
      <c r="G3275" s="584"/>
      <c r="H3275" s="584"/>
      <c r="I3275" s="335" t="s">
        <v>3494</v>
      </c>
    </row>
    <row r="3276">
      <c r="G3276" s="584"/>
      <c r="H3276" s="584"/>
      <c r="I3276" s="335" t="s">
        <v>3494</v>
      </c>
    </row>
    <row r="3277">
      <c r="G3277" s="584"/>
      <c r="H3277" s="584"/>
      <c r="I3277" s="335" t="s">
        <v>3494</v>
      </c>
    </row>
    <row r="3278">
      <c r="G3278" s="584"/>
      <c r="H3278" s="584"/>
      <c r="I3278" s="335" t="s">
        <v>3494</v>
      </c>
    </row>
    <row r="3279">
      <c r="G3279" s="584"/>
      <c r="H3279" s="584"/>
      <c r="I3279" s="335" t="s">
        <v>3494</v>
      </c>
    </row>
    <row r="3280">
      <c r="G3280" s="584"/>
      <c r="H3280" s="584"/>
      <c r="I3280" s="335" t="s">
        <v>3494</v>
      </c>
    </row>
    <row r="3281">
      <c r="G3281" s="584"/>
      <c r="H3281" s="584"/>
      <c r="I3281" s="335" t="s">
        <v>3494</v>
      </c>
    </row>
    <row r="3282">
      <c r="G3282" s="584"/>
      <c r="H3282" s="584"/>
      <c r="I3282" s="335" t="s">
        <v>3494</v>
      </c>
    </row>
    <row r="3283">
      <c r="G3283" s="584"/>
      <c r="H3283" s="584"/>
      <c r="I3283" s="335" t="s">
        <v>3494</v>
      </c>
    </row>
    <row r="3284">
      <c r="G3284" s="584"/>
      <c r="H3284" s="584"/>
      <c r="I3284" s="335" t="s">
        <v>3494</v>
      </c>
    </row>
    <row r="3285">
      <c r="G3285" s="584"/>
      <c r="H3285" s="584"/>
      <c r="I3285" s="335" t="s">
        <v>3494</v>
      </c>
    </row>
    <row r="3286">
      <c r="G3286" s="584"/>
      <c r="H3286" s="584"/>
      <c r="I3286" s="335" t="s">
        <v>3494</v>
      </c>
    </row>
    <row r="3287">
      <c r="G3287" s="584"/>
      <c r="H3287" s="584"/>
      <c r="I3287" s="335" t="s">
        <v>3494</v>
      </c>
    </row>
    <row r="3288">
      <c r="G3288" s="584"/>
      <c r="H3288" s="584"/>
      <c r="I3288" s="335" t="s">
        <v>3494</v>
      </c>
    </row>
    <row r="3289">
      <c r="G3289" s="584"/>
      <c r="H3289" s="584"/>
      <c r="I3289" s="335" t="s">
        <v>3494</v>
      </c>
    </row>
    <row r="3290">
      <c r="G3290" s="584"/>
      <c r="H3290" s="584"/>
      <c r="I3290" s="335" t="s">
        <v>3494</v>
      </c>
    </row>
    <row r="3291">
      <c r="G3291" s="584"/>
      <c r="H3291" s="584"/>
      <c r="I3291" s="335" t="s">
        <v>3494</v>
      </c>
    </row>
    <row r="3292">
      <c r="G3292" s="584"/>
      <c r="H3292" s="584"/>
      <c r="I3292" s="335" t="s">
        <v>3494</v>
      </c>
    </row>
    <row r="3293">
      <c r="G3293" s="584"/>
      <c r="H3293" s="584"/>
      <c r="I3293" s="335" t="s">
        <v>3494</v>
      </c>
    </row>
    <row r="3294">
      <c r="G3294" s="584"/>
      <c r="H3294" s="584"/>
      <c r="I3294" s="335" t="s">
        <v>3494</v>
      </c>
    </row>
    <row r="3295">
      <c r="G3295" s="584"/>
      <c r="H3295" s="584"/>
      <c r="I3295" s="335" t="s">
        <v>3494</v>
      </c>
    </row>
    <row r="3296">
      <c r="G3296" s="584"/>
      <c r="H3296" s="584"/>
      <c r="I3296" s="335" t="s">
        <v>3494</v>
      </c>
    </row>
    <row r="3297">
      <c r="G3297" s="584"/>
      <c r="H3297" s="584"/>
      <c r="I3297" s="335" t="s">
        <v>3494</v>
      </c>
    </row>
    <row r="3298">
      <c r="G3298" s="584"/>
      <c r="H3298" s="584"/>
      <c r="I3298" s="335" t="s">
        <v>3494</v>
      </c>
    </row>
    <row r="3299">
      <c r="G3299" s="584"/>
      <c r="H3299" s="584"/>
      <c r="I3299" s="335" t="s">
        <v>3494</v>
      </c>
    </row>
    <row r="3300">
      <c r="G3300" s="584"/>
      <c r="H3300" s="584"/>
      <c r="I3300" s="335" t="s">
        <v>3494</v>
      </c>
    </row>
    <row r="3301">
      <c r="G3301" s="584"/>
      <c r="H3301" s="584"/>
      <c r="I3301" s="335" t="s">
        <v>3494</v>
      </c>
    </row>
    <row r="3302">
      <c r="G3302" s="584"/>
      <c r="H3302" s="584"/>
      <c r="I3302" s="335" t="s">
        <v>3494</v>
      </c>
    </row>
    <row r="3303">
      <c r="G3303" s="584"/>
      <c r="H3303" s="584"/>
      <c r="I3303" s="335" t="s">
        <v>3494</v>
      </c>
    </row>
    <row r="3304">
      <c r="G3304" s="584"/>
      <c r="H3304" s="584"/>
      <c r="I3304" s="335" t="s">
        <v>3494</v>
      </c>
    </row>
    <row r="3305">
      <c r="G3305" s="584"/>
      <c r="H3305" s="584"/>
      <c r="I3305" s="335" t="s">
        <v>3494</v>
      </c>
    </row>
    <row r="3306">
      <c r="G3306" s="584"/>
      <c r="H3306" s="584"/>
      <c r="I3306" s="335" t="s">
        <v>3494</v>
      </c>
    </row>
    <row r="3307">
      <c r="G3307" s="584"/>
      <c r="H3307" s="584"/>
      <c r="I3307" s="335" t="s">
        <v>3494</v>
      </c>
    </row>
    <row r="3308">
      <c r="G3308" s="584"/>
      <c r="H3308" s="584"/>
      <c r="I3308" s="335" t="s">
        <v>3494</v>
      </c>
    </row>
    <row r="3309">
      <c r="G3309" s="584"/>
      <c r="H3309" s="584"/>
      <c r="I3309" s="335" t="s">
        <v>3494</v>
      </c>
    </row>
    <row r="3310">
      <c r="G3310" s="584"/>
      <c r="H3310" s="584"/>
      <c r="I3310" s="335" t="s">
        <v>3494</v>
      </c>
    </row>
    <row r="3311">
      <c r="G3311" s="584"/>
      <c r="H3311" s="584"/>
      <c r="I3311" s="335" t="s">
        <v>3494</v>
      </c>
    </row>
    <row r="3312">
      <c r="G3312" s="584"/>
      <c r="H3312" s="584"/>
      <c r="I3312" s="335" t="s">
        <v>3494</v>
      </c>
    </row>
    <row r="3313">
      <c r="G3313" s="584"/>
      <c r="H3313" s="584"/>
      <c r="I3313" s="335" t="s">
        <v>3494</v>
      </c>
    </row>
    <row r="3314">
      <c r="G3314" s="584"/>
      <c r="H3314" s="584"/>
      <c r="I3314" s="335" t="s">
        <v>3494</v>
      </c>
    </row>
    <row r="3315">
      <c r="G3315" s="584"/>
      <c r="H3315" s="584"/>
      <c r="I3315" s="335" t="s">
        <v>3494</v>
      </c>
    </row>
    <row r="3316">
      <c r="G3316" s="584"/>
      <c r="H3316" s="584"/>
      <c r="I3316" s="335" t="s">
        <v>3494</v>
      </c>
    </row>
    <row r="3317">
      <c r="G3317" s="584"/>
      <c r="H3317" s="584"/>
      <c r="I3317" s="335" t="s">
        <v>3494</v>
      </c>
    </row>
    <row r="3318">
      <c r="G3318" s="584"/>
      <c r="H3318" s="584"/>
      <c r="I3318" s="335" t="s">
        <v>3494</v>
      </c>
    </row>
    <row r="3319">
      <c r="G3319" s="584"/>
      <c r="H3319" s="584"/>
      <c r="I3319" s="335" t="s">
        <v>3494</v>
      </c>
    </row>
    <row r="3320">
      <c r="G3320" s="584"/>
      <c r="H3320" s="584"/>
      <c r="I3320" s="335" t="s">
        <v>3494</v>
      </c>
    </row>
    <row r="3321">
      <c r="G3321" s="584"/>
      <c r="H3321" s="584"/>
      <c r="I3321" s="335" t="s">
        <v>3494</v>
      </c>
    </row>
    <row r="3322">
      <c r="G3322" s="584"/>
      <c r="H3322" s="584"/>
      <c r="I3322" s="335" t="s">
        <v>3494</v>
      </c>
    </row>
    <row r="3323">
      <c r="G3323" s="584"/>
      <c r="H3323" s="584"/>
      <c r="I3323" s="335" t="s">
        <v>3494</v>
      </c>
    </row>
    <row r="3324">
      <c r="G3324" s="584"/>
      <c r="H3324" s="584"/>
      <c r="I3324" s="335" t="s">
        <v>3494</v>
      </c>
    </row>
    <row r="3325">
      <c r="G3325" s="584"/>
      <c r="H3325" s="584"/>
      <c r="I3325" s="335" t="s">
        <v>3494</v>
      </c>
    </row>
    <row r="3326">
      <c r="G3326" s="584"/>
      <c r="H3326" s="584"/>
      <c r="I3326" s="335" t="s">
        <v>3494</v>
      </c>
    </row>
    <row r="3327">
      <c r="G3327" s="584"/>
      <c r="H3327" s="584"/>
      <c r="I3327" s="335" t="s">
        <v>3494</v>
      </c>
    </row>
    <row r="3328">
      <c r="G3328" s="584"/>
      <c r="H3328" s="584"/>
      <c r="I3328" s="335" t="s">
        <v>3494</v>
      </c>
    </row>
    <row r="3329">
      <c r="G3329" s="584"/>
      <c r="H3329" s="584"/>
      <c r="I3329" s="335" t="s">
        <v>3494</v>
      </c>
    </row>
    <row r="3330">
      <c r="G3330" s="584"/>
      <c r="H3330" s="584"/>
      <c r="I3330" s="335" t="s">
        <v>3494</v>
      </c>
    </row>
    <row r="3331">
      <c r="G3331" s="584"/>
      <c r="H3331" s="584"/>
      <c r="I3331" s="335" t="s">
        <v>3494</v>
      </c>
    </row>
    <row r="3332">
      <c r="G3332" s="584"/>
      <c r="H3332" s="584"/>
      <c r="I3332" s="335" t="s">
        <v>3494</v>
      </c>
    </row>
    <row r="3333">
      <c r="G3333" s="584"/>
      <c r="H3333" s="584"/>
      <c r="I3333" s="335" t="s">
        <v>3494</v>
      </c>
    </row>
    <row r="3334">
      <c r="G3334" s="584"/>
      <c r="H3334" s="584"/>
      <c r="I3334" s="335" t="s">
        <v>3494</v>
      </c>
    </row>
    <row r="3335">
      <c r="G3335" s="584"/>
      <c r="H3335" s="584"/>
      <c r="I3335" s="335" t="s">
        <v>3494</v>
      </c>
    </row>
    <row r="3336">
      <c r="G3336" s="584"/>
      <c r="H3336" s="584"/>
      <c r="I3336" s="335" t="s">
        <v>3494</v>
      </c>
    </row>
    <row r="3337">
      <c r="G3337" s="584"/>
      <c r="H3337" s="584"/>
      <c r="I3337" s="335" t="s">
        <v>3494</v>
      </c>
    </row>
    <row r="3338">
      <c r="G3338" s="584"/>
      <c r="H3338" s="584"/>
      <c r="I3338" s="335" t="s">
        <v>3494</v>
      </c>
    </row>
    <row r="3339">
      <c r="G3339" s="584"/>
      <c r="H3339" s="584"/>
      <c r="I3339" s="335" t="s">
        <v>3494</v>
      </c>
    </row>
    <row r="3340">
      <c r="G3340" s="584"/>
      <c r="H3340" s="584"/>
      <c r="I3340" s="335" t="s">
        <v>3494</v>
      </c>
    </row>
    <row r="3341">
      <c r="G3341" s="584"/>
      <c r="H3341" s="584"/>
      <c r="I3341" s="335" t="s">
        <v>3494</v>
      </c>
    </row>
    <row r="3342">
      <c r="G3342" s="584"/>
      <c r="H3342" s="584"/>
      <c r="I3342" s="335" t="s">
        <v>3494</v>
      </c>
    </row>
    <row r="3343">
      <c r="G3343" s="584"/>
      <c r="H3343" s="584"/>
      <c r="I3343" s="335" t="s">
        <v>3494</v>
      </c>
    </row>
    <row r="3344">
      <c r="G3344" s="584"/>
      <c r="H3344" s="584"/>
      <c r="I3344" s="335" t="s">
        <v>3494</v>
      </c>
    </row>
    <row r="3345">
      <c r="G3345" s="584"/>
      <c r="H3345" s="584"/>
      <c r="I3345" s="335" t="s">
        <v>3494</v>
      </c>
    </row>
    <row r="3346">
      <c r="G3346" s="584"/>
      <c r="H3346" s="584"/>
      <c r="I3346" s="335" t="s">
        <v>3494</v>
      </c>
    </row>
    <row r="3347">
      <c r="G3347" s="584"/>
      <c r="H3347" s="584"/>
      <c r="I3347" s="335" t="s">
        <v>3494</v>
      </c>
    </row>
    <row r="3348">
      <c r="G3348" s="584"/>
      <c r="H3348" s="584"/>
      <c r="I3348" s="335" t="s">
        <v>3494</v>
      </c>
    </row>
    <row r="3349">
      <c r="G3349" s="584"/>
      <c r="H3349" s="584"/>
      <c r="I3349" s="335" t="s">
        <v>3494</v>
      </c>
    </row>
    <row r="3350">
      <c r="G3350" s="584"/>
      <c r="H3350" s="584"/>
      <c r="I3350" s="335" t="s">
        <v>3494</v>
      </c>
    </row>
    <row r="3351">
      <c r="G3351" s="584"/>
      <c r="H3351" s="584"/>
      <c r="I3351" s="335" t="s">
        <v>3494</v>
      </c>
    </row>
    <row r="3352">
      <c r="G3352" s="584"/>
      <c r="H3352" s="584"/>
      <c r="I3352" s="335" t="s">
        <v>3494</v>
      </c>
    </row>
    <row r="3353">
      <c r="G3353" s="584"/>
      <c r="H3353" s="584"/>
      <c r="I3353" s="335" t="s">
        <v>3494</v>
      </c>
    </row>
    <row r="3354">
      <c r="G3354" s="584"/>
      <c r="H3354" s="584"/>
      <c r="I3354" s="335" t="s">
        <v>3494</v>
      </c>
    </row>
    <row r="3355">
      <c r="G3355" s="584"/>
      <c r="H3355" s="584"/>
      <c r="I3355" s="335" t="s">
        <v>3494</v>
      </c>
    </row>
    <row r="3356">
      <c r="G3356" s="584"/>
      <c r="H3356" s="584"/>
      <c r="I3356" s="335" t="s">
        <v>3494</v>
      </c>
    </row>
    <row r="3357">
      <c r="G3357" s="584"/>
      <c r="H3357" s="584"/>
      <c r="I3357" s="335" t="s">
        <v>3494</v>
      </c>
    </row>
    <row r="3358">
      <c r="G3358" s="584"/>
      <c r="H3358" s="584"/>
      <c r="I3358" s="335" t="s">
        <v>3494</v>
      </c>
    </row>
    <row r="3359">
      <c r="G3359" s="584"/>
      <c r="H3359" s="584"/>
      <c r="I3359" s="335" t="s">
        <v>3494</v>
      </c>
    </row>
    <row r="3360">
      <c r="G3360" s="584"/>
      <c r="H3360" s="584"/>
      <c r="I3360" s="335" t="s">
        <v>3494</v>
      </c>
    </row>
    <row r="3361">
      <c r="G3361" s="584"/>
      <c r="H3361" s="584"/>
      <c r="I3361" s="335" t="s">
        <v>3494</v>
      </c>
    </row>
    <row r="3362">
      <c r="G3362" s="584"/>
      <c r="H3362" s="584"/>
      <c r="I3362" s="335" t="s">
        <v>3494</v>
      </c>
    </row>
    <row r="3363">
      <c r="G3363" s="584"/>
      <c r="H3363" s="584"/>
      <c r="I3363" s="335" t="s">
        <v>3494</v>
      </c>
    </row>
    <row r="3364">
      <c r="G3364" s="584"/>
      <c r="H3364" s="584"/>
      <c r="I3364" s="335" t="s">
        <v>3494</v>
      </c>
    </row>
    <row r="3365">
      <c r="G3365" s="584"/>
      <c r="H3365" s="584"/>
      <c r="I3365" s="335" t="s">
        <v>3494</v>
      </c>
    </row>
    <row r="3366">
      <c r="G3366" s="584"/>
      <c r="H3366" s="584"/>
      <c r="I3366" s="335" t="s">
        <v>3494</v>
      </c>
    </row>
    <row r="3367">
      <c r="G3367" s="584"/>
      <c r="H3367" s="584"/>
      <c r="I3367" s="335" t="s">
        <v>3494</v>
      </c>
    </row>
    <row r="3368">
      <c r="G3368" s="584"/>
      <c r="H3368" s="584"/>
      <c r="I3368" s="335" t="s">
        <v>3494</v>
      </c>
    </row>
    <row r="3369">
      <c r="G3369" s="584"/>
      <c r="H3369" s="584"/>
      <c r="I3369" s="335" t="s">
        <v>3494</v>
      </c>
    </row>
    <row r="3370">
      <c r="G3370" s="584"/>
      <c r="H3370" s="584"/>
      <c r="I3370" s="335" t="s">
        <v>3494</v>
      </c>
    </row>
    <row r="3371">
      <c r="G3371" s="584"/>
      <c r="H3371" s="584"/>
      <c r="I3371" s="335" t="s">
        <v>3494</v>
      </c>
    </row>
    <row r="3372">
      <c r="G3372" s="584"/>
      <c r="H3372" s="584"/>
      <c r="I3372" s="335" t="s">
        <v>3494</v>
      </c>
    </row>
    <row r="3373">
      <c r="G3373" s="584"/>
      <c r="H3373" s="584"/>
      <c r="I3373" s="335" t="s">
        <v>3494</v>
      </c>
    </row>
    <row r="3374">
      <c r="G3374" s="584"/>
      <c r="H3374" s="584"/>
      <c r="I3374" s="335" t="s">
        <v>3494</v>
      </c>
    </row>
    <row r="3375">
      <c r="G3375" s="584"/>
      <c r="H3375" s="584"/>
      <c r="I3375" s="335" t="s">
        <v>3494</v>
      </c>
    </row>
    <row r="3376">
      <c r="G3376" s="584"/>
      <c r="H3376" s="584"/>
      <c r="I3376" s="335" t="s">
        <v>3494</v>
      </c>
    </row>
    <row r="3377">
      <c r="G3377" s="584"/>
      <c r="H3377" s="584"/>
      <c r="I3377" s="335" t="s">
        <v>3494</v>
      </c>
    </row>
    <row r="3378">
      <c r="G3378" s="584"/>
      <c r="H3378" s="584"/>
      <c r="I3378" s="335" t="s">
        <v>3494</v>
      </c>
    </row>
    <row r="3379">
      <c r="G3379" s="584"/>
      <c r="H3379" s="584"/>
      <c r="I3379" s="335" t="s">
        <v>3494</v>
      </c>
    </row>
    <row r="3380">
      <c r="G3380" s="584"/>
      <c r="H3380" s="584"/>
      <c r="I3380" s="335" t="s">
        <v>3494</v>
      </c>
    </row>
    <row r="3381">
      <c r="G3381" s="584"/>
      <c r="H3381" s="584"/>
      <c r="I3381" s="335" t="s">
        <v>3494</v>
      </c>
    </row>
    <row r="3382">
      <c r="G3382" s="584"/>
      <c r="H3382" s="584"/>
      <c r="I3382" s="335" t="s">
        <v>3494</v>
      </c>
    </row>
    <row r="3383">
      <c r="G3383" s="584"/>
      <c r="H3383" s="584"/>
      <c r="I3383" s="335" t="s">
        <v>3494</v>
      </c>
    </row>
    <row r="3384">
      <c r="G3384" s="584"/>
      <c r="H3384" s="584"/>
      <c r="I3384" s="335" t="s">
        <v>3494</v>
      </c>
    </row>
    <row r="3385">
      <c r="G3385" s="584"/>
      <c r="H3385" s="584"/>
      <c r="I3385" s="335" t="s">
        <v>3494</v>
      </c>
    </row>
    <row r="3386">
      <c r="G3386" s="584"/>
      <c r="H3386" s="584"/>
      <c r="I3386" s="335" t="s">
        <v>3494</v>
      </c>
    </row>
    <row r="3387">
      <c r="G3387" s="584"/>
      <c r="H3387" s="584"/>
      <c r="I3387" s="335" t="s">
        <v>3494</v>
      </c>
    </row>
    <row r="3388">
      <c r="G3388" s="584"/>
      <c r="H3388" s="584"/>
      <c r="I3388" s="335" t="s">
        <v>3494</v>
      </c>
    </row>
    <row r="3389">
      <c r="G3389" s="584"/>
      <c r="H3389" s="584"/>
      <c r="I3389" s="335" t="s">
        <v>3494</v>
      </c>
    </row>
    <row r="3390">
      <c r="G3390" s="584"/>
      <c r="H3390" s="584"/>
      <c r="I3390" s="335" t="s">
        <v>3494</v>
      </c>
    </row>
    <row r="3391">
      <c r="G3391" s="584"/>
      <c r="H3391" s="584"/>
      <c r="I3391" s="335" t="s">
        <v>3494</v>
      </c>
    </row>
    <row r="3392">
      <c r="G3392" s="584"/>
      <c r="H3392" s="584"/>
      <c r="I3392" s="335" t="s">
        <v>3494</v>
      </c>
    </row>
    <row r="3393">
      <c r="G3393" s="584"/>
      <c r="H3393" s="584"/>
      <c r="I3393" s="335" t="s">
        <v>3494</v>
      </c>
    </row>
    <row r="3394">
      <c r="G3394" s="584"/>
      <c r="H3394" s="584"/>
      <c r="I3394" s="335" t="s">
        <v>3494</v>
      </c>
    </row>
    <row r="3395">
      <c r="G3395" s="584"/>
      <c r="H3395" s="584"/>
      <c r="I3395" s="335" t="s">
        <v>3494</v>
      </c>
    </row>
    <row r="3396">
      <c r="G3396" s="584"/>
      <c r="H3396" s="584"/>
      <c r="I3396" s="335" t="s">
        <v>3494</v>
      </c>
    </row>
    <row r="3397">
      <c r="G3397" s="584"/>
      <c r="H3397" s="584"/>
      <c r="I3397" s="335" t="s">
        <v>3494</v>
      </c>
    </row>
    <row r="3398">
      <c r="G3398" s="584"/>
      <c r="H3398" s="584"/>
      <c r="I3398" s="335" t="s">
        <v>3494</v>
      </c>
    </row>
    <row r="3399">
      <c r="G3399" s="584"/>
      <c r="H3399" s="584"/>
      <c r="I3399" s="335" t="s">
        <v>3494</v>
      </c>
    </row>
    <row r="3400">
      <c r="G3400" s="584"/>
      <c r="H3400" s="584"/>
      <c r="I3400" s="335" t="s">
        <v>3494</v>
      </c>
    </row>
    <row r="3401">
      <c r="G3401" s="584"/>
      <c r="H3401" s="584"/>
      <c r="I3401" s="335" t="s">
        <v>3494</v>
      </c>
    </row>
    <row r="3402">
      <c r="G3402" s="584"/>
      <c r="H3402" s="584"/>
      <c r="I3402" s="335" t="s">
        <v>3494</v>
      </c>
    </row>
    <row r="3403">
      <c r="G3403" s="584"/>
      <c r="H3403" s="584"/>
      <c r="I3403" s="335" t="s">
        <v>3494</v>
      </c>
    </row>
    <row r="3404">
      <c r="G3404" s="584"/>
      <c r="H3404" s="584"/>
      <c r="I3404" s="335" t="s">
        <v>3494</v>
      </c>
    </row>
    <row r="3405">
      <c r="G3405" s="584"/>
      <c r="H3405" s="584"/>
      <c r="I3405" s="335" t="s">
        <v>3494</v>
      </c>
    </row>
    <row r="3406">
      <c r="G3406" s="584"/>
      <c r="H3406" s="584"/>
      <c r="I3406" s="335" t="s">
        <v>3494</v>
      </c>
    </row>
    <row r="3407">
      <c r="G3407" s="584"/>
      <c r="H3407" s="584"/>
      <c r="I3407" s="335" t="s">
        <v>3494</v>
      </c>
    </row>
    <row r="3408">
      <c r="G3408" s="584"/>
      <c r="H3408" s="584"/>
      <c r="I3408" s="335" t="s">
        <v>3494</v>
      </c>
    </row>
    <row r="3409">
      <c r="G3409" s="584"/>
      <c r="H3409" s="584"/>
      <c r="I3409" s="335" t="s">
        <v>3494</v>
      </c>
    </row>
    <row r="3410">
      <c r="G3410" s="584"/>
      <c r="H3410" s="584"/>
      <c r="I3410" s="335" t="s">
        <v>3494</v>
      </c>
    </row>
    <row r="3411">
      <c r="G3411" s="584"/>
      <c r="H3411" s="584"/>
      <c r="I3411" s="335" t="s">
        <v>3494</v>
      </c>
    </row>
    <row r="3412">
      <c r="G3412" s="584"/>
      <c r="H3412" s="584"/>
      <c r="I3412" s="335" t="s">
        <v>3494</v>
      </c>
    </row>
    <row r="3413">
      <c r="G3413" s="584"/>
      <c r="H3413" s="584"/>
      <c r="I3413" s="335" t="s">
        <v>3494</v>
      </c>
    </row>
    <row r="3414">
      <c r="G3414" s="584"/>
      <c r="H3414" s="584"/>
      <c r="I3414" s="335" t="s">
        <v>3494</v>
      </c>
    </row>
    <row r="3415">
      <c r="G3415" s="584"/>
      <c r="H3415" s="584"/>
      <c r="I3415" s="335" t="s">
        <v>3494</v>
      </c>
    </row>
    <row r="3416">
      <c r="G3416" s="584"/>
      <c r="H3416" s="584"/>
      <c r="I3416" s="335" t="s">
        <v>3494</v>
      </c>
    </row>
    <row r="3417">
      <c r="G3417" s="584"/>
      <c r="H3417" s="584"/>
      <c r="I3417" s="335" t="s">
        <v>3494</v>
      </c>
    </row>
    <row r="3418">
      <c r="G3418" s="584"/>
      <c r="H3418" s="584"/>
      <c r="I3418" s="335" t="s">
        <v>3494</v>
      </c>
    </row>
    <row r="3419">
      <c r="G3419" s="584"/>
      <c r="H3419" s="584"/>
      <c r="I3419" s="335" t="s">
        <v>3494</v>
      </c>
    </row>
    <row r="3420">
      <c r="G3420" s="584"/>
      <c r="H3420" s="584"/>
      <c r="I3420" s="335" t="s">
        <v>3494</v>
      </c>
    </row>
    <row r="3421">
      <c r="G3421" s="584"/>
      <c r="H3421" s="584"/>
      <c r="I3421" s="335" t="s">
        <v>3494</v>
      </c>
    </row>
    <row r="3422">
      <c r="G3422" s="584"/>
      <c r="H3422" s="584"/>
      <c r="I3422" s="335" t="s">
        <v>3494</v>
      </c>
    </row>
    <row r="3423">
      <c r="G3423" s="584"/>
      <c r="H3423" s="584"/>
      <c r="I3423" s="335" t="s">
        <v>3494</v>
      </c>
    </row>
    <row r="3424">
      <c r="G3424" s="584"/>
      <c r="H3424" s="584"/>
      <c r="I3424" s="335" t="s">
        <v>3494</v>
      </c>
    </row>
    <row r="3425">
      <c r="G3425" s="584"/>
      <c r="H3425" s="584"/>
      <c r="I3425" s="335" t="s">
        <v>3494</v>
      </c>
    </row>
    <row r="3426">
      <c r="G3426" s="584"/>
      <c r="H3426" s="584"/>
      <c r="I3426" s="335" t="s">
        <v>3494</v>
      </c>
    </row>
    <row r="3427">
      <c r="G3427" s="584"/>
      <c r="H3427" s="584"/>
      <c r="I3427" s="335" t="s">
        <v>3494</v>
      </c>
    </row>
    <row r="3428">
      <c r="G3428" s="584"/>
      <c r="H3428" s="584"/>
      <c r="I3428" s="335" t="s">
        <v>3494</v>
      </c>
    </row>
    <row r="3429">
      <c r="G3429" s="584"/>
      <c r="H3429" s="584"/>
      <c r="I3429" s="335" t="s">
        <v>3494</v>
      </c>
    </row>
    <row r="3430">
      <c r="G3430" s="584"/>
      <c r="H3430" s="584"/>
      <c r="I3430" s="335" t="s">
        <v>3494</v>
      </c>
    </row>
    <row r="3431">
      <c r="G3431" s="584"/>
      <c r="H3431" s="584"/>
      <c r="I3431" s="335" t="s">
        <v>3494</v>
      </c>
    </row>
    <row r="3432">
      <c r="G3432" s="584"/>
      <c r="H3432" s="584"/>
      <c r="I3432" s="335" t="s">
        <v>3494</v>
      </c>
    </row>
    <row r="3433">
      <c r="G3433" s="584"/>
      <c r="H3433" s="584"/>
      <c r="I3433" s="335" t="s">
        <v>3494</v>
      </c>
    </row>
    <row r="3434">
      <c r="G3434" s="584"/>
      <c r="H3434" s="584"/>
      <c r="I3434" s="335" t="s">
        <v>3494</v>
      </c>
    </row>
    <row r="3435">
      <c r="G3435" s="584"/>
      <c r="H3435" s="584"/>
      <c r="I3435" s="335" t="s">
        <v>3494</v>
      </c>
    </row>
    <row r="3436">
      <c r="G3436" s="584"/>
      <c r="H3436" s="584"/>
      <c r="I3436" s="335" t="s">
        <v>3494</v>
      </c>
    </row>
    <row r="3437">
      <c r="G3437" s="584"/>
      <c r="H3437" s="584"/>
      <c r="I3437" s="335" t="s">
        <v>3494</v>
      </c>
    </row>
    <row r="3438">
      <c r="G3438" s="584"/>
      <c r="H3438" s="584"/>
      <c r="I3438" s="335" t="s">
        <v>3494</v>
      </c>
    </row>
    <row r="3439">
      <c r="G3439" s="584"/>
      <c r="H3439" s="584"/>
      <c r="I3439" s="335" t="s">
        <v>3494</v>
      </c>
    </row>
    <row r="3440">
      <c r="G3440" s="584"/>
      <c r="H3440" s="584"/>
      <c r="I3440" s="335" t="s">
        <v>3494</v>
      </c>
    </row>
    <row r="3441">
      <c r="G3441" s="584"/>
      <c r="H3441" s="584"/>
      <c r="I3441" s="335" t="s">
        <v>3494</v>
      </c>
    </row>
    <row r="3442">
      <c r="G3442" s="584"/>
      <c r="H3442" s="584"/>
      <c r="I3442" s="335" t="s">
        <v>3494</v>
      </c>
    </row>
    <row r="3443">
      <c r="G3443" s="584"/>
      <c r="H3443" s="584"/>
      <c r="I3443" s="335" t="s">
        <v>3494</v>
      </c>
    </row>
    <row r="3444">
      <c r="G3444" s="584"/>
      <c r="H3444" s="584"/>
      <c r="I3444" s="335" t="s">
        <v>3494</v>
      </c>
    </row>
    <row r="3445">
      <c r="G3445" s="584"/>
      <c r="H3445" s="584"/>
      <c r="I3445" s="335" t="s">
        <v>3494</v>
      </c>
    </row>
    <row r="3446">
      <c r="G3446" s="584"/>
      <c r="H3446" s="584"/>
      <c r="I3446" s="335" t="s">
        <v>3494</v>
      </c>
    </row>
    <row r="3447">
      <c r="G3447" s="584"/>
      <c r="H3447" s="584"/>
      <c r="I3447" s="335" t="s">
        <v>3494</v>
      </c>
    </row>
    <row r="3448">
      <c r="G3448" s="584"/>
      <c r="H3448" s="584"/>
      <c r="I3448" s="335" t="s">
        <v>3494</v>
      </c>
    </row>
    <row r="3449">
      <c r="G3449" s="584"/>
      <c r="H3449" s="584"/>
      <c r="I3449" s="335" t="s">
        <v>3494</v>
      </c>
    </row>
    <row r="3450">
      <c r="G3450" s="584"/>
      <c r="H3450" s="584"/>
      <c r="I3450" s="335" t="s">
        <v>3494</v>
      </c>
    </row>
    <row r="3451">
      <c r="G3451" s="584"/>
      <c r="H3451" s="584"/>
      <c r="I3451" s="335" t="s">
        <v>3494</v>
      </c>
    </row>
    <row r="3452">
      <c r="G3452" s="584"/>
      <c r="H3452" s="584"/>
      <c r="I3452" s="335" t="s">
        <v>3494</v>
      </c>
    </row>
    <row r="3453">
      <c r="G3453" s="584"/>
      <c r="H3453" s="584"/>
      <c r="I3453" s="335" t="s">
        <v>3494</v>
      </c>
    </row>
    <row r="3454">
      <c r="G3454" s="584"/>
      <c r="H3454" s="584"/>
      <c r="I3454" s="335" t="s">
        <v>3494</v>
      </c>
    </row>
    <row r="3455">
      <c r="G3455" s="584"/>
      <c r="H3455" s="584"/>
      <c r="I3455" s="335" t="s">
        <v>3494</v>
      </c>
    </row>
    <row r="3456">
      <c r="G3456" s="584"/>
      <c r="H3456" s="584"/>
      <c r="I3456" s="335" t="s">
        <v>3494</v>
      </c>
    </row>
    <row r="3457">
      <c r="G3457" s="584"/>
      <c r="H3457" s="584"/>
      <c r="I3457" s="335" t="s">
        <v>3494</v>
      </c>
    </row>
    <row r="3458">
      <c r="G3458" s="584"/>
      <c r="H3458" s="584"/>
      <c r="I3458" s="335" t="s">
        <v>3494</v>
      </c>
    </row>
    <row r="3459">
      <c r="G3459" s="584"/>
      <c r="H3459" s="584"/>
      <c r="I3459" s="335" t="s">
        <v>3494</v>
      </c>
    </row>
    <row r="3460">
      <c r="G3460" s="584"/>
      <c r="H3460" s="584"/>
      <c r="I3460" s="335" t="s">
        <v>3494</v>
      </c>
    </row>
    <row r="3461">
      <c r="G3461" s="584"/>
      <c r="H3461" s="584"/>
      <c r="I3461" s="335" t="s">
        <v>3494</v>
      </c>
    </row>
    <row r="3462">
      <c r="G3462" s="584"/>
      <c r="H3462" s="584"/>
      <c r="I3462" s="335" t="s">
        <v>3494</v>
      </c>
    </row>
    <row r="3463">
      <c r="G3463" s="584"/>
      <c r="H3463" s="584"/>
      <c r="I3463" s="335" t="s">
        <v>3494</v>
      </c>
    </row>
    <row r="3464">
      <c r="G3464" s="584"/>
      <c r="H3464" s="584"/>
      <c r="I3464" s="335" t="s">
        <v>3494</v>
      </c>
    </row>
    <row r="3465">
      <c r="G3465" s="584"/>
      <c r="H3465" s="584"/>
      <c r="I3465" s="335" t="s">
        <v>3494</v>
      </c>
    </row>
    <row r="3466">
      <c r="G3466" s="584"/>
      <c r="H3466" s="584"/>
      <c r="I3466" s="335" t="s">
        <v>3494</v>
      </c>
    </row>
    <row r="3467">
      <c r="G3467" s="584"/>
      <c r="H3467" s="584"/>
      <c r="I3467" s="335" t="s">
        <v>3494</v>
      </c>
    </row>
    <row r="3468">
      <c r="G3468" s="584"/>
      <c r="H3468" s="584"/>
      <c r="I3468" s="335" t="s">
        <v>3494</v>
      </c>
    </row>
    <row r="3469">
      <c r="G3469" s="584"/>
      <c r="H3469" s="584"/>
      <c r="I3469" s="335" t="s">
        <v>3494</v>
      </c>
    </row>
    <row r="3470">
      <c r="G3470" s="584"/>
      <c r="H3470" s="584"/>
      <c r="I3470" s="335" t="s">
        <v>3494</v>
      </c>
    </row>
    <row r="3471">
      <c r="G3471" s="584"/>
      <c r="H3471" s="584"/>
      <c r="I3471" s="335" t="s">
        <v>3494</v>
      </c>
    </row>
    <row r="3472">
      <c r="G3472" s="584"/>
      <c r="H3472" s="584"/>
      <c r="I3472" s="335" t="s">
        <v>3494</v>
      </c>
    </row>
    <row r="3473">
      <c r="G3473" s="584"/>
      <c r="H3473" s="584"/>
      <c r="I3473" s="335" t="s">
        <v>3494</v>
      </c>
    </row>
    <row r="3474">
      <c r="G3474" s="584"/>
      <c r="H3474" s="584"/>
      <c r="I3474" s="335" t="s">
        <v>3494</v>
      </c>
    </row>
    <row r="3475">
      <c r="G3475" s="584"/>
      <c r="H3475" s="584"/>
      <c r="I3475" s="335" t="s">
        <v>3494</v>
      </c>
    </row>
    <row r="3476">
      <c r="G3476" s="584"/>
      <c r="H3476" s="584"/>
      <c r="I3476" s="335" t="s">
        <v>3494</v>
      </c>
    </row>
    <row r="3477">
      <c r="G3477" s="584"/>
      <c r="H3477" s="584"/>
      <c r="I3477" s="335" t="s">
        <v>3494</v>
      </c>
    </row>
    <row r="3478">
      <c r="G3478" s="584"/>
      <c r="H3478" s="584"/>
      <c r="I3478" s="335" t="s">
        <v>3494</v>
      </c>
    </row>
    <row r="3479">
      <c r="G3479" s="584"/>
      <c r="H3479" s="584"/>
      <c r="I3479" s="335" t="s">
        <v>3494</v>
      </c>
    </row>
    <row r="3480">
      <c r="G3480" s="584"/>
      <c r="H3480" s="584"/>
      <c r="I3480" s="335" t="s">
        <v>3494</v>
      </c>
    </row>
    <row r="3481">
      <c r="G3481" s="584"/>
      <c r="H3481" s="584"/>
      <c r="I3481" s="335" t="s">
        <v>3494</v>
      </c>
    </row>
    <row r="3482">
      <c r="G3482" s="584"/>
      <c r="H3482" s="584"/>
      <c r="I3482" s="335" t="s">
        <v>3494</v>
      </c>
    </row>
    <row r="3483">
      <c r="G3483" s="584"/>
      <c r="H3483" s="584"/>
      <c r="I3483" s="335" t="s">
        <v>3494</v>
      </c>
    </row>
    <row r="3484">
      <c r="G3484" s="584"/>
      <c r="H3484" s="584"/>
      <c r="I3484" s="335" t="s">
        <v>3494</v>
      </c>
    </row>
    <row r="3485">
      <c r="G3485" s="584"/>
      <c r="H3485" s="584"/>
      <c r="I3485" s="335" t="s">
        <v>3494</v>
      </c>
    </row>
    <row r="3486">
      <c r="G3486" s="584"/>
      <c r="H3486" s="584"/>
      <c r="I3486" s="335" t="s">
        <v>3494</v>
      </c>
    </row>
    <row r="3487">
      <c r="G3487" s="584"/>
      <c r="H3487" s="584"/>
      <c r="I3487" s="335" t="s">
        <v>3494</v>
      </c>
    </row>
    <row r="3488">
      <c r="G3488" s="584"/>
      <c r="H3488" s="584"/>
      <c r="I3488" s="335" t="s">
        <v>3494</v>
      </c>
    </row>
    <row r="3489">
      <c r="G3489" s="584"/>
      <c r="H3489" s="584"/>
      <c r="I3489" s="335" t="s">
        <v>3494</v>
      </c>
    </row>
    <row r="3490">
      <c r="G3490" s="584"/>
      <c r="H3490" s="584"/>
      <c r="I3490" s="335" t="s">
        <v>3494</v>
      </c>
    </row>
    <row r="3491">
      <c r="G3491" s="584"/>
      <c r="H3491" s="584"/>
      <c r="I3491" s="335" t="s">
        <v>3494</v>
      </c>
    </row>
    <row r="3492">
      <c r="G3492" s="584"/>
      <c r="H3492" s="584"/>
      <c r="I3492" s="335" t="s">
        <v>3494</v>
      </c>
    </row>
    <row r="3493">
      <c r="G3493" s="584"/>
      <c r="H3493" s="584"/>
      <c r="I3493" s="335" t="s">
        <v>3494</v>
      </c>
    </row>
    <row r="3494">
      <c r="G3494" s="584"/>
      <c r="H3494" s="584"/>
      <c r="I3494" s="335" t="s">
        <v>3494</v>
      </c>
    </row>
    <row r="3495">
      <c r="G3495" s="584"/>
      <c r="H3495" s="584"/>
      <c r="I3495" s="335" t="s">
        <v>3494</v>
      </c>
    </row>
    <row r="3496">
      <c r="G3496" s="584"/>
      <c r="H3496" s="584"/>
      <c r="I3496" s="335" t="s">
        <v>3494</v>
      </c>
    </row>
    <row r="3497">
      <c r="G3497" s="584"/>
      <c r="H3497" s="584"/>
      <c r="I3497" s="335" t="s">
        <v>3494</v>
      </c>
    </row>
    <row r="3498">
      <c r="G3498" s="584"/>
      <c r="H3498" s="584"/>
      <c r="I3498" s="335" t="s">
        <v>3494</v>
      </c>
    </row>
    <row r="3499">
      <c r="G3499" s="584"/>
      <c r="H3499" s="584"/>
      <c r="I3499" s="335" t="s">
        <v>3494</v>
      </c>
    </row>
    <row r="3500">
      <c r="G3500" s="584"/>
      <c r="H3500" s="584"/>
      <c r="I3500" s="335" t="s">
        <v>3494</v>
      </c>
    </row>
    <row r="3501">
      <c r="G3501" s="584"/>
      <c r="H3501" s="584"/>
      <c r="I3501" s="335" t="s">
        <v>3494</v>
      </c>
    </row>
    <row r="3502">
      <c r="G3502" s="584"/>
      <c r="H3502" s="584"/>
      <c r="I3502" s="335" t="s">
        <v>3494</v>
      </c>
    </row>
    <row r="3503">
      <c r="G3503" s="584"/>
      <c r="H3503" s="584"/>
      <c r="I3503" s="335" t="s">
        <v>3494</v>
      </c>
    </row>
    <row r="3504">
      <c r="G3504" s="584"/>
      <c r="H3504" s="584"/>
      <c r="I3504" s="335" t="s">
        <v>3494</v>
      </c>
    </row>
    <row r="3505">
      <c r="G3505" s="584"/>
      <c r="H3505" s="584"/>
      <c r="I3505" s="335" t="s">
        <v>3494</v>
      </c>
    </row>
    <row r="3506">
      <c r="G3506" s="584"/>
      <c r="H3506" s="584"/>
      <c r="I3506" s="335" t="s">
        <v>3494</v>
      </c>
    </row>
    <row r="3507">
      <c r="G3507" s="584"/>
      <c r="H3507" s="584"/>
      <c r="I3507" s="335" t="s">
        <v>3494</v>
      </c>
    </row>
    <row r="3508">
      <c r="G3508" s="584"/>
      <c r="H3508" s="584"/>
      <c r="I3508" s="335" t="s">
        <v>3494</v>
      </c>
    </row>
    <row r="3509">
      <c r="G3509" s="584"/>
      <c r="H3509" s="584"/>
      <c r="I3509" s="335" t="s">
        <v>3494</v>
      </c>
    </row>
    <row r="3510">
      <c r="G3510" s="584"/>
      <c r="H3510" s="584"/>
      <c r="I3510" s="335" t="s">
        <v>3494</v>
      </c>
    </row>
    <row r="3511">
      <c r="G3511" s="584"/>
      <c r="H3511" s="584"/>
      <c r="I3511" s="335" t="s">
        <v>3494</v>
      </c>
    </row>
    <row r="3512">
      <c r="G3512" s="584"/>
      <c r="H3512" s="584"/>
      <c r="I3512" s="335" t="s">
        <v>3494</v>
      </c>
    </row>
    <row r="3513">
      <c r="G3513" s="584"/>
      <c r="H3513" s="584"/>
      <c r="I3513" s="335" t="s">
        <v>3494</v>
      </c>
    </row>
    <row r="3514">
      <c r="G3514" s="584"/>
      <c r="H3514" s="584"/>
      <c r="I3514" s="335" t="s">
        <v>3494</v>
      </c>
    </row>
    <row r="3515">
      <c r="G3515" s="584"/>
      <c r="H3515" s="584"/>
      <c r="I3515" s="335" t="s">
        <v>3494</v>
      </c>
    </row>
    <row r="3516">
      <c r="G3516" s="584"/>
      <c r="H3516" s="584"/>
      <c r="I3516" s="335" t="s">
        <v>3494</v>
      </c>
    </row>
    <row r="3517">
      <c r="G3517" s="584"/>
      <c r="H3517" s="584"/>
      <c r="I3517" s="335" t="s">
        <v>3494</v>
      </c>
    </row>
    <row r="3518">
      <c r="G3518" s="584"/>
      <c r="H3518" s="584"/>
      <c r="I3518" s="335" t="s">
        <v>3494</v>
      </c>
    </row>
    <row r="3519">
      <c r="G3519" s="584"/>
      <c r="H3519" s="584"/>
      <c r="I3519" s="335" t="s">
        <v>3494</v>
      </c>
    </row>
    <row r="3520">
      <c r="G3520" s="584"/>
      <c r="H3520" s="584"/>
      <c r="I3520" s="335" t="s">
        <v>3494</v>
      </c>
    </row>
    <row r="3521">
      <c r="G3521" s="584"/>
      <c r="H3521" s="584"/>
      <c r="I3521" s="335" t="s">
        <v>3494</v>
      </c>
    </row>
    <row r="3522">
      <c r="G3522" s="584"/>
      <c r="H3522" s="584"/>
      <c r="I3522" s="335" t="s">
        <v>3494</v>
      </c>
    </row>
    <row r="3523">
      <c r="G3523" s="584"/>
      <c r="H3523" s="584"/>
      <c r="I3523" s="335" t="s">
        <v>3494</v>
      </c>
    </row>
    <row r="3524">
      <c r="G3524" s="584"/>
      <c r="H3524" s="584"/>
      <c r="I3524" s="335" t="s">
        <v>3494</v>
      </c>
    </row>
    <row r="3525">
      <c r="G3525" s="584"/>
      <c r="H3525" s="584"/>
      <c r="I3525" s="335" t="s">
        <v>3494</v>
      </c>
    </row>
    <row r="3526">
      <c r="G3526" s="584"/>
      <c r="H3526" s="584"/>
      <c r="I3526" s="335" t="s">
        <v>3494</v>
      </c>
    </row>
    <row r="3527">
      <c r="G3527" s="584"/>
      <c r="H3527" s="584"/>
      <c r="I3527" s="335" t="s">
        <v>3494</v>
      </c>
    </row>
    <row r="3528">
      <c r="G3528" s="584"/>
      <c r="H3528" s="584"/>
      <c r="I3528" s="335" t="s">
        <v>3494</v>
      </c>
    </row>
    <row r="3529">
      <c r="G3529" s="584"/>
      <c r="H3529" s="584"/>
      <c r="I3529" s="335" t="s">
        <v>3494</v>
      </c>
    </row>
    <row r="3530">
      <c r="G3530" s="584"/>
      <c r="H3530" s="584"/>
      <c r="I3530" s="335" t="s">
        <v>3494</v>
      </c>
    </row>
    <row r="3531">
      <c r="G3531" s="584"/>
      <c r="H3531" s="584"/>
      <c r="I3531" s="335" t="s">
        <v>3494</v>
      </c>
    </row>
    <row r="3532">
      <c r="G3532" s="584"/>
      <c r="H3532" s="584"/>
      <c r="I3532" s="335" t="s">
        <v>3494</v>
      </c>
    </row>
    <row r="3533">
      <c r="G3533" s="584"/>
      <c r="H3533" s="584"/>
      <c r="I3533" s="335" t="s">
        <v>3494</v>
      </c>
    </row>
    <row r="3534">
      <c r="G3534" s="584"/>
      <c r="H3534" s="584"/>
      <c r="I3534" s="335" t="s">
        <v>3494</v>
      </c>
    </row>
    <row r="3535">
      <c r="G3535" s="584"/>
      <c r="H3535" s="584"/>
      <c r="I3535" s="335" t="s">
        <v>3494</v>
      </c>
    </row>
    <row r="3536">
      <c r="G3536" s="584"/>
      <c r="H3536" s="584"/>
      <c r="I3536" s="335" t="s">
        <v>3494</v>
      </c>
    </row>
    <row r="3537">
      <c r="G3537" s="584"/>
      <c r="H3537" s="584"/>
      <c r="I3537" s="335" t="s">
        <v>3494</v>
      </c>
    </row>
    <row r="3538">
      <c r="G3538" s="584"/>
      <c r="H3538" s="584"/>
      <c r="I3538" s="335" t="s">
        <v>3494</v>
      </c>
    </row>
    <row r="3539">
      <c r="G3539" s="584"/>
      <c r="H3539" s="584"/>
      <c r="I3539" s="335" t="s">
        <v>3494</v>
      </c>
    </row>
    <row r="3540">
      <c r="G3540" s="584"/>
      <c r="H3540" s="584"/>
      <c r="I3540" s="335" t="s">
        <v>3494</v>
      </c>
    </row>
    <row r="3541">
      <c r="G3541" s="584"/>
      <c r="H3541" s="584"/>
      <c r="I3541" s="335" t="s">
        <v>3494</v>
      </c>
    </row>
    <row r="3542">
      <c r="G3542" s="584"/>
      <c r="H3542" s="584"/>
      <c r="I3542" s="335" t="s">
        <v>3494</v>
      </c>
    </row>
    <row r="3543">
      <c r="G3543" s="584"/>
      <c r="H3543" s="584"/>
      <c r="I3543" s="335" t="s">
        <v>3494</v>
      </c>
    </row>
    <row r="3544">
      <c r="G3544" s="584"/>
      <c r="H3544" s="584"/>
      <c r="I3544" s="335" t="s">
        <v>3494</v>
      </c>
    </row>
    <row r="3545">
      <c r="G3545" s="584"/>
      <c r="H3545" s="584"/>
      <c r="I3545" s="335" t="s">
        <v>3494</v>
      </c>
    </row>
    <row r="3546">
      <c r="G3546" s="584"/>
      <c r="H3546" s="584"/>
      <c r="I3546" s="335" t="s">
        <v>3494</v>
      </c>
    </row>
    <row r="3547">
      <c r="G3547" s="584"/>
      <c r="H3547" s="584"/>
      <c r="I3547" s="335" t="s">
        <v>3494</v>
      </c>
    </row>
    <row r="3548">
      <c r="G3548" s="584"/>
      <c r="H3548" s="584"/>
      <c r="I3548" s="335" t="s">
        <v>3494</v>
      </c>
    </row>
    <row r="3549">
      <c r="G3549" s="584"/>
      <c r="H3549" s="584"/>
      <c r="I3549" s="335" t="s">
        <v>3494</v>
      </c>
    </row>
    <row r="3550">
      <c r="G3550" s="584"/>
      <c r="H3550" s="584"/>
      <c r="I3550" s="335" t="s">
        <v>3494</v>
      </c>
    </row>
    <row r="3551">
      <c r="G3551" s="584"/>
      <c r="H3551" s="584"/>
      <c r="I3551" s="335" t="s">
        <v>3494</v>
      </c>
    </row>
    <row r="3552">
      <c r="G3552" s="584"/>
      <c r="H3552" s="584"/>
      <c r="I3552" s="335" t="s">
        <v>3494</v>
      </c>
    </row>
    <row r="3553">
      <c r="G3553" s="584"/>
      <c r="H3553" s="584"/>
      <c r="I3553" s="335" t="s">
        <v>3494</v>
      </c>
    </row>
    <row r="3554">
      <c r="G3554" s="584"/>
      <c r="H3554" s="584"/>
      <c r="I3554" s="335" t="s">
        <v>3494</v>
      </c>
    </row>
    <row r="3555">
      <c r="G3555" s="584"/>
      <c r="H3555" s="584"/>
      <c r="I3555" s="335" t="s">
        <v>3494</v>
      </c>
    </row>
    <row r="3556">
      <c r="G3556" s="584"/>
      <c r="H3556" s="584"/>
      <c r="I3556" s="335" t="s">
        <v>3494</v>
      </c>
    </row>
    <row r="3557">
      <c r="G3557" s="584"/>
      <c r="H3557" s="584"/>
      <c r="I3557" s="335" t="s">
        <v>3494</v>
      </c>
    </row>
    <row r="3558">
      <c r="G3558" s="584"/>
      <c r="H3558" s="584"/>
      <c r="I3558" s="335" t="s">
        <v>3494</v>
      </c>
    </row>
    <row r="3559">
      <c r="G3559" s="584"/>
      <c r="H3559" s="584"/>
      <c r="I3559" s="335" t="s">
        <v>3494</v>
      </c>
    </row>
    <row r="3560">
      <c r="G3560" s="584"/>
      <c r="H3560" s="584"/>
      <c r="I3560" s="335" t="s">
        <v>3494</v>
      </c>
    </row>
    <row r="3561">
      <c r="G3561" s="584"/>
      <c r="H3561" s="584"/>
      <c r="I3561" s="335" t="s">
        <v>3494</v>
      </c>
    </row>
    <row r="3562">
      <c r="G3562" s="584"/>
      <c r="H3562" s="584"/>
      <c r="I3562" s="335" t="s">
        <v>3494</v>
      </c>
    </row>
    <row r="3563">
      <c r="G3563" s="584"/>
      <c r="H3563" s="584"/>
      <c r="I3563" s="335" t="s">
        <v>3494</v>
      </c>
    </row>
    <row r="3564">
      <c r="G3564" s="584"/>
      <c r="H3564" s="584"/>
      <c r="I3564" s="335" t="s">
        <v>3494</v>
      </c>
    </row>
    <row r="3565">
      <c r="G3565" s="584"/>
      <c r="H3565" s="584"/>
      <c r="I3565" s="335" t="s">
        <v>3494</v>
      </c>
    </row>
    <row r="3566">
      <c r="G3566" s="584"/>
      <c r="H3566" s="584"/>
      <c r="I3566" s="335" t="s">
        <v>3494</v>
      </c>
    </row>
    <row r="3567">
      <c r="G3567" s="584"/>
      <c r="H3567" s="584"/>
      <c r="I3567" s="335" t="s">
        <v>3494</v>
      </c>
    </row>
    <row r="3568">
      <c r="G3568" s="584"/>
      <c r="H3568" s="584"/>
      <c r="I3568" s="335" t="s">
        <v>3494</v>
      </c>
    </row>
    <row r="3569">
      <c r="G3569" s="584"/>
      <c r="H3569" s="584"/>
      <c r="I3569" s="335" t="s">
        <v>3494</v>
      </c>
    </row>
    <row r="3570">
      <c r="G3570" s="584"/>
      <c r="H3570" s="584"/>
      <c r="I3570" s="335" t="s">
        <v>3494</v>
      </c>
    </row>
    <row r="3571">
      <c r="G3571" s="584"/>
      <c r="H3571" s="584"/>
      <c r="I3571" s="335" t="s">
        <v>3494</v>
      </c>
    </row>
    <row r="3572">
      <c r="G3572" s="584"/>
      <c r="H3572" s="584"/>
      <c r="I3572" s="335" t="s">
        <v>3494</v>
      </c>
    </row>
    <row r="3573">
      <c r="G3573" s="584"/>
      <c r="H3573" s="584"/>
      <c r="I3573" s="335" t="s">
        <v>3494</v>
      </c>
    </row>
    <row r="3574">
      <c r="G3574" s="584"/>
      <c r="H3574" s="584"/>
      <c r="I3574" s="335" t="s">
        <v>3494</v>
      </c>
    </row>
    <row r="3575">
      <c r="G3575" s="584"/>
      <c r="H3575" s="584"/>
      <c r="I3575" s="335" t="s">
        <v>3494</v>
      </c>
    </row>
    <row r="3576">
      <c r="G3576" s="584"/>
      <c r="H3576" s="584"/>
      <c r="I3576" s="335" t="s">
        <v>3494</v>
      </c>
    </row>
    <row r="3577">
      <c r="G3577" s="584"/>
      <c r="H3577" s="584"/>
      <c r="I3577" s="335" t="s">
        <v>3494</v>
      </c>
    </row>
    <row r="3578">
      <c r="G3578" s="584"/>
      <c r="H3578" s="584"/>
      <c r="I3578" s="335" t="s">
        <v>3494</v>
      </c>
    </row>
    <row r="3579">
      <c r="G3579" s="584"/>
      <c r="H3579" s="584"/>
      <c r="I3579" s="335" t="s">
        <v>3494</v>
      </c>
    </row>
    <row r="3580">
      <c r="G3580" s="584"/>
      <c r="H3580" s="584"/>
      <c r="I3580" s="335" t="s">
        <v>3494</v>
      </c>
    </row>
    <row r="3581">
      <c r="G3581" s="584"/>
      <c r="H3581" s="584"/>
      <c r="I3581" s="335" t="s">
        <v>3494</v>
      </c>
    </row>
    <row r="3582">
      <c r="G3582" s="584"/>
      <c r="H3582" s="584"/>
      <c r="I3582" s="335" t="s">
        <v>3494</v>
      </c>
    </row>
    <row r="3583">
      <c r="G3583" s="584"/>
      <c r="H3583" s="584"/>
      <c r="I3583" s="335" t="s">
        <v>3494</v>
      </c>
    </row>
    <row r="3584">
      <c r="G3584" s="584"/>
      <c r="H3584" s="584"/>
      <c r="I3584" s="335" t="s">
        <v>3494</v>
      </c>
    </row>
    <row r="3585">
      <c r="G3585" s="584"/>
      <c r="H3585" s="584"/>
      <c r="I3585" s="335" t="s">
        <v>3494</v>
      </c>
    </row>
    <row r="3586">
      <c r="G3586" s="584"/>
      <c r="H3586" s="584"/>
      <c r="I3586" s="335" t="s">
        <v>3494</v>
      </c>
    </row>
    <row r="3587">
      <c r="G3587" s="584"/>
      <c r="H3587" s="584"/>
      <c r="I3587" s="335" t="s">
        <v>3494</v>
      </c>
    </row>
    <row r="3588">
      <c r="G3588" s="584"/>
      <c r="H3588" s="584"/>
      <c r="I3588" s="335" t="s">
        <v>3494</v>
      </c>
    </row>
    <row r="3589">
      <c r="G3589" s="584"/>
      <c r="H3589" s="584"/>
      <c r="I3589" s="335" t="s">
        <v>3494</v>
      </c>
    </row>
    <row r="3590">
      <c r="G3590" s="584"/>
      <c r="H3590" s="584"/>
      <c r="I3590" s="335" t="s">
        <v>3494</v>
      </c>
    </row>
    <row r="3591">
      <c r="G3591" s="584"/>
      <c r="H3591" s="584"/>
      <c r="I3591" s="335" t="s">
        <v>3494</v>
      </c>
    </row>
    <row r="3592">
      <c r="G3592" s="584"/>
      <c r="H3592" s="584"/>
      <c r="I3592" s="335" t="s">
        <v>3494</v>
      </c>
    </row>
    <row r="3593">
      <c r="G3593" s="584"/>
      <c r="H3593" s="584"/>
      <c r="I3593" s="335" t="s">
        <v>3494</v>
      </c>
    </row>
    <row r="3594">
      <c r="G3594" s="584"/>
      <c r="H3594" s="584"/>
      <c r="I3594" s="335" t="s">
        <v>3494</v>
      </c>
    </row>
    <row r="3595">
      <c r="G3595" s="584"/>
      <c r="H3595" s="584"/>
      <c r="I3595" s="335" t="s">
        <v>3494</v>
      </c>
    </row>
    <row r="3596">
      <c r="G3596" s="584"/>
      <c r="H3596" s="584"/>
      <c r="I3596" s="335" t="s">
        <v>3494</v>
      </c>
    </row>
    <row r="3597">
      <c r="G3597" s="584"/>
      <c r="H3597" s="584"/>
      <c r="I3597" s="335" t="s">
        <v>3494</v>
      </c>
    </row>
    <row r="3598">
      <c r="G3598" s="584"/>
      <c r="H3598" s="584"/>
      <c r="I3598" s="335" t="s">
        <v>3494</v>
      </c>
    </row>
    <row r="3599">
      <c r="G3599" s="584"/>
      <c r="H3599" s="584"/>
      <c r="I3599" s="335" t="s">
        <v>3494</v>
      </c>
    </row>
    <row r="3600">
      <c r="G3600" s="584"/>
      <c r="H3600" s="584"/>
      <c r="I3600" s="335" t="s">
        <v>3494</v>
      </c>
    </row>
    <row r="3601">
      <c r="G3601" s="584"/>
      <c r="H3601" s="584"/>
      <c r="I3601" s="335" t="s">
        <v>3494</v>
      </c>
    </row>
    <row r="3602">
      <c r="G3602" s="584"/>
      <c r="H3602" s="584"/>
      <c r="I3602" s="335" t="s">
        <v>3494</v>
      </c>
    </row>
    <row r="3603">
      <c r="G3603" s="584"/>
      <c r="H3603" s="584"/>
      <c r="I3603" s="335" t="s">
        <v>3494</v>
      </c>
    </row>
    <row r="3604">
      <c r="G3604" s="584"/>
      <c r="H3604" s="584"/>
      <c r="I3604" s="335" t="s">
        <v>3494</v>
      </c>
    </row>
    <row r="3605">
      <c r="G3605" s="584"/>
      <c r="H3605" s="584"/>
      <c r="I3605" s="335" t="s">
        <v>3494</v>
      </c>
    </row>
    <row r="3606">
      <c r="G3606" s="584"/>
      <c r="H3606" s="584"/>
      <c r="I3606" s="335" t="s">
        <v>3494</v>
      </c>
    </row>
    <row r="3607">
      <c r="G3607" s="584"/>
      <c r="H3607" s="584"/>
      <c r="I3607" s="335" t="s">
        <v>3494</v>
      </c>
    </row>
    <row r="3608">
      <c r="G3608" s="584"/>
      <c r="H3608" s="584"/>
      <c r="I3608" s="335" t="s">
        <v>3494</v>
      </c>
    </row>
    <row r="3609">
      <c r="G3609" s="584"/>
      <c r="H3609" s="584"/>
      <c r="I3609" s="335" t="s">
        <v>3494</v>
      </c>
    </row>
    <row r="3610">
      <c r="G3610" s="584"/>
      <c r="H3610" s="584"/>
      <c r="I3610" s="335" t="s">
        <v>3494</v>
      </c>
    </row>
    <row r="3611">
      <c r="G3611" s="584"/>
      <c r="H3611" s="584"/>
      <c r="I3611" s="335" t="s">
        <v>3494</v>
      </c>
    </row>
    <row r="3612">
      <c r="G3612" s="584"/>
      <c r="H3612" s="584"/>
      <c r="I3612" s="335" t="s">
        <v>3494</v>
      </c>
    </row>
    <row r="3613">
      <c r="G3613" s="584"/>
      <c r="H3613" s="584"/>
      <c r="I3613" s="335" t="s">
        <v>3494</v>
      </c>
    </row>
    <row r="3614">
      <c r="G3614" s="584"/>
      <c r="H3614" s="584"/>
      <c r="I3614" s="335" t="s">
        <v>3494</v>
      </c>
    </row>
    <row r="3615">
      <c r="G3615" s="584"/>
      <c r="H3615" s="584"/>
      <c r="I3615" s="335" t="s">
        <v>3494</v>
      </c>
    </row>
    <row r="3616">
      <c r="G3616" s="584"/>
      <c r="H3616" s="584"/>
      <c r="I3616" s="335" t="s">
        <v>3494</v>
      </c>
    </row>
    <row r="3617">
      <c r="G3617" s="584"/>
      <c r="H3617" s="584"/>
      <c r="I3617" s="335" t="s">
        <v>3494</v>
      </c>
    </row>
    <row r="3618">
      <c r="G3618" s="584"/>
      <c r="H3618" s="584"/>
      <c r="I3618" s="335" t="s">
        <v>3494</v>
      </c>
    </row>
    <row r="3619">
      <c r="G3619" s="584"/>
      <c r="H3619" s="584"/>
      <c r="I3619" s="335" t="s">
        <v>3494</v>
      </c>
    </row>
    <row r="3620">
      <c r="G3620" s="584"/>
      <c r="H3620" s="584"/>
      <c r="I3620" s="335" t="s">
        <v>3494</v>
      </c>
    </row>
    <row r="3621">
      <c r="G3621" s="584"/>
      <c r="H3621" s="584"/>
      <c r="I3621" s="335" t="s">
        <v>3494</v>
      </c>
    </row>
    <row r="3622">
      <c r="G3622" s="584"/>
      <c r="H3622" s="584"/>
      <c r="I3622" s="335" t="s">
        <v>3494</v>
      </c>
    </row>
    <row r="3623">
      <c r="G3623" s="584"/>
      <c r="H3623" s="584"/>
      <c r="I3623" s="335" t="s">
        <v>3494</v>
      </c>
    </row>
    <row r="3624">
      <c r="G3624" s="584"/>
      <c r="H3624" s="584"/>
      <c r="I3624" s="335" t="s">
        <v>3494</v>
      </c>
    </row>
    <row r="3625">
      <c r="G3625" s="584"/>
      <c r="H3625" s="584"/>
      <c r="I3625" s="335" t="s">
        <v>3494</v>
      </c>
    </row>
    <row r="3626">
      <c r="G3626" s="584"/>
      <c r="H3626" s="584"/>
      <c r="I3626" s="335" t="s">
        <v>3494</v>
      </c>
    </row>
    <row r="3627">
      <c r="G3627" s="584"/>
      <c r="H3627" s="584"/>
      <c r="I3627" s="335" t="s">
        <v>3494</v>
      </c>
    </row>
    <row r="3628">
      <c r="G3628" s="584"/>
      <c r="H3628" s="584"/>
      <c r="I3628" s="335" t="s">
        <v>3494</v>
      </c>
    </row>
    <row r="3629">
      <c r="G3629" s="584"/>
      <c r="H3629" s="584"/>
      <c r="I3629" s="335" t="s">
        <v>3494</v>
      </c>
    </row>
    <row r="3630">
      <c r="G3630" s="584"/>
      <c r="H3630" s="584"/>
      <c r="I3630" s="335" t="s">
        <v>3494</v>
      </c>
    </row>
    <row r="3631">
      <c r="G3631" s="584"/>
      <c r="H3631" s="584"/>
      <c r="I3631" s="335" t="s">
        <v>3494</v>
      </c>
    </row>
    <row r="3632">
      <c r="G3632" s="584"/>
      <c r="H3632" s="584"/>
      <c r="I3632" s="335" t="s">
        <v>3494</v>
      </c>
    </row>
    <row r="3633">
      <c r="G3633" s="584"/>
      <c r="H3633" s="584"/>
      <c r="I3633" s="335" t="s">
        <v>3494</v>
      </c>
    </row>
    <row r="3634">
      <c r="G3634" s="584"/>
      <c r="H3634" s="584"/>
      <c r="I3634" s="335" t="s">
        <v>3494</v>
      </c>
    </row>
    <row r="3635">
      <c r="G3635" s="584"/>
      <c r="H3635" s="584"/>
      <c r="I3635" s="335" t="s">
        <v>3494</v>
      </c>
    </row>
    <row r="3636">
      <c r="G3636" s="584"/>
      <c r="H3636" s="584"/>
      <c r="I3636" s="335" t="s">
        <v>3494</v>
      </c>
    </row>
    <row r="3637">
      <c r="G3637" s="584"/>
      <c r="H3637" s="584"/>
      <c r="I3637" s="335" t="s">
        <v>3494</v>
      </c>
    </row>
    <row r="3638">
      <c r="G3638" s="584"/>
      <c r="H3638" s="584"/>
      <c r="I3638" s="335" t="s">
        <v>3494</v>
      </c>
    </row>
    <row r="3639">
      <c r="G3639" s="584"/>
      <c r="H3639" s="584"/>
      <c r="I3639" s="335" t="s">
        <v>3494</v>
      </c>
    </row>
    <row r="3640">
      <c r="G3640" s="584"/>
      <c r="H3640" s="584"/>
      <c r="I3640" s="335" t="s">
        <v>3494</v>
      </c>
    </row>
    <row r="3641">
      <c r="G3641" s="584"/>
      <c r="H3641" s="584"/>
      <c r="I3641" s="335" t="s">
        <v>3494</v>
      </c>
    </row>
    <row r="3642">
      <c r="G3642" s="584"/>
      <c r="H3642" s="584"/>
      <c r="I3642" s="335" t="s">
        <v>3494</v>
      </c>
    </row>
    <row r="3643">
      <c r="G3643" s="584"/>
      <c r="H3643" s="584"/>
      <c r="I3643" s="335" t="s">
        <v>3494</v>
      </c>
    </row>
    <row r="3644">
      <c r="G3644" s="584"/>
      <c r="H3644" s="584"/>
      <c r="I3644" s="335" t="s">
        <v>3494</v>
      </c>
    </row>
    <row r="3645">
      <c r="G3645" s="584"/>
      <c r="H3645" s="584"/>
      <c r="I3645" s="335" t="s">
        <v>3494</v>
      </c>
    </row>
    <row r="3646">
      <c r="G3646" s="584"/>
      <c r="H3646" s="584"/>
      <c r="I3646" s="335" t="s">
        <v>3494</v>
      </c>
    </row>
    <row r="3647">
      <c r="G3647" s="584"/>
      <c r="H3647" s="584"/>
      <c r="I3647" s="335" t="s">
        <v>3494</v>
      </c>
    </row>
    <row r="3648">
      <c r="G3648" s="584"/>
      <c r="H3648" s="584"/>
      <c r="I3648" s="335" t="s">
        <v>3494</v>
      </c>
    </row>
    <row r="3649">
      <c r="G3649" s="584"/>
      <c r="H3649" s="584"/>
      <c r="I3649" s="335" t="s">
        <v>3494</v>
      </c>
    </row>
    <row r="3650">
      <c r="G3650" s="584"/>
      <c r="H3650" s="584"/>
      <c r="I3650" s="335" t="s">
        <v>3494</v>
      </c>
    </row>
    <row r="3651">
      <c r="G3651" s="584"/>
      <c r="H3651" s="584"/>
      <c r="I3651" s="335" t="s">
        <v>3494</v>
      </c>
    </row>
    <row r="3652">
      <c r="G3652" s="584"/>
      <c r="H3652" s="584"/>
      <c r="I3652" s="335" t="s">
        <v>3494</v>
      </c>
    </row>
    <row r="3653">
      <c r="G3653" s="584"/>
      <c r="H3653" s="584"/>
      <c r="I3653" s="335" t="s">
        <v>3494</v>
      </c>
    </row>
    <row r="3654">
      <c r="G3654" s="584"/>
      <c r="H3654" s="584"/>
      <c r="I3654" s="335" t="s">
        <v>3494</v>
      </c>
    </row>
    <row r="3655">
      <c r="G3655" s="584"/>
      <c r="H3655" s="584"/>
      <c r="I3655" s="335" t="s">
        <v>3494</v>
      </c>
    </row>
    <row r="3656">
      <c r="G3656" s="584"/>
      <c r="H3656" s="584"/>
      <c r="I3656" s="335" t="s">
        <v>3494</v>
      </c>
    </row>
    <row r="3657">
      <c r="G3657" s="584"/>
      <c r="H3657" s="584"/>
      <c r="I3657" s="335" t="s">
        <v>3494</v>
      </c>
    </row>
    <row r="3658">
      <c r="G3658" s="584"/>
      <c r="H3658" s="584"/>
      <c r="I3658" s="335" t="s">
        <v>3494</v>
      </c>
    </row>
    <row r="3659">
      <c r="G3659" s="584"/>
      <c r="H3659" s="584"/>
      <c r="I3659" s="335" t="s">
        <v>3494</v>
      </c>
    </row>
    <row r="3660">
      <c r="G3660" s="584"/>
      <c r="H3660" s="584"/>
      <c r="I3660" s="335" t="s">
        <v>3494</v>
      </c>
    </row>
    <row r="3661">
      <c r="G3661" s="584"/>
      <c r="H3661" s="584"/>
      <c r="I3661" s="335" t="s">
        <v>3494</v>
      </c>
    </row>
    <row r="3662">
      <c r="G3662" s="584"/>
      <c r="H3662" s="584"/>
      <c r="I3662" s="335" t="s">
        <v>3494</v>
      </c>
    </row>
    <row r="3663">
      <c r="G3663" s="584"/>
      <c r="H3663" s="584"/>
      <c r="I3663" s="335" t="s">
        <v>3494</v>
      </c>
    </row>
    <row r="3664">
      <c r="G3664" s="584"/>
      <c r="H3664" s="584"/>
      <c r="I3664" s="335" t="s">
        <v>3494</v>
      </c>
    </row>
    <row r="3665">
      <c r="G3665" s="584"/>
      <c r="H3665" s="584"/>
      <c r="I3665" s="335" t="s">
        <v>3494</v>
      </c>
    </row>
    <row r="3666">
      <c r="G3666" s="584"/>
      <c r="H3666" s="584"/>
      <c r="I3666" s="335" t="s">
        <v>3494</v>
      </c>
    </row>
    <row r="3667">
      <c r="G3667" s="584"/>
      <c r="H3667" s="584"/>
      <c r="I3667" s="335" t="s">
        <v>3494</v>
      </c>
    </row>
    <row r="3668">
      <c r="G3668" s="584"/>
      <c r="H3668" s="584"/>
      <c r="I3668" s="335" t="s">
        <v>3494</v>
      </c>
    </row>
    <row r="3669">
      <c r="G3669" s="584"/>
      <c r="H3669" s="584"/>
      <c r="I3669" s="335" t="s">
        <v>3494</v>
      </c>
    </row>
    <row r="3670">
      <c r="G3670" s="584"/>
      <c r="H3670" s="584"/>
      <c r="I3670" s="335" t="s">
        <v>3494</v>
      </c>
    </row>
    <row r="3671">
      <c r="G3671" s="584"/>
      <c r="H3671" s="584"/>
      <c r="I3671" s="335" t="s">
        <v>3494</v>
      </c>
    </row>
    <row r="3672">
      <c r="G3672" s="584"/>
      <c r="H3672" s="584"/>
      <c r="I3672" s="335" t="s">
        <v>3494</v>
      </c>
    </row>
    <row r="3673">
      <c r="G3673" s="584"/>
      <c r="H3673" s="584"/>
      <c r="I3673" s="335" t="s">
        <v>3494</v>
      </c>
    </row>
    <row r="3674">
      <c r="G3674" s="584"/>
      <c r="H3674" s="584"/>
      <c r="I3674" s="335" t="s">
        <v>3494</v>
      </c>
    </row>
    <row r="3675">
      <c r="G3675" s="584"/>
      <c r="H3675" s="584"/>
      <c r="I3675" s="335" t="s">
        <v>3494</v>
      </c>
    </row>
    <row r="3676">
      <c r="G3676" s="584"/>
      <c r="H3676" s="584"/>
      <c r="I3676" s="335" t="s">
        <v>3494</v>
      </c>
    </row>
    <row r="3677">
      <c r="G3677" s="584"/>
      <c r="H3677" s="584"/>
      <c r="I3677" s="335" t="s">
        <v>3494</v>
      </c>
    </row>
    <row r="3678">
      <c r="G3678" s="584"/>
      <c r="H3678" s="584"/>
      <c r="I3678" s="335" t="s">
        <v>3494</v>
      </c>
    </row>
    <row r="3679">
      <c r="G3679" s="584"/>
      <c r="H3679" s="584"/>
      <c r="I3679" s="335" t="s">
        <v>3494</v>
      </c>
    </row>
    <row r="3680">
      <c r="G3680" s="584"/>
      <c r="H3680" s="584"/>
      <c r="I3680" s="335" t="s">
        <v>3494</v>
      </c>
    </row>
    <row r="3681">
      <c r="G3681" s="584"/>
      <c r="H3681" s="584"/>
      <c r="I3681" s="335" t="s">
        <v>3494</v>
      </c>
    </row>
    <row r="3682">
      <c r="G3682" s="584"/>
      <c r="H3682" s="584"/>
      <c r="I3682" s="335" t="s">
        <v>3494</v>
      </c>
    </row>
    <row r="3683">
      <c r="G3683" s="584"/>
      <c r="H3683" s="584"/>
      <c r="I3683" s="335" t="s">
        <v>3494</v>
      </c>
    </row>
    <row r="3684">
      <c r="G3684" s="584"/>
      <c r="H3684" s="584"/>
      <c r="I3684" s="335" t="s">
        <v>3494</v>
      </c>
    </row>
    <row r="3685">
      <c r="G3685" s="584"/>
      <c r="H3685" s="584"/>
      <c r="I3685" s="335" t="s">
        <v>3494</v>
      </c>
    </row>
    <row r="3686">
      <c r="G3686" s="584"/>
      <c r="H3686" s="584"/>
      <c r="I3686" s="335" t="s">
        <v>3494</v>
      </c>
    </row>
    <row r="3687">
      <c r="G3687" s="584"/>
      <c r="H3687" s="584"/>
      <c r="I3687" s="335" t="s">
        <v>3494</v>
      </c>
    </row>
    <row r="3688">
      <c r="G3688" s="584"/>
      <c r="H3688" s="584"/>
      <c r="I3688" s="335" t="s">
        <v>3494</v>
      </c>
    </row>
    <row r="3689">
      <c r="G3689" s="584"/>
      <c r="H3689" s="584"/>
      <c r="I3689" s="335" t="s">
        <v>3494</v>
      </c>
    </row>
    <row r="3690">
      <c r="G3690" s="584"/>
      <c r="H3690" s="584"/>
      <c r="I3690" s="335" t="s">
        <v>3494</v>
      </c>
    </row>
    <row r="3691">
      <c r="G3691" s="584"/>
      <c r="H3691" s="584"/>
      <c r="I3691" s="335" t="s">
        <v>3494</v>
      </c>
    </row>
    <row r="3692">
      <c r="G3692" s="584"/>
      <c r="H3692" s="584"/>
      <c r="I3692" s="335" t="s">
        <v>3494</v>
      </c>
    </row>
    <row r="3693">
      <c r="G3693" s="584"/>
      <c r="H3693" s="584"/>
      <c r="I3693" s="335" t="s">
        <v>3494</v>
      </c>
    </row>
    <row r="3694">
      <c r="G3694" s="584"/>
      <c r="H3694" s="584"/>
      <c r="I3694" s="335" t="s">
        <v>3494</v>
      </c>
    </row>
    <row r="3695">
      <c r="G3695" s="584"/>
      <c r="H3695" s="584"/>
      <c r="I3695" s="335" t="s">
        <v>3494</v>
      </c>
    </row>
    <row r="3696">
      <c r="G3696" s="584"/>
      <c r="H3696" s="584"/>
      <c r="I3696" s="335" t="s">
        <v>3494</v>
      </c>
    </row>
    <row r="3697">
      <c r="G3697" s="584"/>
      <c r="H3697" s="584"/>
      <c r="I3697" s="335" t="s">
        <v>3494</v>
      </c>
    </row>
    <row r="3698">
      <c r="G3698" s="584"/>
      <c r="H3698" s="584"/>
      <c r="I3698" s="335" t="s">
        <v>3494</v>
      </c>
    </row>
    <row r="3699">
      <c r="G3699" s="584"/>
      <c r="H3699" s="584"/>
      <c r="I3699" s="335" t="s">
        <v>3494</v>
      </c>
    </row>
    <row r="3700">
      <c r="G3700" s="584"/>
      <c r="H3700" s="584"/>
      <c r="I3700" s="335" t="s">
        <v>3494</v>
      </c>
    </row>
    <row r="3701">
      <c r="G3701" s="584"/>
      <c r="H3701" s="584"/>
      <c r="I3701" s="335" t="s">
        <v>3494</v>
      </c>
    </row>
    <row r="3702">
      <c r="G3702" s="584"/>
      <c r="H3702" s="584"/>
      <c r="I3702" s="335" t="s">
        <v>3494</v>
      </c>
    </row>
    <row r="3703">
      <c r="G3703" s="584"/>
      <c r="H3703" s="584"/>
      <c r="I3703" s="335" t="s">
        <v>3494</v>
      </c>
    </row>
    <row r="3704">
      <c r="G3704" s="584"/>
      <c r="H3704" s="584"/>
      <c r="I3704" s="335" t="s">
        <v>3494</v>
      </c>
    </row>
    <row r="3705">
      <c r="G3705" s="584"/>
      <c r="H3705" s="584"/>
      <c r="I3705" s="335" t="s">
        <v>3494</v>
      </c>
    </row>
    <row r="3706">
      <c r="G3706" s="584"/>
      <c r="H3706" s="584"/>
      <c r="I3706" s="335" t="s">
        <v>3494</v>
      </c>
    </row>
    <row r="3707">
      <c r="G3707" s="584"/>
      <c r="H3707" s="584"/>
      <c r="I3707" s="335" t="s">
        <v>3494</v>
      </c>
    </row>
    <row r="3708">
      <c r="G3708" s="584"/>
      <c r="H3708" s="584"/>
      <c r="I3708" s="335" t="s">
        <v>3494</v>
      </c>
    </row>
    <row r="3709">
      <c r="G3709" s="584"/>
      <c r="H3709" s="584"/>
      <c r="I3709" s="335" t="s">
        <v>3494</v>
      </c>
    </row>
    <row r="3710">
      <c r="G3710" s="584"/>
      <c r="H3710" s="584"/>
      <c r="I3710" s="335" t="s">
        <v>3494</v>
      </c>
    </row>
    <row r="3711">
      <c r="G3711" s="584"/>
      <c r="H3711" s="584"/>
      <c r="I3711" s="335" t="s">
        <v>3494</v>
      </c>
    </row>
    <row r="3712">
      <c r="G3712" s="584"/>
      <c r="H3712" s="584"/>
      <c r="I3712" s="335" t="s">
        <v>3494</v>
      </c>
    </row>
    <row r="3713">
      <c r="G3713" s="584"/>
      <c r="H3713" s="584"/>
      <c r="I3713" s="335" t="s">
        <v>3494</v>
      </c>
    </row>
    <row r="3714">
      <c r="G3714" s="584"/>
      <c r="H3714" s="584"/>
      <c r="I3714" s="335" t="s">
        <v>3494</v>
      </c>
    </row>
    <row r="3715">
      <c r="G3715" s="584"/>
      <c r="H3715" s="584"/>
      <c r="I3715" s="335" t="s">
        <v>3494</v>
      </c>
    </row>
    <row r="3716">
      <c r="G3716" s="584"/>
      <c r="H3716" s="584"/>
      <c r="I3716" s="335" t="s">
        <v>3494</v>
      </c>
    </row>
    <row r="3717">
      <c r="G3717" s="584"/>
      <c r="H3717" s="584"/>
      <c r="I3717" s="335" t="s">
        <v>3494</v>
      </c>
    </row>
    <row r="3718">
      <c r="G3718" s="584"/>
      <c r="H3718" s="584"/>
      <c r="I3718" s="335" t="s">
        <v>3494</v>
      </c>
    </row>
    <row r="3719">
      <c r="G3719" s="584"/>
      <c r="H3719" s="584"/>
      <c r="I3719" s="335" t="s">
        <v>3494</v>
      </c>
    </row>
    <row r="3720">
      <c r="G3720" s="584"/>
      <c r="H3720" s="584"/>
      <c r="I3720" s="335" t="s">
        <v>3494</v>
      </c>
    </row>
    <row r="3721">
      <c r="G3721" s="584"/>
      <c r="H3721" s="584"/>
      <c r="I3721" s="335" t="s">
        <v>3494</v>
      </c>
    </row>
    <row r="3722">
      <c r="G3722" s="584"/>
      <c r="H3722" s="584"/>
      <c r="I3722" s="335" t="s">
        <v>3494</v>
      </c>
    </row>
    <row r="3723">
      <c r="G3723" s="584"/>
      <c r="H3723" s="584"/>
      <c r="I3723" s="335" t="s">
        <v>3494</v>
      </c>
    </row>
    <row r="3724">
      <c r="G3724" s="584"/>
      <c r="H3724" s="584"/>
      <c r="I3724" s="335" t="s">
        <v>3494</v>
      </c>
    </row>
    <row r="3725">
      <c r="G3725" s="584"/>
      <c r="H3725" s="584"/>
      <c r="I3725" s="335" t="s">
        <v>3494</v>
      </c>
    </row>
    <row r="3726">
      <c r="G3726" s="584"/>
      <c r="H3726" s="584"/>
      <c r="I3726" s="335" t="s">
        <v>3494</v>
      </c>
    </row>
    <row r="3727">
      <c r="G3727" s="584"/>
      <c r="H3727" s="584"/>
      <c r="I3727" s="335" t="s">
        <v>3494</v>
      </c>
    </row>
    <row r="3728">
      <c r="G3728" s="584"/>
      <c r="H3728" s="584"/>
      <c r="I3728" s="335" t="s">
        <v>3494</v>
      </c>
    </row>
    <row r="3729">
      <c r="G3729" s="584"/>
      <c r="H3729" s="584"/>
      <c r="I3729" s="335" t="s">
        <v>3494</v>
      </c>
    </row>
    <row r="3730">
      <c r="G3730" s="584"/>
      <c r="H3730" s="584"/>
      <c r="I3730" s="335" t="s">
        <v>3494</v>
      </c>
    </row>
    <row r="3731">
      <c r="G3731" s="584"/>
      <c r="H3731" s="584"/>
      <c r="I3731" s="335" t="s">
        <v>3494</v>
      </c>
    </row>
    <row r="3732">
      <c r="G3732" s="584"/>
      <c r="H3732" s="584"/>
      <c r="I3732" s="335" t="s">
        <v>3494</v>
      </c>
    </row>
    <row r="3733">
      <c r="G3733" s="584"/>
      <c r="H3733" s="584"/>
      <c r="I3733" s="335" t="s">
        <v>3494</v>
      </c>
    </row>
    <row r="3734">
      <c r="G3734" s="584"/>
      <c r="H3734" s="584"/>
      <c r="I3734" s="335" t="s">
        <v>3494</v>
      </c>
    </row>
    <row r="3735">
      <c r="G3735" s="584"/>
      <c r="H3735" s="584"/>
      <c r="I3735" s="335" t="s">
        <v>3494</v>
      </c>
    </row>
    <row r="3736">
      <c r="G3736" s="584"/>
      <c r="H3736" s="584"/>
      <c r="I3736" s="335" t="s">
        <v>3494</v>
      </c>
    </row>
    <row r="3737">
      <c r="G3737" s="584"/>
      <c r="H3737" s="584"/>
      <c r="I3737" s="335" t="s">
        <v>3494</v>
      </c>
    </row>
    <row r="3738">
      <c r="G3738" s="584"/>
      <c r="H3738" s="584"/>
      <c r="I3738" s="335" t="s">
        <v>3494</v>
      </c>
    </row>
    <row r="3739">
      <c r="G3739" s="584"/>
      <c r="H3739" s="584"/>
      <c r="I3739" s="335" t="s">
        <v>3494</v>
      </c>
    </row>
    <row r="3740">
      <c r="G3740" s="584"/>
      <c r="H3740" s="584"/>
      <c r="I3740" s="335" t="s">
        <v>3494</v>
      </c>
    </row>
    <row r="3741">
      <c r="G3741" s="584"/>
      <c r="H3741" s="584"/>
      <c r="I3741" s="335" t="s">
        <v>3494</v>
      </c>
    </row>
    <row r="3742">
      <c r="G3742" s="584"/>
      <c r="H3742" s="584"/>
      <c r="I3742" s="335" t="s">
        <v>3494</v>
      </c>
    </row>
    <row r="3743">
      <c r="G3743" s="584"/>
      <c r="H3743" s="584"/>
      <c r="I3743" s="335" t="s">
        <v>3494</v>
      </c>
    </row>
    <row r="3744">
      <c r="G3744" s="584"/>
      <c r="H3744" s="584"/>
      <c r="I3744" s="335" t="s">
        <v>3494</v>
      </c>
    </row>
    <row r="3745">
      <c r="G3745" s="584"/>
      <c r="H3745" s="584"/>
      <c r="I3745" s="335" t="s">
        <v>3494</v>
      </c>
    </row>
    <row r="3746">
      <c r="G3746" s="584"/>
      <c r="H3746" s="584"/>
      <c r="I3746" s="335" t="s">
        <v>3494</v>
      </c>
    </row>
    <row r="3747">
      <c r="G3747" s="584"/>
      <c r="H3747" s="584"/>
      <c r="I3747" s="335" t="s">
        <v>3494</v>
      </c>
    </row>
    <row r="3748">
      <c r="G3748" s="584"/>
      <c r="H3748" s="584"/>
      <c r="I3748" s="335" t="s">
        <v>3494</v>
      </c>
    </row>
    <row r="3749">
      <c r="G3749" s="584"/>
      <c r="H3749" s="584"/>
      <c r="I3749" s="335" t="s">
        <v>3494</v>
      </c>
    </row>
    <row r="3750">
      <c r="G3750" s="584"/>
      <c r="H3750" s="584"/>
      <c r="I3750" s="335" t="s">
        <v>3494</v>
      </c>
    </row>
    <row r="3751">
      <c r="G3751" s="584"/>
      <c r="H3751" s="584"/>
      <c r="I3751" s="335" t="s">
        <v>3494</v>
      </c>
    </row>
    <row r="3752">
      <c r="G3752" s="584"/>
      <c r="H3752" s="584"/>
      <c r="I3752" s="335" t="s">
        <v>3494</v>
      </c>
    </row>
    <row r="3753">
      <c r="G3753" s="584"/>
      <c r="H3753" s="584"/>
      <c r="I3753" s="335" t="s">
        <v>3494</v>
      </c>
    </row>
    <row r="3754">
      <c r="G3754" s="584"/>
      <c r="H3754" s="584"/>
      <c r="I3754" s="335" t="s">
        <v>3494</v>
      </c>
    </row>
    <row r="3755">
      <c r="G3755" s="584"/>
      <c r="H3755" s="584"/>
      <c r="I3755" s="335" t="s">
        <v>3494</v>
      </c>
    </row>
    <row r="3756">
      <c r="G3756" s="584"/>
      <c r="H3756" s="584"/>
      <c r="I3756" s="335" t="s">
        <v>3494</v>
      </c>
    </row>
    <row r="3757">
      <c r="G3757" s="584"/>
      <c r="H3757" s="584"/>
      <c r="I3757" s="335" t="s">
        <v>3494</v>
      </c>
    </row>
    <row r="3758">
      <c r="G3758" s="584"/>
      <c r="H3758" s="584"/>
      <c r="I3758" s="335" t="s">
        <v>3494</v>
      </c>
    </row>
    <row r="3759">
      <c r="G3759" s="584"/>
      <c r="H3759" s="584"/>
      <c r="I3759" s="335" t="s">
        <v>3494</v>
      </c>
    </row>
    <row r="3760">
      <c r="G3760" s="584"/>
      <c r="H3760" s="584"/>
      <c r="I3760" s="335" t="s">
        <v>3494</v>
      </c>
    </row>
    <row r="3761">
      <c r="G3761" s="584"/>
      <c r="H3761" s="584"/>
      <c r="I3761" s="335" t="s">
        <v>3494</v>
      </c>
    </row>
    <row r="3762">
      <c r="G3762" s="584"/>
      <c r="H3762" s="584"/>
      <c r="I3762" s="335" t="s">
        <v>3494</v>
      </c>
    </row>
    <row r="3763">
      <c r="G3763" s="584"/>
      <c r="H3763" s="584"/>
      <c r="I3763" s="335" t="s">
        <v>3494</v>
      </c>
    </row>
    <row r="3764">
      <c r="G3764" s="584"/>
      <c r="H3764" s="584"/>
      <c r="I3764" s="335" t="s">
        <v>3494</v>
      </c>
    </row>
    <row r="3765">
      <c r="G3765" s="584"/>
      <c r="H3765" s="584"/>
      <c r="I3765" s="335" t="s">
        <v>3494</v>
      </c>
    </row>
    <row r="3766">
      <c r="G3766" s="584"/>
      <c r="H3766" s="584"/>
      <c r="I3766" s="335" t="s">
        <v>3494</v>
      </c>
    </row>
    <row r="3767">
      <c r="G3767" s="584"/>
      <c r="H3767" s="584"/>
      <c r="I3767" s="335" t="s">
        <v>3494</v>
      </c>
    </row>
    <row r="3768">
      <c r="G3768" s="584"/>
      <c r="H3768" s="584"/>
      <c r="I3768" s="335" t="s">
        <v>3494</v>
      </c>
    </row>
    <row r="3769">
      <c r="G3769" s="584"/>
      <c r="H3769" s="584"/>
      <c r="I3769" s="335" t="s">
        <v>3494</v>
      </c>
    </row>
    <row r="3770">
      <c r="G3770" s="584"/>
      <c r="H3770" s="584"/>
      <c r="I3770" s="335" t="s">
        <v>3494</v>
      </c>
    </row>
    <row r="3771">
      <c r="G3771" s="584"/>
      <c r="H3771" s="584"/>
      <c r="I3771" s="335" t="s">
        <v>3494</v>
      </c>
    </row>
    <row r="3772">
      <c r="G3772" s="584"/>
      <c r="H3772" s="584"/>
      <c r="I3772" s="335" t="s">
        <v>3494</v>
      </c>
    </row>
    <row r="3773">
      <c r="G3773" s="584"/>
      <c r="H3773" s="584"/>
      <c r="I3773" s="335" t="s">
        <v>3494</v>
      </c>
    </row>
    <row r="3774">
      <c r="G3774" s="584"/>
      <c r="H3774" s="584"/>
      <c r="I3774" s="335" t="s">
        <v>3494</v>
      </c>
    </row>
    <row r="3775">
      <c r="G3775" s="584"/>
      <c r="H3775" s="584"/>
      <c r="I3775" s="335" t="s">
        <v>3494</v>
      </c>
    </row>
    <row r="3776">
      <c r="G3776" s="584"/>
      <c r="H3776" s="584"/>
      <c r="I3776" s="335" t="s">
        <v>3494</v>
      </c>
    </row>
    <row r="3777">
      <c r="G3777" s="584"/>
      <c r="H3777" s="584"/>
      <c r="I3777" s="335" t="s">
        <v>3494</v>
      </c>
    </row>
    <row r="3778">
      <c r="G3778" s="584"/>
      <c r="H3778" s="584"/>
      <c r="I3778" s="335" t="s">
        <v>3494</v>
      </c>
    </row>
    <row r="3779">
      <c r="G3779" s="584"/>
      <c r="H3779" s="584"/>
      <c r="I3779" s="335" t="s">
        <v>3494</v>
      </c>
    </row>
    <row r="3780">
      <c r="G3780" s="584"/>
      <c r="H3780" s="584"/>
      <c r="I3780" s="335" t="s">
        <v>3494</v>
      </c>
    </row>
    <row r="3781">
      <c r="G3781" s="584"/>
      <c r="H3781" s="584"/>
      <c r="I3781" s="335" t="s">
        <v>3494</v>
      </c>
    </row>
    <row r="3782">
      <c r="G3782" s="584"/>
      <c r="H3782" s="584"/>
      <c r="I3782" s="335" t="s">
        <v>3494</v>
      </c>
    </row>
    <row r="3783">
      <c r="G3783" s="584"/>
      <c r="H3783" s="584"/>
      <c r="I3783" s="335" t="s">
        <v>3494</v>
      </c>
    </row>
    <row r="3784">
      <c r="G3784" s="584"/>
      <c r="H3784" s="584"/>
      <c r="I3784" s="335" t="s">
        <v>3494</v>
      </c>
    </row>
    <row r="3785">
      <c r="G3785" s="584"/>
      <c r="H3785" s="584"/>
      <c r="I3785" s="335" t="s">
        <v>3494</v>
      </c>
    </row>
    <row r="3786">
      <c r="G3786" s="584"/>
      <c r="H3786" s="584"/>
      <c r="I3786" s="335" t="s">
        <v>3494</v>
      </c>
    </row>
    <row r="3787">
      <c r="G3787" s="584"/>
      <c r="H3787" s="584"/>
      <c r="I3787" s="335" t="s">
        <v>3494</v>
      </c>
    </row>
    <row r="3788">
      <c r="G3788" s="584"/>
      <c r="H3788" s="584"/>
      <c r="I3788" s="335" t="s">
        <v>3494</v>
      </c>
    </row>
    <row r="3789">
      <c r="G3789" s="584"/>
      <c r="H3789" s="584"/>
      <c r="I3789" s="335" t="s">
        <v>3494</v>
      </c>
    </row>
    <row r="3790">
      <c r="G3790" s="584"/>
      <c r="H3790" s="584"/>
      <c r="I3790" s="335" t="s">
        <v>3494</v>
      </c>
    </row>
    <row r="3791">
      <c r="G3791" s="584"/>
      <c r="H3791" s="584"/>
      <c r="I3791" s="335" t="s">
        <v>3494</v>
      </c>
    </row>
    <row r="3792">
      <c r="G3792" s="584"/>
      <c r="H3792" s="584"/>
      <c r="I3792" s="335" t="s">
        <v>3494</v>
      </c>
    </row>
    <row r="3793">
      <c r="G3793" s="584"/>
      <c r="H3793" s="584"/>
      <c r="I3793" s="335" t="s">
        <v>3494</v>
      </c>
    </row>
    <row r="3794">
      <c r="G3794" s="584"/>
      <c r="H3794" s="584"/>
      <c r="I3794" s="335" t="s">
        <v>3494</v>
      </c>
    </row>
    <row r="3795">
      <c r="G3795" s="584"/>
      <c r="H3795" s="584"/>
      <c r="I3795" s="335" t="s">
        <v>3494</v>
      </c>
    </row>
    <row r="3796">
      <c r="G3796" s="584"/>
      <c r="H3796" s="584"/>
      <c r="I3796" s="335" t="s">
        <v>3494</v>
      </c>
    </row>
    <row r="3797">
      <c r="G3797" s="584"/>
      <c r="H3797" s="584"/>
      <c r="I3797" s="335" t="s">
        <v>3494</v>
      </c>
    </row>
    <row r="3798">
      <c r="G3798" s="584"/>
      <c r="H3798" s="584"/>
      <c r="I3798" s="335" t="s">
        <v>3494</v>
      </c>
    </row>
    <row r="3799">
      <c r="G3799" s="584"/>
      <c r="H3799" s="584"/>
      <c r="I3799" s="335" t="s">
        <v>3494</v>
      </c>
    </row>
    <row r="3800">
      <c r="G3800" s="584"/>
      <c r="H3800" s="584"/>
      <c r="I3800" s="335" t="s">
        <v>3494</v>
      </c>
    </row>
    <row r="3801">
      <c r="G3801" s="584"/>
      <c r="H3801" s="584"/>
      <c r="I3801" s="335" t="s">
        <v>3494</v>
      </c>
    </row>
    <row r="3802">
      <c r="G3802" s="584"/>
      <c r="H3802" s="584"/>
      <c r="I3802" s="335" t="s">
        <v>3494</v>
      </c>
    </row>
    <row r="3803">
      <c r="G3803" s="584"/>
      <c r="H3803" s="584"/>
      <c r="I3803" s="335" t="s">
        <v>3494</v>
      </c>
    </row>
    <row r="3804">
      <c r="G3804" s="584"/>
      <c r="H3804" s="584"/>
      <c r="I3804" s="335" t="s">
        <v>3494</v>
      </c>
    </row>
    <row r="3805">
      <c r="G3805" s="584"/>
      <c r="H3805" s="584"/>
      <c r="I3805" s="335" t="s">
        <v>3494</v>
      </c>
    </row>
    <row r="3806">
      <c r="G3806" s="584"/>
      <c r="H3806" s="584"/>
      <c r="I3806" s="335" t="s">
        <v>3494</v>
      </c>
    </row>
    <row r="3807">
      <c r="G3807" s="584"/>
      <c r="H3807" s="584"/>
      <c r="I3807" s="335" t="s">
        <v>3494</v>
      </c>
    </row>
    <row r="3808">
      <c r="G3808" s="584"/>
      <c r="H3808" s="584"/>
      <c r="I3808" s="335" t="s">
        <v>3494</v>
      </c>
    </row>
    <row r="3809">
      <c r="G3809" s="584"/>
      <c r="H3809" s="584"/>
      <c r="I3809" s="335" t="s">
        <v>3494</v>
      </c>
    </row>
    <row r="3810">
      <c r="G3810" s="584"/>
      <c r="H3810" s="584"/>
      <c r="I3810" s="335" t="s">
        <v>3494</v>
      </c>
    </row>
    <row r="3811">
      <c r="G3811" s="584"/>
      <c r="H3811" s="584"/>
      <c r="I3811" s="335" t="s">
        <v>3494</v>
      </c>
    </row>
    <row r="3812">
      <c r="G3812" s="584"/>
      <c r="H3812" s="584"/>
      <c r="I3812" s="335" t="s">
        <v>3494</v>
      </c>
    </row>
    <row r="3813">
      <c r="G3813" s="584"/>
      <c r="H3813" s="584"/>
      <c r="I3813" s="335" t="s">
        <v>3494</v>
      </c>
    </row>
    <row r="3814">
      <c r="G3814" s="584"/>
      <c r="H3814" s="584"/>
      <c r="I3814" s="335" t="s">
        <v>3494</v>
      </c>
    </row>
    <row r="3815">
      <c r="G3815" s="584"/>
      <c r="H3815" s="584"/>
      <c r="I3815" s="335" t="s">
        <v>3494</v>
      </c>
    </row>
    <row r="3816">
      <c r="G3816" s="584"/>
      <c r="H3816" s="584"/>
      <c r="I3816" s="335" t="s">
        <v>3494</v>
      </c>
    </row>
    <row r="3817">
      <c r="G3817" s="584"/>
      <c r="H3817" s="584"/>
      <c r="I3817" s="335" t="s">
        <v>3494</v>
      </c>
    </row>
    <row r="3818">
      <c r="G3818" s="584"/>
      <c r="H3818" s="584"/>
      <c r="I3818" s="335" t="s">
        <v>3494</v>
      </c>
    </row>
    <row r="3819">
      <c r="G3819" s="584"/>
      <c r="H3819" s="584"/>
      <c r="I3819" s="335" t="s">
        <v>3494</v>
      </c>
    </row>
    <row r="3820">
      <c r="G3820" s="584"/>
      <c r="H3820" s="584"/>
      <c r="I3820" s="335" t="s">
        <v>3494</v>
      </c>
    </row>
    <row r="3821">
      <c r="G3821" s="584"/>
      <c r="H3821" s="584"/>
      <c r="I3821" s="335" t="s">
        <v>3494</v>
      </c>
    </row>
    <row r="3822">
      <c r="G3822" s="584"/>
      <c r="H3822" s="584"/>
      <c r="I3822" s="335" t="s">
        <v>3494</v>
      </c>
    </row>
    <row r="3823">
      <c r="G3823" s="584"/>
      <c r="H3823" s="584"/>
      <c r="I3823" s="335" t="s">
        <v>3494</v>
      </c>
    </row>
    <row r="3824">
      <c r="G3824" s="584"/>
      <c r="H3824" s="584"/>
      <c r="I3824" s="335" t="s">
        <v>3494</v>
      </c>
    </row>
    <row r="3825">
      <c r="G3825" s="584"/>
      <c r="H3825" s="584"/>
      <c r="I3825" s="335" t="s">
        <v>3494</v>
      </c>
    </row>
    <row r="3826">
      <c r="G3826" s="584"/>
      <c r="H3826" s="584"/>
      <c r="I3826" s="335" t="s">
        <v>3494</v>
      </c>
    </row>
    <row r="3827">
      <c r="G3827" s="584"/>
      <c r="H3827" s="584"/>
      <c r="I3827" s="335" t="s">
        <v>3494</v>
      </c>
    </row>
    <row r="3828">
      <c r="G3828" s="584"/>
      <c r="H3828" s="584"/>
      <c r="I3828" s="335" t="s">
        <v>3494</v>
      </c>
    </row>
    <row r="3829">
      <c r="G3829" s="584"/>
      <c r="H3829" s="584"/>
      <c r="I3829" s="335" t="s">
        <v>3494</v>
      </c>
    </row>
    <row r="3830">
      <c r="G3830" s="584"/>
      <c r="H3830" s="584"/>
      <c r="I3830" s="335" t="s">
        <v>3494</v>
      </c>
    </row>
    <row r="3831">
      <c r="G3831" s="584"/>
      <c r="H3831" s="584"/>
      <c r="I3831" s="335" t="s">
        <v>3494</v>
      </c>
    </row>
    <row r="3832">
      <c r="G3832" s="584"/>
      <c r="H3832" s="584"/>
      <c r="I3832" s="335" t="s">
        <v>3494</v>
      </c>
    </row>
    <row r="3833">
      <c r="G3833" s="584"/>
      <c r="H3833" s="584"/>
      <c r="I3833" s="335" t="s">
        <v>3494</v>
      </c>
    </row>
    <row r="3834">
      <c r="G3834" s="584"/>
      <c r="H3834" s="584"/>
      <c r="I3834" s="335" t="s">
        <v>3494</v>
      </c>
    </row>
    <row r="3835">
      <c r="G3835" s="584"/>
      <c r="H3835" s="584"/>
      <c r="I3835" s="335" t="s">
        <v>3494</v>
      </c>
    </row>
    <row r="3836">
      <c r="G3836" s="584"/>
      <c r="H3836" s="584"/>
      <c r="I3836" s="335" t="s">
        <v>3494</v>
      </c>
    </row>
    <row r="3837">
      <c r="G3837" s="584"/>
      <c r="H3837" s="584"/>
      <c r="I3837" s="335" t="s">
        <v>3494</v>
      </c>
    </row>
    <row r="3838">
      <c r="G3838" s="584"/>
      <c r="H3838" s="584"/>
      <c r="I3838" s="335" t="s">
        <v>3494</v>
      </c>
    </row>
    <row r="3839">
      <c r="G3839" s="584"/>
      <c r="H3839" s="584"/>
      <c r="I3839" s="335" t="s">
        <v>3494</v>
      </c>
    </row>
    <row r="3840">
      <c r="G3840" s="584"/>
      <c r="H3840" s="584"/>
      <c r="I3840" s="335" t="s">
        <v>3494</v>
      </c>
    </row>
    <row r="3841">
      <c r="G3841" s="584"/>
      <c r="H3841" s="584"/>
      <c r="I3841" s="335" t="s">
        <v>3494</v>
      </c>
    </row>
    <row r="3842">
      <c r="G3842" s="584"/>
      <c r="H3842" s="584"/>
      <c r="I3842" s="335" t="s">
        <v>3494</v>
      </c>
    </row>
    <row r="3843">
      <c r="G3843" s="584"/>
      <c r="H3843" s="584"/>
      <c r="I3843" s="335" t="s">
        <v>3494</v>
      </c>
    </row>
    <row r="3844">
      <c r="G3844" s="584"/>
      <c r="H3844" s="584"/>
      <c r="I3844" s="335" t="s">
        <v>3494</v>
      </c>
    </row>
    <row r="3845">
      <c r="G3845" s="584"/>
      <c r="H3845" s="584"/>
      <c r="I3845" s="335" t="s">
        <v>3494</v>
      </c>
    </row>
    <row r="3846">
      <c r="G3846" s="584"/>
      <c r="H3846" s="584"/>
      <c r="I3846" s="335" t="s">
        <v>3494</v>
      </c>
    </row>
    <row r="3847">
      <c r="G3847" s="584"/>
      <c r="H3847" s="584"/>
      <c r="I3847" s="335" t="s">
        <v>3494</v>
      </c>
    </row>
    <row r="3848">
      <c r="G3848" s="584"/>
      <c r="H3848" s="584"/>
      <c r="I3848" s="335" t="s">
        <v>3494</v>
      </c>
    </row>
    <row r="3849">
      <c r="G3849" s="584"/>
      <c r="H3849" s="584"/>
      <c r="I3849" s="335" t="s">
        <v>3494</v>
      </c>
    </row>
    <row r="3850">
      <c r="G3850" s="584"/>
      <c r="H3850" s="584"/>
      <c r="I3850" s="335" t="s">
        <v>3494</v>
      </c>
    </row>
    <row r="3851">
      <c r="G3851" s="584"/>
      <c r="H3851" s="584"/>
      <c r="I3851" s="335" t="s">
        <v>3494</v>
      </c>
    </row>
    <row r="3852">
      <c r="G3852" s="584"/>
      <c r="H3852" s="584"/>
      <c r="I3852" s="335" t="s">
        <v>3494</v>
      </c>
    </row>
    <row r="3853">
      <c r="G3853" s="584"/>
      <c r="H3853" s="584"/>
      <c r="I3853" s="335" t="s">
        <v>3494</v>
      </c>
    </row>
    <row r="3854">
      <c r="G3854" s="584"/>
      <c r="H3854" s="584"/>
      <c r="I3854" s="335" t="s">
        <v>3494</v>
      </c>
    </row>
    <row r="3855">
      <c r="G3855" s="584"/>
      <c r="H3855" s="584"/>
      <c r="I3855" s="335" t="s">
        <v>3494</v>
      </c>
    </row>
    <row r="3856">
      <c r="G3856" s="584"/>
      <c r="H3856" s="584"/>
      <c r="I3856" s="335" t="s">
        <v>3494</v>
      </c>
    </row>
    <row r="3857">
      <c r="G3857" s="584"/>
      <c r="H3857" s="584"/>
      <c r="I3857" s="335" t="s">
        <v>3494</v>
      </c>
    </row>
    <row r="3858">
      <c r="G3858" s="584"/>
      <c r="H3858" s="584"/>
      <c r="I3858" s="335" t="s">
        <v>3494</v>
      </c>
    </row>
    <row r="3859">
      <c r="G3859" s="584"/>
      <c r="H3859" s="584"/>
      <c r="I3859" s="335" t="s">
        <v>3494</v>
      </c>
    </row>
    <row r="3860">
      <c r="G3860" s="584"/>
      <c r="H3860" s="584"/>
      <c r="I3860" s="335" t="s">
        <v>3494</v>
      </c>
    </row>
    <row r="3861">
      <c r="G3861" s="584"/>
      <c r="H3861" s="584"/>
      <c r="I3861" s="335" t="s">
        <v>3494</v>
      </c>
    </row>
    <row r="3862">
      <c r="G3862" s="584"/>
      <c r="H3862" s="584"/>
      <c r="I3862" s="335" t="s">
        <v>3494</v>
      </c>
    </row>
    <row r="3863">
      <c r="G3863" s="584"/>
      <c r="H3863" s="584"/>
      <c r="I3863" s="335" t="s">
        <v>3494</v>
      </c>
    </row>
    <row r="3864">
      <c r="G3864" s="584"/>
      <c r="H3864" s="584"/>
      <c r="I3864" s="335" t="s">
        <v>3494</v>
      </c>
    </row>
    <row r="3865">
      <c r="G3865" s="584"/>
      <c r="H3865" s="584"/>
      <c r="I3865" s="335" t="s">
        <v>3494</v>
      </c>
    </row>
    <row r="3866">
      <c r="G3866" s="584"/>
      <c r="H3866" s="584"/>
      <c r="I3866" s="335" t="s">
        <v>3494</v>
      </c>
    </row>
    <row r="3867">
      <c r="G3867" s="584"/>
      <c r="H3867" s="584"/>
      <c r="I3867" s="335" t="s">
        <v>3494</v>
      </c>
    </row>
    <row r="3868">
      <c r="G3868" s="584"/>
      <c r="H3868" s="584"/>
      <c r="I3868" s="335" t="s">
        <v>3494</v>
      </c>
    </row>
    <row r="3869">
      <c r="G3869" s="584"/>
      <c r="H3869" s="584"/>
      <c r="I3869" s="335" t="s">
        <v>3494</v>
      </c>
    </row>
    <row r="3870">
      <c r="G3870" s="584"/>
      <c r="H3870" s="584"/>
      <c r="I3870" s="335" t="s">
        <v>3494</v>
      </c>
    </row>
    <row r="3871">
      <c r="G3871" s="584"/>
      <c r="H3871" s="584"/>
      <c r="I3871" s="335" t="s">
        <v>3494</v>
      </c>
    </row>
    <row r="3872">
      <c r="G3872" s="584"/>
      <c r="H3872" s="584"/>
      <c r="I3872" s="335" t="s">
        <v>3494</v>
      </c>
    </row>
    <row r="3873">
      <c r="G3873" s="584"/>
      <c r="H3873" s="584"/>
      <c r="I3873" s="335" t="s">
        <v>3494</v>
      </c>
    </row>
    <row r="3874">
      <c r="G3874" s="584"/>
      <c r="H3874" s="584"/>
      <c r="I3874" s="335" t="s">
        <v>3494</v>
      </c>
    </row>
    <row r="3875">
      <c r="G3875" s="584"/>
      <c r="H3875" s="584"/>
      <c r="I3875" s="335" t="s">
        <v>3494</v>
      </c>
    </row>
    <row r="3876">
      <c r="G3876" s="584"/>
      <c r="H3876" s="584"/>
      <c r="I3876" s="335" t="s">
        <v>3494</v>
      </c>
    </row>
    <row r="3877">
      <c r="G3877" s="584"/>
      <c r="H3877" s="584"/>
      <c r="I3877" s="335" t="s">
        <v>3494</v>
      </c>
    </row>
    <row r="3878">
      <c r="G3878" s="584"/>
      <c r="H3878" s="584"/>
      <c r="I3878" s="335" t="s">
        <v>3494</v>
      </c>
    </row>
    <row r="3879">
      <c r="G3879" s="584"/>
      <c r="H3879" s="584"/>
      <c r="I3879" s="335" t="s">
        <v>3494</v>
      </c>
    </row>
    <row r="3880">
      <c r="G3880" s="584"/>
      <c r="H3880" s="584"/>
      <c r="I3880" s="335" t="s">
        <v>3494</v>
      </c>
    </row>
    <row r="3881">
      <c r="G3881" s="584"/>
      <c r="H3881" s="584"/>
      <c r="I3881" s="335" t="s">
        <v>3494</v>
      </c>
    </row>
    <row r="3882">
      <c r="G3882" s="584"/>
      <c r="H3882" s="584"/>
      <c r="I3882" s="335" t="s">
        <v>3494</v>
      </c>
    </row>
    <row r="3883">
      <c r="G3883" s="584"/>
      <c r="H3883" s="584"/>
      <c r="I3883" s="335" t="s">
        <v>3494</v>
      </c>
    </row>
    <row r="3884">
      <c r="G3884" s="584"/>
      <c r="H3884" s="584"/>
      <c r="I3884" s="335" t="s">
        <v>3494</v>
      </c>
    </row>
    <row r="3885">
      <c r="G3885" s="584"/>
      <c r="H3885" s="584"/>
      <c r="I3885" s="335" t="s">
        <v>3494</v>
      </c>
    </row>
    <row r="3886">
      <c r="G3886" s="584"/>
      <c r="H3886" s="584"/>
      <c r="I3886" s="335" t="s">
        <v>3494</v>
      </c>
    </row>
    <row r="3887">
      <c r="G3887" s="584"/>
      <c r="H3887" s="584"/>
      <c r="I3887" s="335" t="s">
        <v>3494</v>
      </c>
    </row>
    <row r="3888">
      <c r="G3888" s="584"/>
      <c r="H3888" s="584"/>
      <c r="I3888" s="335" t="s">
        <v>3494</v>
      </c>
    </row>
    <row r="3889">
      <c r="G3889" s="584"/>
      <c r="H3889" s="584"/>
      <c r="I3889" s="335" t="s">
        <v>3494</v>
      </c>
    </row>
    <row r="3890">
      <c r="G3890" s="584"/>
      <c r="H3890" s="584"/>
      <c r="I3890" s="335" t="s">
        <v>3494</v>
      </c>
    </row>
    <row r="3891">
      <c r="G3891" s="584"/>
      <c r="H3891" s="584"/>
      <c r="I3891" s="335" t="s">
        <v>3494</v>
      </c>
    </row>
    <row r="3892">
      <c r="G3892" s="584"/>
      <c r="H3892" s="584"/>
      <c r="I3892" s="335" t="s">
        <v>3494</v>
      </c>
    </row>
    <row r="3893">
      <c r="G3893" s="584"/>
      <c r="H3893" s="584"/>
      <c r="I3893" s="335" t="s">
        <v>3494</v>
      </c>
    </row>
    <row r="3894">
      <c r="G3894" s="584"/>
      <c r="H3894" s="584"/>
      <c r="I3894" s="335" t="s">
        <v>3494</v>
      </c>
    </row>
    <row r="3895">
      <c r="G3895" s="584"/>
      <c r="H3895" s="584"/>
      <c r="I3895" s="335" t="s">
        <v>3494</v>
      </c>
    </row>
    <row r="3896">
      <c r="G3896" s="584"/>
      <c r="H3896" s="584"/>
      <c r="I3896" s="335" t="s">
        <v>3494</v>
      </c>
    </row>
    <row r="3897">
      <c r="G3897" s="584"/>
      <c r="H3897" s="584"/>
      <c r="I3897" s="335" t="s">
        <v>3494</v>
      </c>
    </row>
    <row r="3898">
      <c r="G3898" s="584"/>
      <c r="H3898" s="584"/>
      <c r="I3898" s="335" t="s">
        <v>3494</v>
      </c>
    </row>
    <row r="3899">
      <c r="G3899" s="584"/>
      <c r="H3899" s="584"/>
      <c r="I3899" s="335" t="s">
        <v>3494</v>
      </c>
    </row>
    <row r="3900">
      <c r="G3900" s="584"/>
      <c r="H3900" s="584"/>
      <c r="I3900" s="335" t="s">
        <v>3494</v>
      </c>
    </row>
    <row r="3901">
      <c r="G3901" s="584"/>
      <c r="H3901" s="584"/>
      <c r="I3901" s="335" t="s">
        <v>3494</v>
      </c>
    </row>
    <row r="3902">
      <c r="G3902" s="584"/>
      <c r="H3902" s="584"/>
      <c r="I3902" s="335" t="s">
        <v>3494</v>
      </c>
    </row>
    <row r="3903">
      <c r="G3903" s="584"/>
      <c r="H3903" s="584"/>
      <c r="I3903" s="335" t="s">
        <v>3494</v>
      </c>
    </row>
    <row r="3904">
      <c r="G3904" s="584"/>
      <c r="H3904" s="584"/>
      <c r="I3904" s="335" t="s">
        <v>3494</v>
      </c>
    </row>
    <row r="3905">
      <c r="G3905" s="584"/>
      <c r="H3905" s="584"/>
      <c r="I3905" s="335" t="s">
        <v>3494</v>
      </c>
    </row>
    <row r="3906">
      <c r="G3906" s="584"/>
      <c r="H3906" s="584"/>
      <c r="I3906" s="335" t="s">
        <v>3494</v>
      </c>
    </row>
    <row r="3907">
      <c r="G3907" s="584"/>
      <c r="H3907" s="584"/>
      <c r="I3907" s="335" t="s">
        <v>3494</v>
      </c>
    </row>
    <row r="3908">
      <c r="G3908" s="584"/>
      <c r="H3908" s="584"/>
      <c r="I3908" s="335" t="s">
        <v>3494</v>
      </c>
    </row>
    <row r="3909">
      <c r="G3909" s="584"/>
      <c r="H3909" s="584"/>
      <c r="I3909" s="335" t="s">
        <v>3494</v>
      </c>
    </row>
    <row r="3910">
      <c r="G3910" s="584"/>
      <c r="H3910" s="584"/>
      <c r="I3910" s="335" t="s">
        <v>3494</v>
      </c>
    </row>
    <row r="3911">
      <c r="G3911" s="584"/>
      <c r="H3911" s="584"/>
      <c r="I3911" s="335" t="s">
        <v>3494</v>
      </c>
    </row>
    <row r="3912">
      <c r="G3912" s="584"/>
      <c r="H3912" s="584"/>
      <c r="I3912" s="335" t="s">
        <v>3494</v>
      </c>
    </row>
    <row r="3913">
      <c r="G3913" s="584"/>
      <c r="H3913" s="584"/>
      <c r="I3913" s="335" t="s">
        <v>3494</v>
      </c>
    </row>
    <row r="3914">
      <c r="G3914" s="584"/>
      <c r="H3914" s="584"/>
      <c r="I3914" s="335" t="s">
        <v>3494</v>
      </c>
    </row>
    <row r="3915">
      <c r="G3915" s="584"/>
      <c r="H3915" s="584"/>
      <c r="I3915" s="335" t="s">
        <v>3494</v>
      </c>
    </row>
    <row r="3916">
      <c r="G3916" s="584"/>
      <c r="H3916" s="584"/>
      <c r="I3916" s="335" t="s">
        <v>3494</v>
      </c>
    </row>
    <row r="3917">
      <c r="G3917" s="584"/>
      <c r="H3917" s="584"/>
      <c r="I3917" s="335" t="s">
        <v>3494</v>
      </c>
    </row>
    <row r="3918">
      <c r="G3918" s="584"/>
      <c r="H3918" s="584"/>
      <c r="I3918" s="335" t="s">
        <v>3494</v>
      </c>
    </row>
    <row r="3919">
      <c r="G3919" s="584"/>
      <c r="H3919" s="584"/>
      <c r="I3919" s="335" t="s">
        <v>3494</v>
      </c>
    </row>
    <row r="3920">
      <c r="G3920" s="584"/>
      <c r="H3920" s="584"/>
      <c r="I3920" s="335" t="s">
        <v>3494</v>
      </c>
    </row>
    <row r="3921">
      <c r="G3921" s="584"/>
      <c r="H3921" s="584"/>
      <c r="I3921" s="335" t="s">
        <v>3494</v>
      </c>
    </row>
    <row r="3922">
      <c r="G3922" s="584"/>
      <c r="H3922" s="584"/>
      <c r="I3922" s="335" t="s">
        <v>3494</v>
      </c>
    </row>
    <row r="3923">
      <c r="G3923" s="584"/>
      <c r="H3923" s="584"/>
      <c r="I3923" s="335" t="s">
        <v>3494</v>
      </c>
    </row>
    <row r="3924">
      <c r="G3924" s="584"/>
      <c r="H3924" s="584"/>
      <c r="I3924" s="335" t="s">
        <v>3494</v>
      </c>
    </row>
    <row r="3925">
      <c r="G3925" s="584"/>
      <c r="H3925" s="584"/>
      <c r="I3925" s="335" t="s">
        <v>3494</v>
      </c>
    </row>
    <row r="3926">
      <c r="G3926" s="584"/>
      <c r="H3926" s="584"/>
      <c r="I3926" s="335" t="s">
        <v>3494</v>
      </c>
    </row>
    <row r="3927">
      <c r="G3927" s="584"/>
      <c r="H3927" s="584"/>
      <c r="I3927" s="335" t="s">
        <v>3494</v>
      </c>
    </row>
    <row r="3928">
      <c r="G3928" s="584"/>
      <c r="H3928" s="584"/>
      <c r="I3928" s="335" t="s">
        <v>3494</v>
      </c>
    </row>
    <row r="3929">
      <c r="G3929" s="584"/>
      <c r="H3929" s="584"/>
      <c r="I3929" s="335" t="s">
        <v>3494</v>
      </c>
    </row>
    <row r="3930">
      <c r="G3930" s="584"/>
      <c r="H3930" s="584"/>
      <c r="I3930" s="335" t="s">
        <v>3494</v>
      </c>
    </row>
    <row r="3931">
      <c r="G3931" s="584"/>
      <c r="H3931" s="584"/>
      <c r="I3931" s="335" t="s">
        <v>3494</v>
      </c>
    </row>
    <row r="3932">
      <c r="G3932" s="584"/>
      <c r="H3932" s="584"/>
      <c r="I3932" s="335" t="s">
        <v>3494</v>
      </c>
    </row>
    <row r="3933">
      <c r="G3933" s="584"/>
      <c r="H3933" s="584"/>
      <c r="I3933" s="335" t="s">
        <v>3494</v>
      </c>
    </row>
    <row r="3934">
      <c r="G3934" s="584"/>
      <c r="H3934" s="584"/>
      <c r="I3934" s="335" t="s">
        <v>3494</v>
      </c>
    </row>
    <row r="3935">
      <c r="G3935" s="584"/>
      <c r="H3935" s="584"/>
      <c r="I3935" s="335" t="s">
        <v>3494</v>
      </c>
    </row>
    <row r="3936">
      <c r="G3936" s="584"/>
      <c r="H3936" s="584"/>
      <c r="I3936" s="335" t="s">
        <v>3494</v>
      </c>
    </row>
    <row r="3937">
      <c r="G3937" s="584"/>
      <c r="H3937" s="584"/>
      <c r="I3937" s="335" t="s">
        <v>3494</v>
      </c>
    </row>
    <row r="3938">
      <c r="G3938" s="584"/>
      <c r="H3938" s="584"/>
      <c r="I3938" s="335" t="s">
        <v>3494</v>
      </c>
    </row>
    <row r="3939">
      <c r="G3939" s="584"/>
      <c r="H3939" s="584"/>
      <c r="I3939" s="335" t="s">
        <v>3494</v>
      </c>
    </row>
    <row r="3940">
      <c r="G3940" s="584"/>
      <c r="H3940" s="584"/>
      <c r="I3940" s="335" t="s">
        <v>3494</v>
      </c>
    </row>
    <row r="3941">
      <c r="G3941" s="584"/>
      <c r="H3941" s="584"/>
      <c r="I3941" s="335" t="s">
        <v>3494</v>
      </c>
    </row>
    <row r="3942">
      <c r="G3942" s="584"/>
      <c r="H3942" s="584"/>
      <c r="I3942" s="335" t="s">
        <v>3494</v>
      </c>
    </row>
    <row r="3943">
      <c r="G3943" s="584"/>
      <c r="H3943" s="584"/>
      <c r="I3943" s="335" t="s">
        <v>3494</v>
      </c>
    </row>
    <row r="3944">
      <c r="G3944" s="584"/>
      <c r="H3944" s="584"/>
      <c r="I3944" s="335" t="s">
        <v>3494</v>
      </c>
    </row>
    <row r="3945">
      <c r="G3945" s="584"/>
      <c r="H3945" s="584"/>
      <c r="I3945" s="335" t="s">
        <v>3494</v>
      </c>
    </row>
    <row r="3946">
      <c r="G3946" s="584"/>
      <c r="H3946" s="584"/>
      <c r="I3946" s="335" t="s">
        <v>3494</v>
      </c>
    </row>
    <row r="3947">
      <c r="G3947" s="584"/>
      <c r="H3947" s="584"/>
      <c r="I3947" s="335" t="s">
        <v>3494</v>
      </c>
    </row>
    <row r="3948">
      <c r="G3948" s="584"/>
      <c r="H3948" s="584"/>
      <c r="I3948" s="335" t="s">
        <v>3494</v>
      </c>
    </row>
    <row r="3949">
      <c r="G3949" s="584"/>
      <c r="H3949" s="584"/>
      <c r="I3949" s="335" t="s">
        <v>3494</v>
      </c>
    </row>
    <row r="3950">
      <c r="G3950" s="584"/>
      <c r="H3950" s="584"/>
      <c r="I3950" s="335" t="s">
        <v>3494</v>
      </c>
    </row>
    <row r="3951">
      <c r="G3951" s="584"/>
      <c r="H3951" s="584"/>
      <c r="I3951" s="335" t="s">
        <v>3494</v>
      </c>
    </row>
    <row r="3952">
      <c r="G3952" s="584"/>
      <c r="H3952" s="584"/>
      <c r="I3952" s="335" t="s">
        <v>3494</v>
      </c>
    </row>
    <row r="3953">
      <c r="G3953" s="584"/>
      <c r="H3953" s="584"/>
      <c r="I3953" s="335" t="s">
        <v>3494</v>
      </c>
    </row>
    <row r="3954">
      <c r="G3954" s="584"/>
      <c r="H3954" s="584"/>
      <c r="I3954" s="335" t="s">
        <v>3494</v>
      </c>
    </row>
    <row r="3955">
      <c r="G3955" s="584"/>
      <c r="H3955" s="584"/>
      <c r="I3955" s="335" t="s">
        <v>3494</v>
      </c>
    </row>
    <row r="3956">
      <c r="G3956" s="584"/>
      <c r="H3956" s="584"/>
      <c r="I3956" s="335" t="s">
        <v>3494</v>
      </c>
    </row>
    <row r="3957">
      <c r="G3957" s="584"/>
      <c r="H3957" s="584"/>
      <c r="I3957" s="335" t="s">
        <v>3494</v>
      </c>
    </row>
    <row r="3958">
      <c r="G3958" s="584"/>
      <c r="H3958" s="584"/>
      <c r="I3958" s="335" t="s">
        <v>3494</v>
      </c>
    </row>
    <row r="3959">
      <c r="G3959" s="584"/>
      <c r="H3959" s="584"/>
      <c r="I3959" s="335" t="s">
        <v>3494</v>
      </c>
    </row>
    <row r="3960">
      <c r="G3960" s="584"/>
      <c r="H3960" s="584"/>
      <c r="I3960" s="335" t="s">
        <v>3494</v>
      </c>
    </row>
    <row r="3961">
      <c r="G3961" s="584"/>
      <c r="H3961" s="584"/>
      <c r="I3961" s="335" t="s">
        <v>3494</v>
      </c>
    </row>
    <row r="3962">
      <c r="G3962" s="584"/>
      <c r="H3962" s="584"/>
      <c r="I3962" s="335" t="s">
        <v>3494</v>
      </c>
    </row>
    <row r="3963">
      <c r="G3963" s="584"/>
      <c r="H3963" s="584"/>
      <c r="I3963" s="335" t="s">
        <v>3494</v>
      </c>
    </row>
    <row r="3964">
      <c r="G3964" s="584"/>
      <c r="H3964" s="584"/>
      <c r="I3964" s="335" t="s">
        <v>3494</v>
      </c>
    </row>
    <row r="3965">
      <c r="G3965" s="584"/>
      <c r="H3965" s="584"/>
      <c r="I3965" s="335" t="s">
        <v>3494</v>
      </c>
    </row>
    <row r="3966">
      <c r="G3966" s="584"/>
      <c r="H3966" s="584"/>
      <c r="I3966" s="335" t="s">
        <v>3494</v>
      </c>
    </row>
    <row r="3967">
      <c r="G3967" s="584"/>
      <c r="H3967" s="584"/>
      <c r="I3967" s="335" t="s">
        <v>3494</v>
      </c>
    </row>
    <row r="3968">
      <c r="G3968" s="584"/>
      <c r="H3968" s="584"/>
      <c r="I3968" s="335" t="s">
        <v>3494</v>
      </c>
    </row>
    <row r="3969">
      <c r="G3969" s="584"/>
      <c r="H3969" s="584"/>
      <c r="I3969" s="335" t="s">
        <v>3494</v>
      </c>
    </row>
    <row r="3970">
      <c r="G3970" s="584"/>
      <c r="H3970" s="584"/>
      <c r="I3970" s="335" t="s">
        <v>3494</v>
      </c>
    </row>
    <row r="3971">
      <c r="G3971" s="584"/>
      <c r="H3971" s="584"/>
      <c r="I3971" s="335" t="s">
        <v>3494</v>
      </c>
    </row>
    <row r="3972">
      <c r="G3972" s="584"/>
      <c r="H3972" s="584"/>
      <c r="I3972" s="335" t="s">
        <v>3494</v>
      </c>
    </row>
    <row r="3973">
      <c r="G3973" s="584"/>
      <c r="H3973" s="584"/>
      <c r="I3973" s="335" t="s">
        <v>3494</v>
      </c>
    </row>
    <row r="3974">
      <c r="G3974" s="584"/>
      <c r="H3974" s="584"/>
      <c r="I3974" s="335" t="s">
        <v>3494</v>
      </c>
    </row>
    <row r="3975">
      <c r="G3975" s="584"/>
      <c r="H3975" s="584"/>
      <c r="I3975" s="335" t="s">
        <v>3494</v>
      </c>
    </row>
    <row r="3976">
      <c r="G3976" s="584"/>
      <c r="H3976" s="584"/>
      <c r="I3976" s="335" t="s">
        <v>3494</v>
      </c>
    </row>
    <row r="3977">
      <c r="G3977" s="584"/>
      <c r="H3977" s="584"/>
      <c r="I3977" s="335" t="s">
        <v>3494</v>
      </c>
    </row>
    <row r="3978">
      <c r="G3978" s="584"/>
      <c r="H3978" s="584"/>
      <c r="I3978" s="335" t="s">
        <v>3494</v>
      </c>
    </row>
    <row r="3979">
      <c r="G3979" s="584"/>
      <c r="H3979" s="584"/>
      <c r="I3979" s="335" t="s">
        <v>3494</v>
      </c>
    </row>
    <row r="3980">
      <c r="G3980" s="584"/>
      <c r="H3980" s="584"/>
      <c r="I3980" s="335" t="s">
        <v>3494</v>
      </c>
    </row>
    <row r="3981">
      <c r="G3981" s="584"/>
      <c r="H3981" s="584"/>
      <c r="I3981" s="335" t="s">
        <v>3494</v>
      </c>
    </row>
    <row r="3982">
      <c r="G3982" s="584"/>
      <c r="H3982" s="584"/>
      <c r="I3982" s="335" t="s">
        <v>3494</v>
      </c>
    </row>
    <row r="3983">
      <c r="G3983" s="584"/>
      <c r="H3983" s="584"/>
      <c r="I3983" s="335" t="s">
        <v>3494</v>
      </c>
    </row>
    <row r="3984">
      <c r="G3984" s="584"/>
      <c r="H3984" s="584"/>
      <c r="I3984" s="335" t="s">
        <v>3494</v>
      </c>
    </row>
    <row r="3985">
      <c r="G3985" s="584"/>
      <c r="H3985" s="584"/>
      <c r="I3985" s="335" t="s">
        <v>3494</v>
      </c>
    </row>
    <row r="3986">
      <c r="G3986" s="584"/>
      <c r="H3986" s="584"/>
      <c r="I3986" s="335" t="s">
        <v>3494</v>
      </c>
    </row>
    <row r="3987">
      <c r="G3987" s="584"/>
      <c r="H3987" s="584"/>
      <c r="I3987" s="335" t="s">
        <v>3494</v>
      </c>
    </row>
    <row r="3988">
      <c r="G3988" s="584"/>
      <c r="H3988" s="584"/>
      <c r="I3988" s="335" t="s">
        <v>3494</v>
      </c>
    </row>
    <row r="3989">
      <c r="G3989" s="584"/>
      <c r="H3989" s="584"/>
      <c r="I3989" s="335" t="s">
        <v>3494</v>
      </c>
    </row>
    <row r="3990">
      <c r="G3990" s="584"/>
      <c r="H3990" s="584"/>
      <c r="I3990" s="335" t="s">
        <v>3494</v>
      </c>
    </row>
    <row r="3991">
      <c r="G3991" s="584"/>
      <c r="H3991" s="584"/>
      <c r="I3991" s="335" t="s">
        <v>3494</v>
      </c>
    </row>
    <row r="3992">
      <c r="G3992" s="584"/>
      <c r="H3992" s="584"/>
      <c r="I3992" s="335" t="s">
        <v>3494</v>
      </c>
    </row>
    <row r="3993">
      <c r="G3993" s="584"/>
      <c r="H3993" s="584"/>
      <c r="I3993" s="335" t="s">
        <v>3494</v>
      </c>
    </row>
    <row r="3994">
      <c r="G3994" s="584"/>
      <c r="H3994" s="584"/>
      <c r="I3994" s="335" t="s">
        <v>3494</v>
      </c>
    </row>
    <row r="3995">
      <c r="G3995" s="584"/>
      <c r="H3995" s="584"/>
      <c r="I3995" s="335" t="s">
        <v>3494</v>
      </c>
    </row>
    <row r="3996">
      <c r="G3996" s="584"/>
      <c r="H3996" s="584"/>
      <c r="I3996" s="335" t="s">
        <v>3494</v>
      </c>
    </row>
    <row r="3997">
      <c r="G3997" s="584"/>
      <c r="H3997" s="584"/>
      <c r="I3997" s="335" t="s">
        <v>3494</v>
      </c>
    </row>
    <row r="3998">
      <c r="G3998" s="584"/>
      <c r="H3998" s="584"/>
      <c r="I3998" s="335" t="s">
        <v>3494</v>
      </c>
    </row>
    <row r="3999">
      <c r="G3999" s="584"/>
      <c r="H3999" s="584"/>
      <c r="I3999" s="335" t="s">
        <v>3494</v>
      </c>
    </row>
    <row r="4000">
      <c r="G4000" s="584"/>
      <c r="H4000" s="584"/>
      <c r="I4000" s="335" t="s">
        <v>3494</v>
      </c>
    </row>
    <row r="4001">
      <c r="G4001" s="584"/>
      <c r="H4001" s="584"/>
      <c r="I4001" s="335" t="s">
        <v>3494</v>
      </c>
    </row>
    <row r="4002">
      <c r="G4002" s="584"/>
      <c r="H4002" s="584"/>
      <c r="I4002" s="335" t="s">
        <v>3494</v>
      </c>
    </row>
    <row r="4003">
      <c r="G4003" s="584"/>
      <c r="H4003" s="584"/>
      <c r="I4003" s="335" t="s">
        <v>3494</v>
      </c>
    </row>
    <row r="4004">
      <c r="G4004" s="584"/>
      <c r="H4004" s="584"/>
      <c r="I4004" s="335" t="s">
        <v>3494</v>
      </c>
    </row>
    <row r="4005">
      <c r="G4005" s="584"/>
      <c r="H4005" s="584"/>
      <c r="I4005" s="335" t="s">
        <v>3494</v>
      </c>
    </row>
    <row r="4006">
      <c r="G4006" s="584"/>
      <c r="H4006" s="584"/>
      <c r="I4006" s="335" t="s">
        <v>3494</v>
      </c>
    </row>
    <row r="4007">
      <c r="G4007" s="584"/>
      <c r="H4007" s="584"/>
      <c r="I4007" s="335" t="s">
        <v>3494</v>
      </c>
    </row>
    <row r="4008">
      <c r="G4008" s="584"/>
      <c r="H4008" s="584"/>
      <c r="I4008" s="335" t="s">
        <v>3494</v>
      </c>
    </row>
    <row r="4009">
      <c r="G4009" s="584"/>
      <c r="H4009" s="584"/>
      <c r="I4009" s="335" t="s">
        <v>3494</v>
      </c>
    </row>
    <row r="4010">
      <c r="G4010" s="584"/>
      <c r="H4010" s="584"/>
      <c r="I4010" s="335" t="s">
        <v>3494</v>
      </c>
    </row>
    <row r="4011">
      <c r="G4011" s="584"/>
      <c r="H4011" s="584"/>
      <c r="I4011" s="335" t="s">
        <v>3494</v>
      </c>
    </row>
    <row r="4012">
      <c r="G4012" s="584"/>
      <c r="H4012" s="584"/>
      <c r="I4012" s="335" t="s">
        <v>3494</v>
      </c>
    </row>
    <row r="4013">
      <c r="G4013" s="584"/>
      <c r="H4013" s="584"/>
      <c r="I4013" s="335" t="s">
        <v>3494</v>
      </c>
    </row>
    <row r="4014">
      <c r="G4014" s="584"/>
      <c r="H4014" s="584"/>
      <c r="I4014" s="335" t="s">
        <v>3494</v>
      </c>
    </row>
    <row r="4015">
      <c r="G4015" s="584"/>
      <c r="H4015" s="584"/>
      <c r="I4015" s="335" t="s">
        <v>3494</v>
      </c>
    </row>
    <row r="4016">
      <c r="G4016" s="584"/>
      <c r="H4016" s="584"/>
      <c r="I4016" s="335" t="s">
        <v>3494</v>
      </c>
    </row>
    <row r="4017">
      <c r="G4017" s="584"/>
      <c r="H4017" s="584"/>
      <c r="I4017" s="335" t="s">
        <v>3494</v>
      </c>
    </row>
    <row r="4018">
      <c r="G4018" s="584"/>
      <c r="H4018" s="584"/>
      <c r="I4018" s="335" t="s">
        <v>3494</v>
      </c>
    </row>
    <row r="4019">
      <c r="G4019" s="584"/>
      <c r="H4019" s="584"/>
      <c r="I4019" s="335" t="s">
        <v>3494</v>
      </c>
    </row>
    <row r="4020">
      <c r="G4020" s="584"/>
      <c r="H4020" s="584"/>
      <c r="I4020" s="335" t="s">
        <v>3494</v>
      </c>
    </row>
    <row r="4021">
      <c r="G4021" s="584"/>
      <c r="H4021" s="584"/>
      <c r="I4021" s="335" t="s">
        <v>3494</v>
      </c>
    </row>
    <row r="4022">
      <c r="G4022" s="584"/>
      <c r="H4022" s="584"/>
      <c r="I4022" s="335" t="s">
        <v>3494</v>
      </c>
    </row>
    <row r="4023">
      <c r="G4023" s="584"/>
      <c r="H4023" s="584"/>
      <c r="I4023" s="335" t="s">
        <v>3494</v>
      </c>
    </row>
    <row r="4024">
      <c r="G4024" s="584"/>
      <c r="H4024" s="584"/>
      <c r="I4024" s="335" t="s">
        <v>3494</v>
      </c>
    </row>
    <row r="4025">
      <c r="G4025" s="584"/>
      <c r="H4025" s="584"/>
      <c r="I4025" s="335" t="s">
        <v>3494</v>
      </c>
    </row>
    <row r="4026">
      <c r="G4026" s="584"/>
      <c r="H4026" s="584"/>
      <c r="I4026" s="335" t="s">
        <v>3494</v>
      </c>
    </row>
    <row r="4027">
      <c r="G4027" s="584"/>
      <c r="H4027" s="584"/>
      <c r="I4027" s="335" t="s">
        <v>3494</v>
      </c>
    </row>
    <row r="4028">
      <c r="G4028" s="584"/>
      <c r="H4028" s="584"/>
      <c r="I4028" s="335" t="s">
        <v>3494</v>
      </c>
    </row>
    <row r="4029">
      <c r="G4029" s="584"/>
      <c r="H4029" s="584"/>
      <c r="I4029" s="335" t="s">
        <v>3494</v>
      </c>
    </row>
    <row r="4030">
      <c r="G4030" s="584"/>
      <c r="H4030" s="584"/>
      <c r="I4030" s="335" t="s">
        <v>3494</v>
      </c>
    </row>
    <row r="4031">
      <c r="G4031" s="584"/>
      <c r="H4031" s="584"/>
      <c r="I4031" s="335" t="s">
        <v>3494</v>
      </c>
    </row>
    <row r="4032">
      <c r="G4032" s="584"/>
      <c r="H4032" s="584"/>
      <c r="I4032" s="335" t="s">
        <v>3494</v>
      </c>
    </row>
    <row r="4033">
      <c r="G4033" s="584"/>
      <c r="H4033" s="584"/>
      <c r="I4033" s="335" t="s">
        <v>3494</v>
      </c>
    </row>
    <row r="4034">
      <c r="G4034" s="584"/>
      <c r="H4034" s="584"/>
      <c r="I4034" s="335" t="s">
        <v>3494</v>
      </c>
    </row>
    <row r="4035">
      <c r="G4035" s="584"/>
      <c r="H4035" s="584"/>
      <c r="I4035" s="335" t="s">
        <v>3494</v>
      </c>
    </row>
    <row r="4036">
      <c r="G4036" s="584"/>
      <c r="H4036" s="584"/>
      <c r="I4036" s="335" t="s">
        <v>3494</v>
      </c>
    </row>
    <row r="4037">
      <c r="G4037" s="584"/>
      <c r="H4037" s="584"/>
      <c r="I4037" s="335" t="s">
        <v>3494</v>
      </c>
    </row>
    <row r="4038">
      <c r="G4038" s="584"/>
      <c r="H4038" s="584"/>
      <c r="I4038" s="335" t="s">
        <v>3494</v>
      </c>
    </row>
    <row r="4039">
      <c r="G4039" s="584"/>
      <c r="H4039" s="584"/>
      <c r="I4039" s="335" t="s">
        <v>3494</v>
      </c>
    </row>
    <row r="4040">
      <c r="G4040" s="584"/>
      <c r="H4040" s="584"/>
      <c r="I4040" s="335" t="s">
        <v>3494</v>
      </c>
    </row>
    <row r="4041">
      <c r="G4041" s="584"/>
      <c r="H4041" s="584"/>
      <c r="I4041" s="335" t="s">
        <v>3494</v>
      </c>
    </row>
    <row r="4042">
      <c r="G4042" s="584"/>
      <c r="H4042" s="584"/>
      <c r="I4042" s="335" t="s">
        <v>3494</v>
      </c>
    </row>
    <row r="4043">
      <c r="G4043" s="584"/>
      <c r="H4043" s="584"/>
      <c r="I4043" s="335" t="s">
        <v>3494</v>
      </c>
    </row>
    <row r="4044">
      <c r="G4044" s="584"/>
      <c r="H4044" s="584"/>
      <c r="I4044" s="335" t="s">
        <v>3494</v>
      </c>
    </row>
    <row r="4045">
      <c r="G4045" s="584"/>
      <c r="H4045" s="584"/>
      <c r="I4045" s="335" t="s">
        <v>3494</v>
      </c>
    </row>
    <row r="4046">
      <c r="G4046" s="584"/>
      <c r="H4046" s="584"/>
      <c r="I4046" s="335" t="s">
        <v>3494</v>
      </c>
    </row>
    <row r="4047">
      <c r="G4047" s="584"/>
      <c r="H4047" s="584"/>
      <c r="I4047" s="335" t="s">
        <v>3494</v>
      </c>
    </row>
    <row r="4048">
      <c r="G4048" s="584"/>
      <c r="H4048" s="584"/>
      <c r="I4048" s="335" t="s">
        <v>3494</v>
      </c>
    </row>
    <row r="4049">
      <c r="G4049" s="584"/>
      <c r="H4049" s="584"/>
      <c r="I4049" s="335" t="s">
        <v>3494</v>
      </c>
    </row>
    <row r="4050">
      <c r="G4050" s="584"/>
      <c r="H4050" s="584"/>
      <c r="I4050" s="335" t="s">
        <v>3494</v>
      </c>
    </row>
    <row r="4051">
      <c r="G4051" s="584"/>
      <c r="H4051" s="584"/>
      <c r="I4051" s="335" t="s">
        <v>3494</v>
      </c>
    </row>
    <row r="4052">
      <c r="G4052" s="584"/>
      <c r="H4052" s="584"/>
      <c r="I4052" s="335" t="s">
        <v>3494</v>
      </c>
    </row>
    <row r="4053">
      <c r="G4053" s="584"/>
      <c r="H4053" s="584"/>
      <c r="I4053" s="335" t="s">
        <v>3494</v>
      </c>
    </row>
    <row r="4054">
      <c r="G4054" s="584"/>
      <c r="H4054" s="584"/>
      <c r="I4054" s="335" t="s">
        <v>3494</v>
      </c>
    </row>
    <row r="4055">
      <c r="G4055" s="584"/>
      <c r="H4055" s="584"/>
      <c r="I4055" s="335" t="s">
        <v>3494</v>
      </c>
    </row>
    <row r="4056">
      <c r="G4056" s="584"/>
      <c r="H4056" s="584"/>
      <c r="I4056" s="335" t="s">
        <v>3494</v>
      </c>
    </row>
    <row r="4057">
      <c r="G4057" s="584"/>
      <c r="H4057" s="584"/>
      <c r="I4057" s="335" t="s">
        <v>3494</v>
      </c>
    </row>
    <row r="4058">
      <c r="G4058" s="584"/>
      <c r="H4058" s="584"/>
      <c r="I4058" s="335" t="s">
        <v>3494</v>
      </c>
    </row>
    <row r="4059">
      <c r="G4059" s="584"/>
      <c r="H4059" s="584"/>
      <c r="I4059" s="335" t="s">
        <v>3494</v>
      </c>
    </row>
    <row r="4060">
      <c r="G4060" s="584"/>
      <c r="H4060" s="584"/>
      <c r="I4060" s="335" t="s">
        <v>3494</v>
      </c>
    </row>
    <row r="4061">
      <c r="G4061" s="584"/>
      <c r="H4061" s="584"/>
      <c r="I4061" s="335" t="s">
        <v>3494</v>
      </c>
    </row>
    <row r="4062">
      <c r="G4062" s="584"/>
      <c r="H4062" s="584"/>
      <c r="I4062" s="335" t="s">
        <v>3494</v>
      </c>
    </row>
    <row r="4063">
      <c r="G4063" s="584"/>
      <c r="H4063" s="584"/>
      <c r="I4063" s="335" t="s">
        <v>3494</v>
      </c>
    </row>
    <row r="4064">
      <c r="G4064" s="584"/>
      <c r="H4064" s="584"/>
      <c r="I4064" s="335" t="s">
        <v>3494</v>
      </c>
    </row>
    <row r="4065">
      <c r="G4065" s="584"/>
      <c r="H4065" s="584"/>
      <c r="I4065" s="335" t="s">
        <v>3494</v>
      </c>
    </row>
    <row r="4066">
      <c r="G4066" s="584"/>
      <c r="H4066" s="584"/>
      <c r="I4066" s="335" t="s">
        <v>3494</v>
      </c>
    </row>
    <row r="4067">
      <c r="G4067" s="584"/>
      <c r="H4067" s="584"/>
      <c r="I4067" s="335" t="s">
        <v>3494</v>
      </c>
    </row>
    <row r="4068">
      <c r="G4068" s="584"/>
      <c r="H4068" s="584"/>
      <c r="I4068" s="335" t="s">
        <v>3494</v>
      </c>
    </row>
    <row r="4069">
      <c r="G4069" s="584"/>
      <c r="H4069" s="584"/>
      <c r="I4069" s="335" t="s">
        <v>3494</v>
      </c>
    </row>
    <row r="4070">
      <c r="G4070" s="584"/>
      <c r="H4070" s="584"/>
      <c r="I4070" s="335" t="s">
        <v>3494</v>
      </c>
    </row>
    <row r="4071">
      <c r="G4071" s="584"/>
      <c r="H4071" s="584"/>
      <c r="I4071" s="335" t="s">
        <v>3494</v>
      </c>
    </row>
    <row r="4072">
      <c r="G4072" s="584"/>
      <c r="H4072" s="584"/>
      <c r="I4072" s="335" t="s">
        <v>3494</v>
      </c>
    </row>
    <row r="4073">
      <c r="G4073" s="584"/>
      <c r="H4073" s="584"/>
      <c r="I4073" s="335" t="s">
        <v>3494</v>
      </c>
    </row>
    <row r="4074">
      <c r="G4074" s="584"/>
      <c r="H4074" s="584"/>
      <c r="I4074" s="335" t="s">
        <v>3494</v>
      </c>
    </row>
    <row r="4075">
      <c r="G4075" s="584"/>
      <c r="H4075" s="584"/>
      <c r="I4075" s="335" t="s">
        <v>3494</v>
      </c>
    </row>
    <row r="4076">
      <c r="G4076" s="584"/>
      <c r="H4076" s="584"/>
      <c r="I4076" s="335" t="s">
        <v>3494</v>
      </c>
    </row>
    <row r="4077">
      <c r="G4077" s="584"/>
      <c r="H4077" s="584"/>
      <c r="I4077" s="335" t="s">
        <v>3494</v>
      </c>
    </row>
    <row r="4078">
      <c r="G4078" s="584"/>
      <c r="H4078" s="584"/>
      <c r="I4078" s="335" t="s">
        <v>3494</v>
      </c>
    </row>
    <row r="4079">
      <c r="G4079" s="584"/>
      <c r="H4079" s="584"/>
      <c r="I4079" s="335" t="s">
        <v>3494</v>
      </c>
    </row>
    <row r="4080">
      <c r="G4080" s="584"/>
      <c r="H4080" s="584"/>
      <c r="I4080" s="335" t="s">
        <v>3494</v>
      </c>
    </row>
    <row r="4081">
      <c r="G4081" s="584"/>
      <c r="H4081" s="584"/>
      <c r="I4081" s="335" t="s">
        <v>3494</v>
      </c>
    </row>
    <row r="4082">
      <c r="G4082" s="584"/>
      <c r="H4082" s="584"/>
      <c r="I4082" s="335" t="s">
        <v>3494</v>
      </c>
    </row>
    <row r="4083">
      <c r="G4083" s="584"/>
      <c r="H4083" s="584"/>
      <c r="I4083" s="335" t="s">
        <v>3494</v>
      </c>
    </row>
    <row r="4084">
      <c r="G4084" s="584"/>
      <c r="H4084" s="584"/>
      <c r="I4084" s="335" t="s">
        <v>3494</v>
      </c>
    </row>
    <row r="4085">
      <c r="G4085" s="584"/>
      <c r="H4085" s="584"/>
      <c r="I4085" s="335" t="s">
        <v>3494</v>
      </c>
    </row>
    <row r="4086">
      <c r="G4086" s="584"/>
      <c r="H4086" s="584"/>
      <c r="I4086" s="335" t="s">
        <v>3494</v>
      </c>
    </row>
    <row r="4087">
      <c r="G4087" s="584"/>
      <c r="H4087" s="584"/>
      <c r="I4087" s="335" t="s">
        <v>3494</v>
      </c>
    </row>
    <row r="4088">
      <c r="G4088" s="584"/>
      <c r="H4088" s="584"/>
      <c r="I4088" s="335" t="s">
        <v>3494</v>
      </c>
    </row>
    <row r="4089">
      <c r="G4089" s="584"/>
      <c r="H4089" s="584"/>
      <c r="I4089" s="335" t="s">
        <v>3494</v>
      </c>
    </row>
    <row r="4090">
      <c r="G4090" s="584"/>
      <c r="H4090" s="584"/>
      <c r="I4090" s="335" t="s">
        <v>3494</v>
      </c>
    </row>
    <row r="4091">
      <c r="G4091" s="584"/>
      <c r="H4091" s="584"/>
      <c r="I4091" s="335" t="s">
        <v>3494</v>
      </c>
    </row>
    <row r="4092">
      <c r="G4092" s="584"/>
      <c r="H4092" s="584"/>
      <c r="I4092" s="335" t="s">
        <v>3494</v>
      </c>
    </row>
    <row r="4093">
      <c r="G4093" s="584"/>
      <c r="H4093" s="584"/>
      <c r="I4093" s="335" t="s">
        <v>3494</v>
      </c>
    </row>
    <row r="4094">
      <c r="G4094" s="584"/>
      <c r="H4094" s="584"/>
      <c r="I4094" s="335" t="s">
        <v>3494</v>
      </c>
    </row>
    <row r="4095">
      <c r="G4095" s="584"/>
      <c r="H4095" s="584"/>
      <c r="I4095" s="335" t="s">
        <v>3494</v>
      </c>
    </row>
    <row r="4096">
      <c r="G4096" s="584"/>
      <c r="H4096" s="584"/>
      <c r="I4096" s="335" t="s">
        <v>3494</v>
      </c>
    </row>
    <row r="4097">
      <c r="G4097" s="584"/>
      <c r="H4097" s="584"/>
      <c r="I4097" s="335" t="s">
        <v>3494</v>
      </c>
    </row>
    <row r="4098">
      <c r="G4098" s="584"/>
      <c r="H4098" s="584"/>
      <c r="I4098" s="335" t="s">
        <v>3494</v>
      </c>
    </row>
    <row r="4099">
      <c r="G4099" s="584"/>
      <c r="H4099" s="584"/>
      <c r="I4099" s="335" t="s">
        <v>3494</v>
      </c>
    </row>
    <row r="4100">
      <c r="G4100" s="584"/>
      <c r="H4100" s="584"/>
      <c r="I4100" s="335" t="s">
        <v>3494</v>
      </c>
    </row>
    <row r="4101">
      <c r="G4101" s="584"/>
      <c r="H4101" s="584"/>
      <c r="I4101" s="335" t="s">
        <v>3494</v>
      </c>
    </row>
    <row r="4102">
      <c r="G4102" s="584"/>
      <c r="H4102" s="584"/>
      <c r="I4102" s="335" t="s">
        <v>3494</v>
      </c>
    </row>
    <row r="4103">
      <c r="G4103" s="584"/>
      <c r="H4103" s="584"/>
      <c r="I4103" s="335" t="s">
        <v>3494</v>
      </c>
    </row>
    <row r="4104">
      <c r="G4104" s="584"/>
      <c r="H4104" s="584"/>
      <c r="I4104" s="335" t="s">
        <v>3494</v>
      </c>
    </row>
    <row r="4105">
      <c r="G4105" s="584"/>
      <c r="H4105" s="584"/>
      <c r="I4105" s="335" t="s">
        <v>3494</v>
      </c>
    </row>
    <row r="4106">
      <c r="G4106" s="584"/>
      <c r="H4106" s="584"/>
      <c r="I4106" s="335" t="s">
        <v>3494</v>
      </c>
    </row>
    <row r="4107">
      <c r="G4107" s="584"/>
      <c r="H4107" s="584"/>
      <c r="I4107" s="335" t="s">
        <v>3494</v>
      </c>
    </row>
    <row r="4108">
      <c r="G4108" s="584"/>
      <c r="H4108" s="584"/>
      <c r="I4108" s="335" t="s">
        <v>3494</v>
      </c>
    </row>
    <row r="4109">
      <c r="G4109" s="584"/>
      <c r="H4109" s="584"/>
      <c r="I4109" s="335" t="s">
        <v>3494</v>
      </c>
    </row>
    <row r="4110">
      <c r="G4110" s="584"/>
      <c r="H4110" s="584"/>
      <c r="I4110" s="335" t="s">
        <v>3494</v>
      </c>
    </row>
    <row r="4111">
      <c r="G4111" s="584"/>
      <c r="H4111" s="584"/>
      <c r="I4111" s="335" t="s">
        <v>3494</v>
      </c>
    </row>
    <row r="4112">
      <c r="G4112" s="584"/>
      <c r="H4112" s="584"/>
      <c r="I4112" s="335" t="s">
        <v>3494</v>
      </c>
    </row>
    <row r="4113">
      <c r="G4113" s="584"/>
      <c r="H4113" s="584"/>
      <c r="I4113" s="335" t="s">
        <v>3494</v>
      </c>
    </row>
    <row r="4114">
      <c r="G4114" s="584"/>
      <c r="H4114" s="584"/>
      <c r="I4114" s="335" t="s">
        <v>3494</v>
      </c>
    </row>
    <row r="4115">
      <c r="G4115" s="584"/>
      <c r="H4115" s="584"/>
      <c r="I4115" s="335" t="s">
        <v>3494</v>
      </c>
    </row>
    <row r="4116">
      <c r="G4116" s="584"/>
      <c r="H4116" s="584"/>
      <c r="I4116" s="335" t="s">
        <v>3494</v>
      </c>
    </row>
    <row r="4117">
      <c r="G4117" s="584"/>
      <c r="H4117" s="584"/>
      <c r="I4117" s="335" t="s">
        <v>3494</v>
      </c>
    </row>
    <row r="4118">
      <c r="G4118" s="584"/>
      <c r="H4118" s="584"/>
      <c r="I4118" s="335" t="s">
        <v>3494</v>
      </c>
    </row>
    <row r="4119">
      <c r="G4119" s="584"/>
      <c r="H4119" s="584"/>
      <c r="I4119" s="335" t="s">
        <v>3494</v>
      </c>
    </row>
    <row r="4120">
      <c r="G4120" s="584"/>
      <c r="H4120" s="584"/>
      <c r="I4120" s="335" t="s">
        <v>3494</v>
      </c>
    </row>
    <row r="4121">
      <c r="G4121" s="584"/>
      <c r="H4121" s="584"/>
      <c r="I4121" s="335" t="s">
        <v>3494</v>
      </c>
    </row>
    <row r="4122">
      <c r="G4122" s="584"/>
      <c r="H4122" s="584"/>
      <c r="I4122" s="335" t="s">
        <v>3494</v>
      </c>
    </row>
    <row r="4123">
      <c r="G4123" s="584"/>
      <c r="H4123" s="584"/>
      <c r="I4123" s="335" t="s">
        <v>3494</v>
      </c>
    </row>
    <row r="4124">
      <c r="G4124" s="584"/>
      <c r="H4124" s="584"/>
      <c r="I4124" s="335" t="s">
        <v>3494</v>
      </c>
    </row>
    <row r="4125">
      <c r="G4125" s="584"/>
      <c r="H4125" s="584"/>
      <c r="I4125" s="335" t="s">
        <v>3494</v>
      </c>
    </row>
    <row r="4126">
      <c r="G4126" s="584"/>
      <c r="H4126" s="584"/>
      <c r="I4126" s="335" t="s">
        <v>3494</v>
      </c>
    </row>
    <row r="4127">
      <c r="G4127" s="584"/>
      <c r="H4127" s="584"/>
      <c r="I4127" s="335" t="s">
        <v>3494</v>
      </c>
    </row>
    <row r="4128">
      <c r="G4128" s="584"/>
      <c r="H4128" s="584"/>
      <c r="I4128" s="335" t="s">
        <v>3494</v>
      </c>
    </row>
    <row r="4129">
      <c r="G4129" s="584"/>
      <c r="H4129" s="584"/>
      <c r="I4129" s="335" t="s">
        <v>3494</v>
      </c>
    </row>
    <row r="4130">
      <c r="G4130" s="584"/>
      <c r="H4130" s="584"/>
      <c r="I4130" s="335" t="s">
        <v>3494</v>
      </c>
    </row>
    <row r="4131">
      <c r="G4131" s="584"/>
      <c r="H4131" s="584"/>
      <c r="I4131" s="335" t="s">
        <v>3494</v>
      </c>
    </row>
    <row r="4132">
      <c r="G4132" s="584"/>
      <c r="H4132" s="584"/>
      <c r="I4132" s="335" t="s">
        <v>3494</v>
      </c>
    </row>
    <row r="4133">
      <c r="G4133" s="584"/>
      <c r="H4133" s="584"/>
      <c r="I4133" s="335" t="s">
        <v>3494</v>
      </c>
    </row>
    <row r="4134">
      <c r="G4134" s="584"/>
      <c r="H4134" s="584"/>
      <c r="I4134" s="335" t="s">
        <v>3494</v>
      </c>
    </row>
    <row r="4135">
      <c r="G4135" s="584"/>
      <c r="H4135" s="584"/>
      <c r="I4135" s="335" t="s">
        <v>3494</v>
      </c>
    </row>
    <row r="4136">
      <c r="G4136" s="584"/>
      <c r="H4136" s="584"/>
      <c r="I4136" s="335" t="s">
        <v>3494</v>
      </c>
    </row>
    <row r="4137">
      <c r="G4137" s="584"/>
      <c r="H4137" s="584"/>
      <c r="I4137" s="335" t="s">
        <v>3494</v>
      </c>
    </row>
    <row r="4138">
      <c r="G4138" s="584"/>
      <c r="H4138" s="584"/>
      <c r="I4138" s="335" t="s">
        <v>3494</v>
      </c>
    </row>
    <row r="4139">
      <c r="G4139" s="584"/>
      <c r="H4139" s="584"/>
      <c r="I4139" s="335" t="s">
        <v>3494</v>
      </c>
    </row>
    <row r="4140">
      <c r="G4140" s="584"/>
      <c r="H4140" s="584"/>
      <c r="I4140" s="335" t="s">
        <v>3494</v>
      </c>
    </row>
    <row r="4141">
      <c r="G4141" s="584"/>
      <c r="H4141" s="584"/>
      <c r="I4141" s="335" t="s">
        <v>3494</v>
      </c>
    </row>
    <row r="4142">
      <c r="G4142" s="584"/>
      <c r="H4142" s="584"/>
      <c r="I4142" s="335" t="s">
        <v>3494</v>
      </c>
    </row>
    <row r="4143">
      <c r="G4143" s="584"/>
      <c r="H4143" s="584"/>
      <c r="I4143" s="335" t="s">
        <v>3494</v>
      </c>
    </row>
    <row r="4144">
      <c r="G4144" s="584"/>
      <c r="H4144" s="584"/>
      <c r="I4144" s="335" t="s">
        <v>3494</v>
      </c>
    </row>
    <row r="4145">
      <c r="G4145" s="584"/>
      <c r="H4145" s="584"/>
      <c r="I4145" s="335" t="s">
        <v>3494</v>
      </c>
    </row>
    <row r="4146">
      <c r="G4146" s="584"/>
      <c r="H4146" s="584"/>
      <c r="I4146" s="335" t="s">
        <v>3494</v>
      </c>
    </row>
    <row r="4147">
      <c r="G4147" s="584"/>
      <c r="H4147" s="584"/>
      <c r="I4147" s="335" t="s">
        <v>3494</v>
      </c>
    </row>
    <row r="4148">
      <c r="G4148" s="584"/>
      <c r="H4148" s="584"/>
      <c r="I4148" s="335" t="s">
        <v>3494</v>
      </c>
    </row>
    <row r="4149">
      <c r="G4149" s="584"/>
      <c r="H4149" s="584"/>
      <c r="I4149" s="335" t="s">
        <v>3494</v>
      </c>
    </row>
    <row r="4150">
      <c r="G4150" s="584"/>
      <c r="H4150" s="584"/>
      <c r="I4150" s="335" t="s">
        <v>3494</v>
      </c>
    </row>
    <row r="4151">
      <c r="G4151" s="584"/>
      <c r="H4151" s="584"/>
      <c r="I4151" s="335" t="s">
        <v>3494</v>
      </c>
    </row>
    <row r="4152">
      <c r="G4152" s="584"/>
      <c r="H4152" s="584"/>
      <c r="I4152" s="335" t="s">
        <v>3494</v>
      </c>
    </row>
    <row r="4153">
      <c r="G4153" s="584"/>
      <c r="H4153" s="584"/>
      <c r="I4153" s="335" t="s">
        <v>3494</v>
      </c>
    </row>
    <row r="4154">
      <c r="G4154" s="584"/>
      <c r="H4154" s="584"/>
      <c r="I4154" s="335" t="s">
        <v>3494</v>
      </c>
    </row>
    <row r="4155">
      <c r="G4155" s="584"/>
      <c r="H4155" s="584"/>
      <c r="I4155" s="335" t="s">
        <v>3494</v>
      </c>
    </row>
    <row r="4156">
      <c r="G4156" s="584"/>
      <c r="H4156" s="584"/>
      <c r="I4156" s="335" t="s">
        <v>3494</v>
      </c>
    </row>
    <row r="4157">
      <c r="G4157" s="584"/>
      <c r="H4157" s="584"/>
      <c r="I4157" s="335" t="s">
        <v>3494</v>
      </c>
    </row>
    <row r="4158">
      <c r="G4158" s="584"/>
      <c r="H4158" s="584"/>
      <c r="I4158" s="335" t="s">
        <v>3494</v>
      </c>
    </row>
    <row r="4159">
      <c r="G4159" s="584"/>
      <c r="H4159" s="584"/>
      <c r="I4159" s="335" t="s">
        <v>3494</v>
      </c>
    </row>
    <row r="4160">
      <c r="G4160" s="584"/>
      <c r="H4160" s="584"/>
      <c r="I4160" s="335" t="s">
        <v>3494</v>
      </c>
    </row>
    <row r="4161">
      <c r="G4161" s="584"/>
      <c r="H4161" s="584"/>
      <c r="I4161" s="335" t="s">
        <v>3494</v>
      </c>
    </row>
    <row r="4162">
      <c r="G4162" s="584"/>
      <c r="H4162" s="584"/>
      <c r="I4162" s="335" t="s">
        <v>3494</v>
      </c>
    </row>
    <row r="4163">
      <c r="G4163" s="584"/>
      <c r="H4163" s="584"/>
      <c r="I4163" s="335" t="s">
        <v>3494</v>
      </c>
    </row>
    <row r="4164">
      <c r="G4164" s="584"/>
      <c r="H4164" s="584"/>
      <c r="I4164" s="335" t="s">
        <v>3494</v>
      </c>
    </row>
    <row r="4165">
      <c r="G4165" s="584"/>
      <c r="H4165" s="584"/>
      <c r="I4165" s="335" t="s">
        <v>3494</v>
      </c>
    </row>
    <row r="4166">
      <c r="G4166" s="584"/>
      <c r="H4166" s="584"/>
      <c r="I4166" s="335" t="s">
        <v>3494</v>
      </c>
    </row>
    <row r="4167">
      <c r="G4167" s="584"/>
      <c r="H4167" s="584"/>
      <c r="I4167" s="335" t="s">
        <v>3494</v>
      </c>
    </row>
    <row r="4168">
      <c r="G4168" s="584"/>
      <c r="H4168" s="584"/>
      <c r="I4168" s="335" t="s">
        <v>3494</v>
      </c>
    </row>
    <row r="4169">
      <c r="G4169" s="584"/>
      <c r="H4169" s="584"/>
      <c r="I4169" s="335" t="s">
        <v>3494</v>
      </c>
    </row>
    <row r="4170">
      <c r="G4170" s="584"/>
      <c r="H4170" s="584"/>
      <c r="I4170" s="335" t="s">
        <v>3494</v>
      </c>
    </row>
    <row r="4171">
      <c r="G4171" s="584"/>
      <c r="H4171" s="584"/>
      <c r="I4171" s="335" t="s">
        <v>3494</v>
      </c>
    </row>
    <row r="4172">
      <c r="G4172" s="584"/>
      <c r="H4172" s="584"/>
      <c r="I4172" s="335" t="s">
        <v>3494</v>
      </c>
    </row>
    <row r="4173">
      <c r="G4173" s="584"/>
      <c r="H4173" s="584"/>
      <c r="I4173" s="335" t="s">
        <v>3494</v>
      </c>
    </row>
    <row r="4174">
      <c r="G4174" s="584"/>
      <c r="H4174" s="584"/>
      <c r="I4174" s="335" t="s">
        <v>3494</v>
      </c>
    </row>
    <row r="4175">
      <c r="G4175" s="584"/>
      <c r="H4175" s="584"/>
      <c r="I4175" s="335" t="s">
        <v>3494</v>
      </c>
    </row>
    <row r="4176">
      <c r="G4176" s="584"/>
      <c r="H4176" s="584"/>
      <c r="I4176" s="335" t="s">
        <v>3494</v>
      </c>
    </row>
    <row r="4177">
      <c r="G4177" s="584"/>
      <c r="H4177" s="584"/>
      <c r="I4177" s="335" t="s">
        <v>3494</v>
      </c>
    </row>
    <row r="4178">
      <c r="G4178" s="584"/>
      <c r="H4178" s="584"/>
      <c r="I4178" s="335" t="s">
        <v>3494</v>
      </c>
    </row>
    <row r="4179">
      <c r="G4179" s="584"/>
      <c r="H4179" s="584"/>
      <c r="I4179" s="335" t="s">
        <v>3494</v>
      </c>
    </row>
    <row r="4180">
      <c r="G4180" s="584"/>
      <c r="H4180" s="584"/>
      <c r="I4180" s="335" t="s">
        <v>3494</v>
      </c>
    </row>
    <row r="4181">
      <c r="G4181" s="584"/>
      <c r="H4181" s="584"/>
      <c r="I4181" s="335" t="s">
        <v>3494</v>
      </c>
    </row>
    <row r="4182">
      <c r="G4182" s="584"/>
      <c r="H4182" s="584"/>
      <c r="I4182" s="335" t="s">
        <v>3494</v>
      </c>
    </row>
    <row r="4183">
      <c r="G4183" s="584"/>
      <c r="H4183" s="584"/>
      <c r="I4183" s="335" t="s">
        <v>3494</v>
      </c>
    </row>
    <row r="4184">
      <c r="G4184" s="584"/>
      <c r="H4184" s="584"/>
      <c r="I4184" s="335" t="s">
        <v>3494</v>
      </c>
    </row>
    <row r="4185">
      <c r="G4185" s="584"/>
      <c r="H4185" s="584"/>
      <c r="I4185" s="335" t="s">
        <v>3494</v>
      </c>
    </row>
    <row r="4186">
      <c r="G4186" s="584"/>
      <c r="H4186" s="584"/>
      <c r="I4186" s="335" t="s">
        <v>3494</v>
      </c>
    </row>
    <row r="4187">
      <c r="G4187" s="584"/>
      <c r="H4187" s="584"/>
      <c r="I4187" s="335" t="s">
        <v>3494</v>
      </c>
    </row>
    <row r="4188">
      <c r="G4188" s="584"/>
      <c r="H4188" s="584"/>
      <c r="I4188" s="335" t="s">
        <v>3494</v>
      </c>
    </row>
    <row r="4189">
      <c r="G4189" s="584"/>
      <c r="H4189" s="584"/>
      <c r="I4189" s="335" t="s">
        <v>3494</v>
      </c>
    </row>
    <row r="4190">
      <c r="G4190" s="584"/>
      <c r="H4190" s="584"/>
      <c r="I4190" s="335" t="s">
        <v>3494</v>
      </c>
    </row>
    <row r="4191">
      <c r="G4191" s="584"/>
      <c r="H4191" s="584"/>
      <c r="I4191" s="335" t="s">
        <v>3494</v>
      </c>
    </row>
    <row r="4192">
      <c r="G4192" s="584"/>
      <c r="H4192" s="584"/>
      <c r="I4192" s="335" t="s">
        <v>3494</v>
      </c>
    </row>
    <row r="4193">
      <c r="G4193" s="584"/>
      <c r="H4193" s="584"/>
      <c r="I4193" s="335" t="s">
        <v>3494</v>
      </c>
    </row>
    <row r="4194">
      <c r="G4194" s="584"/>
      <c r="H4194" s="584"/>
      <c r="I4194" s="335" t="s">
        <v>3494</v>
      </c>
    </row>
    <row r="4195">
      <c r="G4195" s="584"/>
      <c r="H4195" s="584"/>
      <c r="I4195" s="335" t="s">
        <v>3494</v>
      </c>
    </row>
    <row r="4196">
      <c r="G4196" s="584"/>
      <c r="H4196" s="584"/>
      <c r="I4196" s="335" t="s">
        <v>3494</v>
      </c>
    </row>
    <row r="4197">
      <c r="G4197" s="584"/>
      <c r="H4197" s="584"/>
      <c r="I4197" s="335" t="s">
        <v>3494</v>
      </c>
    </row>
    <row r="4198">
      <c r="G4198" s="584"/>
      <c r="H4198" s="584"/>
      <c r="I4198" s="335" t="s">
        <v>3494</v>
      </c>
    </row>
    <row r="4199">
      <c r="G4199" s="584"/>
      <c r="H4199" s="584"/>
      <c r="I4199" s="335" t="s">
        <v>3494</v>
      </c>
    </row>
    <row r="4200">
      <c r="G4200" s="584"/>
      <c r="H4200" s="584"/>
      <c r="I4200" s="335" t="s">
        <v>3494</v>
      </c>
    </row>
    <row r="4201">
      <c r="G4201" s="584"/>
      <c r="H4201" s="584"/>
      <c r="I4201" s="335" t="s">
        <v>3494</v>
      </c>
    </row>
    <row r="4202">
      <c r="G4202" s="584"/>
      <c r="H4202" s="584"/>
      <c r="I4202" s="335" t="s">
        <v>3494</v>
      </c>
    </row>
    <row r="4203">
      <c r="G4203" s="584"/>
      <c r="H4203" s="584"/>
      <c r="I4203" s="335" t="s">
        <v>3494</v>
      </c>
    </row>
    <row r="4204">
      <c r="G4204" s="584"/>
      <c r="H4204" s="584"/>
      <c r="I4204" s="335" t="s">
        <v>3494</v>
      </c>
    </row>
    <row r="4205">
      <c r="G4205" s="584"/>
      <c r="H4205" s="584"/>
      <c r="I4205" s="335" t="s">
        <v>3494</v>
      </c>
    </row>
    <row r="4206">
      <c r="G4206" s="584"/>
      <c r="H4206" s="584"/>
      <c r="I4206" s="335" t="s">
        <v>3494</v>
      </c>
    </row>
    <row r="4207">
      <c r="G4207" s="584"/>
      <c r="H4207" s="584"/>
      <c r="I4207" s="335" t="s">
        <v>3494</v>
      </c>
    </row>
    <row r="4208">
      <c r="G4208" s="584"/>
      <c r="H4208" s="584"/>
      <c r="I4208" s="335" t="s">
        <v>3494</v>
      </c>
    </row>
    <row r="4209">
      <c r="G4209" s="584"/>
      <c r="H4209" s="584"/>
      <c r="I4209" s="335" t="s">
        <v>3494</v>
      </c>
    </row>
    <row r="4210">
      <c r="G4210" s="584"/>
      <c r="H4210" s="584"/>
      <c r="I4210" s="335" t="s">
        <v>3494</v>
      </c>
    </row>
    <row r="4211">
      <c r="G4211" s="584"/>
      <c r="H4211" s="584"/>
      <c r="I4211" s="335" t="s">
        <v>3494</v>
      </c>
    </row>
    <row r="4212">
      <c r="G4212" s="584"/>
      <c r="H4212" s="584"/>
      <c r="I4212" s="335" t="s">
        <v>3494</v>
      </c>
    </row>
    <row r="4213">
      <c r="G4213" s="584"/>
      <c r="H4213" s="584"/>
      <c r="I4213" s="335" t="s">
        <v>3494</v>
      </c>
    </row>
    <row r="4214">
      <c r="G4214" s="584"/>
      <c r="H4214" s="584"/>
      <c r="I4214" s="335" t="s">
        <v>3494</v>
      </c>
    </row>
    <row r="4215">
      <c r="G4215" s="584"/>
      <c r="H4215" s="584"/>
      <c r="I4215" s="335" t="s">
        <v>3494</v>
      </c>
    </row>
    <row r="4216">
      <c r="G4216" s="584"/>
      <c r="H4216" s="584"/>
      <c r="I4216" s="335" t="s">
        <v>3494</v>
      </c>
    </row>
    <row r="4217">
      <c r="G4217" s="584"/>
      <c r="H4217" s="584"/>
      <c r="I4217" s="335" t="s">
        <v>3494</v>
      </c>
    </row>
    <row r="4218">
      <c r="G4218" s="584"/>
      <c r="H4218" s="584"/>
      <c r="I4218" s="335" t="s">
        <v>3494</v>
      </c>
    </row>
    <row r="4219">
      <c r="G4219" s="584"/>
      <c r="H4219" s="584"/>
      <c r="I4219" s="335" t="s">
        <v>3494</v>
      </c>
    </row>
    <row r="4220">
      <c r="G4220" s="584"/>
      <c r="H4220" s="584"/>
      <c r="I4220" s="335" t="s">
        <v>3494</v>
      </c>
    </row>
    <row r="4221">
      <c r="G4221" s="584"/>
      <c r="H4221" s="584"/>
      <c r="I4221" s="335" t="s">
        <v>3494</v>
      </c>
    </row>
    <row r="4222">
      <c r="G4222" s="584"/>
      <c r="H4222" s="584"/>
      <c r="I4222" s="335" t="s">
        <v>3494</v>
      </c>
    </row>
    <row r="4223">
      <c r="G4223" s="584"/>
      <c r="H4223" s="584"/>
      <c r="I4223" s="335" t="s">
        <v>3494</v>
      </c>
    </row>
    <row r="4224">
      <c r="G4224" s="584"/>
      <c r="H4224" s="584"/>
      <c r="I4224" s="335" t="s">
        <v>3494</v>
      </c>
    </row>
    <row r="4225">
      <c r="G4225" s="584"/>
      <c r="H4225" s="584"/>
      <c r="I4225" s="335" t="s">
        <v>3494</v>
      </c>
    </row>
    <row r="4226">
      <c r="G4226" s="584"/>
      <c r="H4226" s="584"/>
      <c r="I4226" s="335" t="s">
        <v>3494</v>
      </c>
    </row>
    <row r="4227">
      <c r="G4227" s="584"/>
      <c r="H4227" s="584"/>
      <c r="I4227" s="335" t="s">
        <v>3494</v>
      </c>
    </row>
    <row r="4228">
      <c r="G4228" s="584"/>
      <c r="H4228" s="584"/>
      <c r="I4228" s="335" t="s">
        <v>3494</v>
      </c>
    </row>
    <row r="4229">
      <c r="G4229" s="584"/>
      <c r="H4229" s="584"/>
      <c r="I4229" s="335" t="s">
        <v>3494</v>
      </c>
    </row>
    <row r="4230">
      <c r="G4230" s="584"/>
      <c r="H4230" s="584"/>
      <c r="I4230" s="335" t="s">
        <v>3494</v>
      </c>
    </row>
    <row r="4231">
      <c r="G4231" s="584"/>
      <c r="H4231" s="584"/>
      <c r="I4231" s="335" t="s">
        <v>3494</v>
      </c>
    </row>
    <row r="4232">
      <c r="G4232" s="584"/>
      <c r="H4232" s="584"/>
      <c r="I4232" s="335" t="s">
        <v>3494</v>
      </c>
    </row>
    <row r="4233">
      <c r="G4233" s="584"/>
      <c r="H4233" s="584"/>
      <c r="I4233" s="335" t="s">
        <v>3494</v>
      </c>
    </row>
    <row r="4234">
      <c r="G4234" s="584"/>
      <c r="H4234" s="584"/>
      <c r="I4234" s="335" t="s">
        <v>3494</v>
      </c>
    </row>
    <row r="4235">
      <c r="G4235" s="584"/>
      <c r="H4235" s="584"/>
      <c r="I4235" s="335" t="s">
        <v>3494</v>
      </c>
    </row>
    <row r="4236">
      <c r="G4236" s="584"/>
      <c r="H4236" s="584"/>
      <c r="I4236" s="335" t="s">
        <v>3494</v>
      </c>
    </row>
    <row r="4237">
      <c r="G4237" s="584"/>
      <c r="H4237" s="584"/>
      <c r="I4237" s="335" t="s">
        <v>3494</v>
      </c>
    </row>
    <row r="4238">
      <c r="G4238" s="584"/>
      <c r="H4238" s="584"/>
      <c r="I4238" s="335" t="s">
        <v>3494</v>
      </c>
    </row>
    <row r="4239">
      <c r="G4239" s="584"/>
      <c r="H4239" s="584"/>
      <c r="I4239" s="335" t="s">
        <v>3494</v>
      </c>
    </row>
    <row r="4240">
      <c r="G4240" s="584"/>
      <c r="H4240" s="584"/>
      <c r="I4240" s="335" t="s">
        <v>3494</v>
      </c>
    </row>
    <row r="4241">
      <c r="G4241" s="584"/>
      <c r="H4241" s="584"/>
      <c r="I4241" s="335" t="s">
        <v>3494</v>
      </c>
    </row>
    <row r="4242">
      <c r="G4242" s="584"/>
      <c r="H4242" s="584"/>
      <c r="I4242" s="335" t="s">
        <v>3494</v>
      </c>
    </row>
    <row r="4243">
      <c r="G4243" s="584"/>
      <c r="H4243" s="584"/>
      <c r="I4243" s="335" t="s">
        <v>3494</v>
      </c>
    </row>
    <row r="4244">
      <c r="G4244" s="584"/>
      <c r="H4244" s="584"/>
      <c r="I4244" s="335" t="s">
        <v>3494</v>
      </c>
    </row>
    <row r="4245">
      <c r="G4245" s="584"/>
      <c r="H4245" s="584"/>
      <c r="I4245" s="335" t="s">
        <v>3494</v>
      </c>
    </row>
    <row r="4246">
      <c r="G4246" s="584"/>
      <c r="H4246" s="584"/>
      <c r="I4246" s="335" t="s">
        <v>3494</v>
      </c>
    </row>
    <row r="4247">
      <c r="G4247" s="584"/>
      <c r="H4247" s="584"/>
      <c r="I4247" s="335" t="s">
        <v>3494</v>
      </c>
    </row>
    <row r="4248">
      <c r="G4248" s="584"/>
      <c r="H4248" s="584"/>
      <c r="I4248" s="335" t="s">
        <v>3494</v>
      </c>
    </row>
    <row r="4249">
      <c r="G4249" s="584"/>
      <c r="H4249" s="584"/>
      <c r="I4249" s="335" t="s">
        <v>3494</v>
      </c>
    </row>
    <row r="4250">
      <c r="G4250" s="584"/>
      <c r="H4250" s="584"/>
      <c r="I4250" s="335" t="s">
        <v>3494</v>
      </c>
    </row>
    <row r="4251">
      <c r="G4251" s="584"/>
      <c r="H4251" s="584"/>
      <c r="I4251" s="335" t="s">
        <v>3494</v>
      </c>
    </row>
    <row r="4252">
      <c r="G4252" s="584"/>
      <c r="H4252" s="584"/>
      <c r="I4252" s="335" t="s">
        <v>3494</v>
      </c>
    </row>
    <row r="4253">
      <c r="G4253" s="584"/>
      <c r="H4253" s="584"/>
      <c r="I4253" s="335" t="s">
        <v>3494</v>
      </c>
    </row>
    <row r="4254">
      <c r="G4254" s="584"/>
      <c r="H4254" s="584"/>
      <c r="I4254" s="335" t="s">
        <v>3494</v>
      </c>
    </row>
    <row r="4255">
      <c r="G4255" s="584"/>
      <c r="H4255" s="584"/>
      <c r="I4255" s="335" t="s">
        <v>3494</v>
      </c>
    </row>
    <row r="4256">
      <c r="G4256" s="584"/>
      <c r="H4256" s="584"/>
      <c r="I4256" s="335" t="s">
        <v>3494</v>
      </c>
    </row>
    <row r="4257">
      <c r="G4257" s="584"/>
      <c r="H4257" s="584"/>
      <c r="I4257" s="335" t="s">
        <v>3494</v>
      </c>
    </row>
    <row r="4258">
      <c r="G4258" s="584"/>
      <c r="H4258" s="584"/>
      <c r="I4258" s="335" t="s">
        <v>3494</v>
      </c>
    </row>
    <row r="4259">
      <c r="G4259" s="584"/>
      <c r="H4259" s="584"/>
      <c r="I4259" s="335" t="s">
        <v>3494</v>
      </c>
    </row>
    <row r="4260">
      <c r="G4260" s="584"/>
      <c r="H4260" s="584"/>
      <c r="I4260" s="335" t="s">
        <v>3494</v>
      </c>
    </row>
    <row r="4261">
      <c r="G4261" s="584"/>
      <c r="H4261" s="584"/>
      <c r="I4261" s="335" t="s">
        <v>3494</v>
      </c>
    </row>
    <row r="4262">
      <c r="G4262" s="584"/>
      <c r="H4262" s="584"/>
      <c r="I4262" s="335" t="s">
        <v>3494</v>
      </c>
    </row>
    <row r="4263">
      <c r="G4263" s="584"/>
      <c r="H4263" s="584"/>
      <c r="I4263" s="335" t="s">
        <v>3494</v>
      </c>
    </row>
    <row r="4264">
      <c r="G4264" s="584"/>
      <c r="H4264" s="584"/>
      <c r="I4264" s="335" t="s">
        <v>3494</v>
      </c>
    </row>
    <row r="4265">
      <c r="G4265" s="584"/>
      <c r="H4265" s="584"/>
      <c r="I4265" s="335" t="s">
        <v>3494</v>
      </c>
    </row>
    <row r="4266">
      <c r="G4266" s="584"/>
      <c r="H4266" s="584"/>
      <c r="I4266" s="335" t="s">
        <v>3494</v>
      </c>
    </row>
    <row r="4267">
      <c r="G4267" s="584"/>
      <c r="H4267" s="584"/>
      <c r="I4267" s="335" t="s">
        <v>3494</v>
      </c>
    </row>
    <row r="4268">
      <c r="G4268" s="584"/>
      <c r="H4268" s="584"/>
      <c r="I4268" s="335" t="s">
        <v>3494</v>
      </c>
    </row>
    <row r="4269">
      <c r="G4269" s="584"/>
      <c r="H4269" s="584"/>
      <c r="I4269" s="335" t="s">
        <v>3494</v>
      </c>
    </row>
    <row r="4270">
      <c r="G4270" s="584"/>
      <c r="H4270" s="584"/>
      <c r="I4270" s="335" t="s">
        <v>3494</v>
      </c>
    </row>
    <row r="4271">
      <c r="G4271" s="584"/>
      <c r="H4271" s="584"/>
      <c r="I4271" s="335" t="s">
        <v>3494</v>
      </c>
    </row>
    <row r="4272">
      <c r="G4272" s="584"/>
      <c r="H4272" s="584"/>
      <c r="I4272" s="335" t="s">
        <v>3494</v>
      </c>
    </row>
    <row r="4273">
      <c r="G4273" s="584"/>
      <c r="H4273" s="584"/>
      <c r="I4273" s="335" t="s">
        <v>3494</v>
      </c>
    </row>
    <row r="4274">
      <c r="G4274" s="584"/>
      <c r="H4274" s="584"/>
      <c r="I4274" s="335" t="s">
        <v>3494</v>
      </c>
    </row>
    <row r="4275">
      <c r="G4275" s="584"/>
      <c r="H4275" s="584"/>
      <c r="I4275" s="335" t="s">
        <v>3494</v>
      </c>
    </row>
    <row r="4276">
      <c r="G4276" s="584"/>
      <c r="H4276" s="584"/>
      <c r="I4276" s="335" t="s">
        <v>3494</v>
      </c>
    </row>
    <row r="4277">
      <c r="G4277" s="584"/>
      <c r="H4277" s="584"/>
      <c r="I4277" s="335" t="s">
        <v>3494</v>
      </c>
    </row>
    <row r="4278">
      <c r="G4278" s="584"/>
      <c r="H4278" s="584"/>
      <c r="I4278" s="335" t="s">
        <v>3494</v>
      </c>
    </row>
    <row r="4279">
      <c r="G4279" s="584"/>
      <c r="H4279" s="584"/>
      <c r="I4279" s="335" t="s">
        <v>3494</v>
      </c>
    </row>
    <row r="4280">
      <c r="G4280" s="584"/>
      <c r="H4280" s="584"/>
      <c r="I4280" s="335" t="s">
        <v>3494</v>
      </c>
    </row>
    <row r="4281">
      <c r="G4281" s="584"/>
      <c r="H4281" s="584"/>
      <c r="I4281" s="335" t="s">
        <v>3494</v>
      </c>
    </row>
    <row r="4282">
      <c r="G4282" s="584"/>
      <c r="H4282" s="584"/>
      <c r="I4282" s="335" t="s">
        <v>3494</v>
      </c>
    </row>
    <row r="4283">
      <c r="G4283" s="584"/>
      <c r="H4283" s="584"/>
      <c r="I4283" s="335" t="s">
        <v>3494</v>
      </c>
    </row>
    <row r="4284">
      <c r="G4284" s="584"/>
      <c r="H4284" s="584"/>
      <c r="I4284" s="335" t="s">
        <v>3494</v>
      </c>
    </row>
    <row r="4285">
      <c r="G4285" s="584"/>
      <c r="H4285" s="584"/>
      <c r="I4285" s="335" t="s">
        <v>3494</v>
      </c>
    </row>
    <row r="4286">
      <c r="G4286" s="584"/>
      <c r="H4286" s="584"/>
      <c r="I4286" s="335" t="s">
        <v>3494</v>
      </c>
    </row>
    <row r="4287">
      <c r="G4287" s="584"/>
      <c r="H4287" s="584"/>
      <c r="I4287" s="335" t="s">
        <v>3494</v>
      </c>
    </row>
    <row r="4288">
      <c r="G4288" s="584"/>
      <c r="H4288" s="584"/>
      <c r="I4288" s="335" t="s">
        <v>3494</v>
      </c>
    </row>
    <row r="4289">
      <c r="G4289" s="584"/>
      <c r="H4289" s="584"/>
      <c r="I4289" s="335" t="s">
        <v>3494</v>
      </c>
    </row>
    <row r="4290">
      <c r="G4290" s="584"/>
      <c r="H4290" s="584"/>
      <c r="I4290" s="335" t="s">
        <v>3494</v>
      </c>
    </row>
    <row r="4291">
      <c r="G4291" s="584"/>
      <c r="H4291" s="584"/>
      <c r="I4291" s="335" t="s">
        <v>3494</v>
      </c>
    </row>
    <row r="4292">
      <c r="G4292" s="584"/>
      <c r="H4292" s="584"/>
      <c r="I4292" s="335" t="s">
        <v>3494</v>
      </c>
    </row>
    <row r="4293">
      <c r="G4293" s="584"/>
      <c r="H4293" s="584"/>
      <c r="I4293" s="335" t="s">
        <v>3494</v>
      </c>
    </row>
    <row r="4294">
      <c r="G4294" s="584"/>
      <c r="H4294" s="584"/>
      <c r="I4294" s="335" t="s">
        <v>3494</v>
      </c>
    </row>
    <row r="4295">
      <c r="G4295" s="584"/>
      <c r="H4295" s="584"/>
      <c r="I4295" s="335" t="s">
        <v>3494</v>
      </c>
    </row>
    <row r="4296">
      <c r="G4296" s="584"/>
      <c r="H4296" s="584"/>
      <c r="I4296" s="335" t="s">
        <v>3494</v>
      </c>
    </row>
    <row r="4297">
      <c r="G4297" s="584"/>
      <c r="H4297" s="584"/>
      <c r="I4297" s="335" t="s">
        <v>3494</v>
      </c>
    </row>
    <row r="4298">
      <c r="G4298" s="584"/>
      <c r="H4298" s="584"/>
      <c r="I4298" s="335" t="s">
        <v>3494</v>
      </c>
    </row>
    <row r="4299">
      <c r="G4299" s="584"/>
      <c r="H4299" s="584"/>
      <c r="I4299" s="335" t="s">
        <v>3494</v>
      </c>
    </row>
    <row r="4300">
      <c r="G4300" s="584"/>
      <c r="H4300" s="584"/>
      <c r="I4300" s="335" t="s">
        <v>3494</v>
      </c>
    </row>
    <row r="4301">
      <c r="G4301" s="584"/>
      <c r="H4301" s="584"/>
      <c r="I4301" s="335" t="s">
        <v>3494</v>
      </c>
    </row>
    <row r="4302">
      <c r="G4302" s="584"/>
      <c r="H4302" s="584"/>
      <c r="I4302" s="335" t="s">
        <v>3494</v>
      </c>
    </row>
    <row r="4303">
      <c r="G4303" s="584"/>
      <c r="H4303" s="584"/>
      <c r="I4303" s="335" t="s">
        <v>3494</v>
      </c>
    </row>
    <row r="4304">
      <c r="G4304" s="584"/>
      <c r="H4304" s="584"/>
      <c r="I4304" s="335" t="s">
        <v>3494</v>
      </c>
    </row>
    <row r="4305">
      <c r="G4305" s="584"/>
      <c r="H4305" s="584"/>
      <c r="I4305" s="335" t="s">
        <v>3494</v>
      </c>
    </row>
    <row r="4306">
      <c r="G4306" s="584"/>
      <c r="H4306" s="584"/>
      <c r="I4306" s="335" t="s">
        <v>3494</v>
      </c>
    </row>
    <row r="4307">
      <c r="G4307" s="584"/>
      <c r="H4307" s="584"/>
      <c r="I4307" s="335" t="s">
        <v>3494</v>
      </c>
    </row>
    <row r="4308">
      <c r="G4308" s="584"/>
      <c r="H4308" s="584"/>
      <c r="I4308" s="335" t="s">
        <v>3494</v>
      </c>
    </row>
    <row r="4309">
      <c r="G4309" s="584"/>
      <c r="H4309" s="584"/>
      <c r="I4309" s="335" t="s">
        <v>3494</v>
      </c>
    </row>
    <row r="4310">
      <c r="G4310" s="584"/>
      <c r="H4310" s="584"/>
      <c r="I4310" s="335" t="s">
        <v>3494</v>
      </c>
    </row>
    <row r="4311">
      <c r="G4311" s="584"/>
      <c r="H4311" s="584"/>
      <c r="I4311" s="335" t="s">
        <v>3494</v>
      </c>
    </row>
    <row r="4312">
      <c r="G4312" s="584"/>
      <c r="H4312" s="584"/>
      <c r="I4312" s="335" t="s">
        <v>3494</v>
      </c>
    </row>
    <row r="4313">
      <c r="G4313" s="584"/>
      <c r="H4313" s="584"/>
      <c r="I4313" s="335" t="s">
        <v>3494</v>
      </c>
    </row>
    <row r="4314">
      <c r="G4314" s="584"/>
      <c r="H4314" s="584"/>
      <c r="I4314" s="335" t="s">
        <v>3494</v>
      </c>
    </row>
    <row r="4315">
      <c r="G4315" s="584"/>
      <c r="H4315" s="584"/>
      <c r="I4315" s="335" t="s">
        <v>3494</v>
      </c>
    </row>
    <row r="4316">
      <c r="G4316" s="584"/>
      <c r="H4316" s="584"/>
      <c r="I4316" s="335" t="s">
        <v>3494</v>
      </c>
    </row>
    <row r="4317">
      <c r="G4317" s="584"/>
      <c r="H4317" s="584"/>
      <c r="I4317" s="335" t="s">
        <v>3494</v>
      </c>
    </row>
    <row r="4318">
      <c r="G4318" s="584"/>
      <c r="H4318" s="584"/>
      <c r="I4318" s="335" t="s">
        <v>3494</v>
      </c>
    </row>
    <row r="4319">
      <c r="G4319" s="584"/>
      <c r="H4319" s="584"/>
      <c r="I4319" s="335" t="s">
        <v>3494</v>
      </c>
    </row>
    <row r="4320">
      <c r="G4320" s="584"/>
      <c r="H4320" s="584"/>
      <c r="I4320" s="335" t="s">
        <v>3494</v>
      </c>
    </row>
    <row r="4321">
      <c r="G4321" s="584"/>
      <c r="H4321" s="584"/>
      <c r="I4321" s="335" t="s">
        <v>3494</v>
      </c>
    </row>
    <row r="4322">
      <c r="G4322" s="584"/>
      <c r="H4322" s="584"/>
      <c r="I4322" s="335" t="s">
        <v>3494</v>
      </c>
    </row>
    <row r="4323">
      <c r="G4323" s="584"/>
      <c r="H4323" s="584"/>
      <c r="I4323" s="335" t="s">
        <v>3494</v>
      </c>
    </row>
    <row r="4324">
      <c r="G4324" s="584"/>
      <c r="H4324" s="584"/>
      <c r="I4324" s="335" t="s">
        <v>3494</v>
      </c>
    </row>
    <row r="4325">
      <c r="G4325" s="584"/>
      <c r="H4325" s="584"/>
      <c r="I4325" s="335" t="s">
        <v>3494</v>
      </c>
    </row>
    <row r="4326">
      <c r="G4326" s="584"/>
      <c r="H4326" s="584"/>
      <c r="I4326" s="335" t="s">
        <v>3494</v>
      </c>
    </row>
    <row r="4327">
      <c r="G4327" s="584"/>
      <c r="H4327" s="584"/>
      <c r="I4327" s="335" t="s">
        <v>3494</v>
      </c>
    </row>
    <row r="4328">
      <c r="G4328" s="584"/>
      <c r="H4328" s="584"/>
      <c r="I4328" s="335" t="s">
        <v>3494</v>
      </c>
    </row>
    <row r="4329">
      <c r="G4329" s="584"/>
      <c r="H4329" s="584"/>
      <c r="I4329" s="335" t="s">
        <v>3494</v>
      </c>
    </row>
    <row r="4330">
      <c r="G4330" s="584"/>
      <c r="H4330" s="584"/>
      <c r="I4330" s="335" t="s">
        <v>3494</v>
      </c>
    </row>
    <row r="4331">
      <c r="G4331" s="584"/>
      <c r="H4331" s="584"/>
      <c r="I4331" s="335" t="s">
        <v>3494</v>
      </c>
    </row>
    <row r="4332">
      <c r="G4332" s="584"/>
      <c r="H4332" s="584"/>
      <c r="I4332" s="335" t="s">
        <v>3494</v>
      </c>
    </row>
    <row r="4333">
      <c r="G4333" s="584"/>
      <c r="H4333" s="584"/>
      <c r="I4333" s="335" t="s">
        <v>3494</v>
      </c>
    </row>
    <row r="4334">
      <c r="G4334" s="584"/>
      <c r="H4334" s="584"/>
      <c r="I4334" s="335" t="s">
        <v>3494</v>
      </c>
    </row>
    <row r="4335">
      <c r="G4335" s="584"/>
      <c r="H4335" s="584"/>
      <c r="I4335" s="335" t="s">
        <v>3494</v>
      </c>
    </row>
    <row r="4336">
      <c r="G4336" s="584"/>
      <c r="H4336" s="584"/>
      <c r="I4336" s="335" t="s">
        <v>3494</v>
      </c>
    </row>
    <row r="4337">
      <c r="G4337" s="584"/>
      <c r="H4337" s="584"/>
      <c r="I4337" s="335" t="s">
        <v>3494</v>
      </c>
    </row>
    <row r="4338">
      <c r="G4338" s="584"/>
      <c r="H4338" s="584"/>
      <c r="I4338" s="335" t="s">
        <v>3494</v>
      </c>
    </row>
    <row r="4339">
      <c r="G4339" s="584"/>
      <c r="H4339" s="584"/>
      <c r="I4339" s="335" t="s">
        <v>3494</v>
      </c>
    </row>
    <row r="4340">
      <c r="G4340" s="584"/>
      <c r="H4340" s="584"/>
      <c r="I4340" s="335" t="s">
        <v>3494</v>
      </c>
    </row>
    <row r="4341">
      <c r="G4341" s="584"/>
      <c r="H4341" s="584"/>
      <c r="I4341" s="335" t="s">
        <v>3494</v>
      </c>
    </row>
    <row r="4342">
      <c r="G4342" s="584"/>
      <c r="H4342" s="584"/>
      <c r="I4342" s="335" t="s">
        <v>3494</v>
      </c>
    </row>
    <row r="4343">
      <c r="G4343" s="584"/>
      <c r="H4343" s="584"/>
      <c r="I4343" s="335" t="s">
        <v>3494</v>
      </c>
    </row>
    <row r="4344">
      <c r="G4344" s="584"/>
      <c r="H4344" s="584"/>
      <c r="I4344" s="335" t="s">
        <v>3494</v>
      </c>
    </row>
    <row r="4345">
      <c r="G4345" s="584"/>
      <c r="H4345" s="584"/>
      <c r="I4345" s="335" t="s">
        <v>3494</v>
      </c>
    </row>
    <row r="4346">
      <c r="G4346" s="584"/>
      <c r="H4346" s="584"/>
      <c r="I4346" s="335" t="s">
        <v>3494</v>
      </c>
    </row>
    <row r="4347">
      <c r="G4347" s="584"/>
      <c r="H4347" s="584"/>
      <c r="I4347" s="335" t="s">
        <v>3494</v>
      </c>
    </row>
    <row r="4348">
      <c r="G4348" s="584"/>
      <c r="H4348" s="584"/>
      <c r="I4348" s="335" t="s">
        <v>3494</v>
      </c>
    </row>
    <row r="4349">
      <c r="G4349" s="584"/>
      <c r="H4349" s="584"/>
      <c r="I4349" s="335" t="s">
        <v>3494</v>
      </c>
    </row>
    <row r="4350">
      <c r="G4350" s="584"/>
      <c r="H4350" s="584"/>
      <c r="I4350" s="335" t="s">
        <v>3494</v>
      </c>
    </row>
    <row r="4351">
      <c r="G4351" s="584"/>
      <c r="H4351" s="584"/>
      <c r="I4351" s="335" t="s">
        <v>3494</v>
      </c>
    </row>
    <row r="4352">
      <c r="G4352" s="584"/>
      <c r="H4352" s="584"/>
      <c r="I4352" s="335" t="s">
        <v>3494</v>
      </c>
    </row>
    <row r="4353">
      <c r="G4353" s="584"/>
      <c r="H4353" s="584"/>
      <c r="I4353" s="335" t="s">
        <v>3494</v>
      </c>
    </row>
    <row r="4354">
      <c r="G4354" s="584"/>
      <c r="H4354" s="584"/>
      <c r="I4354" s="335" t="s">
        <v>3494</v>
      </c>
    </row>
    <row r="4355">
      <c r="G4355" s="584"/>
      <c r="H4355" s="584"/>
      <c r="I4355" s="335" t="s">
        <v>3494</v>
      </c>
    </row>
    <row r="4356">
      <c r="G4356" s="584"/>
      <c r="H4356" s="584"/>
      <c r="I4356" s="335" t="s">
        <v>3494</v>
      </c>
    </row>
    <row r="4357">
      <c r="G4357" s="584"/>
      <c r="H4357" s="584"/>
      <c r="I4357" s="335" t="s">
        <v>3494</v>
      </c>
    </row>
    <row r="4358">
      <c r="G4358" s="584"/>
      <c r="H4358" s="584"/>
      <c r="I4358" s="335" t="s">
        <v>3494</v>
      </c>
    </row>
    <row r="4359">
      <c r="G4359" s="584"/>
      <c r="H4359" s="584"/>
      <c r="I4359" s="335" t="s">
        <v>3494</v>
      </c>
    </row>
    <row r="4360">
      <c r="G4360" s="584"/>
      <c r="H4360" s="584"/>
      <c r="I4360" s="335" t="s">
        <v>3494</v>
      </c>
    </row>
    <row r="4361">
      <c r="G4361" s="584"/>
      <c r="H4361" s="584"/>
      <c r="I4361" s="335" t="s">
        <v>3494</v>
      </c>
    </row>
    <row r="4362">
      <c r="G4362" s="584"/>
      <c r="H4362" s="584"/>
      <c r="I4362" s="335" t="s">
        <v>3494</v>
      </c>
    </row>
    <row r="4363">
      <c r="G4363" s="584"/>
      <c r="H4363" s="584"/>
      <c r="I4363" s="335" t="s">
        <v>3494</v>
      </c>
    </row>
    <row r="4364">
      <c r="G4364" s="584"/>
      <c r="H4364" s="584"/>
      <c r="I4364" s="335" t="s">
        <v>3494</v>
      </c>
    </row>
    <row r="4365">
      <c r="G4365" s="584"/>
      <c r="H4365" s="584"/>
      <c r="I4365" s="335" t="s">
        <v>3494</v>
      </c>
    </row>
    <row r="4366">
      <c r="G4366" s="584"/>
      <c r="H4366" s="584"/>
      <c r="I4366" s="335" t="s">
        <v>3494</v>
      </c>
    </row>
    <row r="4367">
      <c r="G4367" s="584"/>
      <c r="H4367" s="584"/>
      <c r="I4367" s="335" t="s">
        <v>3494</v>
      </c>
    </row>
    <row r="4368">
      <c r="G4368" s="584"/>
      <c r="H4368" s="584"/>
      <c r="I4368" s="335" t="s">
        <v>3494</v>
      </c>
    </row>
    <row r="4369">
      <c r="G4369" s="584"/>
      <c r="H4369" s="584"/>
      <c r="I4369" s="335" t="s">
        <v>3494</v>
      </c>
    </row>
    <row r="4370">
      <c r="G4370" s="584"/>
      <c r="H4370" s="584"/>
      <c r="I4370" s="335" t="s">
        <v>3494</v>
      </c>
    </row>
    <row r="4371">
      <c r="G4371" s="584"/>
      <c r="H4371" s="584"/>
      <c r="I4371" s="335" t="s">
        <v>3494</v>
      </c>
    </row>
    <row r="4372">
      <c r="G4372" s="584"/>
      <c r="H4372" s="584"/>
      <c r="I4372" s="335" t="s">
        <v>3494</v>
      </c>
    </row>
    <row r="4373">
      <c r="G4373" s="584"/>
      <c r="H4373" s="584"/>
      <c r="I4373" s="335" t="s">
        <v>3494</v>
      </c>
    </row>
    <row r="4374">
      <c r="G4374" s="584"/>
      <c r="H4374" s="584"/>
      <c r="I4374" s="335" t="s">
        <v>3494</v>
      </c>
    </row>
    <row r="4375">
      <c r="G4375" s="584"/>
      <c r="H4375" s="584"/>
      <c r="I4375" s="335" t="s">
        <v>3494</v>
      </c>
    </row>
    <row r="4376">
      <c r="G4376" s="584"/>
      <c r="H4376" s="584"/>
      <c r="I4376" s="335" t="s">
        <v>3494</v>
      </c>
    </row>
    <row r="4377">
      <c r="G4377" s="584"/>
      <c r="H4377" s="584"/>
      <c r="I4377" s="335" t="s">
        <v>3494</v>
      </c>
    </row>
    <row r="4378">
      <c r="G4378" s="584"/>
      <c r="H4378" s="584"/>
      <c r="I4378" s="335" t="s">
        <v>3494</v>
      </c>
    </row>
    <row r="4379">
      <c r="G4379" s="584"/>
      <c r="H4379" s="584"/>
      <c r="I4379" s="335" t="s">
        <v>3494</v>
      </c>
    </row>
    <row r="4380">
      <c r="G4380" s="584"/>
      <c r="H4380" s="584"/>
      <c r="I4380" s="335" t="s">
        <v>3494</v>
      </c>
    </row>
    <row r="4381">
      <c r="G4381" s="584"/>
      <c r="H4381" s="584"/>
      <c r="I4381" s="335" t="s">
        <v>3494</v>
      </c>
    </row>
    <row r="4382">
      <c r="G4382" s="584"/>
      <c r="H4382" s="584"/>
      <c r="I4382" s="335" t="s">
        <v>3494</v>
      </c>
    </row>
    <row r="4383">
      <c r="G4383" s="584"/>
      <c r="H4383" s="584"/>
      <c r="I4383" s="335" t="s">
        <v>3494</v>
      </c>
    </row>
    <row r="4384">
      <c r="G4384" s="584"/>
      <c r="H4384" s="584"/>
      <c r="I4384" s="335" t="s">
        <v>3494</v>
      </c>
    </row>
    <row r="4385">
      <c r="G4385" s="584"/>
      <c r="H4385" s="584"/>
      <c r="I4385" s="335" t="s">
        <v>3494</v>
      </c>
    </row>
    <row r="4386">
      <c r="G4386" s="584"/>
      <c r="H4386" s="584"/>
      <c r="I4386" s="335" t="s">
        <v>3494</v>
      </c>
    </row>
    <row r="4387">
      <c r="G4387" s="584"/>
      <c r="H4387" s="584"/>
      <c r="I4387" s="335" t="s">
        <v>3494</v>
      </c>
    </row>
    <row r="4388">
      <c r="G4388" s="584"/>
      <c r="H4388" s="584"/>
      <c r="I4388" s="335" t="s">
        <v>3494</v>
      </c>
    </row>
    <row r="4389">
      <c r="G4389" s="584"/>
      <c r="H4389" s="584"/>
      <c r="I4389" s="335" t="s">
        <v>3494</v>
      </c>
    </row>
    <row r="4390">
      <c r="G4390" s="584"/>
      <c r="H4390" s="584"/>
      <c r="I4390" s="335" t="s">
        <v>3494</v>
      </c>
    </row>
    <row r="4391">
      <c r="G4391" s="584"/>
      <c r="H4391" s="584"/>
      <c r="I4391" s="335" t="s">
        <v>3494</v>
      </c>
    </row>
    <row r="4392">
      <c r="G4392" s="584"/>
      <c r="H4392" s="584"/>
      <c r="I4392" s="335" t="s">
        <v>3494</v>
      </c>
    </row>
    <row r="4393">
      <c r="G4393" s="584"/>
      <c r="H4393" s="584"/>
      <c r="I4393" s="335" t="s">
        <v>3494</v>
      </c>
    </row>
    <row r="4394">
      <c r="G4394" s="584"/>
      <c r="H4394" s="584"/>
      <c r="I4394" s="335" t="s">
        <v>3494</v>
      </c>
    </row>
    <row r="4395">
      <c r="G4395" s="584"/>
      <c r="H4395" s="584"/>
      <c r="I4395" s="335" t="s">
        <v>3494</v>
      </c>
    </row>
    <row r="4396">
      <c r="G4396" s="584"/>
      <c r="H4396" s="584"/>
      <c r="I4396" s="335" t="s">
        <v>3494</v>
      </c>
    </row>
    <row r="4397">
      <c r="G4397" s="584"/>
      <c r="H4397" s="584"/>
      <c r="I4397" s="335" t="s">
        <v>3494</v>
      </c>
    </row>
    <row r="4398">
      <c r="G4398" s="584"/>
      <c r="H4398" s="584"/>
      <c r="I4398" s="335" t="s">
        <v>3494</v>
      </c>
    </row>
    <row r="4399">
      <c r="G4399" s="584"/>
      <c r="H4399" s="584"/>
      <c r="I4399" s="335" t="s">
        <v>3494</v>
      </c>
    </row>
    <row r="4400">
      <c r="G4400" s="584"/>
      <c r="H4400" s="584"/>
      <c r="I4400" s="335" t="s">
        <v>3494</v>
      </c>
    </row>
    <row r="4401">
      <c r="G4401" s="584"/>
      <c r="H4401" s="584"/>
      <c r="I4401" s="335" t="s">
        <v>3494</v>
      </c>
    </row>
    <row r="4402">
      <c r="G4402" s="584"/>
      <c r="H4402" s="584"/>
      <c r="I4402" s="335" t="s">
        <v>3494</v>
      </c>
    </row>
    <row r="4403">
      <c r="G4403" s="584"/>
      <c r="H4403" s="584"/>
      <c r="I4403" s="335" t="s">
        <v>3494</v>
      </c>
    </row>
    <row r="4404">
      <c r="G4404" s="584"/>
      <c r="H4404" s="584"/>
      <c r="I4404" s="335" t="s">
        <v>3494</v>
      </c>
    </row>
    <row r="4405">
      <c r="G4405" s="584"/>
      <c r="H4405" s="584"/>
      <c r="I4405" s="335" t="s">
        <v>3494</v>
      </c>
    </row>
    <row r="4406">
      <c r="G4406" s="584"/>
      <c r="H4406" s="584"/>
      <c r="I4406" s="335" t="s">
        <v>3494</v>
      </c>
    </row>
    <row r="4407">
      <c r="G4407" s="584"/>
      <c r="H4407" s="584"/>
      <c r="I4407" s="335" t="s">
        <v>3494</v>
      </c>
    </row>
    <row r="4408">
      <c r="G4408" s="584"/>
      <c r="H4408" s="584"/>
      <c r="I4408" s="335" t="s">
        <v>3494</v>
      </c>
    </row>
    <row r="4409">
      <c r="G4409" s="584"/>
      <c r="H4409" s="584"/>
      <c r="I4409" s="335" t="s">
        <v>3494</v>
      </c>
    </row>
    <row r="4410">
      <c r="G4410" s="584"/>
      <c r="H4410" s="584"/>
      <c r="I4410" s="335" t="s">
        <v>3494</v>
      </c>
    </row>
    <row r="4411">
      <c r="G4411" s="584"/>
      <c r="H4411" s="584"/>
      <c r="I4411" s="335" t="s">
        <v>3494</v>
      </c>
    </row>
    <row r="4412">
      <c r="G4412" s="584"/>
      <c r="H4412" s="584"/>
      <c r="I4412" s="335" t="s">
        <v>3494</v>
      </c>
    </row>
    <row r="4413">
      <c r="G4413" s="584"/>
      <c r="H4413" s="584"/>
      <c r="I4413" s="335" t="s">
        <v>3494</v>
      </c>
    </row>
    <row r="4414">
      <c r="G4414" s="584"/>
      <c r="H4414" s="584"/>
      <c r="I4414" s="335" t="s">
        <v>3494</v>
      </c>
    </row>
    <row r="4415">
      <c r="G4415" s="584"/>
      <c r="H4415" s="584"/>
      <c r="I4415" s="335" t="s">
        <v>3494</v>
      </c>
    </row>
    <row r="4416">
      <c r="G4416" s="584"/>
      <c r="H4416" s="584"/>
      <c r="I4416" s="335" t="s">
        <v>3494</v>
      </c>
    </row>
    <row r="4417">
      <c r="G4417" s="584"/>
      <c r="H4417" s="584"/>
      <c r="I4417" s="335" t="s">
        <v>3494</v>
      </c>
    </row>
    <row r="4418">
      <c r="G4418" s="584"/>
      <c r="H4418" s="584"/>
      <c r="I4418" s="335" t="s">
        <v>3494</v>
      </c>
    </row>
    <row r="4419">
      <c r="G4419" s="584"/>
      <c r="H4419" s="584"/>
      <c r="I4419" s="335" t="s">
        <v>3494</v>
      </c>
    </row>
    <row r="4420">
      <c r="G4420" s="584"/>
      <c r="H4420" s="584"/>
      <c r="I4420" s="335" t="s">
        <v>3494</v>
      </c>
    </row>
    <row r="4421">
      <c r="G4421" s="584"/>
      <c r="H4421" s="584"/>
      <c r="I4421" s="335" t="s">
        <v>3494</v>
      </c>
    </row>
    <row r="4422">
      <c r="G4422" s="584"/>
      <c r="H4422" s="584"/>
      <c r="I4422" s="335" t="s">
        <v>3494</v>
      </c>
    </row>
    <row r="4423">
      <c r="G4423" s="584"/>
      <c r="H4423" s="584"/>
      <c r="I4423" s="335" t="s">
        <v>3494</v>
      </c>
    </row>
    <row r="4424">
      <c r="G4424" s="584"/>
      <c r="H4424" s="584"/>
      <c r="I4424" s="335" t="s">
        <v>3494</v>
      </c>
    </row>
    <row r="4425">
      <c r="G4425" s="584"/>
      <c r="H4425" s="584"/>
      <c r="I4425" s="335" t="s">
        <v>3494</v>
      </c>
    </row>
    <row r="4426">
      <c r="G4426" s="584"/>
      <c r="H4426" s="584"/>
      <c r="I4426" s="335" t="s">
        <v>3494</v>
      </c>
    </row>
    <row r="4427">
      <c r="G4427" s="584"/>
      <c r="H4427" s="584"/>
      <c r="I4427" s="335" t="s">
        <v>3494</v>
      </c>
    </row>
    <row r="4428">
      <c r="G4428" s="584"/>
      <c r="H4428" s="584"/>
      <c r="I4428" s="335" t="s">
        <v>3494</v>
      </c>
    </row>
    <row r="4429">
      <c r="G4429" s="584"/>
      <c r="H4429" s="584"/>
      <c r="I4429" s="335" t="s">
        <v>3494</v>
      </c>
    </row>
    <row r="4430">
      <c r="G4430" s="584"/>
      <c r="H4430" s="584"/>
      <c r="I4430" s="335" t="s">
        <v>3494</v>
      </c>
    </row>
    <row r="4431">
      <c r="G4431" s="584"/>
      <c r="H4431" s="584"/>
      <c r="I4431" s="335" t="s">
        <v>3494</v>
      </c>
    </row>
    <row r="4432">
      <c r="G4432" s="584"/>
      <c r="H4432" s="584"/>
      <c r="I4432" s="335" t="s">
        <v>3494</v>
      </c>
    </row>
    <row r="4433">
      <c r="G4433" s="584"/>
      <c r="H4433" s="584"/>
      <c r="I4433" s="335" t="s">
        <v>3494</v>
      </c>
    </row>
    <row r="4434">
      <c r="G4434" s="584"/>
      <c r="H4434" s="584"/>
      <c r="I4434" s="335" t="s">
        <v>3494</v>
      </c>
    </row>
    <row r="4435">
      <c r="G4435" s="584"/>
      <c r="H4435" s="584"/>
      <c r="I4435" s="335" t="s">
        <v>3494</v>
      </c>
    </row>
    <row r="4436">
      <c r="G4436" s="584"/>
      <c r="H4436" s="584"/>
      <c r="I4436" s="335" t="s">
        <v>3494</v>
      </c>
    </row>
    <row r="4437">
      <c r="G4437" s="584"/>
      <c r="H4437" s="584"/>
      <c r="I4437" s="335" t="s">
        <v>3494</v>
      </c>
    </row>
    <row r="4438">
      <c r="G4438" s="584"/>
      <c r="H4438" s="584"/>
      <c r="I4438" s="335" t="s">
        <v>3494</v>
      </c>
    </row>
    <row r="4439">
      <c r="G4439" s="584"/>
      <c r="H4439" s="584"/>
      <c r="I4439" s="335" t="s">
        <v>3494</v>
      </c>
    </row>
    <row r="4440">
      <c r="G4440" s="584"/>
      <c r="H4440" s="584"/>
      <c r="I4440" s="335" t="s">
        <v>3494</v>
      </c>
    </row>
    <row r="4441">
      <c r="G4441" s="584"/>
      <c r="H4441" s="584"/>
      <c r="I4441" s="335" t="s">
        <v>3494</v>
      </c>
    </row>
    <row r="4442">
      <c r="G4442" s="584"/>
      <c r="H4442" s="584"/>
      <c r="I4442" s="335" t="s">
        <v>3494</v>
      </c>
    </row>
    <row r="4443">
      <c r="G4443" s="584"/>
      <c r="H4443" s="584"/>
      <c r="I4443" s="335" t="s">
        <v>3494</v>
      </c>
    </row>
    <row r="4444">
      <c r="G4444" s="584"/>
      <c r="H4444" s="584"/>
      <c r="I4444" s="335" t="s">
        <v>3494</v>
      </c>
    </row>
    <row r="4445">
      <c r="G4445" s="584"/>
      <c r="H4445" s="584"/>
      <c r="I4445" s="335" t="s">
        <v>3494</v>
      </c>
    </row>
    <row r="4446">
      <c r="G4446" s="584"/>
      <c r="H4446" s="584"/>
      <c r="I4446" s="335" t="s">
        <v>3494</v>
      </c>
    </row>
    <row r="4447">
      <c r="G4447" s="584"/>
      <c r="H4447" s="584"/>
      <c r="I4447" s="335" t="s">
        <v>3494</v>
      </c>
    </row>
    <row r="4448">
      <c r="G4448" s="584"/>
      <c r="H4448" s="584"/>
      <c r="I4448" s="335" t="s">
        <v>3494</v>
      </c>
    </row>
    <row r="4449">
      <c r="G4449" s="584"/>
      <c r="H4449" s="584"/>
      <c r="I4449" s="335" t="s">
        <v>3494</v>
      </c>
    </row>
    <row r="4450">
      <c r="G4450" s="584"/>
      <c r="H4450" s="584"/>
      <c r="I4450" s="335" t="s">
        <v>3494</v>
      </c>
    </row>
    <row r="4451">
      <c r="G4451" s="584"/>
      <c r="H4451" s="584"/>
      <c r="I4451" s="335" t="s">
        <v>3494</v>
      </c>
    </row>
    <row r="4452">
      <c r="G4452" s="584"/>
      <c r="H4452" s="584"/>
      <c r="I4452" s="335" t="s">
        <v>3494</v>
      </c>
    </row>
    <row r="4453">
      <c r="G4453" s="584"/>
      <c r="H4453" s="584"/>
      <c r="I4453" s="335" t="s">
        <v>3494</v>
      </c>
    </row>
    <row r="4454">
      <c r="G4454" s="584"/>
      <c r="H4454" s="584"/>
      <c r="I4454" s="335" t="s">
        <v>3494</v>
      </c>
    </row>
    <row r="4455">
      <c r="G4455" s="584"/>
      <c r="H4455" s="584"/>
      <c r="I4455" s="335" t="s">
        <v>3494</v>
      </c>
    </row>
    <row r="4456">
      <c r="G4456" s="584"/>
      <c r="H4456" s="584"/>
      <c r="I4456" s="335" t="s">
        <v>3494</v>
      </c>
    </row>
    <row r="4457">
      <c r="G4457" s="584"/>
      <c r="H4457" s="584"/>
      <c r="I4457" s="335" t="s">
        <v>3494</v>
      </c>
    </row>
    <row r="4458">
      <c r="G4458" s="584"/>
      <c r="H4458" s="584"/>
      <c r="I4458" s="335" t="s">
        <v>3494</v>
      </c>
    </row>
    <row r="4459">
      <c r="G4459" s="584"/>
      <c r="H4459" s="584"/>
      <c r="I4459" s="335" t="s">
        <v>3494</v>
      </c>
    </row>
    <row r="4460">
      <c r="G4460" s="584"/>
      <c r="H4460" s="584"/>
      <c r="I4460" s="335" t="s">
        <v>3494</v>
      </c>
    </row>
    <row r="4461">
      <c r="G4461" s="584"/>
      <c r="H4461" s="584"/>
      <c r="I4461" s="335" t="s">
        <v>3494</v>
      </c>
    </row>
    <row r="4462">
      <c r="G4462" s="584"/>
      <c r="H4462" s="584"/>
      <c r="I4462" s="335" t="s">
        <v>3494</v>
      </c>
    </row>
    <row r="4463">
      <c r="G4463" s="584"/>
      <c r="H4463" s="584"/>
      <c r="I4463" s="335" t="s">
        <v>3494</v>
      </c>
    </row>
    <row r="4464">
      <c r="G4464" s="584"/>
      <c r="H4464" s="584"/>
      <c r="I4464" s="335" t="s">
        <v>3494</v>
      </c>
    </row>
    <row r="4465">
      <c r="G4465" s="584"/>
      <c r="H4465" s="584"/>
      <c r="I4465" s="335" t="s">
        <v>3494</v>
      </c>
    </row>
    <row r="4466">
      <c r="G4466" s="584"/>
      <c r="H4466" s="584"/>
      <c r="I4466" s="335" t="s">
        <v>3494</v>
      </c>
    </row>
    <row r="4467">
      <c r="G4467" s="584"/>
      <c r="H4467" s="584"/>
      <c r="I4467" s="335" t="s">
        <v>3494</v>
      </c>
    </row>
    <row r="4468">
      <c r="G4468" s="584"/>
      <c r="H4468" s="584"/>
      <c r="I4468" s="335" t="s">
        <v>3494</v>
      </c>
    </row>
    <row r="4469">
      <c r="G4469" s="584"/>
      <c r="H4469" s="584"/>
      <c r="I4469" s="335" t="s">
        <v>3494</v>
      </c>
    </row>
    <row r="4470">
      <c r="G4470" s="584"/>
      <c r="H4470" s="584"/>
      <c r="I4470" s="335" t="s">
        <v>3494</v>
      </c>
    </row>
    <row r="4471">
      <c r="G4471" s="584"/>
      <c r="H4471" s="584"/>
      <c r="I4471" s="335" t="s">
        <v>3494</v>
      </c>
    </row>
    <row r="4472">
      <c r="G4472" s="584"/>
      <c r="H4472" s="584"/>
      <c r="I4472" s="335" t="s">
        <v>3494</v>
      </c>
    </row>
    <row r="4473">
      <c r="G4473" s="584"/>
      <c r="H4473" s="584"/>
      <c r="I4473" s="335" t="s">
        <v>3494</v>
      </c>
    </row>
    <row r="4474">
      <c r="G4474" s="584"/>
      <c r="H4474" s="584"/>
      <c r="I4474" s="335" t="s">
        <v>3494</v>
      </c>
    </row>
    <row r="4475">
      <c r="G4475" s="584"/>
      <c r="H4475" s="584"/>
      <c r="I4475" s="335" t="s">
        <v>3494</v>
      </c>
    </row>
    <row r="4476">
      <c r="G4476" s="584"/>
      <c r="H4476" s="584"/>
      <c r="I4476" s="335" t="s">
        <v>3494</v>
      </c>
    </row>
    <row r="4477">
      <c r="G4477" s="584"/>
      <c r="H4477" s="584"/>
      <c r="I4477" s="335" t="s">
        <v>3494</v>
      </c>
    </row>
    <row r="4478">
      <c r="G4478" s="584"/>
      <c r="H4478" s="584"/>
      <c r="I4478" s="335" t="s">
        <v>3494</v>
      </c>
    </row>
    <row r="4479">
      <c r="G4479" s="584"/>
      <c r="H4479" s="584"/>
      <c r="I4479" s="335" t="s">
        <v>3494</v>
      </c>
    </row>
    <row r="4480">
      <c r="G4480" s="584"/>
      <c r="H4480" s="584"/>
      <c r="I4480" s="335" t="s">
        <v>3494</v>
      </c>
    </row>
    <row r="4481">
      <c r="G4481" s="584"/>
      <c r="H4481" s="584"/>
      <c r="I4481" s="335" t="s">
        <v>3494</v>
      </c>
    </row>
    <row r="4482">
      <c r="G4482" s="584"/>
      <c r="H4482" s="584"/>
      <c r="I4482" s="335" t="s">
        <v>3494</v>
      </c>
    </row>
    <row r="4483">
      <c r="G4483" s="584"/>
      <c r="H4483" s="584"/>
      <c r="I4483" s="335" t="s">
        <v>3494</v>
      </c>
    </row>
    <row r="4484">
      <c r="G4484" s="584"/>
      <c r="H4484" s="584"/>
      <c r="I4484" s="335" t="s">
        <v>3494</v>
      </c>
    </row>
    <row r="4485">
      <c r="G4485" s="584"/>
      <c r="H4485" s="584"/>
      <c r="I4485" s="335" t="s">
        <v>3494</v>
      </c>
    </row>
    <row r="4486">
      <c r="G4486" s="584"/>
      <c r="H4486" s="584"/>
      <c r="I4486" s="335" t="s">
        <v>3494</v>
      </c>
    </row>
    <row r="4487">
      <c r="G4487" s="584"/>
      <c r="H4487" s="584"/>
      <c r="I4487" s="335" t="s">
        <v>3494</v>
      </c>
    </row>
    <row r="4488">
      <c r="G4488" s="584"/>
      <c r="H4488" s="584"/>
      <c r="I4488" s="335" t="s">
        <v>3494</v>
      </c>
    </row>
    <row r="4489">
      <c r="G4489" s="584"/>
      <c r="H4489" s="584"/>
      <c r="I4489" s="335" t="s">
        <v>3494</v>
      </c>
    </row>
    <row r="4490">
      <c r="G4490" s="584"/>
      <c r="H4490" s="584"/>
      <c r="I4490" s="335" t="s">
        <v>3494</v>
      </c>
    </row>
    <row r="4491">
      <c r="G4491" s="584"/>
      <c r="H4491" s="584"/>
      <c r="I4491" s="335" t="s">
        <v>3494</v>
      </c>
    </row>
    <row r="4492">
      <c r="G4492" s="584"/>
      <c r="H4492" s="584"/>
      <c r="I4492" s="335" t="s">
        <v>3494</v>
      </c>
    </row>
    <row r="4493">
      <c r="G4493" s="584"/>
      <c r="H4493" s="584"/>
      <c r="I4493" s="335" t="s">
        <v>3494</v>
      </c>
    </row>
    <row r="4494">
      <c r="G4494" s="584"/>
      <c r="H4494" s="584"/>
      <c r="I4494" s="335" t="s">
        <v>3494</v>
      </c>
    </row>
    <row r="4495">
      <c r="G4495" s="584"/>
      <c r="H4495" s="584"/>
      <c r="I4495" s="335" t="s">
        <v>3494</v>
      </c>
    </row>
    <row r="4496">
      <c r="G4496" s="584"/>
      <c r="H4496" s="584"/>
      <c r="I4496" s="335" t="s">
        <v>3494</v>
      </c>
    </row>
    <row r="4497">
      <c r="G4497" s="584"/>
      <c r="H4497" s="584"/>
      <c r="I4497" s="335" t="s">
        <v>3494</v>
      </c>
    </row>
    <row r="4498">
      <c r="G4498" s="584"/>
      <c r="H4498" s="584"/>
      <c r="I4498" s="335" t="s">
        <v>3494</v>
      </c>
    </row>
    <row r="4499">
      <c r="G4499" s="584"/>
      <c r="H4499" s="584"/>
      <c r="I4499" s="335" t="s">
        <v>3494</v>
      </c>
    </row>
    <row r="4500">
      <c r="G4500" s="584"/>
      <c r="H4500" s="584"/>
      <c r="I4500" s="335" t="s">
        <v>3494</v>
      </c>
    </row>
    <row r="4501">
      <c r="G4501" s="584"/>
      <c r="H4501" s="584"/>
      <c r="I4501" s="335" t="s">
        <v>3494</v>
      </c>
    </row>
    <row r="4502">
      <c r="G4502" s="584"/>
      <c r="H4502" s="584"/>
      <c r="I4502" s="335" t="s">
        <v>3494</v>
      </c>
    </row>
    <row r="4503">
      <c r="G4503" s="584"/>
      <c r="H4503" s="584"/>
      <c r="I4503" s="335" t="s">
        <v>3494</v>
      </c>
    </row>
    <row r="4504">
      <c r="G4504" s="584"/>
      <c r="H4504" s="584"/>
      <c r="I4504" s="335" t="s">
        <v>3494</v>
      </c>
    </row>
    <row r="4505">
      <c r="G4505" s="584"/>
      <c r="H4505" s="584"/>
      <c r="I4505" s="335" t="s">
        <v>3494</v>
      </c>
    </row>
    <row r="4506">
      <c r="G4506" s="584"/>
      <c r="H4506" s="584"/>
      <c r="I4506" s="335" t="s">
        <v>3494</v>
      </c>
    </row>
    <row r="4507">
      <c r="G4507" s="584"/>
      <c r="H4507" s="584"/>
      <c r="I4507" s="335" t="s">
        <v>3494</v>
      </c>
    </row>
    <row r="4508">
      <c r="G4508" s="584"/>
      <c r="H4508" s="584"/>
      <c r="I4508" s="335" t="s">
        <v>3494</v>
      </c>
    </row>
    <row r="4509">
      <c r="G4509" s="584"/>
      <c r="H4509" s="584"/>
      <c r="I4509" s="335" t="s">
        <v>3494</v>
      </c>
    </row>
    <row r="4510">
      <c r="G4510" s="584"/>
      <c r="H4510" s="584"/>
      <c r="I4510" s="335" t="s">
        <v>3494</v>
      </c>
    </row>
    <row r="4511">
      <c r="G4511" s="584"/>
      <c r="H4511" s="584"/>
      <c r="I4511" s="335" t="s">
        <v>3494</v>
      </c>
    </row>
    <row r="4512">
      <c r="G4512" s="584"/>
      <c r="H4512" s="584"/>
      <c r="I4512" s="335" t="s">
        <v>3494</v>
      </c>
    </row>
    <row r="4513">
      <c r="G4513" s="584"/>
      <c r="H4513" s="584"/>
      <c r="I4513" s="335" t="s">
        <v>3494</v>
      </c>
    </row>
    <row r="4514">
      <c r="G4514" s="584"/>
      <c r="H4514" s="584"/>
      <c r="I4514" s="335" t="s">
        <v>3494</v>
      </c>
    </row>
    <row r="4515">
      <c r="G4515" s="584"/>
      <c r="H4515" s="584"/>
      <c r="I4515" s="335" t="s">
        <v>3494</v>
      </c>
    </row>
    <row r="4516">
      <c r="G4516" s="584"/>
      <c r="H4516" s="584"/>
      <c r="I4516" s="335" t="s">
        <v>3494</v>
      </c>
    </row>
    <row r="4517">
      <c r="G4517" s="584"/>
      <c r="H4517" s="584"/>
      <c r="I4517" s="335" t="s">
        <v>3494</v>
      </c>
    </row>
    <row r="4518">
      <c r="G4518" s="584"/>
      <c r="H4518" s="584"/>
      <c r="I4518" s="335" t="s">
        <v>3494</v>
      </c>
    </row>
    <row r="4519">
      <c r="G4519" s="584"/>
      <c r="H4519" s="584"/>
      <c r="I4519" s="335" t="s">
        <v>3494</v>
      </c>
    </row>
    <row r="4520">
      <c r="G4520" s="584"/>
      <c r="H4520" s="584"/>
      <c r="I4520" s="335" t="s">
        <v>3494</v>
      </c>
    </row>
    <row r="4521">
      <c r="G4521" s="584"/>
      <c r="H4521" s="584"/>
      <c r="I4521" s="335" t="s">
        <v>3494</v>
      </c>
    </row>
    <row r="4522">
      <c r="G4522" s="584"/>
      <c r="H4522" s="584"/>
      <c r="I4522" s="335" t="s">
        <v>3494</v>
      </c>
    </row>
    <row r="4523">
      <c r="G4523" s="584"/>
      <c r="H4523" s="584"/>
      <c r="I4523" s="335" t="s">
        <v>3494</v>
      </c>
    </row>
    <row r="4524">
      <c r="G4524" s="584"/>
      <c r="H4524" s="584"/>
      <c r="I4524" s="335" t="s">
        <v>3494</v>
      </c>
    </row>
    <row r="4525">
      <c r="G4525" s="584"/>
      <c r="H4525" s="584"/>
      <c r="I4525" s="335" t="s">
        <v>3494</v>
      </c>
    </row>
    <row r="4526">
      <c r="G4526" s="584"/>
      <c r="H4526" s="584"/>
      <c r="I4526" s="335" t="s">
        <v>3494</v>
      </c>
    </row>
    <row r="4527">
      <c r="G4527" s="584"/>
      <c r="H4527" s="584"/>
      <c r="I4527" s="335" t="s">
        <v>3494</v>
      </c>
    </row>
    <row r="4528">
      <c r="G4528" s="584"/>
      <c r="H4528" s="584"/>
      <c r="I4528" s="335" t="s">
        <v>3494</v>
      </c>
    </row>
    <row r="4529">
      <c r="G4529" s="584"/>
      <c r="H4529" s="584"/>
      <c r="I4529" s="335" t="s">
        <v>3494</v>
      </c>
    </row>
    <row r="4530">
      <c r="G4530" s="584"/>
      <c r="H4530" s="584"/>
      <c r="I4530" s="335" t="s">
        <v>3494</v>
      </c>
    </row>
    <row r="4531">
      <c r="G4531" s="584"/>
      <c r="H4531" s="584"/>
      <c r="I4531" s="335" t="s">
        <v>3494</v>
      </c>
    </row>
    <row r="4532">
      <c r="G4532" s="584"/>
      <c r="H4532" s="584"/>
      <c r="I4532" s="335" t="s">
        <v>3494</v>
      </c>
    </row>
    <row r="4533">
      <c r="G4533" s="584"/>
      <c r="H4533" s="584"/>
      <c r="I4533" s="335" t="s">
        <v>3494</v>
      </c>
    </row>
    <row r="4534">
      <c r="G4534" s="584"/>
      <c r="H4534" s="584"/>
      <c r="I4534" s="335" t="s">
        <v>3494</v>
      </c>
    </row>
    <row r="4535">
      <c r="G4535" s="584"/>
      <c r="H4535" s="584"/>
      <c r="I4535" s="335" t="s">
        <v>3494</v>
      </c>
    </row>
    <row r="4536">
      <c r="G4536" s="584"/>
      <c r="H4536" s="584"/>
      <c r="I4536" s="335" t="s">
        <v>3494</v>
      </c>
    </row>
    <row r="4537">
      <c r="G4537" s="584"/>
      <c r="H4537" s="584"/>
      <c r="I4537" s="335" t="s">
        <v>3494</v>
      </c>
    </row>
    <row r="4538">
      <c r="G4538" s="584"/>
      <c r="H4538" s="584"/>
      <c r="I4538" s="335" t="s">
        <v>3494</v>
      </c>
    </row>
    <row r="4539">
      <c r="G4539" s="584"/>
      <c r="H4539" s="584"/>
      <c r="I4539" s="335" t="s">
        <v>3494</v>
      </c>
    </row>
    <row r="4540">
      <c r="G4540" s="584"/>
      <c r="H4540" s="584"/>
      <c r="I4540" s="335" t="s">
        <v>3494</v>
      </c>
    </row>
    <row r="4541">
      <c r="G4541" s="584"/>
      <c r="H4541" s="584"/>
      <c r="I4541" s="335" t="s">
        <v>3494</v>
      </c>
    </row>
    <row r="4542">
      <c r="G4542" s="584"/>
      <c r="H4542" s="584"/>
      <c r="I4542" s="335" t="s">
        <v>3494</v>
      </c>
    </row>
    <row r="4543">
      <c r="G4543" s="584"/>
      <c r="H4543" s="584"/>
      <c r="I4543" s="335" t="s">
        <v>3494</v>
      </c>
    </row>
    <row r="4544">
      <c r="G4544" s="584"/>
      <c r="H4544" s="584"/>
      <c r="I4544" s="335" t="s">
        <v>3494</v>
      </c>
    </row>
    <row r="4545">
      <c r="G4545" s="584"/>
      <c r="H4545" s="584"/>
      <c r="I4545" s="335" t="s">
        <v>3494</v>
      </c>
    </row>
    <row r="4546">
      <c r="G4546" s="584"/>
      <c r="H4546" s="584"/>
      <c r="I4546" s="335" t="s">
        <v>3494</v>
      </c>
    </row>
    <row r="4547">
      <c r="G4547" s="584"/>
      <c r="H4547" s="584"/>
      <c r="I4547" s="335" t="s">
        <v>3494</v>
      </c>
    </row>
    <row r="4548">
      <c r="G4548" s="584"/>
      <c r="H4548" s="584"/>
      <c r="I4548" s="335" t="s">
        <v>3494</v>
      </c>
    </row>
    <row r="4549">
      <c r="G4549" s="584"/>
      <c r="H4549" s="584"/>
      <c r="I4549" s="335" t="s">
        <v>3494</v>
      </c>
    </row>
    <row r="4550">
      <c r="G4550" s="584"/>
      <c r="H4550" s="584"/>
      <c r="I4550" s="335" t="s">
        <v>3494</v>
      </c>
    </row>
    <row r="4551">
      <c r="G4551" s="584"/>
      <c r="H4551" s="584"/>
      <c r="I4551" s="335" t="s">
        <v>3494</v>
      </c>
    </row>
    <row r="4552">
      <c r="G4552" s="584"/>
      <c r="H4552" s="584"/>
      <c r="I4552" s="335" t="s">
        <v>3494</v>
      </c>
    </row>
    <row r="4553">
      <c r="G4553" s="584"/>
      <c r="H4553" s="584"/>
      <c r="I4553" s="335" t="s">
        <v>3494</v>
      </c>
    </row>
    <row r="4554">
      <c r="G4554" s="584"/>
      <c r="H4554" s="584"/>
      <c r="I4554" s="335" t="s">
        <v>3494</v>
      </c>
    </row>
    <row r="4555">
      <c r="G4555" s="584"/>
      <c r="H4555" s="584"/>
      <c r="I4555" s="335" t="s">
        <v>3494</v>
      </c>
    </row>
    <row r="4556">
      <c r="G4556" s="584"/>
      <c r="H4556" s="584"/>
      <c r="I4556" s="335" t="s">
        <v>3494</v>
      </c>
    </row>
    <row r="4557">
      <c r="G4557" s="584"/>
      <c r="H4557" s="584"/>
      <c r="I4557" s="335" t="s">
        <v>3494</v>
      </c>
    </row>
    <row r="4558">
      <c r="G4558" s="584"/>
      <c r="H4558" s="584"/>
      <c r="I4558" s="335" t="s">
        <v>3494</v>
      </c>
    </row>
    <row r="4559">
      <c r="G4559" s="584"/>
      <c r="H4559" s="584"/>
      <c r="I4559" s="335" t="s">
        <v>3494</v>
      </c>
    </row>
    <row r="4560">
      <c r="G4560" s="584"/>
      <c r="H4560" s="584"/>
      <c r="I4560" s="335" t="s">
        <v>3494</v>
      </c>
    </row>
    <row r="4561">
      <c r="G4561" s="584"/>
      <c r="H4561" s="584"/>
      <c r="I4561" s="335" t="s">
        <v>3494</v>
      </c>
    </row>
    <row r="4562">
      <c r="G4562" s="584"/>
      <c r="H4562" s="584"/>
      <c r="I4562" s="335" t="s">
        <v>3494</v>
      </c>
    </row>
    <row r="4563">
      <c r="G4563" s="584"/>
      <c r="H4563" s="584"/>
      <c r="I4563" s="335" t="s">
        <v>3494</v>
      </c>
    </row>
    <row r="4564">
      <c r="G4564" s="584"/>
      <c r="H4564" s="584"/>
      <c r="I4564" s="335" t="s">
        <v>3494</v>
      </c>
    </row>
    <row r="4565">
      <c r="G4565" s="584"/>
      <c r="H4565" s="584"/>
      <c r="I4565" s="335" t="s">
        <v>3494</v>
      </c>
    </row>
    <row r="4566">
      <c r="G4566" s="584"/>
      <c r="H4566" s="584"/>
      <c r="I4566" s="335" t="s">
        <v>3494</v>
      </c>
    </row>
    <row r="4567">
      <c r="G4567" s="584"/>
      <c r="H4567" s="584"/>
      <c r="I4567" s="335" t="s">
        <v>3494</v>
      </c>
    </row>
    <row r="4568">
      <c r="G4568" s="584"/>
      <c r="H4568" s="584"/>
      <c r="I4568" s="335" t="s">
        <v>3494</v>
      </c>
    </row>
    <row r="4569">
      <c r="G4569" s="584"/>
      <c r="H4569" s="584"/>
      <c r="I4569" s="335" t="s">
        <v>3494</v>
      </c>
    </row>
    <row r="4570">
      <c r="G4570" s="584"/>
      <c r="H4570" s="584"/>
      <c r="I4570" s="335" t="s">
        <v>3494</v>
      </c>
    </row>
    <row r="4571">
      <c r="G4571" s="584"/>
      <c r="H4571" s="584"/>
      <c r="I4571" s="335" t="s">
        <v>3494</v>
      </c>
    </row>
    <row r="4572">
      <c r="G4572" s="584"/>
      <c r="H4572" s="584"/>
      <c r="I4572" s="335" t="s">
        <v>3494</v>
      </c>
    </row>
    <row r="4573">
      <c r="G4573" s="584"/>
      <c r="H4573" s="584"/>
      <c r="I4573" s="335" t="s">
        <v>3494</v>
      </c>
    </row>
    <row r="4574">
      <c r="G4574" s="584"/>
      <c r="H4574" s="584"/>
      <c r="I4574" s="335" t="s">
        <v>3494</v>
      </c>
    </row>
    <row r="4575">
      <c r="G4575" s="584"/>
      <c r="H4575" s="584"/>
      <c r="I4575" s="335" t="s">
        <v>3494</v>
      </c>
    </row>
    <row r="4576">
      <c r="G4576" s="584"/>
      <c r="H4576" s="584"/>
      <c r="I4576" s="335" t="s">
        <v>3494</v>
      </c>
    </row>
    <row r="4577">
      <c r="G4577" s="584"/>
      <c r="H4577" s="584"/>
      <c r="I4577" s="335" t="s">
        <v>3494</v>
      </c>
    </row>
    <row r="4578">
      <c r="G4578" s="584"/>
      <c r="H4578" s="584"/>
      <c r="I4578" s="335" t="s">
        <v>3494</v>
      </c>
    </row>
    <row r="4579">
      <c r="G4579" s="584"/>
      <c r="H4579" s="584"/>
      <c r="I4579" s="335" t="s">
        <v>3494</v>
      </c>
    </row>
    <row r="4580">
      <c r="G4580" s="584"/>
      <c r="H4580" s="584"/>
      <c r="I4580" s="335" t="s">
        <v>3494</v>
      </c>
    </row>
    <row r="4581">
      <c r="G4581" s="584"/>
      <c r="H4581" s="584"/>
      <c r="I4581" s="335" t="s">
        <v>3494</v>
      </c>
    </row>
    <row r="4582">
      <c r="G4582" s="584"/>
      <c r="H4582" s="584"/>
      <c r="I4582" s="335" t="s">
        <v>3494</v>
      </c>
    </row>
    <row r="4583">
      <c r="G4583" s="584"/>
      <c r="H4583" s="584"/>
      <c r="I4583" s="335" t="s">
        <v>3494</v>
      </c>
    </row>
    <row r="4584">
      <c r="G4584" s="584"/>
      <c r="H4584" s="584"/>
      <c r="I4584" s="335" t="s">
        <v>3494</v>
      </c>
    </row>
    <row r="4585">
      <c r="G4585" s="584"/>
      <c r="H4585" s="584"/>
      <c r="I4585" s="335" t="s">
        <v>3494</v>
      </c>
    </row>
    <row r="4586">
      <c r="G4586" s="584"/>
      <c r="H4586" s="584"/>
      <c r="I4586" s="335" t="s">
        <v>3494</v>
      </c>
    </row>
    <row r="4587">
      <c r="G4587" s="584"/>
      <c r="H4587" s="584"/>
      <c r="I4587" s="335" t="s">
        <v>3494</v>
      </c>
    </row>
    <row r="4588">
      <c r="G4588" s="584"/>
      <c r="H4588" s="584"/>
      <c r="I4588" s="335" t="s">
        <v>3494</v>
      </c>
    </row>
    <row r="4589">
      <c r="G4589" s="584"/>
      <c r="H4589" s="584"/>
      <c r="I4589" s="335" t="s">
        <v>3494</v>
      </c>
    </row>
    <row r="4590">
      <c r="G4590" s="584"/>
      <c r="H4590" s="584"/>
      <c r="I4590" s="335" t="s">
        <v>3494</v>
      </c>
    </row>
    <row r="4591">
      <c r="G4591" s="584"/>
      <c r="H4591" s="584"/>
      <c r="I4591" s="335" t="s">
        <v>3494</v>
      </c>
    </row>
    <row r="4592">
      <c r="G4592" s="584"/>
      <c r="H4592" s="584"/>
      <c r="I4592" s="335" t="s">
        <v>3494</v>
      </c>
    </row>
    <row r="4593">
      <c r="G4593" s="584"/>
      <c r="H4593" s="584"/>
      <c r="I4593" s="335" t="s">
        <v>3494</v>
      </c>
    </row>
    <row r="4594">
      <c r="G4594" s="584"/>
      <c r="H4594" s="584"/>
      <c r="I4594" s="335" t="s">
        <v>3494</v>
      </c>
    </row>
    <row r="4595">
      <c r="G4595" s="584"/>
      <c r="H4595" s="584"/>
      <c r="I4595" s="335" t="s">
        <v>3494</v>
      </c>
    </row>
    <row r="4596">
      <c r="G4596" s="584"/>
      <c r="H4596" s="584"/>
      <c r="I4596" s="335" t="s">
        <v>3494</v>
      </c>
    </row>
    <row r="4597">
      <c r="G4597" s="584"/>
      <c r="H4597" s="584"/>
      <c r="I4597" s="335" t="s">
        <v>3494</v>
      </c>
    </row>
    <row r="4598">
      <c r="G4598" s="584"/>
      <c r="H4598" s="584"/>
      <c r="I4598" s="335" t="s">
        <v>3494</v>
      </c>
    </row>
    <row r="4599">
      <c r="G4599" s="584"/>
      <c r="H4599" s="584"/>
      <c r="I4599" s="335" t="s">
        <v>3494</v>
      </c>
    </row>
    <row r="4600">
      <c r="G4600" s="584"/>
      <c r="H4600" s="584"/>
      <c r="I4600" s="335" t="s">
        <v>3494</v>
      </c>
    </row>
    <row r="4601">
      <c r="G4601" s="584"/>
      <c r="H4601" s="584"/>
      <c r="I4601" s="335" t="s">
        <v>3494</v>
      </c>
    </row>
    <row r="4602">
      <c r="G4602" s="584"/>
      <c r="H4602" s="584"/>
      <c r="I4602" s="335" t="s">
        <v>3494</v>
      </c>
    </row>
    <row r="4603">
      <c r="G4603" s="584"/>
      <c r="H4603" s="584"/>
      <c r="I4603" s="335" t="s">
        <v>3494</v>
      </c>
    </row>
    <row r="4604">
      <c r="G4604" s="584"/>
      <c r="H4604" s="584"/>
      <c r="I4604" s="335" t="s">
        <v>3494</v>
      </c>
    </row>
    <row r="4605">
      <c r="G4605" s="584"/>
      <c r="H4605" s="584"/>
      <c r="I4605" s="335" t="s">
        <v>3494</v>
      </c>
    </row>
    <row r="4606">
      <c r="G4606" s="584"/>
      <c r="H4606" s="584"/>
      <c r="I4606" s="335" t="s">
        <v>3494</v>
      </c>
    </row>
    <row r="4607">
      <c r="G4607" s="584"/>
      <c r="H4607" s="584"/>
      <c r="I4607" s="335" t="s">
        <v>3494</v>
      </c>
    </row>
    <row r="4608">
      <c r="G4608" s="584"/>
      <c r="H4608" s="584"/>
      <c r="I4608" s="335" t="s">
        <v>3494</v>
      </c>
    </row>
    <row r="4609">
      <c r="G4609" s="584"/>
      <c r="H4609" s="584"/>
      <c r="I4609" s="335" t="s">
        <v>3494</v>
      </c>
    </row>
    <row r="4610">
      <c r="G4610" s="584"/>
      <c r="H4610" s="584"/>
      <c r="I4610" s="335" t="s">
        <v>3494</v>
      </c>
    </row>
    <row r="4611">
      <c r="G4611" s="584"/>
      <c r="H4611" s="584"/>
      <c r="I4611" s="335" t="s">
        <v>3494</v>
      </c>
    </row>
    <row r="4612">
      <c r="G4612" s="584"/>
      <c r="H4612" s="584"/>
      <c r="I4612" s="335" t="s">
        <v>3494</v>
      </c>
    </row>
    <row r="4613">
      <c r="G4613" s="584"/>
      <c r="H4613" s="584"/>
      <c r="I4613" s="335" t="s">
        <v>3494</v>
      </c>
    </row>
    <row r="4614">
      <c r="G4614" s="584"/>
      <c r="H4614" s="584"/>
      <c r="I4614" s="335" t="s">
        <v>3494</v>
      </c>
    </row>
    <row r="4615">
      <c r="G4615" s="584"/>
      <c r="H4615" s="584"/>
      <c r="I4615" s="335" t="s">
        <v>3494</v>
      </c>
    </row>
    <row r="4616">
      <c r="G4616" s="584"/>
      <c r="H4616" s="584"/>
      <c r="I4616" s="335" t="s">
        <v>3494</v>
      </c>
    </row>
    <row r="4617">
      <c r="G4617" s="584"/>
      <c r="H4617" s="584"/>
      <c r="I4617" s="335" t="s">
        <v>3494</v>
      </c>
    </row>
    <row r="4618">
      <c r="G4618" s="584"/>
      <c r="H4618" s="584"/>
      <c r="I4618" s="335" t="s">
        <v>3494</v>
      </c>
    </row>
    <row r="4619">
      <c r="G4619" s="584"/>
      <c r="H4619" s="584"/>
      <c r="I4619" s="335" t="s">
        <v>3494</v>
      </c>
    </row>
    <row r="4620">
      <c r="G4620" s="584"/>
      <c r="H4620" s="584"/>
      <c r="I4620" s="335" t="s">
        <v>3494</v>
      </c>
    </row>
    <row r="4621">
      <c r="G4621" s="584"/>
      <c r="H4621" s="584"/>
      <c r="I4621" s="335" t="s">
        <v>3494</v>
      </c>
    </row>
    <row r="4622">
      <c r="G4622" s="584"/>
      <c r="H4622" s="584"/>
      <c r="I4622" s="335" t="s">
        <v>3494</v>
      </c>
    </row>
    <row r="4623">
      <c r="G4623" s="584"/>
      <c r="H4623" s="584"/>
      <c r="I4623" s="335" t="s">
        <v>3494</v>
      </c>
    </row>
    <row r="4624">
      <c r="G4624" s="584"/>
      <c r="H4624" s="584"/>
      <c r="I4624" s="335" t="s">
        <v>3494</v>
      </c>
    </row>
    <row r="4625">
      <c r="G4625" s="584"/>
      <c r="H4625" s="584"/>
      <c r="I4625" s="335" t="s">
        <v>3494</v>
      </c>
    </row>
    <row r="4626">
      <c r="G4626" s="584"/>
      <c r="H4626" s="584"/>
      <c r="I4626" s="335" t="s">
        <v>3494</v>
      </c>
    </row>
    <row r="4627">
      <c r="G4627" s="584"/>
      <c r="H4627" s="584"/>
      <c r="I4627" s="335" t="s">
        <v>3494</v>
      </c>
    </row>
    <row r="4628">
      <c r="G4628" s="584"/>
      <c r="H4628" s="584"/>
      <c r="I4628" s="335" t="s">
        <v>3494</v>
      </c>
    </row>
    <row r="4629">
      <c r="G4629" s="584"/>
      <c r="H4629" s="584"/>
      <c r="I4629" s="335" t="s">
        <v>3494</v>
      </c>
    </row>
    <row r="4630">
      <c r="G4630" s="584"/>
      <c r="H4630" s="584"/>
      <c r="I4630" s="335" t="s">
        <v>3494</v>
      </c>
    </row>
    <row r="4631">
      <c r="G4631" s="584"/>
      <c r="H4631" s="584"/>
      <c r="I4631" s="335" t="s">
        <v>3494</v>
      </c>
    </row>
    <row r="4632">
      <c r="G4632" s="584"/>
      <c r="H4632" s="584"/>
      <c r="I4632" s="335" t="s">
        <v>3494</v>
      </c>
    </row>
    <row r="4633">
      <c r="G4633" s="584"/>
      <c r="H4633" s="584"/>
      <c r="I4633" s="335" t="s">
        <v>3494</v>
      </c>
    </row>
    <row r="4634">
      <c r="G4634" s="584"/>
      <c r="H4634" s="584"/>
      <c r="I4634" s="335" t="s">
        <v>3494</v>
      </c>
    </row>
    <row r="4635">
      <c r="G4635" s="584"/>
      <c r="H4635" s="584"/>
      <c r="I4635" s="335" t="s">
        <v>3494</v>
      </c>
    </row>
    <row r="4636">
      <c r="G4636" s="584"/>
      <c r="H4636" s="584"/>
      <c r="I4636" s="335" t="s">
        <v>3494</v>
      </c>
    </row>
    <row r="4637">
      <c r="G4637" s="584"/>
      <c r="H4637" s="584"/>
      <c r="I4637" s="335" t="s">
        <v>3494</v>
      </c>
    </row>
    <row r="4638">
      <c r="G4638" s="584"/>
      <c r="H4638" s="584"/>
      <c r="I4638" s="335" t="s">
        <v>3494</v>
      </c>
    </row>
    <row r="4639">
      <c r="G4639" s="584"/>
      <c r="H4639" s="584"/>
      <c r="I4639" s="335" t="s">
        <v>3494</v>
      </c>
    </row>
    <row r="4640">
      <c r="G4640" s="584"/>
      <c r="H4640" s="584"/>
      <c r="I4640" s="335" t="s">
        <v>3494</v>
      </c>
    </row>
    <row r="4641">
      <c r="G4641" s="584"/>
      <c r="H4641" s="584"/>
      <c r="I4641" s="335" t="s">
        <v>3494</v>
      </c>
    </row>
    <row r="4642">
      <c r="G4642" s="584"/>
      <c r="H4642" s="584"/>
      <c r="I4642" s="335" t="s">
        <v>3494</v>
      </c>
    </row>
    <row r="4643">
      <c r="G4643" s="584"/>
      <c r="H4643" s="584"/>
      <c r="I4643" s="335" t="s">
        <v>3494</v>
      </c>
    </row>
    <row r="4644">
      <c r="G4644" s="584"/>
      <c r="H4644" s="584"/>
      <c r="I4644" s="335" t="s">
        <v>3494</v>
      </c>
    </row>
    <row r="4645">
      <c r="G4645" s="584"/>
      <c r="H4645" s="584"/>
      <c r="I4645" s="335" t="s">
        <v>3494</v>
      </c>
    </row>
    <row r="4646">
      <c r="G4646" s="584"/>
      <c r="H4646" s="584"/>
      <c r="I4646" s="335" t="s">
        <v>3494</v>
      </c>
    </row>
    <row r="4647">
      <c r="G4647" s="584"/>
      <c r="H4647" s="584"/>
      <c r="I4647" s="335" t="s">
        <v>3494</v>
      </c>
    </row>
    <row r="4648">
      <c r="G4648" s="584"/>
      <c r="H4648" s="584"/>
      <c r="I4648" s="335" t="s">
        <v>3494</v>
      </c>
    </row>
    <row r="4649">
      <c r="G4649" s="584"/>
      <c r="H4649" s="584"/>
      <c r="I4649" s="335" t="s">
        <v>3494</v>
      </c>
    </row>
    <row r="4650">
      <c r="G4650" s="584"/>
      <c r="H4650" s="584"/>
      <c r="I4650" s="335" t="s">
        <v>3494</v>
      </c>
    </row>
    <row r="4651">
      <c r="G4651" s="584"/>
      <c r="H4651" s="584"/>
      <c r="I4651" s="335" t="s">
        <v>3494</v>
      </c>
    </row>
    <row r="4652">
      <c r="G4652" s="584"/>
      <c r="H4652" s="584"/>
      <c r="I4652" s="335" t="s">
        <v>3494</v>
      </c>
    </row>
    <row r="4653">
      <c r="G4653" s="584"/>
      <c r="H4653" s="584"/>
      <c r="I4653" s="335" t="s">
        <v>3494</v>
      </c>
    </row>
    <row r="4654">
      <c r="G4654" s="584"/>
      <c r="H4654" s="584"/>
      <c r="I4654" s="335" t="s">
        <v>3494</v>
      </c>
    </row>
    <row r="4655">
      <c r="G4655" s="584"/>
      <c r="H4655" s="584"/>
      <c r="I4655" s="335" t="s">
        <v>3494</v>
      </c>
    </row>
    <row r="4656">
      <c r="G4656" s="584"/>
      <c r="H4656" s="584"/>
      <c r="I4656" s="335" t="s">
        <v>3494</v>
      </c>
    </row>
    <row r="4657">
      <c r="G4657" s="584"/>
      <c r="H4657" s="584"/>
      <c r="I4657" s="335" t="s">
        <v>3494</v>
      </c>
    </row>
    <row r="4658">
      <c r="G4658" s="584"/>
      <c r="H4658" s="584"/>
      <c r="I4658" s="335" t="s">
        <v>3494</v>
      </c>
    </row>
    <row r="4659">
      <c r="G4659" s="584"/>
      <c r="H4659" s="584"/>
      <c r="I4659" s="335" t="s">
        <v>3494</v>
      </c>
    </row>
    <row r="4660">
      <c r="G4660" s="584"/>
      <c r="H4660" s="584"/>
      <c r="I4660" s="335" t="s">
        <v>3494</v>
      </c>
    </row>
    <row r="4661">
      <c r="G4661" s="584"/>
      <c r="H4661" s="584"/>
      <c r="I4661" s="335" t="s">
        <v>3494</v>
      </c>
    </row>
    <row r="4662">
      <c r="G4662" s="584"/>
      <c r="H4662" s="584"/>
      <c r="I4662" s="335" t="s">
        <v>3494</v>
      </c>
    </row>
    <row r="4663">
      <c r="G4663" s="584"/>
      <c r="H4663" s="584"/>
      <c r="I4663" s="335" t="s">
        <v>3494</v>
      </c>
    </row>
    <row r="4664">
      <c r="G4664" s="584"/>
      <c r="H4664" s="584"/>
      <c r="I4664" s="335" t="s">
        <v>3494</v>
      </c>
    </row>
    <row r="4665">
      <c r="G4665" s="584"/>
      <c r="H4665" s="584"/>
      <c r="I4665" s="335" t="s">
        <v>3494</v>
      </c>
    </row>
    <row r="4666">
      <c r="G4666" s="584"/>
      <c r="H4666" s="584"/>
      <c r="I4666" s="335" t="s">
        <v>3494</v>
      </c>
    </row>
    <row r="4667">
      <c r="G4667" s="584"/>
      <c r="H4667" s="584"/>
      <c r="I4667" s="335" t="s">
        <v>3494</v>
      </c>
    </row>
    <row r="4668">
      <c r="G4668" s="584"/>
      <c r="H4668" s="584"/>
      <c r="I4668" s="335" t="s">
        <v>3494</v>
      </c>
    </row>
    <row r="4669">
      <c r="G4669" s="584"/>
      <c r="H4669" s="584"/>
      <c r="I4669" s="335" t="s">
        <v>3494</v>
      </c>
    </row>
    <row r="4670">
      <c r="G4670" s="584"/>
      <c r="H4670" s="584"/>
      <c r="I4670" s="335" t="s">
        <v>3494</v>
      </c>
    </row>
    <row r="4671">
      <c r="G4671" s="584"/>
      <c r="H4671" s="584"/>
      <c r="I4671" s="335" t="s">
        <v>3494</v>
      </c>
    </row>
    <row r="4672">
      <c r="G4672" s="584"/>
      <c r="H4672" s="584"/>
      <c r="I4672" s="335" t="s">
        <v>3494</v>
      </c>
    </row>
    <row r="4673">
      <c r="G4673" s="584"/>
      <c r="H4673" s="584"/>
      <c r="I4673" s="335" t="s">
        <v>3494</v>
      </c>
    </row>
    <row r="4674">
      <c r="G4674" s="584"/>
      <c r="H4674" s="584"/>
      <c r="I4674" s="335" t="s">
        <v>3494</v>
      </c>
    </row>
    <row r="4675">
      <c r="G4675" s="584"/>
      <c r="H4675" s="584"/>
      <c r="I4675" s="335" t="s">
        <v>3494</v>
      </c>
    </row>
    <row r="4676">
      <c r="G4676" s="584"/>
      <c r="H4676" s="584"/>
      <c r="I4676" s="335" t="s">
        <v>3494</v>
      </c>
    </row>
    <row r="4677">
      <c r="G4677" s="584"/>
      <c r="H4677" s="584"/>
      <c r="I4677" s="335" t="s">
        <v>3494</v>
      </c>
    </row>
    <row r="4678">
      <c r="G4678" s="584"/>
      <c r="H4678" s="584"/>
      <c r="I4678" s="335" t="s">
        <v>3494</v>
      </c>
    </row>
    <row r="4679">
      <c r="G4679" s="584"/>
      <c r="H4679" s="584"/>
      <c r="I4679" s="335" t="s">
        <v>3494</v>
      </c>
    </row>
    <row r="4680">
      <c r="G4680" s="584"/>
      <c r="H4680" s="584"/>
      <c r="I4680" s="335" t="s">
        <v>3494</v>
      </c>
    </row>
    <row r="4681">
      <c r="G4681" s="584"/>
      <c r="H4681" s="584"/>
      <c r="I4681" s="335" t="s">
        <v>3494</v>
      </c>
    </row>
    <row r="4682">
      <c r="G4682" s="584"/>
      <c r="H4682" s="584"/>
      <c r="I4682" s="335" t="s">
        <v>3494</v>
      </c>
    </row>
    <row r="4683">
      <c r="G4683" s="584"/>
      <c r="H4683" s="584"/>
      <c r="I4683" s="335" t="s">
        <v>3494</v>
      </c>
    </row>
    <row r="4684">
      <c r="G4684" s="584"/>
      <c r="H4684" s="584"/>
      <c r="I4684" s="335" t="s">
        <v>3494</v>
      </c>
    </row>
    <row r="4685">
      <c r="G4685" s="584"/>
      <c r="H4685" s="584"/>
      <c r="I4685" s="335" t="s">
        <v>3494</v>
      </c>
    </row>
    <row r="4686">
      <c r="G4686" s="584"/>
      <c r="H4686" s="584"/>
      <c r="I4686" s="335" t="s">
        <v>3494</v>
      </c>
    </row>
    <row r="4687">
      <c r="G4687" s="584"/>
      <c r="H4687" s="584"/>
      <c r="I4687" s="335" t="s">
        <v>3494</v>
      </c>
    </row>
    <row r="4688">
      <c r="G4688" s="584"/>
      <c r="H4688" s="584"/>
      <c r="I4688" s="335" t="s">
        <v>3494</v>
      </c>
    </row>
    <row r="4689">
      <c r="G4689" s="584"/>
      <c r="H4689" s="584"/>
      <c r="I4689" s="335" t="s">
        <v>3494</v>
      </c>
    </row>
    <row r="4690">
      <c r="G4690" s="584"/>
      <c r="H4690" s="584"/>
      <c r="I4690" s="335" t="s">
        <v>3494</v>
      </c>
    </row>
    <row r="4691">
      <c r="G4691" s="584"/>
      <c r="H4691" s="584"/>
      <c r="I4691" s="335" t="s">
        <v>3494</v>
      </c>
    </row>
    <row r="4692">
      <c r="G4692" s="584"/>
      <c r="H4692" s="584"/>
      <c r="I4692" s="335" t="s">
        <v>3494</v>
      </c>
    </row>
    <row r="4693">
      <c r="G4693" s="584"/>
      <c r="H4693" s="584"/>
      <c r="I4693" s="335" t="s">
        <v>3494</v>
      </c>
    </row>
    <row r="4694">
      <c r="G4694" s="584"/>
      <c r="H4694" s="584"/>
      <c r="I4694" s="335" t="s">
        <v>3494</v>
      </c>
    </row>
    <row r="4695">
      <c r="G4695" s="584"/>
      <c r="H4695" s="584"/>
      <c r="I4695" s="335" t="s">
        <v>3494</v>
      </c>
    </row>
    <row r="4696">
      <c r="G4696" s="584"/>
      <c r="H4696" s="584"/>
      <c r="I4696" s="335" t="s">
        <v>3494</v>
      </c>
    </row>
    <row r="4697">
      <c r="G4697" s="584"/>
      <c r="H4697" s="584"/>
      <c r="I4697" s="335" t="s">
        <v>3494</v>
      </c>
    </row>
    <row r="4698">
      <c r="G4698" s="584"/>
      <c r="H4698" s="584"/>
      <c r="I4698" s="335" t="s">
        <v>3494</v>
      </c>
    </row>
    <row r="4699">
      <c r="G4699" s="584"/>
      <c r="H4699" s="584"/>
      <c r="I4699" s="335" t="s">
        <v>3494</v>
      </c>
    </row>
    <row r="4700">
      <c r="G4700" s="584"/>
      <c r="H4700" s="584"/>
      <c r="I4700" s="335" t="s">
        <v>3494</v>
      </c>
    </row>
    <row r="4701">
      <c r="G4701" s="584"/>
      <c r="H4701" s="584"/>
      <c r="I4701" s="335" t="s">
        <v>3494</v>
      </c>
    </row>
    <row r="4702">
      <c r="G4702" s="584"/>
      <c r="H4702" s="584"/>
      <c r="I4702" s="335" t="s">
        <v>3494</v>
      </c>
    </row>
    <row r="4703">
      <c r="G4703" s="584"/>
      <c r="H4703" s="584"/>
      <c r="I4703" s="335" t="s">
        <v>3494</v>
      </c>
    </row>
    <row r="4704">
      <c r="G4704" s="584"/>
      <c r="H4704" s="584"/>
      <c r="I4704" s="335" t="s">
        <v>3494</v>
      </c>
    </row>
    <row r="4705">
      <c r="G4705" s="584"/>
      <c r="H4705" s="584"/>
      <c r="I4705" s="335" t="s">
        <v>3494</v>
      </c>
    </row>
    <row r="4706">
      <c r="G4706" s="584"/>
      <c r="H4706" s="584"/>
      <c r="I4706" s="335" t="s">
        <v>3494</v>
      </c>
    </row>
    <row r="4707">
      <c r="G4707" s="584"/>
      <c r="H4707" s="584"/>
      <c r="I4707" s="335" t="s">
        <v>3494</v>
      </c>
    </row>
    <row r="4708">
      <c r="G4708" s="584"/>
      <c r="H4708" s="584"/>
      <c r="I4708" s="335" t="s">
        <v>3494</v>
      </c>
    </row>
    <row r="4709">
      <c r="G4709" s="584"/>
      <c r="H4709" s="584"/>
      <c r="I4709" s="335" t="s">
        <v>3494</v>
      </c>
    </row>
    <row r="4710">
      <c r="G4710" s="584"/>
      <c r="H4710" s="584"/>
      <c r="I4710" s="335" t="s">
        <v>3494</v>
      </c>
    </row>
    <row r="4711">
      <c r="G4711" s="584"/>
      <c r="H4711" s="584"/>
      <c r="I4711" s="335" t="s">
        <v>3494</v>
      </c>
    </row>
    <row r="4712">
      <c r="G4712" s="584"/>
      <c r="H4712" s="584"/>
      <c r="I4712" s="335" t="s">
        <v>3494</v>
      </c>
    </row>
    <row r="4713">
      <c r="G4713" s="584"/>
      <c r="H4713" s="584"/>
      <c r="I4713" s="335" t="s">
        <v>3494</v>
      </c>
    </row>
    <row r="4714">
      <c r="G4714" s="584"/>
      <c r="H4714" s="584"/>
      <c r="I4714" s="335" t="s">
        <v>3494</v>
      </c>
    </row>
    <row r="4715">
      <c r="G4715" s="584"/>
      <c r="H4715" s="584"/>
      <c r="I4715" s="335" t="s">
        <v>3494</v>
      </c>
    </row>
    <row r="4716">
      <c r="G4716" s="584"/>
      <c r="H4716" s="584"/>
      <c r="I4716" s="335" t="s">
        <v>3494</v>
      </c>
    </row>
    <row r="4717">
      <c r="G4717" s="584"/>
      <c r="H4717" s="584"/>
      <c r="I4717" s="335" t="s">
        <v>3494</v>
      </c>
    </row>
    <row r="4718">
      <c r="G4718" s="584"/>
      <c r="H4718" s="584"/>
      <c r="I4718" s="335" t="s">
        <v>3494</v>
      </c>
    </row>
    <row r="4719">
      <c r="G4719" s="584"/>
      <c r="H4719" s="584"/>
      <c r="I4719" s="335" t="s">
        <v>3494</v>
      </c>
    </row>
    <row r="4720">
      <c r="G4720" s="584"/>
      <c r="H4720" s="584"/>
      <c r="I4720" s="335" t="s">
        <v>3494</v>
      </c>
    </row>
    <row r="4721">
      <c r="G4721" s="584"/>
      <c r="H4721" s="584"/>
      <c r="I4721" s="335" t="s">
        <v>3494</v>
      </c>
    </row>
    <row r="4722">
      <c r="G4722" s="584"/>
      <c r="H4722" s="584"/>
      <c r="I4722" s="335" t="s">
        <v>3494</v>
      </c>
    </row>
    <row r="4723">
      <c r="G4723" s="584"/>
      <c r="H4723" s="584"/>
      <c r="I4723" s="335" t="s">
        <v>3494</v>
      </c>
    </row>
    <row r="4724">
      <c r="G4724" s="584"/>
      <c r="H4724" s="584"/>
      <c r="I4724" s="335" t="s">
        <v>3494</v>
      </c>
    </row>
    <row r="4725">
      <c r="G4725" s="584"/>
      <c r="H4725" s="584"/>
      <c r="I4725" s="335" t="s">
        <v>3494</v>
      </c>
    </row>
    <row r="4726">
      <c r="G4726" s="584"/>
      <c r="H4726" s="584"/>
      <c r="I4726" s="335" t="s">
        <v>3494</v>
      </c>
    </row>
    <row r="4727">
      <c r="G4727" s="584"/>
      <c r="H4727" s="584"/>
      <c r="I4727" s="335" t="s">
        <v>3494</v>
      </c>
    </row>
    <row r="4728">
      <c r="G4728" s="584"/>
      <c r="H4728" s="584"/>
      <c r="I4728" s="335" t="s">
        <v>3494</v>
      </c>
    </row>
    <row r="4729">
      <c r="G4729" s="584"/>
      <c r="H4729" s="584"/>
      <c r="I4729" s="335" t="s">
        <v>3494</v>
      </c>
    </row>
    <row r="4730">
      <c r="G4730" s="584"/>
      <c r="H4730" s="584"/>
      <c r="I4730" s="335" t="s">
        <v>3494</v>
      </c>
    </row>
    <row r="4731">
      <c r="G4731" s="584"/>
      <c r="H4731" s="584"/>
      <c r="I4731" s="335" t="s">
        <v>3494</v>
      </c>
    </row>
    <row r="4732">
      <c r="G4732" s="584"/>
      <c r="H4732" s="584"/>
      <c r="I4732" s="335" t="s">
        <v>3494</v>
      </c>
    </row>
    <row r="4733">
      <c r="G4733" s="584"/>
      <c r="H4733" s="584"/>
      <c r="I4733" s="335" t="s">
        <v>3494</v>
      </c>
    </row>
    <row r="4734">
      <c r="G4734" s="584"/>
      <c r="H4734" s="584"/>
      <c r="I4734" s="335" t="s">
        <v>3494</v>
      </c>
    </row>
    <row r="4735">
      <c r="G4735" s="584"/>
      <c r="H4735" s="584"/>
      <c r="I4735" s="335" t="s">
        <v>3494</v>
      </c>
    </row>
    <row r="4736">
      <c r="G4736" s="584"/>
      <c r="H4736" s="584"/>
      <c r="I4736" s="335" t="s">
        <v>3494</v>
      </c>
    </row>
    <row r="4737">
      <c r="G4737" s="584"/>
      <c r="H4737" s="584"/>
      <c r="I4737" s="335" t="s">
        <v>3494</v>
      </c>
    </row>
    <row r="4738">
      <c r="G4738" s="584"/>
      <c r="H4738" s="584"/>
      <c r="I4738" s="335" t="s">
        <v>3494</v>
      </c>
    </row>
    <row r="4739">
      <c r="G4739" s="584"/>
      <c r="H4739" s="584"/>
      <c r="I4739" s="335" t="s">
        <v>3494</v>
      </c>
    </row>
    <row r="4740">
      <c r="G4740" s="584"/>
      <c r="H4740" s="584"/>
      <c r="I4740" s="335" t="s">
        <v>3494</v>
      </c>
    </row>
    <row r="4741">
      <c r="G4741" s="584"/>
      <c r="H4741" s="584"/>
      <c r="I4741" s="335" t="s">
        <v>3494</v>
      </c>
    </row>
    <row r="4742">
      <c r="G4742" s="584"/>
      <c r="H4742" s="584"/>
      <c r="I4742" s="335" t="s">
        <v>3494</v>
      </c>
    </row>
    <row r="4743">
      <c r="G4743" s="584"/>
      <c r="H4743" s="584"/>
      <c r="I4743" s="335" t="s">
        <v>3494</v>
      </c>
    </row>
    <row r="4744">
      <c r="G4744" s="584"/>
      <c r="H4744" s="584"/>
      <c r="I4744" s="335" t="s">
        <v>3494</v>
      </c>
    </row>
    <row r="4745">
      <c r="G4745" s="584"/>
      <c r="H4745" s="584"/>
      <c r="I4745" s="335" t="s">
        <v>3494</v>
      </c>
    </row>
    <row r="4746">
      <c r="G4746" s="584"/>
      <c r="H4746" s="584"/>
      <c r="I4746" s="335" t="s">
        <v>3494</v>
      </c>
    </row>
    <row r="4747">
      <c r="G4747" s="584"/>
      <c r="H4747" s="584"/>
      <c r="I4747" s="335" t="s">
        <v>3494</v>
      </c>
    </row>
    <row r="4748">
      <c r="G4748" s="584"/>
      <c r="H4748" s="584"/>
      <c r="I4748" s="335" t="s">
        <v>3494</v>
      </c>
    </row>
    <row r="4749">
      <c r="G4749" s="584"/>
      <c r="H4749" s="584"/>
      <c r="I4749" s="335" t="s">
        <v>3494</v>
      </c>
    </row>
    <row r="4750">
      <c r="G4750" s="584"/>
      <c r="H4750" s="584"/>
      <c r="I4750" s="335" t="s">
        <v>3494</v>
      </c>
    </row>
    <row r="4751">
      <c r="G4751" s="584"/>
      <c r="H4751" s="584"/>
      <c r="I4751" s="335" t="s">
        <v>3494</v>
      </c>
    </row>
    <row r="4752">
      <c r="G4752" s="584"/>
      <c r="H4752" s="584"/>
      <c r="I4752" s="335" t="s">
        <v>3494</v>
      </c>
    </row>
    <row r="4753">
      <c r="G4753" s="584"/>
      <c r="H4753" s="584"/>
      <c r="I4753" s="335" t="s">
        <v>3494</v>
      </c>
    </row>
    <row r="4754">
      <c r="G4754" s="584"/>
      <c r="H4754" s="584"/>
      <c r="I4754" s="335" t="s">
        <v>3494</v>
      </c>
    </row>
    <row r="4755">
      <c r="G4755" s="584"/>
      <c r="H4755" s="584"/>
      <c r="I4755" s="335" t="s">
        <v>3494</v>
      </c>
    </row>
    <row r="4756">
      <c r="G4756" s="584"/>
      <c r="H4756" s="584"/>
      <c r="I4756" s="335" t="s">
        <v>3494</v>
      </c>
    </row>
    <row r="4757">
      <c r="G4757" s="584"/>
      <c r="H4757" s="584"/>
      <c r="I4757" s="335" t="s">
        <v>3494</v>
      </c>
    </row>
    <row r="4758">
      <c r="G4758" s="584"/>
      <c r="H4758" s="584"/>
      <c r="I4758" s="335" t="s">
        <v>3494</v>
      </c>
    </row>
    <row r="4759">
      <c r="G4759" s="584"/>
      <c r="H4759" s="584"/>
      <c r="I4759" s="335" t="s">
        <v>3494</v>
      </c>
    </row>
    <row r="4760">
      <c r="G4760" s="584"/>
      <c r="H4760" s="584"/>
      <c r="I4760" s="335" t="s">
        <v>3494</v>
      </c>
    </row>
    <row r="4761">
      <c r="G4761" s="584"/>
      <c r="H4761" s="584"/>
      <c r="I4761" s="335" t="s">
        <v>3494</v>
      </c>
    </row>
    <row r="4762">
      <c r="G4762" s="584"/>
      <c r="H4762" s="584"/>
      <c r="I4762" s="335" t="s">
        <v>3494</v>
      </c>
    </row>
    <row r="4763">
      <c r="G4763" s="584"/>
      <c r="H4763" s="584"/>
      <c r="I4763" s="335" t="s">
        <v>3494</v>
      </c>
    </row>
    <row r="4764">
      <c r="G4764" s="584"/>
      <c r="H4764" s="584"/>
      <c r="I4764" s="335" t="s">
        <v>3494</v>
      </c>
    </row>
    <row r="4765">
      <c r="G4765" s="584"/>
      <c r="H4765" s="584"/>
      <c r="I4765" s="335" t="s">
        <v>3494</v>
      </c>
    </row>
    <row r="4766">
      <c r="G4766" s="584"/>
      <c r="H4766" s="584"/>
      <c r="I4766" s="335" t="s">
        <v>3494</v>
      </c>
    </row>
    <row r="4767">
      <c r="G4767" s="584"/>
      <c r="H4767" s="584"/>
      <c r="I4767" s="335" t="s">
        <v>3494</v>
      </c>
    </row>
    <row r="4768">
      <c r="G4768" s="584"/>
      <c r="H4768" s="584"/>
      <c r="I4768" s="335" t="s">
        <v>3494</v>
      </c>
    </row>
    <row r="4769">
      <c r="G4769" s="584"/>
      <c r="H4769" s="584"/>
      <c r="I4769" s="335" t="s">
        <v>3494</v>
      </c>
    </row>
    <row r="4770">
      <c r="G4770" s="584"/>
      <c r="H4770" s="584"/>
      <c r="I4770" s="335" t="s">
        <v>3494</v>
      </c>
    </row>
    <row r="4771">
      <c r="G4771" s="584"/>
      <c r="H4771" s="584"/>
      <c r="I4771" s="335" t="s">
        <v>3494</v>
      </c>
    </row>
    <row r="4772">
      <c r="G4772" s="584"/>
      <c r="H4772" s="584"/>
      <c r="I4772" s="335" t="s">
        <v>3494</v>
      </c>
    </row>
    <row r="4773">
      <c r="G4773" s="584"/>
      <c r="H4773" s="584"/>
      <c r="I4773" s="335" t="s">
        <v>3494</v>
      </c>
    </row>
    <row r="4774">
      <c r="G4774" s="584"/>
      <c r="H4774" s="584"/>
      <c r="I4774" s="335" t="s">
        <v>3494</v>
      </c>
    </row>
    <row r="4775">
      <c r="G4775" s="584"/>
      <c r="H4775" s="584"/>
      <c r="I4775" s="335" t="s">
        <v>3494</v>
      </c>
    </row>
    <row r="4776">
      <c r="G4776" s="584"/>
      <c r="H4776" s="584"/>
      <c r="I4776" s="335" t="s">
        <v>3494</v>
      </c>
    </row>
    <row r="4777">
      <c r="G4777" s="584"/>
      <c r="H4777" s="584"/>
      <c r="I4777" s="335" t="s">
        <v>3494</v>
      </c>
    </row>
    <row r="4778">
      <c r="G4778" s="584"/>
      <c r="H4778" s="584"/>
      <c r="I4778" s="335" t="s">
        <v>3494</v>
      </c>
    </row>
    <row r="4779">
      <c r="G4779" s="584"/>
      <c r="H4779" s="584"/>
      <c r="I4779" s="335" t="s">
        <v>3494</v>
      </c>
    </row>
    <row r="4780">
      <c r="G4780" s="584"/>
      <c r="H4780" s="584"/>
      <c r="I4780" s="335" t="s">
        <v>3494</v>
      </c>
    </row>
    <row r="4781">
      <c r="G4781" s="584"/>
      <c r="H4781" s="584"/>
      <c r="I4781" s="335" t="s">
        <v>3494</v>
      </c>
    </row>
    <row r="4782">
      <c r="G4782" s="584"/>
      <c r="H4782" s="584"/>
      <c r="I4782" s="335" t="s">
        <v>3494</v>
      </c>
    </row>
    <row r="4783">
      <c r="G4783" s="584"/>
      <c r="H4783" s="584"/>
      <c r="I4783" s="335" t="s">
        <v>3494</v>
      </c>
    </row>
    <row r="4784">
      <c r="G4784" s="584"/>
      <c r="H4784" s="584"/>
      <c r="I4784" s="335" t="s">
        <v>3494</v>
      </c>
    </row>
    <row r="4785">
      <c r="G4785" s="584"/>
      <c r="H4785" s="584"/>
      <c r="I4785" s="335" t="s">
        <v>3494</v>
      </c>
    </row>
    <row r="4786">
      <c r="G4786" s="584"/>
      <c r="H4786" s="584"/>
      <c r="I4786" s="335" t="s">
        <v>3494</v>
      </c>
    </row>
    <row r="4787">
      <c r="G4787" s="584"/>
      <c r="H4787" s="584"/>
      <c r="I4787" s="335" t="s">
        <v>3494</v>
      </c>
    </row>
    <row r="4788">
      <c r="G4788" s="584"/>
      <c r="H4788" s="584"/>
      <c r="I4788" s="335" t="s">
        <v>3494</v>
      </c>
    </row>
    <row r="4789">
      <c r="G4789" s="584"/>
      <c r="H4789" s="584"/>
      <c r="I4789" s="335" t="s">
        <v>3494</v>
      </c>
    </row>
    <row r="4790">
      <c r="G4790" s="584"/>
      <c r="H4790" s="584"/>
      <c r="I4790" s="335" t="s">
        <v>3494</v>
      </c>
    </row>
    <row r="4791">
      <c r="G4791" s="584"/>
      <c r="H4791" s="584"/>
      <c r="I4791" s="335" t="s">
        <v>3494</v>
      </c>
    </row>
    <row r="4792">
      <c r="G4792" s="584"/>
      <c r="H4792" s="584"/>
      <c r="I4792" s="335" t="s">
        <v>3494</v>
      </c>
    </row>
    <row r="4793">
      <c r="G4793" s="584"/>
      <c r="H4793" s="584"/>
      <c r="I4793" s="335" t="s">
        <v>3494</v>
      </c>
    </row>
    <row r="4794">
      <c r="G4794" s="584"/>
      <c r="H4794" s="584"/>
      <c r="I4794" s="335" t="s">
        <v>3494</v>
      </c>
    </row>
    <row r="4795">
      <c r="G4795" s="584"/>
      <c r="H4795" s="584"/>
      <c r="I4795" s="335" t="s">
        <v>3494</v>
      </c>
    </row>
    <row r="4796">
      <c r="G4796" s="584"/>
      <c r="H4796" s="584"/>
      <c r="I4796" s="335" t="s">
        <v>3494</v>
      </c>
    </row>
    <row r="4797">
      <c r="G4797" s="584"/>
      <c r="H4797" s="584"/>
      <c r="I4797" s="335" t="s">
        <v>3494</v>
      </c>
    </row>
    <row r="4798">
      <c r="G4798" s="584"/>
      <c r="H4798" s="584"/>
      <c r="I4798" s="335" t="s">
        <v>3494</v>
      </c>
    </row>
    <row r="4799">
      <c r="G4799" s="584"/>
      <c r="H4799" s="584"/>
      <c r="I4799" s="335" t="s">
        <v>3494</v>
      </c>
    </row>
    <row r="4800">
      <c r="G4800" s="584"/>
      <c r="H4800" s="584"/>
      <c r="I4800" s="335" t="s">
        <v>3494</v>
      </c>
    </row>
    <row r="4801">
      <c r="G4801" s="584"/>
      <c r="H4801" s="584"/>
      <c r="I4801" s="335" t="s">
        <v>3494</v>
      </c>
    </row>
    <row r="4802">
      <c r="G4802" s="584"/>
      <c r="H4802" s="584"/>
      <c r="I4802" s="335" t="s">
        <v>3494</v>
      </c>
    </row>
    <row r="4803">
      <c r="G4803" s="584"/>
      <c r="H4803" s="584"/>
      <c r="I4803" s="335" t="s">
        <v>3494</v>
      </c>
    </row>
    <row r="4804">
      <c r="G4804" s="584"/>
      <c r="H4804" s="584"/>
      <c r="I4804" s="335" t="s">
        <v>3494</v>
      </c>
    </row>
    <row r="4805">
      <c r="G4805" s="584"/>
      <c r="H4805" s="584"/>
      <c r="I4805" s="335" t="s">
        <v>3494</v>
      </c>
    </row>
    <row r="4806">
      <c r="G4806" s="584"/>
      <c r="H4806" s="584"/>
      <c r="I4806" s="335" t="s">
        <v>3494</v>
      </c>
    </row>
    <row r="4807">
      <c r="G4807" s="584"/>
      <c r="H4807" s="584"/>
      <c r="I4807" s="335" t="s">
        <v>3494</v>
      </c>
    </row>
    <row r="4808">
      <c r="G4808" s="584"/>
      <c r="H4808" s="584"/>
      <c r="I4808" s="335" t="s">
        <v>3494</v>
      </c>
    </row>
    <row r="4809">
      <c r="G4809" s="584"/>
      <c r="H4809" s="584"/>
      <c r="I4809" s="335" t="s">
        <v>3494</v>
      </c>
    </row>
    <row r="4810">
      <c r="G4810" s="584"/>
      <c r="H4810" s="584"/>
      <c r="I4810" s="335" t="s">
        <v>3494</v>
      </c>
    </row>
    <row r="4811">
      <c r="G4811" s="584"/>
      <c r="H4811" s="584"/>
      <c r="I4811" s="335" t="s">
        <v>3494</v>
      </c>
    </row>
    <row r="4812">
      <c r="G4812" s="584"/>
      <c r="H4812" s="584"/>
      <c r="I4812" s="335" t="s">
        <v>3494</v>
      </c>
    </row>
    <row r="4813">
      <c r="G4813" s="584"/>
      <c r="H4813" s="584"/>
      <c r="I4813" s="335" t="s">
        <v>3494</v>
      </c>
    </row>
    <row r="4814">
      <c r="G4814" s="584"/>
      <c r="H4814" s="584"/>
      <c r="I4814" s="335" t="s">
        <v>3494</v>
      </c>
    </row>
    <row r="4815">
      <c r="G4815" s="584"/>
      <c r="H4815" s="584"/>
      <c r="I4815" s="335" t="s">
        <v>3494</v>
      </c>
    </row>
    <row r="4816">
      <c r="G4816" s="584"/>
      <c r="H4816" s="584"/>
      <c r="I4816" s="335" t="s">
        <v>3494</v>
      </c>
    </row>
    <row r="4817">
      <c r="G4817" s="584"/>
      <c r="H4817" s="584"/>
      <c r="I4817" s="335" t="s">
        <v>3494</v>
      </c>
    </row>
    <row r="4818">
      <c r="G4818" s="584"/>
      <c r="H4818" s="584"/>
      <c r="I4818" s="335" t="s">
        <v>3494</v>
      </c>
    </row>
    <row r="4819">
      <c r="G4819" s="584"/>
      <c r="H4819" s="584"/>
      <c r="I4819" s="335" t="s">
        <v>3494</v>
      </c>
    </row>
    <row r="4820">
      <c r="G4820" s="584"/>
      <c r="H4820" s="584"/>
      <c r="I4820" s="335" t="s">
        <v>3494</v>
      </c>
    </row>
    <row r="4821">
      <c r="G4821" s="584"/>
      <c r="H4821" s="584"/>
      <c r="I4821" s="335" t="s">
        <v>3494</v>
      </c>
    </row>
    <row r="4822">
      <c r="G4822" s="584"/>
      <c r="H4822" s="584"/>
      <c r="I4822" s="335" t="s">
        <v>3494</v>
      </c>
    </row>
    <row r="4823">
      <c r="G4823" s="584"/>
      <c r="H4823" s="584"/>
      <c r="I4823" s="335" t="s">
        <v>3494</v>
      </c>
    </row>
    <row r="4824">
      <c r="G4824" s="584"/>
      <c r="H4824" s="584"/>
      <c r="I4824" s="335" t="s">
        <v>3494</v>
      </c>
    </row>
    <row r="4825">
      <c r="G4825" s="584"/>
      <c r="H4825" s="584"/>
      <c r="I4825" s="335" t="s">
        <v>3494</v>
      </c>
    </row>
    <row r="4826">
      <c r="G4826" s="584"/>
      <c r="H4826" s="584"/>
      <c r="I4826" s="335" t="s">
        <v>3494</v>
      </c>
    </row>
    <row r="4827">
      <c r="G4827" s="584"/>
      <c r="H4827" s="584"/>
      <c r="I4827" s="335" t="s">
        <v>3494</v>
      </c>
    </row>
    <row r="4828">
      <c r="G4828" s="584"/>
      <c r="H4828" s="584"/>
      <c r="I4828" s="335" t="s">
        <v>3494</v>
      </c>
    </row>
    <row r="4829">
      <c r="G4829" s="584"/>
      <c r="H4829" s="584"/>
      <c r="I4829" s="335" t="s">
        <v>3494</v>
      </c>
    </row>
    <row r="4830">
      <c r="G4830" s="584"/>
      <c r="H4830" s="584"/>
      <c r="I4830" s="335" t="s">
        <v>3494</v>
      </c>
    </row>
    <row r="4831">
      <c r="G4831" s="584"/>
      <c r="H4831" s="584"/>
      <c r="I4831" s="335" t="s">
        <v>3494</v>
      </c>
    </row>
    <row r="4832">
      <c r="G4832" s="584"/>
      <c r="H4832" s="584"/>
      <c r="I4832" s="335" t="s">
        <v>3494</v>
      </c>
    </row>
    <row r="4833">
      <c r="G4833" s="584"/>
      <c r="H4833" s="584"/>
      <c r="I4833" s="335" t="s">
        <v>3494</v>
      </c>
    </row>
    <row r="4834">
      <c r="G4834" s="584"/>
      <c r="H4834" s="584"/>
      <c r="I4834" s="335" t="s">
        <v>3494</v>
      </c>
    </row>
    <row r="4835">
      <c r="G4835" s="584"/>
      <c r="H4835" s="584"/>
      <c r="I4835" s="335" t="s">
        <v>3494</v>
      </c>
    </row>
    <row r="4836">
      <c r="G4836" s="584"/>
      <c r="H4836" s="584"/>
      <c r="I4836" s="335" t="s">
        <v>3494</v>
      </c>
    </row>
    <row r="4837">
      <c r="G4837" s="584"/>
      <c r="H4837" s="584"/>
      <c r="I4837" s="335" t="s">
        <v>3494</v>
      </c>
    </row>
    <row r="4838">
      <c r="G4838" s="584"/>
      <c r="H4838" s="584"/>
      <c r="I4838" s="335" t="s">
        <v>3494</v>
      </c>
    </row>
    <row r="4839">
      <c r="G4839" s="584"/>
      <c r="H4839" s="584"/>
      <c r="I4839" s="335" t="s">
        <v>3494</v>
      </c>
    </row>
    <row r="4840">
      <c r="G4840" s="584"/>
      <c r="H4840" s="584"/>
      <c r="I4840" s="335" t="s">
        <v>3494</v>
      </c>
    </row>
    <row r="4841">
      <c r="G4841" s="584"/>
      <c r="H4841" s="584"/>
      <c r="I4841" s="335" t="s">
        <v>3494</v>
      </c>
    </row>
    <row r="4842">
      <c r="G4842" s="584"/>
      <c r="H4842" s="584"/>
      <c r="I4842" s="335" t="s">
        <v>3494</v>
      </c>
    </row>
    <row r="4843">
      <c r="G4843" s="584"/>
      <c r="H4843" s="584"/>
      <c r="I4843" s="335" t="s">
        <v>3494</v>
      </c>
    </row>
    <row r="4844">
      <c r="G4844" s="584"/>
      <c r="H4844" s="584"/>
      <c r="I4844" s="335" t="s">
        <v>3494</v>
      </c>
    </row>
    <row r="4845">
      <c r="G4845" s="584"/>
      <c r="H4845" s="584"/>
      <c r="I4845" s="335" t="s">
        <v>3494</v>
      </c>
    </row>
    <row r="4846">
      <c r="G4846" s="584"/>
      <c r="H4846" s="584"/>
      <c r="I4846" s="335" t="s">
        <v>3494</v>
      </c>
    </row>
    <row r="4847">
      <c r="G4847" s="584"/>
      <c r="H4847" s="584"/>
      <c r="I4847" s="335" t="s">
        <v>3494</v>
      </c>
    </row>
    <row r="4848">
      <c r="G4848" s="584"/>
      <c r="H4848" s="584"/>
      <c r="I4848" s="335" t="s">
        <v>3494</v>
      </c>
    </row>
    <row r="4849">
      <c r="G4849" s="584"/>
      <c r="H4849" s="584"/>
      <c r="I4849" s="335" t="s">
        <v>3494</v>
      </c>
    </row>
    <row r="4850">
      <c r="G4850" s="584"/>
      <c r="H4850" s="584"/>
      <c r="I4850" s="335" t="s">
        <v>3494</v>
      </c>
    </row>
    <row r="4851">
      <c r="G4851" s="584"/>
      <c r="H4851" s="584"/>
      <c r="I4851" s="335" t="s">
        <v>3494</v>
      </c>
    </row>
    <row r="4852">
      <c r="G4852" s="584"/>
      <c r="H4852" s="584"/>
      <c r="I4852" s="335" t="s">
        <v>3494</v>
      </c>
    </row>
    <row r="4853">
      <c r="G4853" s="584"/>
      <c r="H4853" s="584"/>
      <c r="I4853" s="335" t="s">
        <v>3494</v>
      </c>
    </row>
    <row r="4854">
      <c r="G4854" s="584"/>
      <c r="H4854" s="584"/>
      <c r="I4854" s="335" t="s">
        <v>3494</v>
      </c>
    </row>
    <row r="4855">
      <c r="G4855" s="584"/>
      <c r="H4855" s="584"/>
      <c r="I4855" s="335" t="s">
        <v>3494</v>
      </c>
    </row>
    <row r="4856">
      <c r="G4856" s="584"/>
      <c r="H4856" s="584"/>
      <c r="I4856" s="335" t="s">
        <v>3494</v>
      </c>
    </row>
    <row r="4857">
      <c r="G4857" s="584"/>
      <c r="H4857" s="584"/>
      <c r="I4857" s="335" t="s">
        <v>3494</v>
      </c>
    </row>
    <row r="4858">
      <c r="G4858" s="584"/>
      <c r="H4858" s="584"/>
      <c r="I4858" s="335" t="s">
        <v>3494</v>
      </c>
    </row>
    <row r="4859">
      <c r="G4859" s="584"/>
      <c r="H4859" s="584"/>
      <c r="I4859" s="335" t="s">
        <v>3494</v>
      </c>
    </row>
    <row r="4860">
      <c r="G4860" s="584"/>
      <c r="H4860" s="584"/>
      <c r="I4860" s="335" t="s">
        <v>3494</v>
      </c>
    </row>
    <row r="4861">
      <c r="G4861" s="584"/>
      <c r="H4861" s="584"/>
      <c r="I4861" s="335" t="s">
        <v>3494</v>
      </c>
    </row>
    <row r="4862">
      <c r="G4862" s="584"/>
      <c r="H4862" s="584"/>
      <c r="I4862" s="335" t="s">
        <v>3494</v>
      </c>
    </row>
    <row r="4863">
      <c r="G4863" s="584"/>
      <c r="H4863" s="584"/>
      <c r="I4863" s="335" t="s">
        <v>3494</v>
      </c>
    </row>
    <row r="4864">
      <c r="G4864" s="584"/>
      <c r="H4864" s="584"/>
      <c r="I4864" s="335" t="s">
        <v>3494</v>
      </c>
    </row>
    <row r="4865">
      <c r="G4865" s="584"/>
      <c r="H4865" s="584"/>
      <c r="I4865" s="335" t="s">
        <v>3494</v>
      </c>
    </row>
    <row r="4866">
      <c r="G4866" s="584"/>
      <c r="H4866" s="584"/>
      <c r="I4866" s="335" t="s">
        <v>3494</v>
      </c>
    </row>
    <row r="4867">
      <c r="G4867" s="584"/>
      <c r="H4867" s="584"/>
      <c r="I4867" s="335" t="s">
        <v>3494</v>
      </c>
    </row>
    <row r="4868">
      <c r="G4868" s="584"/>
      <c r="H4868" s="584"/>
      <c r="I4868" s="335" t="s">
        <v>3494</v>
      </c>
    </row>
    <row r="4869">
      <c r="G4869" s="584"/>
      <c r="H4869" s="584"/>
      <c r="I4869" s="335" t="s">
        <v>3494</v>
      </c>
    </row>
    <row r="4870">
      <c r="G4870" s="584"/>
      <c r="H4870" s="584"/>
      <c r="I4870" s="335" t="s">
        <v>3494</v>
      </c>
    </row>
    <row r="4871">
      <c r="G4871" s="584"/>
      <c r="H4871" s="584"/>
      <c r="I4871" s="335" t="s">
        <v>3494</v>
      </c>
    </row>
    <row r="4872">
      <c r="G4872" s="584"/>
      <c r="H4872" s="584"/>
      <c r="I4872" s="335" t="s">
        <v>3494</v>
      </c>
    </row>
    <row r="4873">
      <c r="G4873" s="584"/>
      <c r="H4873" s="584"/>
      <c r="I4873" s="335" t="s">
        <v>3494</v>
      </c>
    </row>
    <row r="4874">
      <c r="G4874" s="584"/>
      <c r="H4874" s="584"/>
      <c r="I4874" s="335" t="s">
        <v>3494</v>
      </c>
    </row>
    <row r="4875">
      <c r="G4875" s="584"/>
      <c r="H4875" s="584"/>
      <c r="I4875" s="335" t="s">
        <v>3494</v>
      </c>
    </row>
    <row r="4876">
      <c r="G4876" s="584"/>
      <c r="H4876" s="584"/>
      <c r="I4876" s="335" t="s">
        <v>3494</v>
      </c>
    </row>
    <row r="4877">
      <c r="G4877" s="584"/>
      <c r="H4877" s="584"/>
      <c r="I4877" s="335" t="s">
        <v>3494</v>
      </c>
    </row>
    <row r="4878">
      <c r="G4878" s="584"/>
      <c r="H4878" s="584"/>
      <c r="I4878" s="335" t="s">
        <v>3494</v>
      </c>
    </row>
    <row r="4879">
      <c r="G4879" s="584"/>
      <c r="H4879" s="584"/>
      <c r="I4879" s="335" t="s">
        <v>3494</v>
      </c>
    </row>
    <row r="4880">
      <c r="G4880" s="584"/>
      <c r="H4880" s="584"/>
      <c r="I4880" s="335" t="s">
        <v>3494</v>
      </c>
    </row>
    <row r="4881">
      <c r="G4881" s="584"/>
      <c r="H4881" s="584"/>
      <c r="I4881" s="335" t="s">
        <v>3494</v>
      </c>
    </row>
    <row r="4882">
      <c r="G4882" s="584"/>
      <c r="H4882" s="584"/>
      <c r="I4882" s="335" t="s">
        <v>3494</v>
      </c>
    </row>
    <row r="4883">
      <c r="G4883" s="584"/>
      <c r="H4883" s="584"/>
      <c r="I4883" s="335" t="s">
        <v>3494</v>
      </c>
    </row>
    <row r="4884">
      <c r="G4884" s="584"/>
      <c r="H4884" s="584"/>
      <c r="I4884" s="335" t="s">
        <v>3494</v>
      </c>
    </row>
    <row r="4885">
      <c r="G4885" s="584"/>
      <c r="H4885" s="584"/>
      <c r="I4885" s="335" t="s">
        <v>3494</v>
      </c>
    </row>
    <row r="4886">
      <c r="G4886" s="584"/>
      <c r="H4886" s="584"/>
      <c r="I4886" s="335" t="s">
        <v>3494</v>
      </c>
    </row>
    <row r="4887">
      <c r="G4887" s="584"/>
      <c r="H4887" s="584"/>
      <c r="I4887" s="335" t="s">
        <v>3494</v>
      </c>
    </row>
    <row r="4888">
      <c r="G4888" s="584"/>
      <c r="H4888" s="584"/>
      <c r="I4888" s="335" t="s">
        <v>3494</v>
      </c>
    </row>
    <row r="4889">
      <c r="G4889" s="584"/>
      <c r="H4889" s="584"/>
      <c r="I4889" s="335" t="s">
        <v>3494</v>
      </c>
    </row>
    <row r="4890">
      <c r="G4890" s="584"/>
      <c r="H4890" s="584"/>
      <c r="I4890" s="335" t="s">
        <v>3494</v>
      </c>
    </row>
    <row r="4891">
      <c r="G4891" s="584"/>
      <c r="H4891" s="584"/>
      <c r="I4891" s="335" t="s">
        <v>3494</v>
      </c>
    </row>
    <row r="4892">
      <c r="G4892" s="584"/>
      <c r="H4892" s="584"/>
      <c r="I4892" s="335" t="s">
        <v>3494</v>
      </c>
    </row>
    <row r="4893">
      <c r="G4893" s="584"/>
      <c r="H4893" s="584"/>
      <c r="I4893" s="335" t="s">
        <v>3494</v>
      </c>
    </row>
    <row r="4894">
      <c r="G4894" s="584"/>
      <c r="H4894" s="584"/>
      <c r="I4894" s="335" t="s">
        <v>3494</v>
      </c>
    </row>
    <row r="4895">
      <c r="G4895" s="584"/>
      <c r="H4895" s="584"/>
      <c r="I4895" s="335" t="s">
        <v>3494</v>
      </c>
    </row>
    <row r="4896">
      <c r="G4896" s="584"/>
      <c r="H4896" s="584"/>
      <c r="I4896" s="335" t="s">
        <v>3494</v>
      </c>
    </row>
    <row r="4897">
      <c r="G4897" s="584"/>
      <c r="H4897" s="584"/>
      <c r="I4897" s="335" t="s">
        <v>3494</v>
      </c>
    </row>
    <row r="4898">
      <c r="G4898" s="584"/>
      <c r="H4898" s="584"/>
      <c r="I4898" s="335" t="s">
        <v>3494</v>
      </c>
    </row>
    <row r="4899">
      <c r="G4899" s="584"/>
      <c r="H4899" s="584"/>
      <c r="I4899" s="335" t="s">
        <v>3494</v>
      </c>
    </row>
    <row r="4900">
      <c r="G4900" s="584"/>
      <c r="H4900" s="584"/>
      <c r="I4900" s="335" t="s">
        <v>3494</v>
      </c>
    </row>
    <row r="4901">
      <c r="G4901" s="584"/>
      <c r="H4901" s="584"/>
      <c r="I4901" s="335" t="s">
        <v>3494</v>
      </c>
    </row>
    <row r="4902">
      <c r="G4902" s="584"/>
      <c r="H4902" s="584"/>
      <c r="I4902" s="335" t="s">
        <v>3494</v>
      </c>
    </row>
    <row r="4903">
      <c r="G4903" s="584"/>
      <c r="H4903" s="584"/>
      <c r="I4903" s="335" t="s">
        <v>3494</v>
      </c>
    </row>
    <row r="4904">
      <c r="G4904" s="584"/>
      <c r="H4904" s="584"/>
      <c r="I4904" s="335" t="s">
        <v>3494</v>
      </c>
    </row>
    <row r="4905">
      <c r="G4905" s="584"/>
      <c r="H4905" s="584"/>
      <c r="I4905" s="335" t="s">
        <v>3494</v>
      </c>
    </row>
    <row r="4906">
      <c r="G4906" s="584"/>
      <c r="H4906" s="584"/>
      <c r="I4906" s="335" t="s">
        <v>3494</v>
      </c>
    </row>
    <row r="4907">
      <c r="G4907" s="584"/>
      <c r="H4907" s="584"/>
      <c r="I4907" s="335" t="s">
        <v>3494</v>
      </c>
    </row>
    <row r="4908">
      <c r="G4908" s="584"/>
      <c r="H4908" s="584"/>
      <c r="I4908" s="335" t="s">
        <v>3494</v>
      </c>
    </row>
    <row r="4909">
      <c r="G4909" s="584"/>
      <c r="H4909" s="584"/>
      <c r="I4909" s="335" t="s">
        <v>3494</v>
      </c>
    </row>
    <row r="4910">
      <c r="G4910" s="584"/>
      <c r="H4910" s="584"/>
      <c r="I4910" s="335" t="s">
        <v>3494</v>
      </c>
    </row>
    <row r="4911">
      <c r="G4911" s="584"/>
      <c r="H4911" s="584"/>
      <c r="I4911" s="335" t="s">
        <v>3494</v>
      </c>
    </row>
    <row r="4912">
      <c r="G4912" s="584"/>
      <c r="H4912" s="584"/>
      <c r="I4912" s="335" t="s">
        <v>3494</v>
      </c>
    </row>
    <row r="4913">
      <c r="G4913" s="584"/>
      <c r="H4913" s="584"/>
      <c r="I4913" s="335" t="s">
        <v>3494</v>
      </c>
    </row>
    <row r="4914">
      <c r="G4914" s="584"/>
      <c r="H4914" s="584"/>
      <c r="I4914" s="335" t="s">
        <v>3494</v>
      </c>
    </row>
    <row r="4915">
      <c r="G4915" s="584"/>
      <c r="H4915" s="584"/>
      <c r="I4915" s="335" t="s">
        <v>3494</v>
      </c>
    </row>
    <row r="4916">
      <c r="G4916" s="584"/>
      <c r="H4916" s="584"/>
      <c r="I4916" s="335" t="s">
        <v>3494</v>
      </c>
    </row>
    <row r="4917">
      <c r="G4917" s="584"/>
      <c r="H4917" s="584"/>
      <c r="I4917" s="335" t="s">
        <v>3494</v>
      </c>
    </row>
    <row r="4918">
      <c r="G4918" s="584"/>
      <c r="H4918" s="584"/>
      <c r="I4918" s="335" t="s">
        <v>3494</v>
      </c>
    </row>
    <row r="4919">
      <c r="G4919" s="584"/>
      <c r="H4919" s="584"/>
      <c r="I4919" s="335" t="s">
        <v>3494</v>
      </c>
    </row>
    <row r="4920">
      <c r="G4920" s="584"/>
      <c r="H4920" s="584"/>
      <c r="I4920" s="335" t="s">
        <v>3494</v>
      </c>
    </row>
    <row r="4921">
      <c r="G4921" s="584"/>
      <c r="H4921" s="584"/>
      <c r="I4921" s="335" t="s">
        <v>3494</v>
      </c>
    </row>
    <row r="4922">
      <c r="G4922" s="584"/>
      <c r="H4922" s="584"/>
      <c r="I4922" s="335" t="s">
        <v>3494</v>
      </c>
    </row>
    <row r="4923">
      <c r="G4923" s="584"/>
      <c r="H4923" s="584"/>
      <c r="I4923" s="335" t="s">
        <v>3494</v>
      </c>
    </row>
    <row r="4924">
      <c r="G4924" s="584"/>
      <c r="H4924" s="584"/>
      <c r="I4924" s="335" t="s">
        <v>3494</v>
      </c>
    </row>
    <row r="4925">
      <c r="G4925" s="584"/>
      <c r="H4925" s="584"/>
      <c r="I4925" s="335" t="s">
        <v>3494</v>
      </c>
    </row>
    <row r="4926">
      <c r="G4926" s="584"/>
      <c r="H4926" s="584"/>
      <c r="I4926" s="335" t="s">
        <v>3494</v>
      </c>
    </row>
    <row r="4927">
      <c r="G4927" s="584"/>
      <c r="H4927" s="584"/>
      <c r="I4927" s="335" t="s">
        <v>3494</v>
      </c>
    </row>
    <row r="4928">
      <c r="G4928" s="584"/>
      <c r="H4928" s="584"/>
      <c r="I4928" s="335" t="s">
        <v>3494</v>
      </c>
    </row>
    <row r="4929">
      <c r="G4929" s="584"/>
      <c r="H4929" s="584"/>
      <c r="I4929" s="335" t="s">
        <v>3494</v>
      </c>
    </row>
    <row r="4930">
      <c r="G4930" s="584"/>
      <c r="H4930" s="584"/>
      <c r="I4930" s="335" t="s">
        <v>3494</v>
      </c>
    </row>
    <row r="4931">
      <c r="G4931" s="584"/>
      <c r="H4931" s="584"/>
      <c r="I4931" s="335" t="s">
        <v>3494</v>
      </c>
    </row>
    <row r="4932">
      <c r="G4932" s="584"/>
      <c r="H4932" s="584"/>
      <c r="I4932" s="335" t="s">
        <v>3494</v>
      </c>
    </row>
    <row r="4933">
      <c r="G4933" s="584"/>
      <c r="H4933" s="584"/>
      <c r="I4933" s="335" t="s">
        <v>3494</v>
      </c>
    </row>
    <row r="4934">
      <c r="G4934" s="584"/>
      <c r="H4934" s="584"/>
      <c r="I4934" s="335" t="s">
        <v>3494</v>
      </c>
    </row>
    <row r="4935">
      <c r="G4935" s="584"/>
      <c r="H4935" s="584"/>
      <c r="I4935" s="335" t="s">
        <v>3494</v>
      </c>
    </row>
    <row r="4936">
      <c r="G4936" s="584"/>
      <c r="H4936" s="584"/>
      <c r="I4936" s="335" t="s">
        <v>3494</v>
      </c>
    </row>
    <row r="4937">
      <c r="G4937" s="584"/>
      <c r="H4937" s="584"/>
      <c r="I4937" s="335" t="s">
        <v>3494</v>
      </c>
    </row>
    <row r="4938">
      <c r="G4938" s="584"/>
      <c r="H4938" s="584"/>
      <c r="I4938" s="335" t="s">
        <v>3494</v>
      </c>
    </row>
    <row r="4939">
      <c r="G4939" s="584"/>
      <c r="H4939" s="584"/>
      <c r="I4939" s="335" t="s">
        <v>3494</v>
      </c>
    </row>
    <row r="4940">
      <c r="G4940" s="584"/>
      <c r="H4940" s="584"/>
      <c r="I4940" s="335" t="s">
        <v>3494</v>
      </c>
    </row>
    <row r="4941">
      <c r="G4941" s="584"/>
      <c r="H4941" s="584"/>
      <c r="I4941" s="335" t="s">
        <v>3494</v>
      </c>
    </row>
    <row r="4942">
      <c r="G4942" s="584"/>
      <c r="H4942" s="584"/>
      <c r="I4942" s="335" t="s">
        <v>3494</v>
      </c>
    </row>
    <row r="4943">
      <c r="G4943" s="584"/>
      <c r="H4943" s="584"/>
      <c r="I4943" s="335" t="s">
        <v>3494</v>
      </c>
    </row>
    <row r="4944">
      <c r="G4944" s="584"/>
      <c r="H4944" s="584"/>
      <c r="I4944" s="335" t="s">
        <v>3494</v>
      </c>
    </row>
    <row r="4945">
      <c r="G4945" s="584"/>
      <c r="H4945" s="584"/>
      <c r="I4945" s="335" t="s">
        <v>3494</v>
      </c>
    </row>
    <row r="4946">
      <c r="G4946" s="584"/>
      <c r="H4946" s="584"/>
      <c r="I4946" s="335" t="s">
        <v>3494</v>
      </c>
    </row>
    <row r="4947">
      <c r="G4947" s="584"/>
      <c r="H4947" s="584"/>
      <c r="I4947" s="335" t="s">
        <v>3494</v>
      </c>
    </row>
    <row r="4948">
      <c r="G4948" s="584"/>
      <c r="H4948" s="584"/>
      <c r="I4948" s="335" t="s">
        <v>3494</v>
      </c>
    </row>
    <row r="4949">
      <c r="G4949" s="584"/>
      <c r="H4949" s="584"/>
      <c r="I4949" s="335" t="s">
        <v>3494</v>
      </c>
    </row>
    <row r="4950">
      <c r="G4950" s="584"/>
      <c r="H4950" s="584"/>
      <c r="I4950" s="335" t="s">
        <v>3494</v>
      </c>
    </row>
    <row r="4951">
      <c r="G4951" s="584"/>
      <c r="H4951" s="584"/>
      <c r="I4951" s="335" t="s">
        <v>3494</v>
      </c>
    </row>
    <row r="4952">
      <c r="G4952" s="584"/>
      <c r="H4952" s="584"/>
      <c r="I4952" s="335" t="s">
        <v>3494</v>
      </c>
    </row>
    <row r="4953">
      <c r="G4953" s="584"/>
      <c r="H4953" s="584"/>
      <c r="I4953" s="335" t="s">
        <v>3494</v>
      </c>
    </row>
    <row r="4954">
      <c r="G4954" s="584"/>
      <c r="H4954" s="584"/>
      <c r="I4954" s="335" t="s">
        <v>3494</v>
      </c>
    </row>
    <row r="4955">
      <c r="G4955" s="584"/>
      <c r="H4955" s="584"/>
      <c r="I4955" s="335" t="s">
        <v>3494</v>
      </c>
    </row>
    <row r="4956">
      <c r="G4956" s="584"/>
      <c r="H4956" s="584"/>
      <c r="I4956" s="335" t="s">
        <v>3494</v>
      </c>
    </row>
    <row r="4957">
      <c r="G4957" s="584"/>
      <c r="H4957" s="584"/>
      <c r="I4957" s="335" t="s">
        <v>3494</v>
      </c>
    </row>
    <row r="4958">
      <c r="G4958" s="584"/>
      <c r="H4958" s="584"/>
      <c r="I4958" s="335" t="s">
        <v>3494</v>
      </c>
    </row>
    <row r="4959">
      <c r="G4959" s="584"/>
      <c r="H4959" s="584"/>
      <c r="I4959" s="335" t="s">
        <v>3494</v>
      </c>
    </row>
    <row r="4960">
      <c r="G4960" s="584"/>
      <c r="H4960" s="584"/>
      <c r="I4960" s="335" t="s">
        <v>3494</v>
      </c>
    </row>
    <row r="4961">
      <c r="G4961" s="584"/>
      <c r="H4961" s="584"/>
      <c r="I4961" s="335" t="s">
        <v>3494</v>
      </c>
    </row>
    <row r="4962">
      <c r="G4962" s="584"/>
      <c r="H4962" s="584"/>
      <c r="I4962" s="335" t="s">
        <v>3494</v>
      </c>
    </row>
    <row r="4963">
      <c r="G4963" s="584"/>
      <c r="H4963" s="584"/>
      <c r="I4963" s="335" t="s">
        <v>3494</v>
      </c>
    </row>
    <row r="4964">
      <c r="G4964" s="584"/>
      <c r="H4964" s="584"/>
      <c r="I4964" s="335" t="s">
        <v>3494</v>
      </c>
    </row>
    <row r="4965">
      <c r="G4965" s="584"/>
      <c r="H4965" s="584"/>
      <c r="I4965" s="335" t="s">
        <v>3494</v>
      </c>
    </row>
    <row r="4966">
      <c r="G4966" s="584"/>
      <c r="H4966" s="584"/>
      <c r="I4966" s="335" t="s">
        <v>3494</v>
      </c>
    </row>
    <row r="4967">
      <c r="G4967" s="584"/>
      <c r="H4967" s="584"/>
      <c r="I4967" s="335" t="s">
        <v>3494</v>
      </c>
    </row>
    <row r="4968">
      <c r="G4968" s="584"/>
      <c r="H4968" s="584"/>
      <c r="I4968" s="335" t="s">
        <v>3494</v>
      </c>
    </row>
    <row r="4969">
      <c r="G4969" s="584"/>
      <c r="H4969" s="584"/>
      <c r="I4969" s="335" t="s">
        <v>3494</v>
      </c>
    </row>
    <row r="4970">
      <c r="G4970" s="584"/>
      <c r="H4970" s="584"/>
      <c r="I4970" s="335" t="s">
        <v>3494</v>
      </c>
    </row>
    <row r="4971">
      <c r="G4971" s="584"/>
      <c r="H4971" s="584"/>
      <c r="I4971" s="335" t="s">
        <v>3494</v>
      </c>
    </row>
    <row r="4972">
      <c r="G4972" s="584"/>
      <c r="H4972" s="584"/>
      <c r="I4972" s="335" t="s">
        <v>3494</v>
      </c>
    </row>
    <row r="4973">
      <c r="G4973" s="584"/>
      <c r="H4973" s="584"/>
      <c r="I4973" s="335" t="s">
        <v>3494</v>
      </c>
    </row>
    <row r="4974">
      <c r="G4974" s="584"/>
      <c r="H4974" s="584"/>
      <c r="I4974" s="335" t="s">
        <v>3494</v>
      </c>
    </row>
    <row r="4975">
      <c r="G4975" s="584"/>
      <c r="H4975" s="584"/>
      <c r="I4975" s="335" t="s">
        <v>3494</v>
      </c>
    </row>
    <row r="4976">
      <c r="G4976" s="584"/>
      <c r="H4976" s="584"/>
      <c r="I4976" s="335" t="s">
        <v>3494</v>
      </c>
    </row>
    <row r="4977">
      <c r="G4977" s="584"/>
      <c r="H4977" s="584"/>
      <c r="I4977" s="335" t="s">
        <v>3494</v>
      </c>
    </row>
    <row r="4978">
      <c r="G4978" s="584"/>
      <c r="H4978" s="584"/>
      <c r="I4978" s="335" t="s">
        <v>3494</v>
      </c>
    </row>
    <row r="4979">
      <c r="G4979" s="584"/>
      <c r="H4979" s="584"/>
      <c r="I4979" s="335" t="s">
        <v>3494</v>
      </c>
    </row>
    <row r="4980">
      <c r="G4980" s="584"/>
      <c r="H4980" s="584"/>
      <c r="I4980" s="335" t="s">
        <v>3494</v>
      </c>
    </row>
    <row r="4981">
      <c r="G4981" s="584"/>
      <c r="H4981" s="584"/>
      <c r="I4981" s="335" t="s">
        <v>3494</v>
      </c>
    </row>
    <row r="4982">
      <c r="G4982" s="584"/>
      <c r="H4982" s="584"/>
      <c r="I4982" s="335" t="s">
        <v>3494</v>
      </c>
    </row>
    <row r="4983">
      <c r="G4983" s="584"/>
      <c r="H4983" s="584"/>
      <c r="I4983" s="335" t="s">
        <v>3494</v>
      </c>
    </row>
    <row r="4984">
      <c r="G4984" s="584"/>
      <c r="H4984" s="584"/>
      <c r="I4984" s="335" t="s">
        <v>3494</v>
      </c>
    </row>
    <row r="4985">
      <c r="G4985" s="584"/>
      <c r="H4985" s="584"/>
      <c r="I4985" s="335" t="s">
        <v>3494</v>
      </c>
    </row>
    <row r="4986">
      <c r="G4986" s="584"/>
      <c r="H4986" s="584"/>
      <c r="I4986" s="335" t="s">
        <v>3494</v>
      </c>
    </row>
    <row r="4987">
      <c r="G4987" s="584"/>
      <c r="H4987" s="584"/>
      <c r="I4987" s="335" t="s">
        <v>3494</v>
      </c>
    </row>
    <row r="4988">
      <c r="G4988" s="584"/>
      <c r="H4988" s="584"/>
      <c r="I4988" s="335" t="s">
        <v>3494</v>
      </c>
    </row>
    <row r="4989">
      <c r="G4989" s="584"/>
      <c r="H4989" s="584"/>
      <c r="I4989" s="335" t="s">
        <v>3494</v>
      </c>
    </row>
    <row r="4990">
      <c r="G4990" s="584"/>
      <c r="H4990" s="584"/>
      <c r="I4990" s="335" t="s">
        <v>3494</v>
      </c>
    </row>
    <row r="4991">
      <c r="G4991" s="584"/>
      <c r="H4991" s="584"/>
      <c r="I4991" s="335" t="s">
        <v>3494</v>
      </c>
    </row>
    <row r="4992">
      <c r="G4992" s="584"/>
      <c r="H4992" s="584"/>
      <c r="I4992" s="335" t="s">
        <v>3494</v>
      </c>
    </row>
    <row r="4993">
      <c r="G4993" s="584"/>
      <c r="H4993" s="584"/>
      <c r="I4993" s="335" t="s">
        <v>3494</v>
      </c>
    </row>
    <row r="4994">
      <c r="G4994" s="584"/>
      <c r="H4994" s="584"/>
      <c r="I4994" s="335" t="s">
        <v>3494</v>
      </c>
    </row>
    <row r="4995">
      <c r="G4995" s="584"/>
      <c r="H4995" s="584"/>
      <c r="I4995" s="335" t="s">
        <v>3494</v>
      </c>
    </row>
    <row r="4996">
      <c r="G4996" s="584"/>
      <c r="H4996" s="584"/>
      <c r="I4996" s="335" t="s">
        <v>3494</v>
      </c>
    </row>
    <row r="4997">
      <c r="G4997" s="584"/>
      <c r="H4997" s="584"/>
      <c r="I4997" s="335" t="s">
        <v>3494</v>
      </c>
    </row>
    <row r="4998">
      <c r="G4998" s="584"/>
      <c r="H4998" s="584"/>
      <c r="I4998" s="335" t="s">
        <v>3494</v>
      </c>
    </row>
    <row r="4999">
      <c r="G4999" s="584"/>
      <c r="H4999" s="584"/>
      <c r="I4999" s="335" t="s">
        <v>3494</v>
      </c>
    </row>
    <row r="5000">
      <c r="G5000" s="584"/>
      <c r="H5000" s="584"/>
      <c r="I5000" s="335" t="s">
        <v>3494</v>
      </c>
    </row>
    <row r="5001">
      <c r="G5001" s="584"/>
      <c r="H5001" s="584"/>
      <c r="I5001" s="335" t="s">
        <v>3494</v>
      </c>
    </row>
    <row r="5002">
      <c r="G5002" s="584"/>
      <c r="H5002" s="584"/>
      <c r="I5002" s="335" t="s">
        <v>3494</v>
      </c>
    </row>
    <row r="5003">
      <c r="G5003" s="584"/>
      <c r="H5003" s="584"/>
      <c r="I5003" s="335" t="s">
        <v>3494</v>
      </c>
    </row>
    <row r="5004">
      <c r="G5004" s="584"/>
      <c r="H5004" s="584"/>
      <c r="I5004" s="335" t="s">
        <v>3494</v>
      </c>
    </row>
    <row r="5005">
      <c r="G5005" s="584"/>
      <c r="H5005" s="584"/>
      <c r="I5005" s="335" t="s">
        <v>3494</v>
      </c>
    </row>
    <row r="5006">
      <c r="G5006" s="584"/>
      <c r="H5006" s="584"/>
      <c r="I5006" s="335" t="s">
        <v>3494</v>
      </c>
    </row>
    <row r="5007">
      <c r="G5007" s="584"/>
      <c r="H5007" s="584"/>
      <c r="I5007" s="335" t="s">
        <v>3494</v>
      </c>
    </row>
    <row r="5008">
      <c r="G5008" s="584"/>
      <c r="H5008" s="584"/>
      <c r="I5008" s="335" t="s">
        <v>3494</v>
      </c>
    </row>
    <row r="5009">
      <c r="G5009" s="584"/>
      <c r="H5009" s="584"/>
      <c r="I5009" s="335" t="s">
        <v>3494</v>
      </c>
    </row>
    <row r="5010">
      <c r="G5010" s="584"/>
      <c r="H5010" s="584"/>
      <c r="I5010" s="335" t="s">
        <v>3494</v>
      </c>
    </row>
    <row r="5011">
      <c r="G5011" s="584"/>
      <c r="H5011" s="584"/>
      <c r="I5011" s="335" t="s">
        <v>3494</v>
      </c>
    </row>
    <row r="5012">
      <c r="G5012" s="584"/>
      <c r="H5012" s="584"/>
      <c r="I5012" s="335" t="s">
        <v>3494</v>
      </c>
    </row>
    <row r="5013">
      <c r="G5013" s="584"/>
      <c r="H5013" s="584"/>
      <c r="I5013" s="335" t="s">
        <v>3494</v>
      </c>
    </row>
    <row r="5014">
      <c r="G5014" s="584"/>
      <c r="H5014" s="584"/>
      <c r="I5014" s="335" t="s">
        <v>3494</v>
      </c>
    </row>
    <row r="5015">
      <c r="G5015" s="584"/>
      <c r="H5015" s="584"/>
      <c r="I5015" s="335" t="s">
        <v>3494</v>
      </c>
    </row>
    <row r="5016">
      <c r="G5016" s="584"/>
      <c r="H5016" s="584"/>
      <c r="I5016" s="335" t="s">
        <v>3494</v>
      </c>
    </row>
    <row r="5017">
      <c r="G5017" s="584"/>
      <c r="H5017" s="584"/>
      <c r="I5017" s="335" t="s">
        <v>3494</v>
      </c>
    </row>
    <row r="5018">
      <c r="G5018" s="584"/>
      <c r="H5018" s="584"/>
      <c r="I5018" s="335" t="s">
        <v>3494</v>
      </c>
    </row>
    <row r="5019">
      <c r="G5019" s="584"/>
      <c r="H5019" s="584"/>
      <c r="I5019" s="335" t="s">
        <v>3494</v>
      </c>
    </row>
    <row r="5020">
      <c r="G5020" s="584"/>
      <c r="H5020" s="584"/>
      <c r="I5020" s="335" t="s">
        <v>3494</v>
      </c>
    </row>
    <row r="5021">
      <c r="G5021" s="584"/>
      <c r="H5021" s="584"/>
      <c r="I5021" s="335" t="s">
        <v>3494</v>
      </c>
    </row>
    <row r="5022">
      <c r="G5022" s="584"/>
      <c r="H5022" s="584"/>
      <c r="I5022" s="335" t="s">
        <v>3494</v>
      </c>
    </row>
    <row r="5023">
      <c r="G5023" s="584"/>
      <c r="H5023" s="584"/>
      <c r="I5023" s="335" t="s">
        <v>3494</v>
      </c>
    </row>
    <row r="5024">
      <c r="G5024" s="584"/>
      <c r="H5024" s="584"/>
      <c r="I5024" s="335" t="s">
        <v>3494</v>
      </c>
    </row>
    <row r="5025">
      <c r="G5025" s="584"/>
      <c r="H5025" s="584"/>
      <c r="I5025" s="335" t="s">
        <v>3494</v>
      </c>
    </row>
    <row r="5026">
      <c r="G5026" s="584"/>
      <c r="H5026" s="584"/>
      <c r="I5026" s="335" t="s">
        <v>3494</v>
      </c>
    </row>
    <row r="5027">
      <c r="G5027" s="584"/>
      <c r="H5027" s="584"/>
      <c r="I5027" s="335" t="s">
        <v>3494</v>
      </c>
    </row>
    <row r="5028">
      <c r="G5028" s="584"/>
      <c r="H5028" s="584"/>
      <c r="I5028" s="335" t="s">
        <v>3494</v>
      </c>
    </row>
    <row r="5029">
      <c r="G5029" s="584"/>
      <c r="H5029" s="584"/>
      <c r="I5029" s="335" t="s">
        <v>3494</v>
      </c>
    </row>
    <row r="5030">
      <c r="G5030" s="584"/>
      <c r="H5030" s="584"/>
      <c r="I5030" s="335" t="s">
        <v>3494</v>
      </c>
    </row>
    <row r="5031">
      <c r="G5031" s="584"/>
      <c r="H5031" s="584"/>
      <c r="I5031" s="335" t="s">
        <v>3494</v>
      </c>
    </row>
    <row r="5032">
      <c r="G5032" s="584"/>
      <c r="H5032" s="584"/>
      <c r="I5032" s="335" t="s">
        <v>3494</v>
      </c>
    </row>
    <row r="5033">
      <c r="G5033" s="584"/>
      <c r="H5033" s="584"/>
      <c r="I5033" s="335" t="s">
        <v>3494</v>
      </c>
    </row>
    <row r="5034">
      <c r="G5034" s="584"/>
      <c r="H5034" s="584"/>
      <c r="I5034" s="335" t="s">
        <v>3494</v>
      </c>
    </row>
    <row r="5035">
      <c r="G5035" s="584"/>
      <c r="H5035" s="584"/>
      <c r="I5035" s="335" t="s">
        <v>3494</v>
      </c>
    </row>
    <row r="5036">
      <c r="G5036" s="584"/>
      <c r="H5036" s="584"/>
      <c r="I5036" s="335" t="s">
        <v>3494</v>
      </c>
    </row>
    <row r="5037">
      <c r="G5037" s="584"/>
      <c r="H5037" s="584"/>
      <c r="I5037" s="335" t="s">
        <v>3494</v>
      </c>
    </row>
    <row r="5038">
      <c r="G5038" s="584"/>
      <c r="H5038" s="584"/>
      <c r="I5038" s="335" t="s">
        <v>3494</v>
      </c>
    </row>
    <row r="5039">
      <c r="G5039" s="584"/>
      <c r="H5039" s="584"/>
      <c r="I5039" s="335" t="s">
        <v>3494</v>
      </c>
    </row>
    <row r="5040">
      <c r="G5040" s="584"/>
      <c r="H5040" s="584"/>
      <c r="I5040" s="335" t="s">
        <v>3494</v>
      </c>
    </row>
    <row r="5041">
      <c r="G5041" s="584"/>
      <c r="H5041" s="584"/>
      <c r="I5041" s="335" t="s">
        <v>3494</v>
      </c>
    </row>
    <row r="5042">
      <c r="G5042" s="584"/>
      <c r="H5042" s="584"/>
      <c r="I5042" s="335" t="s">
        <v>3494</v>
      </c>
    </row>
    <row r="5043">
      <c r="G5043" s="584"/>
      <c r="H5043" s="584"/>
      <c r="I5043" s="335" t="s">
        <v>3494</v>
      </c>
    </row>
    <row r="5044">
      <c r="G5044" s="584"/>
      <c r="H5044" s="584"/>
      <c r="I5044" s="335" t="s">
        <v>3494</v>
      </c>
    </row>
    <row r="5045">
      <c r="G5045" s="584"/>
      <c r="H5045" s="584"/>
      <c r="I5045" s="335" t="s">
        <v>3494</v>
      </c>
    </row>
    <row r="5046">
      <c r="G5046" s="584"/>
      <c r="H5046" s="584"/>
      <c r="I5046" s="335" t="s">
        <v>3494</v>
      </c>
    </row>
    <row r="5047">
      <c r="G5047" s="584"/>
      <c r="H5047" s="584"/>
      <c r="I5047" s="335" t="s">
        <v>3494</v>
      </c>
    </row>
    <row r="5048">
      <c r="G5048" s="584"/>
      <c r="H5048" s="584"/>
      <c r="I5048" s="335" t="s">
        <v>3494</v>
      </c>
    </row>
    <row r="5049">
      <c r="G5049" s="584"/>
      <c r="H5049" s="584"/>
      <c r="I5049" s="335" t="s">
        <v>3494</v>
      </c>
    </row>
    <row r="5050">
      <c r="G5050" s="584"/>
      <c r="H5050" s="584"/>
      <c r="I5050" s="335" t="s">
        <v>3494</v>
      </c>
    </row>
    <row r="5051">
      <c r="G5051" s="584"/>
      <c r="H5051" s="584"/>
      <c r="I5051" s="335" t="s">
        <v>3494</v>
      </c>
    </row>
    <row r="5052">
      <c r="G5052" s="584"/>
      <c r="H5052" s="584"/>
      <c r="I5052" s="335" t="s">
        <v>3494</v>
      </c>
    </row>
    <row r="5053">
      <c r="G5053" s="584"/>
      <c r="H5053" s="584"/>
      <c r="I5053" s="335" t="s">
        <v>3494</v>
      </c>
    </row>
    <row r="5054">
      <c r="G5054" s="584"/>
      <c r="H5054" s="584"/>
      <c r="I5054" s="335" t="s">
        <v>3494</v>
      </c>
    </row>
    <row r="5055">
      <c r="G5055" s="584"/>
      <c r="H5055" s="584"/>
      <c r="I5055" s="335" t="s">
        <v>3494</v>
      </c>
    </row>
    <row r="5056">
      <c r="G5056" s="584"/>
      <c r="H5056" s="584"/>
      <c r="I5056" s="335" t="s">
        <v>3494</v>
      </c>
    </row>
    <row r="5057">
      <c r="G5057" s="584"/>
      <c r="H5057" s="584"/>
      <c r="I5057" s="335" t="s">
        <v>3494</v>
      </c>
    </row>
    <row r="5058">
      <c r="G5058" s="584"/>
      <c r="H5058" s="584"/>
      <c r="I5058" s="335" t="s">
        <v>3494</v>
      </c>
    </row>
    <row r="5059">
      <c r="G5059" s="584"/>
      <c r="H5059" s="584"/>
      <c r="I5059" s="335" t="s">
        <v>3494</v>
      </c>
    </row>
    <row r="5060">
      <c r="G5060" s="584"/>
      <c r="H5060" s="584"/>
      <c r="I5060" s="335" t="s">
        <v>3494</v>
      </c>
    </row>
    <row r="5061">
      <c r="G5061" s="584"/>
      <c r="H5061" s="584"/>
      <c r="I5061" s="335" t="s">
        <v>3494</v>
      </c>
    </row>
    <row r="5062">
      <c r="G5062" s="584"/>
      <c r="H5062" s="584"/>
      <c r="I5062" s="335" t="s">
        <v>3494</v>
      </c>
    </row>
    <row r="5063">
      <c r="G5063" s="584"/>
      <c r="H5063" s="584"/>
      <c r="I5063" s="335" t="s">
        <v>3494</v>
      </c>
    </row>
    <row r="5064">
      <c r="G5064" s="584"/>
      <c r="H5064" s="584"/>
      <c r="I5064" s="335" t="s">
        <v>3494</v>
      </c>
    </row>
    <row r="5065">
      <c r="G5065" s="584"/>
      <c r="H5065" s="584"/>
      <c r="I5065" s="335" t="s">
        <v>3494</v>
      </c>
    </row>
    <row r="5066">
      <c r="G5066" s="584"/>
      <c r="H5066" s="584"/>
      <c r="I5066" s="335" t="s">
        <v>3494</v>
      </c>
    </row>
    <row r="5067">
      <c r="G5067" s="584"/>
      <c r="H5067" s="584"/>
      <c r="I5067" s="335" t="s">
        <v>3494</v>
      </c>
    </row>
    <row r="5068">
      <c r="G5068" s="584"/>
      <c r="H5068" s="584"/>
      <c r="I5068" s="335" t="s">
        <v>3494</v>
      </c>
    </row>
    <row r="5069">
      <c r="G5069" s="584"/>
      <c r="H5069" s="584"/>
      <c r="I5069" s="335" t="s">
        <v>3494</v>
      </c>
    </row>
    <row r="5070">
      <c r="G5070" s="584"/>
      <c r="H5070" s="584"/>
      <c r="I5070" s="335" t="s">
        <v>3494</v>
      </c>
    </row>
    <row r="5071">
      <c r="G5071" s="584"/>
      <c r="H5071" s="584"/>
      <c r="I5071" s="335" t="s">
        <v>3494</v>
      </c>
    </row>
    <row r="5072">
      <c r="G5072" s="584"/>
      <c r="H5072" s="584"/>
      <c r="I5072" s="335" t="s">
        <v>3494</v>
      </c>
    </row>
    <row r="5073">
      <c r="G5073" s="584"/>
      <c r="H5073" s="584"/>
      <c r="I5073" s="335" t="s">
        <v>3494</v>
      </c>
    </row>
    <row r="5074">
      <c r="G5074" s="584"/>
      <c r="H5074" s="584"/>
      <c r="I5074" s="335" t="s">
        <v>3494</v>
      </c>
    </row>
    <row r="5075">
      <c r="G5075" s="584"/>
      <c r="H5075" s="584"/>
      <c r="I5075" s="335" t="s">
        <v>3494</v>
      </c>
    </row>
    <row r="5076">
      <c r="G5076" s="584"/>
      <c r="H5076" s="584"/>
      <c r="I5076" s="335" t="s">
        <v>3494</v>
      </c>
    </row>
    <row r="5077">
      <c r="G5077" s="584"/>
      <c r="H5077" s="584"/>
      <c r="I5077" s="335" t="s">
        <v>3494</v>
      </c>
    </row>
    <row r="5078">
      <c r="G5078" s="584"/>
      <c r="H5078" s="584"/>
      <c r="I5078" s="335" t="s">
        <v>3494</v>
      </c>
    </row>
    <row r="5079">
      <c r="G5079" s="584"/>
      <c r="H5079" s="584"/>
      <c r="I5079" s="335" t="s">
        <v>3494</v>
      </c>
    </row>
    <row r="5080">
      <c r="G5080" s="584"/>
      <c r="H5080" s="584"/>
      <c r="I5080" s="335" t="s">
        <v>3494</v>
      </c>
    </row>
    <row r="5081">
      <c r="G5081" s="584"/>
      <c r="H5081" s="584"/>
      <c r="I5081" s="335" t="s">
        <v>3494</v>
      </c>
    </row>
    <row r="5082">
      <c r="G5082" s="584"/>
      <c r="H5082" s="584"/>
      <c r="I5082" s="335" t="s">
        <v>3494</v>
      </c>
    </row>
    <row r="5083">
      <c r="G5083" s="584"/>
      <c r="H5083" s="584"/>
      <c r="I5083" s="335" t="s">
        <v>3494</v>
      </c>
    </row>
    <row r="5084">
      <c r="G5084" s="584"/>
      <c r="H5084" s="584"/>
      <c r="I5084" s="335" t="s">
        <v>3494</v>
      </c>
    </row>
    <row r="5085">
      <c r="G5085" s="584"/>
      <c r="H5085" s="584"/>
      <c r="I5085" s="335" t="s">
        <v>3494</v>
      </c>
    </row>
    <row r="5086">
      <c r="G5086" s="584"/>
      <c r="H5086" s="584"/>
      <c r="I5086" s="335" t="s">
        <v>3494</v>
      </c>
    </row>
    <row r="5087">
      <c r="G5087" s="584"/>
      <c r="H5087" s="584"/>
      <c r="I5087" s="335" t="s">
        <v>3494</v>
      </c>
    </row>
    <row r="5088">
      <c r="G5088" s="584"/>
      <c r="H5088" s="584"/>
      <c r="I5088" s="335" t="s">
        <v>3494</v>
      </c>
    </row>
    <row r="5089">
      <c r="G5089" s="584"/>
      <c r="H5089" s="584"/>
      <c r="I5089" s="335" t="s">
        <v>3494</v>
      </c>
    </row>
    <row r="5090">
      <c r="G5090" s="584"/>
      <c r="H5090" s="584"/>
      <c r="I5090" s="335" t="s">
        <v>3494</v>
      </c>
    </row>
    <row r="5091">
      <c r="G5091" s="584"/>
      <c r="H5091" s="584"/>
      <c r="I5091" s="335" t="s">
        <v>3494</v>
      </c>
    </row>
    <row r="5092">
      <c r="G5092" s="584"/>
      <c r="H5092" s="584"/>
      <c r="I5092" s="335" t="s">
        <v>3494</v>
      </c>
    </row>
    <row r="5093">
      <c r="G5093" s="584"/>
      <c r="H5093" s="584"/>
      <c r="I5093" s="335" t="s">
        <v>3494</v>
      </c>
    </row>
    <row r="5094">
      <c r="G5094" s="584"/>
      <c r="H5094" s="584"/>
      <c r="I5094" s="335" t="s">
        <v>3494</v>
      </c>
    </row>
    <row r="5095">
      <c r="G5095" s="584"/>
      <c r="H5095" s="584"/>
      <c r="I5095" s="335" t="s">
        <v>3494</v>
      </c>
    </row>
    <row r="5096">
      <c r="G5096" s="584"/>
      <c r="H5096" s="584"/>
      <c r="I5096" s="335" t="s">
        <v>3494</v>
      </c>
    </row>
    <row r="5097">
      <c r="G5097" s="584"/>
      <c r="H5097" s="584"/>
      <c r="I5097" s="335" t="s">
        <v>3494</v>
      </c>
    </row>
    <row r="5098">
      <c r="G5098" s="584"/>
      <c r="H5098" s="584"/>
      <c r="I5098" s="335" t="s">
        <v>3494</v>
      </c>
    </row>
    <row r="5099">
      <c r="G5099" s="584"/>
      <c r="H5099" s="584"/>
      <c r="I5099" s="335" t="s">
        <v>3494</v>
      </c>
    </row>
    <row r="5100">
      <c r="G5100" s="584"/>
      <c r="H5100" s="584"/>
      <c r="I5100" s="335" t="s">
        <v>3494</v>
      </c>
    </row>
    <row r="5101">
      <c r="G5101" s="584"/>
      <c r="H5101" s="584"/>
      <c r="I5101" s="335" t="s">
        <v>3494</v>
      </c>
    </row>
    <row r="5102">
      <c r="G5102" s="584"/>
      <c r="H5102" s="584"/>
      <c r="I5102" s="335" t="s">
        <v>3494</v>
      </c>
    </row>
    <row r="5103">
      <c r="G5103" s="584"/>
      <c r="H5103" s="584"/>
      <c r="I5103" s="335" t="s">
        <v>3494</v>
      </c>
    </row>
    <row r="5104">
      <c r="G5104" s="584"/>
      <c r="H5104" s="584"/>
      <c r="I5104" s="335" t="s">
        <v>3494</v>
      </c>
    </row>
    <row r="5105">
      <c r="G5105" s="584"/>
      <c r="H5105" s="584"/>
      <c r="I5105" s="335" t="s">
        <v>3494</v>
      </c>
    </row>
    <row r="5106">
      <c r="G5106" s="584"/>
      <c r="H5106" s="584"/>
      <c r="I5106" s="335" t="s">
        <v>3494</v>
      </c>
    </row>
    <row r="5107">
      <c r="G5107" s="584"/>
      <c r="H5107" s="584"/>
      <c r="I5107" s="335" t="s">
        <v>3494</v>
      </c>
    </row>
    <row r="5108">
      <c r="G5108" s="584"/>
      <c r="H5108" s="584"/>
      <c r="I5108" s="335" t="s">
        <v>3494</v>
      </c>
    </row>
    <row r="5109">
      <c r="G5109" s="584"/>
      <c r="H5109" s="584"/>
      <c r="I5109" s="335" t="s">
        <v>3494</v>
      </c>
    </row>
    <row r="5110">
      <c r="G5110" s="584"/>
      <c r="H5110" s="584"/>
      <c r="I5110" s="335" t="s">
        <v>3494</v>
      </c>
    </row>
    <row r="5111">
      <c r="G5111" s="584"/>
      <c r="H5111" s="584"/>
      <c r="I5111" s="335" t="s">
        <v>3494</v>
      </c>
    </row>
    <row r="5112">
      <c r="G5112" s="584"/>
      <c r="H5112" s="584"/>
      <c r="I5112" s="335" t="s">
        <v>3494</v>
      </c>
    </row>
    <row r="5113">
      <c r="G5113" s="584"/>
      <c r="H5113" s="584"/>
      <c r="I5113" s="335" t="s">
        <v>3494</v>
      </c>
    </row>
    <row r="5114">
      <c r="G5114" s="584"/>
      <c r="H5114" s="584"/>
      <c r="I5114" s="335" t="s">
        <v>3494</v>
      </c>
    </row>
    <row r="5115">
      <c r="G5115" s="584"/>
      <c r="H5115" s="584"/>
      <c r="I5115" s="335" t="s">
        <v>3494</v>
      </c>
    </row>
    <row r="5116">
      <c r="G5116" s="584"/>
      <c r="H5116" s="584"/>
      <c r="I5116" s="335" t="s">
        <v>3494</v>
      </c>
    </row>
    <row r="5117">
      <c r="G5117" s="584"/>
      <c r="H5117" s="584"/>
      <c r="I5117" s="335" t="s">
        <v>3494</v>
      </c>
    </row>
    <row r="5118">
      <c r="G5118" s="584"/>
      <c r="H5118" s="584"/>
      <c r="I5118" s="335" t="s">
        <v>3494</v>
      </c>
    </row>
    <row r="5119">
      <c r="G5119" s="584"/>
      <c r="H5119" s="584"/>
      <c r="I5119" s="335" t="s">
        <v>3494</v>
      </c>
    </row>
    <row r="5120">
      <c r="G5120" s="584"/>
      <c r="H5120" s="584"/>
      <c r="I5120" s="335" t="s">
        <v>3494</v>
      </c>
    </row>
    <row r="5121">
      <c r="G5121" s="584"/>
      <c r="H5121" s="584"/>
      <c r="I5121" s="335" t="s">
        <v>3494</v>
      </c>
    </row>
    <row r="5122">
      <c r="G5122" s="584"/>
      <c r="H5122" s="584"/>
      <c r="I5122" s="335" t="s">
        <v>3494</v>
      </c>
    </row>
    <row r="5123">
      <c r="G5123" s="584"/>
      <c r="H5123" s="584"/>
      <c r="I5123" s="335" t="s">
        <v>3494</v>
      </c>
    </row>
    <row r="5124">
      <c r="G5124" s="584"/>
      <c r="H5124" s="584"/>
      <c r="I5124" s="335" t="s">
        <v>3494</v>
      </c>
    </row>
    <row r="5125">
      <c r="G5125" s="584"/>
      <c r="H5125" s="584"/>
      <c r="I5125" s="335" t="s">
        <v>3494</v>
      </c>
    </row>
    <row r="5126">
      <c r="G5126" s="584"/>
      <c r="H5126" s="584"/>
      <c r="I5126" s="335" t="s">
        <v>3494</v>
      </c>
    </row>
    <row r="5127">
      <c r="G5127" s="584"/>
      <c r="H5127" s="584"/>
      <c r="I5127" s="335" t="s">
        <v>3494</v>
      </c>
    </row>
    <row r="5128">
      <c r="G5128" s="584"/>
      <c r="H5128" s="584"/>
      <c r="I5128" s="335" t="s">
        <v>3494</v>
      </c>
    </row>
    <row r="5129">
      <c r="G5129" s="584"/>
      <c r="H5129" s="584"/>
      <c r="I5129" s="335" t="s">
        <v>3494</v>
      </c>
    </row>
    <row r="5130">
      <c r="G5130" s="584"/>
      <c r="H5130" s="584"/>
      <c r="I5130" s="335" t="s">
        <v>3494</v>
      </c>
    </row>
    <row r="5131">
      <c r="G5131" s="584"/>
      <c r="H5131" s="584"/>
      <c r="I5131" s="335" t="s">
        <v>3494</v>
      </c>
    </row>
    <row r="5132">
      <c r="G5132" s="584"/>
      <c r="H5132" s="584"/>
      <c r="I5132" s="335" t="s">
        <v>3494</v>
      </c>
    </row>
    <row r="5133">
      <c r="G5133" s="584"/>
      <c r="H5133" s="584"/>
      <c r="I5133" s="335" t="s">
        <v>3494</v>
      </c>
    </row>
    <row r="5134">
      <c r="G5134" s="584"/>
      <c r="H5134" s="584"/>
      <c r="I5134" s="335" t="s">
        <v>3494</v>
      </c>
    </row>
    <row r="5135">
      <c r="G5135" s="584"/>
      <c r="H5135" s="584"/>
      <c r="I5135" s="335" t="s">
        <v>3494</v>
      </c>
    </row>
    <row r="5136">
      <c r="G5136" s="584"/>
      <c r="H5136" s="584"/>
      <c r="I5136" s="335" t="s">
        <v>3494</v>
      </c>
    </row>
    <row r="5137">
      <c r="G5137" s="584"/>
      <c r="H5137" s="584"/>
      <c r="I5137" s="335" t="s">
        <v>3494</v>
      </c>
    </row>
    <row r="5138">
      <c r="G5138" s="584"/>
      <c r="H5138" s="584"/>
      <c r="I5138" s="335" t="s">
        <v>3494</v>
      </c>
    </row>
    <row r="5139">
      <c r="G5139" s="584"/>
      <c r="H5139" s="584"/>
      <c r="I5139" s="335" t="s">
        <v>3494</v>
      </c>
    </row>
    <row r="5140">
      <c r="G5140" s="584"/>
      <c r="H5140" s="584"/>
      <c r="I5140" s="335" t="s">
        <v>3494</v>
      </c>
    </row>
    <row r="5141">
      <c r="G5141" s="584"/>
      <c r="H5141" s="584"/>
      <c r="I5141" s="335" t="s">
        <v>3494</v>
      </c>
    </row>
    <row r="5142">
      <c r="G5142" s="584"/>
      <c r="H5142" s="584"/>
      <c r="I5142" s="335" t="s">
        <v>3494</v>
      </c>
    </row>
    <row r="5143">
      <c r="G5143" s="584"/>
      <c r="H5143" s="584"/>
      <c r="I5143" s="335" t="s">
        <v>3494</v>
      </c>
    </row>
    <row r="5144">
      <c r="G5144" s="584"/>
      <c r="H5144" s="584"/>
      <c r="I5144" s="335" t="s">
        <v>3494</v>
      </c>
    </row>
    <row r="5145">
      <c r="G5145" s="584"/>
      <c r="H5145" s="584"/>
      <c r="I5145" s="335" t="s">
        <v>3494</v>
      </c>
    </row>
    <row r="5146">
      <c r="G5146" s="584"/>
      <c r="H5146" s="584"/>
      <c r="I5146" s="335" t="s">
        <v>3494</v>
      </c>
    </row>
    <row r="5147">
      <c r="G5147" s="584"/>
      <c r="H5147" s="584"/>
      <c r="I5147" s="335" t="s">
        <v>3494</v>
      </c>
    </row>
    <row r="5148">
      <c r="G5148" s="584"/>
      <c r="H5148" s="584"/>
      <c r="I5148" s="335" t="s">
        <v>3494</v>
      </c>
    </row>
    <row r="5149">
      <c r="G5149" s="584"/>
      <c r="H5149" s="584"/>
      <c r="I5149" s="335" t="s">
        <v>3494</v>
      </c>
    </row>
    <row r="5150">
      <c r="G5150" s="584"/>
      <c r="H5150" s="584"/>
      <c r="I5150" s="335" t="s">
        <v>3494</v>
      </c>
    </row>
    <row r="5151">
      <c r="G5151" s="584"/>
      <c r="H5151" s="584"/>
      <c r="I5151" s="335" t="s">
        <v>3494</v>
      </c>
    </row>
    <row r="5152">
      <c r="G5152" s="584"/>
      <c r="H5152" s="584"/>
      <c r="I5152" s="335" t="s">
        <v>3494</v>
      </c>
    </row>
    <row r="5153">
      <c r="G5153" s="584"/>
      <c r="H5153" s="584"/>
      <c r="I5153" s="335" t="s">
        <v>3494</v>
      </c>
    </row>
    <row r="5154">
      <c r="G5154" s="584"/>
      <c r="H5154" s="584"/>
      <c r="I5154" s="335" t="s">
        <v>3494</v>
      </c>
    </row>
    <row r="5155">
      <c r="G5155" s="584"/>
      <c r="H5155" s="584"/>
      <c r="I5155" s="335" t="s">
        <v>3494</v>
      </c>
    </row>
    <row r="5156">
      <c r="G5156" s="584"/>
      <c r="H5156" s="584"/>
      <c r="I5156" s="335" t="s">
        <v>3494</v>
      </c>
    </row>
    <row r="5157">
      <c r="G5157" s="584"/>
      <c r="H5157" s="584"/>
      <c r="I5157" s="335" t="s">
        <v>3494</v>
      </c>
    </row>
    <row r="5158">
      <c r="G5158" s="584"/>
      <c r="H5158" s="584"/>
      <c r="I5158" s="335" t="s">
        <v>3494</v>
      </c>
    </row>
    <row r="5159">
      <c r="G5159" s="584"/>
      <c r="H5159" s="584"/>
      <c r="I5159" s="335" t="s">
        <v>3494</v>
      </c>
    </row>
    <row r="5160">
      <c r="G5160" s="584"/>
      <c r="H5160" s="584"/>
      <c r="I5160" s="335" t="s">
        <v>3494</v>
      </c>
    </row>
    <row r="5161">
      <c r="G5161" s="584"/>
      <c r="H5161" s="584"/>
      <c r="I5161" s="335" t="s">
        <v>3494</v>
      </c>
    </row>
    <row r="5162">
      <c r="G5162" s="584"/>
      <c r="H5162" s="584"/>
      <c r="I5162" s="335" t="s">
        <v>3494</v>
      </c>
    </row>
    <row r="5163">
      <c r="G5163" s="584"/>
      <c r="H5163" s="584"/>
      <c r="I5163" s="335" t="s">
        <v>3494</v>
      </c>
    </row>
    <row r="5164">
      <c r="G5164" s="584"/>
      <c r="H5164" s="584"/>
      <c r="I5164" s="335" t="s">
        <v>3494</v>
      </c>
    </row>
    <row r="5165">
      <c r="G5165" s="584"/>
      <c r="H5165" s="584"/>
      <c r="I5165" s="335" t="s">
        <v>3494</v>
      </c>
    </row>
    <row r="5166">
      <c r="G5166" s="584"/>
      <c r="H5166" s="584"/>
      <c r="I5166" s="335" t="s">
        <v>3494</v>
      </c>
    </row>
    <row r="5167">
      <c r="G5167" s="584"/>
      <c r="H5167" s="584"/>
      <c r="I5167" s="335" t="s">
        <v>3494</v>
      </c>
    </row>
    <row r="5168">
      <c r="G5168" s="584"/>
      <c r="H5168" s="584"/>
      <c r="I5168" s="335" t="s">
        <v>3494</v>
      </c>
    </row>
    <row r="5169">
      <c r="G5169" s="584"/>
      <c r="H5169" s="584"/>
      <c r="I5169" s="335" t="s">
        <v>3494</v>
      </c>
    </row>
    <row r="5170">
      <c r="G5170" s="584"/>
      <c r="H5170" s="584"/>
      <c r="I5170" s="335" t="s">
        <v>3494</v>
      </c>
    </row>
    <row r="5171">
      <c r="G5171" s="584"/>
      <c r="H5171" s="584"/>
      <c r="I5171" s="335" t="s">
        <v>3494</v>
      </c>
    </row>
    <row r="5172">
      <c r="G5172" s="584"/>
      <c r="H5172" s="584"/>
      <c r="I5172" s="335" t="s">
        <v>3494</v>
      </c>
    </row>
    <row r="5173">
      <c r="G5173" s="584"/>
      <c r="H5173" s="584"/>
      <c r="I5173" s="335" t="s">
        <v>3494</v>
      </c>
    </row>
    <row r="5174">
      <c r="G5174" s="584"/>
      <c r="H5174" s="584"/>
      <c r="I5174" s="335" t="s">
        <v>3494</v>
      </c>
    </row>
    <row r="5175">
      <c r="G5175" s="584"/>
      <c r="H5175" s="584"/>
      <c r="I5175" s="335" t="s">
        <v>3494</v>
      </c>
    </row>
    <row r="5176">
      <c r="G5176" s="584"/>
      <c r="H5176" s="584"/>
      <c r="I5176" s="335" t="s">
        <v>3494</v>
      </c>
    </row>
    <row r="5177">
      <c r="G5177" s="584"/>
      <c r="H5177" s="584"/>
      <c r="I5177" s="335" t="s">
        <v>3494</v>
      </c>
    </row>
    <row r="5178">
      <c r="G5178" s="584"/>
      <c r="H5178" s="584"/>
      <c r="I5178" s="335" t="s">
        <v>3494</v>
      </c>
    </row>
    <row r="5179">
      <c r="G5179" s="584"/>
      <c r="H5179" s="584"/>
      <c r="I5179" s="335" t="s">
        <v>3494</v>
      </c>
    </row>
    <row r="5180">
      <c r="G5180" s="584"/>
      <c r="H5180" s="584"/>
      <c r="I5180" s="335" t="s">
        <v>3494</v>
      </c>
    </row>
    <row r="5181">
      <c r="G5181" s="584"/>
      <c r="H5181" s="584"/>
      <c r="I5181" s="335" t="s">
        <v>3494</v>
      </c>
    </row>
    <row r="5182">
      <c r="G5182" s="584"/>
      <c r="H5182" s="584"/>
      <c r="I5182" s="335" t="s">
        <v>3494</v>
      </c>
    </row>
    <row r="5183">
      <c r="G5183" s="584"/>
      <c r="H5183" s="584"/>
      <c r="I5183" s="335" t="s">
        <v>3494</v>
      </c>
    </row>
    <row r="5184">
      <c r="G5184" s="584"/>
      <c r="H5184" s="584"/>
      <c r="I5184" s="335" t="s">
        <v>3494</v>
      </c>
    </row>
    <row r="5185">
      <c r="G5185" s="584"/>
      <c r="H5185" s="584"/>
      <c r="I5185" s="335" t="s">
        <v>3494</v>
      </c>
    </row>
    <row r="5186">
      <c r="G5186" s="584"/>
      <c r="H5186" s="584"/>
      <c r="I5186" s="335" t="s">
        <v>3494</v>
      </c>
    </row>
    <row r="5187">
      <c r="G5187" s="584"/>
      <c r="H5187" s="584"/>
      <c r="I5187" s="335" t="s">
        <v>3494</v>
      </c>
    </row>
    <row r="5188">
      <c r="G5188" s="584"/>
      <c r="H5188" s="584"/>
      <c r="I5188" s="335" t="s">
        <v>3494</v>
      </c>
    </row>
    <row r="5189">
      <c r="G5189" s="584"/>
      <c r="H5189" s="584"/>
      <c r="I5189" s="335" t="s">
        <v>3494</v>
      </c>
    </row>
    <row r="5190">
      <c r="G5190" s="584"/>
      <c r="H5190" s="584"/>
      <c r="I5190" s="335" t="s">
        <v>3494</v>
      </c>
    </row>
    <row r="5191">
      <c r="G5191" s="584"/>
      <c r="H5191" s="584"/>
      <c r="I5191" s="335" t="s">
        <v>3494</v>
      </c>
    </row>
    <row r="5192">
      <c r="G5192" s="584"/>
      <c r="H5192" s="584"/>
      <c r="I5192" s="335" t="s">
        <v>3494</v>
      </c>
    </row>
    <row r="5193">
      <c r="G5193" s="584"/>
      <c r="H5193" s="584"/>
      <c r="I5193" s="335" t="s">
        <v>3494</v>
      </c>
    </row>
    <row r="5194">
      <c r="G5194" s="584"/>
      <c r="H5194" s="584"/>
      <c r="I5194" s="335" t="s">
        <v>3494</v>
      </c>
    </row>
    <row r="5195">
      <c r="G5195" s="584"/>
      <c r="H5195" s="584"/>
      <c r="I5195" s="335" t="s">
        <v>3494</v>
      </c>
    </row>
    <row r="5196">
      <c r="G5196" s="584"/>
      <c r="H5196" s="584"/>
      <c r="I5196" s="335" t="s">
        <v>3494</v>
      </c>
    </row>
    <row r="5197">
      <c r="G5197" s="584"/>
      <c r="H5197" s="584"/>
      <c r="I5197" s="335" t="s">
        <v>3494</v>
      </c>
    </row>
    <row r="5198">
      <c r="G5198" s="584"/>
      <c r="H5198" s="584"/>
      <c r="I5198" s="335" t="s">
        <v>3494</v>
      </c>
    </row>
    <row r="5199">
      <c r="G5199" s="584"/>
      <c r="H5199" s="584"/>
      <c r="I5199" s="335" t="s">
        <v>3494</v>
      </c>
    </row>
    <row r="5200">
      <c r="G5200" s="584"/>
      <c r="H5200" s="584"/>
      <c r="I5200" s="335" t="s">
        <v>3494</v>
      </c>
    </row>
    <row r="5201">
      <c r="G5201" s="584"/>
      <c r="H5201" s="584"/>
      <c r="I5201" s="335" t="s">
        <v>3494</v>
      </c>
    </row>
    <row r="5202">
      <c r="G5202" s="584"/>
      <c r="H5202" s="584"/>
      <c r="I5202" s="335" t="s">
        <v>3494</v>
      </c>
    </row>
    <row r="5203">
      <c r="G5203" s="584"/>
      <c r="H5203" s="584"/>
      <c r="I5203" s="335" t="s">
        <v>3494</v>
      </c>
    </row>
    <row r="5204">
      <c r="G5204" s="584"/>
      <c r="H5204" s="584"/>
      <c r="I5204" s="335" t="s">
        <v>3494</v>
      </c>
    </row>
    <row r="5205">
      <c r="G5205" s="584"/>
      <c r="H5205" s="584"/>
      <c r="I5205" s="335" t="s">
        <v>3494</v>
      </c>
    </row>
    <row r="5206">
      <c r="G5206" s="584"/>
      <c r="H5206" s="584"/>
      <c r="I5206" s="335" t="s">
        <v>3494</v>
      </c>
    </row>
    <row r="5207">
      <c r="G5207" s="584"/>
      <c r="H5207" s="584"/>
      <c r="I5207" s="335" t="s">
        <v>3494</v>
      </c>
    </row>
    <row r="5208">
      <c r="G5208" s="584"/>
      <c r="H5208" s="584"/>
      <c r="I5208" s="335" t="s">
        <v>3494</v>
      </c>
    </row>
    <row r="5209">
      <c r="G5209" s="584"/>
      <c r="H5209" s="584"/>
      <c r="I5209" s="335" t="s">
        <v>3494</v>
      </c>
    </row>
    <row r="5210">
      <c r="G5210" s="584"/>
      <c r="H5210" s="584"/>
      <c r="I5210" s="335" t="s">
        <v>3494</v>
      </c>
    </row>
    <row r="5211">
      <c r="G5211" s="584"/>
      <c r="H5211" s="584"/>
      <c r="I5211" s="335" t="s">
        <v>3494</v>
      </c>
    </row>
    <row r="5212">
      <c r="G5212" s="584"/>
      <c r="H5212" s="584"/>
      <c r="I5212" s="335" t="s">
        <v>3494</v>
      </c>
    </row>
    <row r="5213">
      <c r="G5213" s="584"/>
      <c r="H5213" s="584"/>
      <c r="I5213" s="335" t="s">
        <v>3494</v>
      </c>
    </row>
    <row r="5214">
      <c r="G5214" s="584"/>
      <c r="H5214" s="584"/>
      <c r="I5214" s="335" t="s">
        <v>3494</v>
      </c>
    </row>
    <row r="5215">
      <c r="G5215" s="584"/>
      <c r="H5215" s="584"/>
      <c r="I5215" s="335" t="s">
        <v>3494</v>
      </c>
    </row>
    <row r="5216">
      <c r="G5216" s="584"/>
      <c r="H5216" s="584"/>
      <c r="I5216" s="335" t="s">
        <v>3494</v>
      </c>
    </row>
    <row r="5217">
      <c r="G5217" s="584"/>
      <c r="H5217" s="584"/>
      <c r="I5217" s="335" t="s">
        <v>3494</v>
      </c>
    </row>
    <row r="5218">
      <c r="G5218" s="584"/>
      <c r="H5218" s="584"/>
      <c r="I5218" s="335" t="s">
        <v>3494</v>
      </c>
    </row>
    <row r="5219">
      <c r="G5219" s="584"/>
      <c r="H5219" s="584"/>
      <c r="I5219" s="335" t="s">
        <v>3494</v>
      </c>
    </row>
    <row r="5220">
      <c r="G5220" s="584"/>
      <c r="H5220" s="584"/>
      <c r="I5220" s="335" t="s">
        <v>3494</v>
      </c>
    </row>
    <row r="5221">
      <c r="G5221" s="584"/>
      <c r="H5221" s="584"/>
      <c r="I5221" s="335" t="s">
        <v>3494</v>
      </c>
    </row>
    <row r="5222">
      <c r="G5222" s="584"/>
      <c r="H5222" s="584"/>
      <c r="I5222" s="335" t="s">
        <v>3494</v>
      </c>
    </row>
    <row r="5223">
      <c r="G5223" s="584"/>
      <c r="H5223" s="584"/>
      <c r="I5223" s="335" t="s">
        <v>3494</v>
      </c>
    </row>
    <row r="5224">
      <c r="G5224" s="584"/>
      <c r="H5224" s="584"/>
      <c r="I5224" s="335" t="s">
        <v>3494</v>
      </c>
    </row>
    <row r="5225">
      <c r="G5225" s="584"/>
      <c r="H5225" s="584"/>
      <c r="I5225" s="335" t="s">
        <v>3494</v>
      </c>
    </row>
    <row r="5226">
      <c r="G5226" s="584"/>
      <c r="H5226" s="584"/>
      <c r="I5226" s="335" t="s">
        <v>3494</v>
      </c>
    </row>
    <row r="5227">
      <c r="G5227" s="584"/>
      <c r="H5227" s="584"/>
      <c r="I5227" s="335" t="s">
        <v>3494</v>
      </c>
    </row>
    <row r="5228">
      <c r="G5228" s="584"/>
      <c r="H5228" s="584"/>
      <c r="I5228" s="335" t="s">
        <v>3494</v>
      </c>
    </row>
    <row r="5229">
      <c r="G5229" s="584"/>
      <c r="H5229" s="584"/>
      <c r="I5229" s="335" t="s">
        <v>3494</v>
      </c>
    </row>
    <row r="5230">
      <c r="G5230" s="584"/>
      <c r="H5230" s="584"/>
      <c r="I5230" s="335" t="s">
        <v>3494</v>
      </c>
    </row>
    <row r="5231">
      <c r="G5231" s="584"/>
      <c r="H5231" s="584"/>
      <c r="I5231" s="335" t="s">
        <v>3494</v>
      </c>
    </row>
    <row r="5232">
      <c r="G5232" s="584"/>
      <c r="H5232" s="584"/>
      <c r="I5232" s="335" t="s">
        <v>3494</v>
      </c>
    </row>
    <row r="5233">
      <c r="G5233" s="584"/>
      <c r="H5233" s="584"/>
      <c r="I5233" s="335" t="s">
        <v>3494</v>
      </c>
    </row>
    <row r="5234">
      <c r="G5234" s="584"/>
      <c r="H5234" s="584"/>
      <c r="I5234" s="335" t="s">
        <v>3494</v>
      </c>
    </row>
    <row r="5235">
      <c r="G5235" s="584"/>
      <c r="H5235" s="584"/>
      <c r="I5235" s="335" t="s">
        <v>3494</v>
      </c>
    </row>
    <row r="5236">
      <c r="G5236" s="584"/>
      <c r="H5236" s="584"/>
      <c r="I5236" s="335" t="s">
        <v>3494</v>
      </c>
    </row>
    <row r="5237">
      <c r="G5237" s="584"/>
      <c r="H5237" s="584"/>
      <c r="I5237" s="335" t="s">
        <v>3494</v>
      </c>
    </row>
    <row r="5238">
      <c r="G5238" s="584"/>
      <c r="H5238" s="584"/>
      <c r="I5238" s="335" t="s">
        <v>3494</v>
      </c>
    </row>
    <row r="5239">
      <c r="G5239" s="584"/>
      <c r="H5239" s="584"/>
      <c r="I5239" s="335" t="s">
        <v>3494</v>
      </c>
    </row>
    <row r="5240">
      <c r="G5240" s="584"/>
      <c r="H5240" s="584"/>
      <c r="I5240" s="335" t="s">
        <v>3494</v>
      </c>
    </row>
    <row r="5241">
      <c r="G5241" s="584"/>
      <c r="H5241" s="584"/>
      <c r="I5241" s="335" t="s">
        <v>3494</v>
      </c>
    </row>
    <row r="5242">
      <c r="G5242" s="584"/>
      <c r="H5242" s="584"/>
      <c r="I5242" s="335" t="s">
        <v>3494</v>
      </c>
    </row>
    <row r="5243">
      <c r="G5243" s="584"/>
      <c r="H5243" s="584"/>
      <c r="I5243" s="335" t="s">
        <v>3494</v>
      </c>
    </row>
    <row r="5244">
      <c r="G5244" s="584"/>
      <c r="H5244" s="584"/>
      <c r="I5244" s="335" t="s">
        <v>3494</v>
      </c>
    </row>
    <row r="5245">
      <c r="G5245" s="584"/>
      <c r="H5245" s="584"/>
      <c r="I5245" s="335" t="s">
        <v>3494</v>
      </c>
    </row>
    <row r="5246">
      <c r="G5246" s="584"/>
      <c r="H5246" s="584"/>
      <c r="I5246" s="335" t="s">
        <v>3494</v>
      </c>
    </row>
    <row r="5247">
      <c r="G5247" s="584"/>
      <c r="H5247" s="584"/>
      <c r="I5247" s="335" t="s">
        <v>3494</v>
      </c>
    </row>
    <row r="5248">
      <c r="G5248" s="584"/>
      <c r="H5248" s="584"/>
      <c r="I5248" s="335" t="s">
        <v>3494</v>
      </c>
    </row>
    <row r="5249">
      <c r="G5249" s="584"/>
      <c r="H5249" s="584"/>
      <c r="I5249" s="335" t="s">
        <v>3494</v>
      </c>
    </row>
    <row r="5250">
      <c r="G5250" s="584"/>
      <c r="H5250" s="584"/>
      <c r="I5250" s="335" t="s">
        <v>3494</v>
      </c>
    </row>
    <row r="5251">
      <c r="G5251" s="584"/>
      <c r="H5251" s="584"/>
      <c r="I5251" s="335" t="s">
        <v>3494</v>
      </c>
    </row>
    <row r="5252">
      <c r="G5252" s="584"/>
      <c r="H5252" s="584"/>
      <c r="I5252" s="335" t="s">
        <v>3494</v>
      </c>
    </row>
    <row r="5253">
      <c r="G5253" s="584"/>
      <c r="H5253" s="584"/>
      <c r="I5253" s="335" t="s">
        <v>3494</v>
      </c>
    </row>
    <row r="5254">
      <c r="G5254" s="584"/>
      <c r="H5254" s="584"/>
      <c r="I5254" s="335" t="s">
        <v>3494</v>
      </c>
    </row>
    <row r="5255">
      <c r="G5255" s="584"/>
      <c r="H5255" s="584"/>
      <c r="I5255" s="335" t="s">
        <v>3494</v>
      </c>
    </row>
    <row r="5256">
      <c r="G5256" s="584"/>
      <c r="H5256" s="584"/>
      <c r="I5256" s="335" t="s">
        <v>3494</v>
      </c>
    </row>
    <row r="5257">
      <c r="G5257" s="584"/>
      <c r="H5257" s="584"/>
      <c r="I5257" s="335" t="s">
        <v>3494</v>
      </c>
    </row>
    <row r="5258">
      <c r="G5258" s="584"/>
      <c r="H5258" s="584"/>
      <c r="I5258" s="335" t="s">
        <v>3494</v>
      </c>
    </row>
    <row r="5259">
      <c r="G5259" s="584"/>
      <c r="H5259" s="584"/>
      <c r="I5259" s="335" t="s">
        <v>3494</v>
      </c>
    </row>
    <row r="5260">
      <c r="G5260" s="584"/>
      <c r="H5260" s="584"/>
      <c r="I5260" s="335" t="s">
        <v>3494</v>
      </c>
    </row>
    <row r="5261">
      <c r="G5261" s="584"/>
      <c r="H5261" s="584"/>
      <c r="I5261" s="335" t="s">
        <v>3494</v>
      </c>
    </row>
    <row r="5262">
      <c r="G5262" s="584"/>
      <c r="H5262" s="584"/>
      <c r="I5262" s="335" t="s">
        <v>3494</v>
      </c>
    </row>
    <row r="5263">
      <c r="G5263" s="584"/>
      <c r="H5263" s="584"/>
      <c r="I5263" s="335" t="s">
        <v>3494</v>
      </c>
    </row>
    <row r="5264">
      <c r="G5264" s="584"/>
      <c r="H5264" s="584"/>
      <c r="I5264" s="335" t="s">
        <v>3494</v>
      </c>
    </row>
    <row r="5265">
      <c r="G5265" s="584"/>
      <c r="H5265" s="584"/>
      <c r="I5265" s="335" t="s">
        <v>3494</v>
      </c>
    </row>
    <row r="5266">
      <c r="G5266" s="584"/>
      <c r="H5266" s="584"/>
      <c r="I5266" s="335" t="s">
        <v>3494</v>
      </c>
    </row>
    <row r="5267">
      <c r="G5267" s="584"/>
      <c r="H5267" s="584"/>
      <c r="I5267" s="335" t="s">
        <v>3494</v>
      </c>
    </row>
    <row r="5268">
      <c r="G5268" s="584"/>
      <c r="H5268" s="584"/>
      <c r="I5268" s="335" t="s">
        <v>3494</v>
      </c>
    </row>
    <row r="5269">
      <c r="G5269" s="584"/>
      <c r="H5269" s="584"/>
      <c r="I5269" s="335" t="s">
        <v>3494</v>
      </c>
    </row>
    <row r="5270">
      <c r="G5270" s="584"/>
      <c r="H5270" s="584"/>
      <c r="I5270" s="335" t="s">
        <v>3494</v>
      </c>
    </row>
    <row r="5271">
      <c r="G5271" s="584"/>
      <c r="H5271" s="584"/>
      <c r="I5271" s="335" t="s">
        <v>3494</v>
      </c>
    </row>
    <row r="5272">
      <c r="G5272" s="584"/>
      <c r="H5272" s="584"/>
      <c r="I5272" s="335" t="s">
        <v>3494</v>
      </c>
    </row>
    <row r="5273">
      <c r="G5273" s="584"/>
      <c r="H5273" s="584"/>
      <c r="I5273" s="335" t="s">
        <v>3494</v>
      </c>
    </row>
    <row r="5274">
      <c r="G5274" s="584"/>
      <c r="H5274" s="584"/>
      <c r="I5274" s="335" t="s">
        <v>3494</v>
      </c>
    </row>
    <row r="5275">
      <c r="G5275" s="584"/>
      <c r="H5275" s="584"/>
      <c r="I5275" s="335" t="s">
        <v>3494</v>
      </c>
    </row>
    <row r="5276">
      <c r="G5276" s="584"/>
      <c r="H5276" s="584"/>
      <c r="I5276" s="335" t="s">
        <v>3494</v>
      </c>
    </row>
    <row r="5277">
      <c r="G5277" s="584"/>
      <c r="H5277" s="584"/>
      <c r="I5277" s="335" t="s">
        <v>3494</v>
      </c>
    </row>
    <row r="5278">
      <c r="G5278" s="584"/>
      <c r="H5278" s="584"/>
      <c r="I5278" s="335" t="s">
        <v>3494</v>
      </c>
    </row>
    <row r="5279">
      <c r="G5279" s="584"/>
      <c r="H5279" s="584"/>
      <c r="I5279" s="335" t="s">
        <v>3494</v>
      </c>
    </row>
    <row r="5280">
      <c r="G5280" s="584"/>
      <c r="H5280" s="584"/>
      <c r="I5280" s="335" t="s">
        <v>3494</v>
      </c>
    </row>
    <row r="5281">
      <c r="G5281" s="584"/>
      <c r="H5281" s="584"/>
      <c r="I5281" s="335" t="s">
        <v>3494</v>
      </c>
    </row>
    <row r="5282">
      <c r="G5282" s="584"/>
      <c r="H5282" s="584"/>
      <c r="I5282" s="335" t="s">
        <v>3494</v>
      </c>
    </row>
    <row r="5283">
      <c r="G5283" s="584"/>
      <c r="H5283" s="584"/>
      <c r="I5283" s="335" t="s">
        <v>3494</v>
      </c>
    </row>
    <row r="5284">
      <c r="G5284" s="584"/>
      <c r="H5284" s="584"/>
      <c r="I5284" s="335" t="s">
        <v>3494</v>
      </c>
    </row>
    <row r="5285">
      <c r="G5285" s="584"/>
      <c r="H5285" s="584"/>
      <c r="I5285" s="335" t="s">
        <v>3494</v>
      </c>
    </row>
    <row r="5286">
      <c r="G5286" s="584"/>
      <c r="H5286" s="584"/>
      <c r="I5286" s="335" t="s">
        <v>3494</v>
      </c>
    </row>
    <row r="5287">
      <c r="G5287" s="584"/>
      <c r="H5287" s="584"/>
      <c r="I5287" s="335" t="s">
        <v>3494</v>
      </c>
    </row>
    <row r="5288">
      <c r="G5288" s="584"/>
      <c r="H5288" s="584"/>
      <c r="I5288" s="335" t="s">
        <v>3494</v>
      </c>
    </row>
    <row r="5289">
      <c r="G5289" s="584"/>
      <c r="H5289" s="584"/>
      <c r="I5289" s="335" t="s">
        <v>3494</v>
      </c>
    </row>
    <row r="5290">
      <c r="G5290" s="584"/>
      <c r="H5290" s="584"/>
      <c r="I5290" s="335" t="s">
        <v>3494</v>
      </c>
    </row>
    <row r="5291">
      <c r="G5291" s="584"/>
      <c r="H5291" s="584"/>
      <c r="I5291" s="335" t="s">
        <v>3494</v>
      </c>
    </row>
    <row r="5292">
      <c r="G5292" s="584"/>
      <c r="H5292" s="584"/>
      <c r="I5292" s="335" t="s">
        <v>3494</v>
      </c>
    </row>
    <row r="5293">
      <c r="G5293" s="584"/>
      <c r="H5293" s="584"/>
      <c r="I5293" s="335" t="s">
        <v>3494</v>
      </c>
    </row>
    <row r="5294">
      <c r="G5294" s="584"/>
      <c r="H5294" s="584"/>
      <c r="I5294" s="335" t="s">
        <v>3494</v>
      </c>
    </row>
    <row r="5295">
      <c r="G5295" s="584"/>
      <c r="H5295" s="584"/>
      <c r="I5295" s="335" t="s">
        <v>3494</v>
      </c>
    </row>
    <row r="5296">
      <c r="G5296" s="584"/>
      <c r="H5296" s="584"/>
      <c r="I5296" s="335" t="s">
        <v>3494</v>
      </c>
    </row>
    <row r="5297">
      <c r="G5297" s="584"/>
      <c r="H5297" s="584"/>
      <c r="I5297" s="335" t="s">
        <v>3494</v>
      </c>
    </row>
    <row r="5298">
      <c r="G5298" s="584"/>
      <c r="H5298" s="584"/>
      <c r="I5298" s="335" t="s">
        <v>3494</v>
      </c>
    </row>
    <row r="5299">
      <c r="G5299" s="584"/>
      <c r="H5299" s="584"/>
      <c r="I5299" s="335" t="s">
        <v>3494</v>
      </c>
    </row>
    <row r="5300">
      <c r="G5300" s="584"/>
      <c r="H5300" s="584"/>
      <c r="I5300" s="335" t="s">
        <v>3494</v>
      </c>
    </row>
    <row r="5301">
      <c r="G5301" s="584"/>
      <c r="H5301" s="584"/>
      <c r="I5301" s="335" t="s">
        <v>3494</v>
      </c>
    </row>
    <row r="5302">
      <c r="G5302" s="584"/>
      <c r="H5302" s="584"/>
      <c r="I5302" s="335" t="s">
        <v>3494</v>
      </c>
    </row>
    <row r="5303">
      <c r="G5303" s="584"/>
      <c r="H5303" s="584"/>
      <c r="I5303" s="335" t="s">
        <v>3494</v>
      </c>
    </row>
    <row r="5304">
      <c r="G5304" s="584"/>
      <c r="H5304" s="584"/>
      <c r="I5304" s="335" t="s">
        <v>3494</v>
      </c>
    </row>
    <row r="5305">
      <c r="G5305" s="584"/>
      <c r="H5305" s="584"/>
      <c r="I5305" s="335" t="s">
        <v>3494</v>
      </c>
    </row>
    <row r="5306">
      <c r="G5306" s="584"/>
      <c r="H5306" s="584"/>
      <c r="I5306" s="335" t="s">
        <v>3494</v>
      </c>
    </row>
    <row r="5307">
      <c r="G5307" s="584"/>
      <c r="H5307" s="584"/>
      <c r="I5307" s="335" t="s">
        <v>3494</v>
      </c>
    </row>
    <row r="5308">
      <c r="G5308" s="584"/>
      <c r="H5308" s="584"/>
      <c r="I5308" s="335" t="s">
        <v>3494</v>
      </c>
    </row>
    <row r="5309">
      <c r="G5309" s="584"/>
      <c r="H5309" s="584"/>
      <c r="I5309" s="335" t="s">
        <v>3494</v>
      </c>
    </row>
    <row r="5310">
      <c r="G5310" s="584"/>
      <c r="H5310" s="584"/>
      <c r="I5310" s="335" t="s">
        <v>3494</v>
      </c>
    </row>
    <row r="5311">
      <c r="G5311" s="584"/>
      <c r="H5311" s="584"/>
      <c r="I5311" s="335" t="s">
        <v>3494</v>
      </c>
    </row>
    <row r="5312">
      <c r="G5312" s="584"/>
      <c r="H5312" s="584"/>
      <c r="I5312" s="335" t="s">
        <v>3494</v>
      </c>
    </row>
    <row r="5313">
      <c r="G5313" s="584"/>
      <c r="H5313" s="584"/>
      <c r="I5313" s="335" t="s">
        <v>3494</v>
      </c>
    </row>
    <row r="5314">
      <c r="G5314" s="584"/>
      <c r="H5314" s="584"/>
      <c r="I5314" s="335" t="s">
        <v>3494</v>
      </c>
    </row>
    <row r="5315">
      <c r="G5315" s="584"/>
      <c r="H5315" s="584"/>
      <c r="I5315" s="335" t="s">
        <v>3494</v>
      </c>
    </row>
    <row r="5316">
      <c r="G5316" s="584"/>
      <c r="H5316" s="584"/>
      <c r="I5316" s="335" t="s">
        <v>3494</v>
      </c>
    </row>
    <row r="5317">
      <c r="G5317" s="584"/>
      <c r="H5317" s="584"/>
      <c r="I5317" s="335" t="s">
        <v>3494</v>
      </c>
    </row>
    <row r="5318">
      <c r="G5318" s="584"/>
      <c r="H5318" s="584"/>
      <c r="I5318" s="335" t="s">
        <v>3494</v>
      </c>
    </row>
    <row r="5319">
      <c r="G5319" s="584"/>
      <c r="H5319" s="584"/>
      <c r="I5319" s="335" t="s">
        <v>3494</v>
      </c>
    </row>
    <row r="5320">
      <c r="G5320" s="584"/>
      <c r="H5320" s="584"/>
      <c r="I5320" s="335" t="s">
        <v>3494</v>
      </c>
    </row>
    <row r="5321">
      <c r="G5321" s="584"/>
      <c r="H5321" s="584"/>
      <c r="I5321" s="335" t="s">
        <v>3494</v>
      </c>
    </row>
    <row r="5322">
      <c r="G5322" s="584"/>
      <c r="H5322" s="584"/>
      <c r="I5322" s="335" t="s">
        <v>3494</v>
      </c>
    </row>
    <row r="5323">
      <c r="G5323" s="584"/>
      <c r="H5323" s="584"/>
      <c r="I5323" s="335" t="s">
        <v>3494</v>
      </c>
    </row>
    <row r="5324">
      <c r="G5324" s="584"/>
      <c r="H5324" s="584"/>
      <c r="I5324" s="335" t="s">
        <v>3494</v>
      </c>
    </row>
    <row r="5325">
      <c r="G5325" s="584"/>
      <c r="H5325" s="584"/>
      <c r="I5325" s="335" t="s">
        <v>3494</v>
      </c>
    </row>
    <row r="5326">
      <c r="G5326" s="584"/>
      <c r="H5326" s="584"/>
      <c r="I5326" s="335" t="s">
        <v>3494</v>
      </c>
    </row>
    <row r="5327">
      <c r="G5327" s="584"/>
      <c r="H5327" s="584"/>
      <c r="I5327" s="335" t="s">
        <v>3494</v>
      </c>
    </row>
    <row r="5328">
      <c r="G5328" s="584"/>
      <c r="H5328" s="584"/>
      <c r="I5328" s="335" t="s">
        <v>3494</v>
      </c>
    </row>
    <row r="5329">
      <c r="G5329" s="584"/>
      <c r="H5329" s="584"/>
      <c r="I5329" s="335" t="s">
        <v>3494</v>
      </c>
    </row>
    <row r="5330">
      <c r="G5330" s="584"/>
      <c r="H5330" s="584"/>
      <c r="I5330" s="335" t="s">
        <v>3494</v>
      </c>
    </row>
    <row r="5331">
      <c r="G5331" s="584"/>
      <c r="H5331" s="584"/>
      <c r="I5331" s="335" t="s">
        <v>3494</v>
      </c>
    </row>
    <row r="5332">
      <c r="G5332" s="584"/>
      <c r="H5332" s="584"/>
      <c r="I5332" s="335" t="s">
        <v>3494</v>
      </c>
    </row>
    <row r="5333">
      <c r="G5333" s="584"/>
      <c r="H5333" s="584"/>
      <c r="I5333" s="335" t="s">
        <v>3494</v>
      </c>
    </row>
    <row r="5334">
      <c r="G5334" s="584"/>
      <c r="H5334" s="584"/>
      <c r="I5334" s="335" t="s">
        <v>3494</v>
      </c>
    </row>
    <row r="5335">
      <c r="G5335" s="584"/>
      <c r="H5335" s="584"/>
      <c r="I5335" s="335" t="s">
        <v>3494</v>
      </c>
    </row>
    <row r="5336">
      <c r="G5336" s="584"/>
      <c r="H5336" s="584"/>
      <c r="I5336" s="335" t="s">
        <v>3494</v>
      </c>
    </row>
    <row r="5337">
      <c r="G5337" s="584"/>
      <c r="H5337" s="584"/>
      <c r="I5337" s="335" t="s">
        <v>3494</v>
      </c>
    </row>
    <row r="5338">
      <c r="G5338" s="584"/>
      <c r="H5338" s="584"/>
      <c r="I5338" s="335" t="s">
        <v>3494</v>
      </c>
    </row>
    <row r="5339">
      <c r="G5339" s="584"/>
      <c r="H5339" s="584"/>
      <c r="I5339" s="335" t="s">
        <v>3494</v>
      </c>
    </row>
    <row r="5340">
      <c r="G5340" s="584"/>
      <c r="H5340" s="584"/>
      <c r="I5340" s="335" t="s">
        <v>3494</v>
      </c>
    </row>
    <row r="5341">
      <c r="G5341" s="584"/>
      <c r="H5341" s="584"/>
      <c r="I5341" s="335" t="s">
        <v>3494</v>
      </c>
    </row>
    <row r="5342">
      <c r="G5342" s="584"/>
      <c r="H5342" s="584"/>
      <c r="I5342" s="335" t="s">
        <v>3494</v>
      </c>
    </row>
    <row r="5343">
      <c r="G5343" s="584"/>
      <c r="H5343" s="584"/>
      <c r="I5343" s="335" t="s">
        <v>3494</v>
      </c>
    </row>
    <row r="5344">
      <c r="G5344" s="584"/>
      <c r="H5344" s="584"/>
      <c r="I5344" s="335" t="s">
        <v>3494</v>
      </c>
    </row>
    <row r="5345">
      <c r="G5345" s="584"/>
      <c r="H5345" s="584"/>
      <c r="I5345" s="335" t="s">
        <v>3494</v>
      </c>
    </row>
    <row r="5346">
      <c r="G5346" s="584"/>
      <c r="H5346" s="584"/>
      <c r="I5346" s="335" t="s">
        <v>3494</v>
      </c>
    </row>
    <row r="5347">
      <c r="G5347" s="584"/>
      <c r="H5347" s="584"/>
      <c r="I5347" s="335" t="s">
        <v>3494</v>
      </c>
    </row>
    <row r="5348">
      <c r="G5348" s="584"/>
      <c r="H5348" s="584"/>
      <c r="I5348" s="335" t="s">
        <v>3494</v>
      </c>
    </row>
    <row r="5349">
      <c r="G5349" s="584"/>
      <c r="H5349" s="584"/>
      <c r="I5349" s="335" t="s">
        <v>3494</v>
      </c>
    </row>
    <row r="5350">
      <c r="G5350" s="584"/>
      <c r="H5350" s="584"/>
      <c r="I5350" s="335" t="s">
        <v>3494</v>
      </c>
    </row>
    <row r="5351">
      <c r="G5351" s="584"/>
      <c r="H5351" s="584"/>
      <c r="I5351" s="335" t="s">
        <v>3494</v>
      </c>
    </row>
    <row r="5352">
      <c r="G5352" s="584"/>
      <c r="H5352" s="584"/>
      <c r="I5352" s="335" t="s">
        <v>3494</v>
      </c>
    </row>
    <row r="5353">
      <c r="G5353" s="584"/>
      <c r="H5353" s="584"/>
      <c r="I5353" s="335" t="s">
        <v>3494</v>
      </c>
    </row>
    <row r="5354">
      <c r="G5354" s="584"/>
      <c r="H5354" s="584"/>
      <c r="I5354" s="335" t="s">
        <v>3494</v>
      </c>
    </row>
    <row r="5355">
      <c r="G5355" s="584"/>
      <c r="H5355" s="584"/>
      <c r="I5355" s="335" t="s">
        <v>3494</v>
      </c>
    </row>
    <row r="5356">
      <c r="G5356" s="584"/>
      <c r="H5356" s="584"/>
      <c r="I5356" s="335" t="s">
        <v>3494</v>
      </c>
    </row>
    <row r="5357">
      <c r="G5357" s="584"/>
      <c r="H5357" s="584"/>
      <c r="I5357" s="335" t="s">
        <v>3494</v>
      </c>
    </row>
    <row r="5358">
      <c r="G5358" s="584"/>
      <c r="H5358" s="584"/>
      <c r="I5358" s="335" t="s">
        <v>3494</v>
      </c>
    </row>
    <row r="5359">
      <c r="G5359" s="584"/>
      <c r="H5359" s="584"/>
      <c r="I5359" s="335" t="s">
        <v>3494</v>
      </c>
    </row>
    <row r="5360">
      <c r="G5360" s="584"/>
      <c r="H5360" s="584"/>
      <c r="I5360" s="335" t="s">
        <v>3494</v>
      </c>
    </row>
    <row r="5361">
      <c r="G5361" s="584"/>
      <c r="H5361" s="584"/>
      <c r="I5361" s="335" t="s">
        <v>3494</v>
      </c>
    </row>
    <row r="5362">
      <c r="G5362" s="584"/>
      <c r="H5362" s="584"/>
      <c r="I5362" s="335" t="s">
        <v>3494</v>
      </c>
    </row>
    <row r="5363">
      <c r="G5363" s="584"/>
      <c r="H5363" s="584"/>
      <c r="I5363" s="335" t="s">
        <v>3494</v>
      </c>
    </row>
    <row r="5364">
      <c r="G5364" s="584"/>
      <c r="H5364" s="584"/>
      <c r="I5364" s="335" t="s">
        <v>3494</v>
      </c>
    </row>
    <row r="5365">
      <c r="G5365" s="584"/>
      <c r="H5365" s="584"/>
      <c r="I5365" s="335" t="s">
        <v>3494</v>
      </c>
    </row>
    <row r="5366">
      <c r="G5366" s="584"/>
      <c r="H5366" s="584"/>
      <c r="I5366" s="335" t="s">
        <v>3494</v>
      </c>
    </row>
    <row r="5367">
      <c r="G5367" s="584"/>
      <c r="H5367" s="584"/>
      <c r="I5367" s="335" t="s">
        <v>3494</v>
      </c>
    </row>
    <row r="5368">
      <c r="G5368" s="584"/>
      <c r="H5368" s="584"/>
      <c r="I5368" s="335" t="s">
        <v>3494</v>
      </c>
    </row>
    <row r="5369">
      <c r="G5369" s="584"/>
      <c r="H5369" s="584"/>
      <c r="I5369" s="335" t="s">
        <v>3494</v>
      </c>
    </row>
    <row r="5370">
      <c r="G5370" s="584"/>
      <c r="H5370" s="584"/>
      <c r="I5370" s="335" t="s">
        <v>3494</v>
      </c>
    </row>
    <row r="5371">
      <c r="G5371" s="584"/>
      <c r="H5371" s="584"/>
      <c r="I5371" s="335" t="s">
        <v>3494</v>
      </c>
    </row>
    <row r="5372">
      <c r="G5372" s="584"/>
      <c r="H5372" s="584"/>
      <c r="I5372" s="335" t="s">
        <v>3494</v>
      </c>
    </row>
    <row r="5373">
      <c r="G5373" s="584"/>
      <c r="H5373" s="584"/>
      <c r="I5373" s="335" t="s">
        <v>3494</v>
      </c>
    </row>
    <row r="5374">
      <c r="G5374" s="584"/>
      <c r="H5374" s="584"/>
      <c r="I5374" s="335" t="s">
        <v>3494</v>
      </c>
    </row>
    <row r="5375">
      <c r="G5375" s="584"/>
      <c r="H5375" s="584"/>
      <c r="I5375" s="335" t="s">
        <v>3494</v>
      </c>
    </row>
    <row r="5376">
      <c r="G5376" s="584"/>
      <c r="H5376" s="584"/>
      <c r="I5376" s="335" t="s">
        <v>3494</v>
      </c>
    </row>
    <row r="5377">
      <c r="G5377" s="584"/>
      <c r="H5377" s="584"/>
      <c r="I5377" s="335" t="s">
        <v>3494</v>
      </c>
    </row>
    <row r="5378">
      <c r="G5378" s="584"/>
      <c r="H5378" s="584"/>
      <c r="I5378" s="335" t="s">
        <v>3494</v>
      </c>
    </row>
    <row r="5379">
      <c r="G5379" s="584"/>
      <c r="H5379" s="584"/>
      <c r="I5379" s="335" t="s">
        <v>3494</v>
      </c>
    </row>
    <row r="5380">
      <c r="G5380" s="584"/>
      <c r="H5380" s="584"/>
      <c r="I5380" s="335" t="s">
        <v>3494</v>
      </c>
    </row>
    <row r="5381">
      <c r="G5381" s="584"/>
      <c r="H5381" s="584"/>
      <c r="I5381" s="335" t="s">
        <v>3494</v>
      </c>
    </row>
    <row r="5382">
      <c r="G5382" s="584"/>
      <c r="H5382" s="584"/>
      <c r="I5382" s="335" t="s">
        <v>3494</v>
      </c>
    </row>
    <row r="5383">
      <c r="G5383" s="584"/>
      <c r="H5383" s="584"/>
      <c r="I5383" s="335" t="s">
        <v>3494</v>
      </c>
    </row>
    <row r="5384">
      <c r="G5384" s="584"/>
      <c r="H5384" s="584"/>
      <c r="I5384" s="335" t="s">
        <v>3494</v>
      </c>
    </row>
    <row r="5385">
      <c r="G5385" s="584"/>
      <c r="H5385" s="584"/>
      <c r="I5385" s="335" t="s">
        <v>3494</v>
      </c>
    </row>
    <row r="5386">
      <c r="G5386" s="584"/>
      <c r="H5386" s="584"/>
      <c r="I5386" s="335" t="s">
        <v>3494</v>
      </c>
    </row>
    <row r="5387">
      <c r="G5387" s="584"/>
      <c r="H5387" s="584"/>
      <c r="I5387" s="335" t="s">
        <v>3494</v>
      </c>
    </row>
    <row r="5388">
      <c r="G5388" s="584"/>
      <c r="H5388" s="584"/>
      <c r="I5388" s="335" t="s">
        <v>3494</v>
      </c>
    </row>
    <row r="5389">
      <c r="G5389" s="584"/>
      <c r="H5389" s="584"/>
      <c r="I5389" s="335" t="s">
        <v>3494</v>
      </c>
    </row>
    <row r="5390">
      <c r="G5390" s="584"/>
      <c r="H5390" s="584"/>
      <c r="I5390" s="335" t="s">
        <v>3494</v>
      </c>
    </row>
    <row r="5391">
      <c r="G5391" s="584"/>
      <c r="H5391" s="584"/>
      <c r="I5391" s="335" t="s">
        <v>3494</v>
      </c>
    </row>
    <row r="5392">
      <c r="G5392" s="584"/>
      <c r="H5392" s="584"/>
      <c r="I5392" s="335" t="s">
        <v>3494</v>
      </c>
    </row>
    <row r="5393">
      <c r="G5393" s="584"/>
      <c r="H5393" s="584"/>
      <c r="I5393" s="335" t="s">
        <v>3494</v>
      </c>
    </row>
    <row r="5394">
      <c r="G5394" s="584"/>
      <c r="H5394" s="584"/>
      <c r="I5394" s="335" t="s">
        <v>3494</v>
      </c>
    </row>
    <row r="5395">
      <c r="G5395" s="584"/>
      <c r="H5395" s="584"/>
      <c r="I5395" s="335" t="s">
        <v>3494</v>
      </c>
    </row>
    <row r="5396">
      <c r="G5396" s="584"/>
      <c r="H5396" s="584"/>
      <c r="I5396" s="335" t="s">
        <v>3494</v>
      </c>
    </row>
    <row r="5397">
      <c r="G5397" s="584"/>
      <c r="H5397" s="584"/>
      <c r="I5397" s="335" t="s">
        <v>3494</v>
      </c>
    </row>
    <row r="5398">
      <c r="G5398" s="584"/>
      <c r="H5398" s="584"/>
      <c r="I5398" s="335" t="s">
        <v>3494</v>
      </c>
    </row>
    <row r="5399">
      <c r="G5399" s="584"/>
      <c r="H5399" s="584"/>
      <c r="I5399" s="335" t="s">
        <v>3494</v>
      </c>
    </row>
    <row r="5400">
      <c r="G5400" s="584"/>
      <c r="H5400" s="584"/>
      <c r="I5400" s="335" t="s">
        <v>3494</v>
      </c>
    </row>
    <row r="5401">
      <c r="G5401" s="584"/>
      <c r="H5401" s="584"/>
      <c r="I5401" s="335" t="s">
        <v>3494</v>
      </c>
    </row>
    <row r="5402">
      <c r="G5402" s="584"/>
      <c r="H5402" s="584"/>
      <c r="I5402" s="335" t="s">
        <v>3494</v>
      </c>
    </row>
    <row r="5403">
      <c r="G5403" s="584"/>
      <c r="H5403" s="584"/>
      <c r="I5403" s="335" t="s">
        <v>3494</v>
      </c>
    </row>
    <row r="5404">
      <c r="G5404" s="584"/>
      <c r="H5404" s="584"/>
      <c r="I5404" s="335" t="s">
        <v>3494</v>
      </c>
    </row>
    <row r="5405">
      <c r="G5405" s="584"/>
      <c r="H5405" s="584"/>
      <c r="I5405" s="335" t="s">
        <v>3494</v>
      </c>
    </row>
    <row r="5406">
      <c r="G5406" s="584"/>
      <c r="H5406" s="584"/>
      <c r="I5406" s="335" t="s">
        <v>3494</v>
      </c>
    </row>
    <row r="5407">
      <c r="G5407" s="584"/>
      <c r="H5407" s="584"/>
      <c r="I5407" s="335" t="s">
        <v>3494</v>
      </c>
    </row>
    <row r="5408">
      <c r="G5408" s="584"/>
      <c r="H5408" s="584"/>
      <c r="I5408" s="335" t="s">
        <v>3494</v>
      </c>
    </row>
    <row r="5409">
      <c r="G5409" s="584"/>
      <c r="H5409" s="584"/>
      <c r="I5409" s="335" t="s">
        <v>3494</v>
      </c>
    </row>
    <row r="5410">
      <c r="G5410" s="584"/>
      <c r="H5410" s="584"/>
      <c r="I5410" s="335" t="s">
        <v>3494</v>
      </c>
    </row>
    <row r="5411">
      <c r="G5411" s="584"/>
      <c r="H5411" s="584"/>
      <c r="I5411" s="335" t="s">
        <v>3494</v>
      </c>
    </row>
    <row r="5412">
      <c r="G5412" s="584"/>
      <c r="H5412" s="584"/>
      <c r="I5412" s="335" t="s">
        <v>3494</v>
      </c>
    </row>
    <row r="5413">
      <c r="G5413" s="584"/>
      <c r="H5413" s="584"/>
      <c r="I5413" s="335" t="s">
        <v>3494</v>
      </c>
    </row>
    <row r="5414">
      <c r="G5414" s="584"/>
      <c r="H5414" s="584"/>
      <c r="I5414" s="335" t="s">
        <v>3494</v>
      </c>
    </row>
    <row r="5415">
      <c r="G5415" s="584"/>
      <c r="H5415" s="584"/>
      <c r="I5415" s="335" t="s">
        <v>3494</v>
      </c>
    </row>
    <row r="5416">
      <c r="G5416" s="584"/>
      <c r="H5416" s="584"/>
      <c r="I5416" s="335" t="s">
        <v>3494</v>
      </c>
    </row>
    <row r="5417">
      <c r="G5417" s="584"/>
      <c r="H5417" s="584"/>
      <c r="I5417" s="335" t="s">
        <v>3494</v>
      </c>
    </row>
    <row r="5418">
      <c r="G5418" s="584"/>
      <c r="H5418" s="584"/>
      <c r="I5418" s="335" t="s">
        <v>3494</v>
      </c>
    </row>
    <row r="5419">
      <c r="G5419" s="584"/>
      <c r="H5419" s="584"/>
      <c r="I5419" s="335" t="s">
        <v>3494</v>
      </c>
    </row>
    <row r="5420">
      <c r="G5420" s="584"/>
      <c r="H5420" s="584"/>
      <c r="I5420" s="335" t="s">
        <v>3494</v>
      </c>
    </row>
    <row r="5421">
      <c r="G5421" s="584"/>
      <c r="H5421" s="584"/>
      <c r="I5421" s="335" t="s">
        <v>3494</v>
      </c>
    </row>
    <row r="5422">
      <c r="G5422" s="584"/>
      <c r="H5422" s="584"/>
      <c r="I5422" s="335" t="s">
        <v>3494</v>
      </c>
    </row>
    <row r="5423">
      <c r="G5423" s="584"/>
      <c r="H5423" s="584"/>
      <c r="I5423" s="335" t="s">
        <v>3494</v>
      </c>
    </row>
    <row r="5424">
      <c r="G5424" s="584"/>
      <c r="H5424" s="584"/>
      <c r="I5424" s="335" t="s">
        <v>3494</v>
      </c>
    </row>
    <row r="5425">
      <c r="G5425" s="584"/>
      <c r="H5425" s="584"/>
      <c r="I5425" s="335" t="s">
        <v>3494</v>
      </c>
    </row>
    <row r="5426">
      <c r="G5426" s="584"/>
      <c r="H5426" s="584"/>
      <c r="I5426" s="335" t="s">
        <v>3494</v>
      </c>
    </row>
    <row r="5427">
      <c r="G5427" s="584"/>
      <c r="H5427" s="584"/>
      <c r="I5427" s="335" t="s">
        <v>3494</v>
      </c>
    </row>
    <row r="5428">
      <c r="G5428" s="584"/>
      <c r="H5428" s="584"/>
      <c r="I5428" s="335" t="s">
        <v>3494</v>
      </c>
    </row>
    <row r="5429">
      <c r="G5429" s="584"/>
      <c r="H5429" s="584"/>
      <c r="I5429" s="335" t="s">
        <v>3494</v>
      </c>
    </row>
    <row r="5430">
      <c r="G5430" s="584"/>
      <c r="H5430" s="584"/>
      <c r="I5430" s="335" t="s">
        <v>3494</v>
      </c>
    </row>
    <row r="5431">
      <c r="G5431" s="584"/>
      <c r="H5431" s="584"/>
      <c r="I5431" s="335" t="s">
        <v>3494</v>
      </c>
    </row>
    <row r="5432">
      <c r="G5432" s="584"/>
      <c r="H5432" s="584"/>
      <c r="I5432" s="335" t="s">
        <v>3494</v>
      </c>
    </row>
    <row r="5433">
      <c r="G5433" s="584"/>
      <c r="H5433" s="584"/>
      <c r="I5433" s="335" t="s">
        <v>3494</v>
      </c>
    </row>
    <row r="5434">
      <c r="G5434" s="584"/>
      <c r="H5434" s="584"/>
      <c r="I5434" s="335" t="s">
        <v>3494</v>
      </c>
    </row>
    <row r="5435">
      <c r="G5435" s="584"/>
      <c r="H5435" s="584"/>
      <c r="I5435" s="335" t="s">
        <v>3494</v>
      </c>
    </row>
    <row r="5436">
      <c r="G5436" s="584"/>
      <c r="H5436" s="584"/>
      <c r="I5436" s="335" t="s">
        <v>3494</v>
      </c>
    </row>
    <row r="5437">
      <c r="G5437" s="584"/>
      <c r="H5437" s="584"/>
      <c r="I5437" s="335" t="s">
        <v>3494</v>
      </c>
    </row>
    <row r="5438">
      <c r="G5438" s="584"/>
      <c r="H5438" s="584"/>
      <c r="I5438" s="335" t="s">
        <v>3494</v>
      </c>
    </row>
    <row r="5439">
      <c r="G5439" s="584"/>
      <c r="H5439" s="584"/>
      <c r="I5439" s="335" t="s">
        <v>3494</v>
      </c>
    </row>
    <row r="5440">
      <c r="G5440" s="584"/>
      <c r="H5440" s="584"/>
      <c r="I5440" s="335" t="s">
        <v>3494</v>
      </c>
    </row>
    <row r="5441">
      <c r="G5441" s="584"/>
      <c r="H5441" s="584"/>
      <c r="I5441" s="335" t="s">
        <v>3494</v>
      </c>
    </row>
    <row r="5442">
      <c r="G5442" s="584"/>
      <c r="H5442" s="584"/>
      <c r="I5442" s="335" t="s">
        <v>3494</v>
      </c>
    </row>
    <row r="5443">
      <c r="G5443" s="584"/>
      <c r="H5443" s="584"/>
      <c r="I5443" s="335" t="s">
        <v>3494</v>
      </c>
    </row>
    <row r="5444">
      <c r="G5444" s="584"/>
      <c r="H5444" s="584"/>
      <c r="I5444" s="335" t="s">
        <v>3494</v>
      </c>
    </row>
    <row r="5445">
      <c r="G5445" s="584"/>
      <c r="H5445" s="584"/>
      <c r="I5445" s="335" t="s">
        <v>3494</v>
      </c>
    </row>
    <row r="5446">
      <c r="G5446" s="584"/>
      <c r="H5446" s="584"/>
      <c r="I5446" s="335" t="s">
        <v>3494</v>
      </c>
    </row>
    <row r="5447">
      <c r="G5447" s="584"/>
      <c r="H5447" s="584"/>
      <c r="I5447" s="335" t="s">
        <v>3494</v>
      </c>
    </row>
    <row r="5448">
      <c r="G5448" s="584"/>
      <c r="H5448" s="584"/>
      <c r="I5448" s="335" t="s">
        <v>3494</v>
      </c>
    </row>
    <row r="5449">
      <c r="G5449" s="584"/>
      <c r="H5449" s="584"/>
      <c r="I5449" s="335" t="s">
        <v>3494</v>
      </c>
    </row>
    <row r="5450">
      <c r="G5450" s="584"/>
      <c r="H5450" s="584"/>
      <c r="I5450" s="335" t="s">
        <v>3494</v>
      </c>
    </row>
    <row r="5451">
      <c r="G5451" s="584"/>
      <c r="H5451" s="584"/>
      <c r="I5451" s="335" t="s">
        <v>3494</v>
      </c>
    </row>
    <row r="5452">
      <c r="G5452" s="584"/>
      <c r="H5452" s="584"/>
      <c r="I5452" s="335" t="s">
        <v>3494</v>
      </c>
    </row>
    <row r="5453">
      <c r="G5453" s="584"/>
      <c r="H5453" s="584"/>
      <c r="I5453" s="335" t="s">
        <v>3494</v>
      </c>
    </row>
    <row r="5454">
      <c r="G5454" s="584"/>
      <c r="H5454" s="584"/>
      <c r="I5454" s="335" t="s">
        <v>3494</v>
      </c>
    </row>
    <row r="5455">
      <c r="G5455" s="584"/>
      <c r="H5455" s="584"/>
      <c r="I5455" s="335" t="s">
        <v>3494</v>
      </c>
    </row>
    <row r="5456">
      <c r="G5456" s="584"/>
      <c r="H5456" s="584"/>
      <c r="I5456" s="335" t="s">
        <v>3494</v>
      </c>
    </row>
    <row r="5457">
      <c r="G5457" s="584"/>
      <c r="H5457" s="584"/>
      <c r="I5457" s="335" t="s">
        <v>3494</v>
      </c>
    </row>
    <row r="5458">
      <c r="G5458" s="584"/>
      <c r="H5458" s="584"/>
      <c r="I5458" s="335" t="s">
        <v>3494</v>
      </c>
    </row>
    <row r="5459">
      <c r="G5459" s="584"/>
      <c r="H5459" s="584"/>
      <c r="I5459" s="335" t="s">
        <v>3494</v>
      </c>
    </row>
    <row r="5460">
      <c r="G5460" s="584"/>
      <c r="H5460" s="584"/>
      <c r="I5460" s="335" t="s">
        <v>3494</v>
      </c>
    </row>
    <row r="5461">
      <c r="G5461" s="584"/>
      <c r="H5461" s="584"/>
      <c r="I5461" s="335" t="s">
        <v>3494</v>
      </c>
    </row>
    <row r="5462">
      <c r="G5462" s="584"/>
      <c r="H5462" s="584"/>
      <c r="I5462" s="335" t="s">
        <v>3494</v>
      </c>
    </row>
    <row r="5463">
      <c r="G5463" s="584"/>
      <c r="H5463" s="584"/>
      <c r="I5463" s="335" t="s">
        <v>3494</v>
      </c>
    </row>
    <row r="5464">
      <c r="G5464" s="584"/>
      <c r="H5464" s="584"/>
      <c r="I5464" s="335" t="s">
        <v>3494</v>
      </c>
    </row>
    <row r="5465">
      <c r="G5465" s="584"/>
      <c r="H5465" s="584"/>
      <c r="I5465" s="335" t="s">
        <v>3494</v>
      </c>
    </row>
    <row r="5466">
      <c r="G5466" s="584"/>
      <c r="H5466" s="584"/>
      <c r="I5466" s="335" t="s">
        <v>3494</v>
      </c>
    </row>
    <row r="5467">
      <c r="G5467" s="584"/>
      <c r="H5467" s="584"/>
      <c r="I5467" s="335" t="s">
        <v>3494</v>
      </c>
    </row>
    <row r="5468">
      <c r="G5468" s="584"/>
      <c r="H5468" s="584"/>
      <c r="I5468" s="335" t="s">
        <v>3494</v>
      </c>
    </row>
    <row r="5469">
      <c r="G5469" s="584"/>
      <c r="H5469" s="584"/>
      <c r="I5469" s="335" t="s">
        <v>3494</v>
      </c>
    </row>
    <row r="5470">
      <c r="G5470" s="584"/>
      <c r="H5470" s="584"/>
      <c r="I5470" s="335" t="s">
        <v>3494</v>
      </c>
    </row>
    <row r="5471">
      <c r="G5471" s="584"/>
      <c r="H5471" s="584"/>
      <c r="I5471" s="335" t="s">
        <v>3494</v>
      </c>
    </row>
    <row r="5472">
      <c r="G5472" s="584"/>
      <c r="H5472" s="584"/>
      <c r="I5472" s="335" t="s">
        <v>3494</v>
      </c>
    </row>
    <row r="5473">
      <c r="G5473" s="584"/>
      <c r="H5473" s="584"/>
      <c r="I5473" s="335" t="s">
        <v>3494</v>
      </c>
    </row>
    <row r="5474">
      <c r="G5474" s="584"/>
      <c r="H5474" s="584"/>
      <c r="I5474" s="335" t="s">
        <v>3494</v>
      </c>
    </row>
    <row r="5475">
      <c r="G5475" s="584"/>
      <c r="H5475" s="584"/>
      <c r="I5475" s="335" t="s">
        <v>3494</v>
      </c>
    </row>
    <row r="5476">
      <c r="G5476" s="584"/>
      <c r="H5476" s="584"/>
      <c r="I5476" s="335" t="s">
        <v>3494</v>
      </c>
    </row>
    <row r="5477">
      <c r="G5477" s="584"/>
      <c r="H5477" s="584"/>
      <c r="I5477" s="335" t="s">
        <v>3494</v>
      </c>
    </row>
    <row r="5478">
      <c r="G5478" s="584"/>
      <c r="H5478" s="584"/>
      <c r="I5478" s="335" t="s">
        <v>3494</v>
      </c>
    </row>
    <row r="5479">
      <c r="G5479" s="584"/>
      <c r="H5479" s="584"/>
      <c r="I5479" s="335" t="s">
        <v>3494</v>
      </c>
    </row>
    <row r="5480">
      <c r="G5480" s="584"/>
      <c r="H5480" s="584"/>
      <c r="I5480" s="335" t="s">
        <v>3494</v>
      </c>
    </row>
    <row r="5481">
      <c r="G5481" s="584"/>
      <c r="H5481" s="584"/>
      <c r="I5481" s="335" t="s">
        <v>3494</v>
      </c>
    </row>
    <row r="5482">
      <c r="G5482" s="584"/>
      <c r="H5482" s="584"/>
      <c r="I5482" s="335" t="s">
        <v>3494</v>
      </c>
    </row>
    <row r="5483">
      <c r="G5483" s="584"/>
      <c r="H5483" s="584"/>
      <c r="I5483" s="335" t="s">
        <v>3494</v>
      </c>
    </row>
    <row r="5484">
      <c r="G5484" s="584"/>
      <c r="H5484" s="584"/>
      <c r="I5484" s="335" t="s">
        <v>3494</v>
      </c>
    </row>
    <row r="5485">
      <c r="G5485" s="584"/>
      <c r="H5485" s="584"/>
      <c r="I5485" s="335" t="s">
        <v>3494</v>
      </c>
    </row>
    <row r="5486">
      <c r="G5486" s="584"/>
      <c r="H5486" s="584"/>
      <c r="I5486" s="335" t="s">
        <v>3494</v>
      </c>
    </row>
    <row r="5487">
      <c r="G5487" s="584"/>
      <c r="H5487" s="584"/>
      <c r="I5487" s="335" t="s">
        <v>3494</v>
      </c>
    </row>
    <row r="5488">
      <c r="G5488" s="584"/>
      <c r="H5488" s="584"/>
      <c r="I5488" s="335" t="s">
        <v>3494</v>
      </c>
    </row>
    <row r="5489">
      <c r="G5489" s="584"/>
      <c r="H5489" s="584"/>
      <c r="I5489" s="335" t="s">
        <v>3494</v>
      </c>
    </row>
    <row r="5490">
      <c r="G5490" s="584"/>
      <c r="H5490" s="584"/>
      <c r="I5490" s="335" t="s">
        <v>3494</v>
      </c>
    </row>
    <row r="5491">
      <c r="G5491" s="584"/>
      <c r="H5491" s="584"/>
      <c r="I5491" s="335" t="s">
        <v>3494</v>
      </c>
    </row>
    <row r="5492">
      <c r="G5492" s="584"/>
      <c r="H5492" s="584"/>
      <c r="I5492" s="335" t="s">
        <v>3494</v>
      </c>
    </row>
    <row r="5493">
      <c r="G5493" s="584"/>
      <c r="H5493" s="584"/>
      <c r="I5493" s="335" t="s">
        <v>3494</v>
      </c>
    </row>
    <row r="5494">
      <c r="G5494" s="584"/>
      <c r="H5494" s="584"/>
      <c r="I5494" s="335" t="s">
        <v>3494</v>
      </c>
    </row>
    <row r="5495">
      <c r="G5495" s="584"/>
      <c r="H5495" s="584"/>
      <c r="I5495" s="335" t="s">
        <v>3494</v>
      </c>
    </row>
    <row r="5496">
      <c r="G5496" s="584"/>
      <c r="H5496" s="584"/>
      <c r="I5496" s="335" t="s">
        <v>3494</v>
      </c>
    </row>
    <row r="5497">
      <c r="G5497" s="584"/>
      <c r="H5497" s="584"/>
      <c r="I5497" s="335" t="s">
        <v>3494</v>
      </c>
    </row>
    <row r="5498">
      <c r="G5498" s="584"/>
      <c r="H5498" s="584"/>
      <c r="I5498" s="335" t="s">
        <v>3494</v>
      </c>
    </row>
    <row r="5499">
      <c r="G5499" s="584"/>
      <c r="H5499" s="584"/>
      <c r="I5499" s="335" t="s">
        <v>3494</v>
      </c>
    </row>
    <row r="5500">
      <c r="G5500" s="584"/>
      <c r="H5500" s="584"/>
      <c r="I5500" s="335" t="s">
        <v>3494</v>
      </c>
    </row>
    <row r="5501">
      <c r="G5501" s="584"/>
      <c r="H5501" s="584"/>
      <c r="I5501" s="335" t="s">
        <v>3494</v>
      </c>
    </row>
    <row r="5502">
      <c r="G5502" s="584"/>
      <c r="H5502" s="584"/>
      <c r="I5502" s="335" t="s">
        <v>3494</v>
      </c>
    </row>
    <row r="5503">
      <c r="G5503" s="584"/>
      <c r="H5503" s="584"/>
      <c r="I5503" s="335" t="s">
        <v>3494</v>
      </c>
    </row>
    <row r="5504">
      <c r="G5504" s="584"/>
      <c r="H5504" s="584"/>
      <c r="I5504" s="335" t="s">
        <v>3494</v>
      </c>
    </row>
    <row r="5505">
      <c r="G5505" s="584"/>
      <c r="H5505" s="584"/>
      <c r="I5505" s="335" t="s">
        <v>3494</v>
      </c>
    </row>
    <row r="5506">
      <c r="G5506" s="584"/>
      <c r="H5506" s="584"/>
      <c r="I5506" s="335" t="s">
        <v>3494</v>
      </c>
    </row>
    <row r="5507">
      <c r="G5507" s="584"/>
      <c r="H5507" s="584"/>
      <c r="I5507" s="335" t="s">
        <v>3494</v>
      </c>
    </row>
    <row r="5508">
      <c r="G5508" s="584"/>
      <c r="H5508" s="584"/>
      <c r="I5508" s="335" t="s">
        <v>3494</v>
      </c>
    </row>
    <row r="5509">
      <c r="G5509" s="584"/>
      <c r="H5509" s="584"/>
      <c r="I5509" s="335" t="s">
        <v>3494</v>
      </c>
    </row>
    <row r="5510">
      <c r="G5510" s="584"/>
      <c r="H5510" s="584"/>
      <c r="I5510" s="335" t="s">
        <v>3494</v>
      </c>
    </row>
    <row r="5511">
      <c r="G5511" s="584"/>
      <c r="H5511" s="584"/>
      <c r="I5511" s="335" t="s">
        <v>3494</v>
      </c>
    </row>
    <row r="5512">
      <c r="G5512" s="584"/>
      <c r="H5512" s="584"/>
      <c r="I5512" s="335" t="s">
        <v>3494</v>
      </c>
    </row>
    <row r="5513">
      <c r="G5513" s="584"/>
      <c r="H5513" s="584"/>
      <c r="I5513" s="335" t="s">
        <v>3494</v>
      </c>
    </row>
    <row r="5514">
      <c r="G5514" s="584"/>
      <c r="H5514" s="584"/>
      <c r="I5514" s="335" t="s">
        <v>3494</v>
      </c>
    </row>
    <row r="5515">
      <c r="G5515" s="584"/>
      <c r="H5515" s="584"/>
      <c r="I5515" s="335" t="s">
        <v>3494</v>
      </c>
    </row>
    <row r="5516">
      <c r="G5516" s="584"/>
      <c r="H5516" s="584"/>
      <c r="I5516" s="335" t="s">
        <v>3494</v>
      </c>
    </row>
    <row r="5517">
      <c r="G5517" s="584"/>
      <c r="H5517" s="584"/>
      <c r="I5517" s="335" t="s">
        <v>3494</v>
      </c>
    </row>
    <row r="5518">
      <c r="G5518" s="584"/>
      <c r="H5518" s="584"/>
      <c r="I5518" s="335" t="s">
        <v>3494</v>
      </c>
    </row>
    <row r="5519">
      <c r="G5519" s="584"/>
      <c r="H5519" s="584"/>
      <c r="I5519" s="335" t="s">
        <v>3494</v>
      </c>
    </row>
    <row r="5520">
      <c r="G5520" s="584"/>
      <c r="H5520" s="584"/>
      <c r="I5520" s="335" t="s">
        <v>3494</v>
      </c>
    </row>
    <row r="5521">
      <c r="G5521" s="584"/>
      <c r="H5521" s="584"/>
      <c r="I5521" s="335" t="s">
        <v>3494</v>
      </c>
    </row>
    <row r="5522">
      <c r="G5522" s="584"/>
      <c r="H5522" s="584"/>
      <c r="I5522" s="335" t="s">
        <v>3494</v>
      </c>
    </row>
    <row r="5523">
      <c r="G5523" s="584"/>
      <c r="H5523" s="584"/>
      <c r="I5523" s="335" t="s">
        <v>3494</v>
      </c>
    </row>
    <row r="5524">
      <c r="G5524" s="584"/>
      <c r="H5524" s="584"/>
      <c r="I5524" s="335" t="s">
        <v>3494</v>
      </c>
    </row>
    <row r="5525">
      <c r="G5525" s="584"/>
      <c r="H5525" s="584"/>
      <c r="I5525" s="335" t="s">
        <v>3494</v>
      </c>
    </row>
    <row r="5526">
      <c r="G5526" s="584"/>
      <c r="H5526" s="584"/>
      <c r="I5526" s="335" t="s">
        <v>3494</v>
      </c>
    </row>
    <row r="5527">
      <c r="G5527" s="584"/>
      <c r="H5527" s="584"/>
      <c r="I5527" s="335" t="s">
        <v>3494</v>
      </c>
    </row>
    <row r="5528">
      <c r="G5528" s="584"/>
      <c r="H5528" s="584"/>
      <c r="I5528" s="335" t="s">
        <v>3494</v>
      </c>
    </row>
    <row r="5529">
      <c r="G5529" s="584"/>
      <c r="H5529" s="584"/>
      <c r="I5529" s="335" t="s">
        <v>3494</v>
      </c>
    </row>
    <row r="5530">
      <c r="G5530" s="584"/>
      <c r="H5530" s="584"/>
      <c r="I5530" s="335" t="s">
        <v>3494</v>
      </c>
    </row>
    <row r="5531">
      <c r="G5531" s="584"/>
      <c r="H5531" s="584"/>
      <c r="I5531" s="335" t="s">
        <v>3494</v>
      </c>
    </row>
    <row r="5532">
      <c r="G5532" s="584"/>
      <c r="H5532" s="584"/>
      <c r="I5532" s="335" t="s">
        <v>3494</v>
      </c>
    </row>
    <row r="5533">
      <c r="G5533" s="584"/>
      <c r="H5533" s="584"/>
      <c r="I5533" s="335" t="s">
        <v>3494</v>
      </c>
    </row>
    <row r="5534">
      <c r="G5534" s="584"/>
      <c r="H5534" s="584"/>
      <c r="I5534" s="335" t="s">
        <v>3494</v>
      </c>
    </row>
    <row r="5535">
      <c r="G5535" s="584"/>
      <c r="H5535" s="584"/>
      <c r="I5535" s="335" t="s">
        <v>3494</v>
      </c>
    </row>
    <row r="5536">
      <c r="G5536" s="584"/>
      <c r="H5536" s="584"/>
      <c r="I5536" s="335" t="s">
        <v>3494</v>
      </c>
    </row>
    <row r="5537">
      <c r="G5537" s="584"/>
      <c r="H5537" s="584"/>
      <c r="I5537" s="335" t="s">
        <v>3494</v>
      </c>
    </row>
    <row r="5538">
      <c r="G5538" s="584"/>
      <c r="H5538" s="584"/>
      <c r="I5538" s="335" t="s">
        <v>3494</v>
      </c>
    </row>
    <row r="5539">
      <c r="G5539" s="584"/>
      <c r="H5539" s="584"/>
      <c r="I5539" s="335" t="s">
        <v>3494</v>
      </c>
    </row>
    <row r="5540">
      <c r="G5540" s="584"/>
      <c r="H5540" s="584"/>
      <c r="I5540" s="335" t="s">
        <v>3494</v>
      </c>
    </row>
    <row r="5541">
      <c r="G5541" s="584"/>
      <c r="H5541" s="584"/>
      <c r="I5541" s="335" t="s">
        <v>3494</v>
      </c>
    </row>
    <row r="5542">
      <c r="G5542" s="584"/>
      <c r="H5542" s="584"/>
      <c r="I5542" s="335" t="s">
        <v>3494</v>
      </c>
    </row>
    <row r="5543">
      <c r="G5543" s="584"/>
      <c r="H5543" s="584"/>
      <c r="I5543" s="335" t="s">
        <v>3494</v>
      </c>
    </row>
    <row r="5544">
      <c r="G5544" s="584"/>
      <c r="H5544" s="584"/>
      <c r="I5544" s="335" t="s">
        <v>3494</v>
      </c>
    </row>
    <row r="5545">
      <c r="G5545" s="584"/>
      <c r="H5545" s="584"/>
      <c r="I5545" s="335" t="s">
        <v>3494</v>
      </c>
    </row>
    <row r="5546">
      <c r="G5546" s="584"/>
      <c r="H5546" s="584"/>
      <c r="I5546" s="335" t="s">
        <v>3494</v>
      </c>
    </row>
    <row r="5547">
      <c r="G5547" s="584"/>
      <c r="H5547" s="584"/>
      <c r="I5547" s="335" t="s">
        <v>3494</v>
      </c>
    </row>
    <row r="5548">
      <c r="G5548" s="584"/>
      <c r="H5548" s="584"/>
      <c r="I5548" s="335" t="s">
        <v>3494</v>
      </c>
    </row>
    <row r="5549">
      <c r="G5549" s="584"/>
      <c r="H5549" s="584"/>
      <c r="I5549" s="335" t="s">
        <v>3494</v>
      </c>
    </row>
    <row r="5550">
      <c r="G5550" s="584"/>
      <c r="H5550" s="584"/>
      <c r="I5550" s="335" t="s">
        <v>3494</v>
      </c>
    </row>
    <row r="5551">
      <c r="G5551" s="584"/>
      <c r="H5551" s="584"/>
      <c r="I5551" s="335" t="s">
        <v>3494</v>
      </c>
    </row>
    <row r="5552">
      <c r="G5552" s="584"/>
      <c r="H5552" s="584"/>
      <c r="I5552" s="335" t="s">
        <v>3494</v>
      </c>
    </row>
    <row r="5553">
      <c r="G5553" s="584"/>
      <c r="H5553" s="584"/>
      <c r="I5553" s="335" t="s">
        <v>3494</v>
      </c>
    </row>
    <row r="5554">
      <c r="G5554" s="584"/>
      <c r="H5554" s="584"/>
      <c r="I5554" s="335" t="s">
        <v>3494</v>
      </c>
    </row>
    <row r="5555">
      <c r="G5555" s="584"/>
      <c r="H5555" s="584"/>
      <c r="I5555" s="335" t="s">
        <v>3494</v>
      </c>
    </row>
    <row r="5556">
      <c r="G5556" s="584"/>
      <c r="H5556" s="584"/>
      <c r="I5556" s="335" t="s">
        <v>3494</v>
      </c>
    </row>
    <row r="5557">
      <c r="G5557" s="584"/>
      <c r="H5557" s="584"/>
      <c r="I5557" s="335" t="s">
        <v>3494</v>
      </c>
    </row>
    <row r="5558">
      <c r="G5558" s="584"/>
      <c r="H5558" s="584"/>
      <c r="I5558" s="335" t="s">
        <v>3494</v>
      </c>
    </row>
    <row r="5559">
      <c r="G5559" s="584"/>
      <c r="H5559" s="584"/>
      <c r="I5559" s="335" t="s">
        <v>3494</v>
      </c>
    </row>
    <row r="5560">
      <c r="G5560" s="584"/>
      <c r="H5560" s="584"/>
      <c r="I5560" s="335" t="s">
        <v>3494</v>
      </c>
    </row>
    <row r="5561">
      <c r="G5561" s="584"/>
      <c r="H5561" s="584"/>
      <c r="I5561" s="335" t="s">
        <v>3494</v>
      </c>
    </row>
    <row r="5562">
      <c r="G5562" s="584"/>
      <c r="H5562" s="584"/>
      <c r="I5562" s="335" t="s">
        <v>3494</v>
      </c>
    </row>
    <row r="5563">
      <c r="G5563" s="584"/>
      <c r="H5563" s="584"/>
      <c r="I5563" s="335" t="s">
        <v>3494</v>
      </c>
    </row>
    <row r="5564">
      <c r="G5564" s="584"/>
      <c r="H5564" s="584"/>
      <c r="I5564" s="335" t="s">
        <v>3494</v>
      </c>
    </row>
    <row r="5565">
      <c r="G5565" s="584"/>
      <c r="H5565" s="584"/>
      <c r="I5565" s="335" t="s">
        <v>3494</v>
      </c>
    </row>
    <row r="5566">
      <c r="G5566" s="584"/>
      <c r="H5566" s="584"/>
      <c r="I5566" s="335" t="s">
        <v>3494</v>
      </c>
    </row>
    <row r="5567">
      <c r="G5567" s="584"/>
      <c r="H5567" s="584"/>
      <c r="I5567" s="335" t="s">
        <v>3494</v>
      </c>
    </row>
    <row r="5568">
      <c r="G5568" s="584"/>
      <c r="H5568" s="584"/>
      <c r="I5568" s="335" t="s">
        <v>3494</v>
      </c>
    </row>
    <row r="5569">
      <c r="G5569" s="584"/>
      <c r="H5569" s="584"/>
      <c r="I5569" s="335" t="s">
        <v>3494</v>
      </c>
    </row>
    <row r="5570">
      <c r="G5570" s="584"/>
      <c r="H5570" s="584"/>
      <c r="I5570" s="335" t="s">
        <v>3494</v>
      </c>
    </row>
    <row r="5571">
      <c r="G5571" s="584"/>
      <c r="H5571" s="584"/>
      <c r="I5571" s="335" t="s">
        <v>3494</v>
      </c>
    </row>
    <row r="5572">
      <c r="G5572" s="584"/>
      <c r="H5572" s="584"/>
      <c r="I5572" s="335" t="s">
        <v>3494</v>
      </c>
    </row>
    <row r="5573">
      <c r="G5573" s="584"/>
      <c r="H5573" s="584"/>
      <c r="I5573" s="335" t="s">
        <v>3494</v>
      </c>
    </row>
    <row r="5574">
      <c r="G5574" s="584"/>
      <c r="H5574" s="584"/>
      <c r="I5574" s="335" t="s">
        <v>3494</v>
      </c>
    </row>
    <row r="5575">
      <c r="G5575" s="584"/>
      <c r="H5575" s="584"/>
      <c r="I5575" s="335" t="s">
        <v>3494</v>
      </c>
    </row>
    <row r="5576">
      <c r="G5576" s="584"/>
      <c r="H5576" s="584"/>
      <c r="I5576" s="335" t="s">
        <v>3494</v>
      </c>
    </row>
    <row r="5577">
      <c r="G5577" s="584"/>
      <c r="H5577" s="584"/>
      <c r="I5577" s="335" t="s">
        <v>3494</v>
      </c>
    </row>
    <row r="5578">
      <c r="G5578" s="584"/>
      <c r="H5578" s="584"/>
      <c r="I5578" s="335" t="s">
        <v>3494</v>
      </c>
    </row>
    <row r="5579">
      <c r="G5579" s="584"/>
      <c r="H5579" s="584"/>
      <c r="I5579" s="335" t="s">
        <v>3494</v>
      </c>
    </row>
    <row r="5580">
      <c r="G5580" s="584"/>
      <c r="H5580" s="584"/>
      <c r="I5580" s="335" t="s">
        <v>3494</v>
      </c>
    </row>
    <row r="5581">
      <c r="G5581" s="584"/>
      <c r="H5581" s="584"/>
      <c r="I5581" s="335" t="s">
        <v>3494</v>
      </c>
    </row>
    <row r="5582">
      <c r="G5582" s="584"/>
      <c r="H5582" s="584"/>
      <c r="I5582" s="335" t="s">
        <v>3494</v>
      </c>
    </row>
    <row r="5583">
      <c r="G5583" s="584"/>
      <c r="H5583" s="584"/>
      <c r="I5583" s="335" t="s">
        <v>3494</v>
      </c>
    </row>
    <row r="5584">
      <c r="G5584" s="584"/>
      <c r="H5584" s="584"/>
      <c r="I5584" s="335" t="s">
        <v>3494</v>
      </c>
    </row>
    <row r="5585">
      <c r="G5585" s="584"/>
      <c r="H5585" s="584"/>
      <c r="I5585" s="335" t="s">
        <v>3494</v>
      </c>
    </row>
    <row r="5586">
      <c r="G5586" s="584"/>
      <c r="H5586" s="584"/>
      <c r="I5586" s="335" t="s">
        <v>3494</v>
      </c>
    </row>
    <row r="5587">
      <c r="G5587" s="584"/>
      <c r="H5587" s="584"/>
      <c r="I5587" s="335" t="s">
        <v>3494</v>
      </c>
    </row>
    <row r="5588">
      <c r="G5588" s="584"/>
      <c r="H5588" s="584"/>
      <c r="I5588" s="335" t="s">
        <v>3494</v>
      </c>
    </row>
    <row r="5589">
      <c r="G5589" s="584"/>
      <c r="H5589" s="584"/>
      <c r="I5589" s="335" t="s">
        <v>3494</v>
      </c>
    </row>
    <row r="5590">
      <c r="G5590" s="584"/>
      <c r="H5590" s="584"/>
      <c r="I5590" s="335" t="s">
        <v>3494</v>
      </c>
    </row>
    <row r="5591">
      <c r="G5591" s="584"/>
      <c r="H5591" s="584"/>
      <c r="I5591" s="335" t="s">
        <v>3494</v>
      </c>
    </row>
    <row r="5592">
      <c r="G5592" s="584"/>
      <c r="H5592" s="584"/>
      <c r="I5592" s="335" t="s">
        <v>3494</v>
      </c>
    </row>
    <row r="5593">
      <c r="G5593" s="584"/>
      <c r="H5593" s="584"/>
      <c r="I5593" s="335" t="s">
        <v>3494</v>
      </c>
    </row>
    <row r="5594">
      <c r="G5594" s="584"/>
      <c r="H5594" s="584"/>
      <c r="I5594" s="335" t="s">
        <v>3494</v>
      </c>
    </row>
    <row r="5595">
      <c r="G5595" s="584"/>
      <c r="H5595" s="584"/>
      <c r="I5595" s="335" t="s">
        <v>3494</v>
      </c>
    </row>
    <row r="5596">
      <c r="G5596" s="584"/>
      <c r="H5596" s="584"/>
      <c r="I5596" s="335" t="s">
        <v>3494</v>
      </c>
    </row>
    <row r="5597">
      <c r="G5597" s="584"/>
      <c r="H5597" s="584"/>
      <c r="I5597" s="335" t="s">
        <v>3494</v>
      </c>
    </row>
    <row r="5598">
      <c r="G5598" s="584"/>
      <c r="H5598" s="584"/>
      <c r="I5598" s="335" t="s">
        <v>3494</v>
      </c>
    </row>
    <row r="5599">
      <c r="G5599" s="584"/>
      <c r="H5599" s="584"/>
      <c r="I5599" s="335" t="s">
        <v>3494</v>
      </c>
    </row>
    <row r="5600">
      <c r="G5600" s="584"/>
      <c r="H5600" s="584"/>
      <c r="I5600" s="335" t="s">
        <v>3494</v>
      </c>
    </row>
    <row r="5601">
      <c r="G5601" s="584"/>
      <c r="H5601" s="584"/>
      <c r="I5601" s="335" t="s">
        <v>3494</v>
      </c>
    </row>
    <row r="5602">
      <c r="G5602" s="584"/>
      <c r="H5602" s="584"/>
      <c r="I5602" s="335" t="s">
        <v>3494</v>
      </c>
    </row>
    <row r="5603">
      <c r="G5603" s="584"/>
      <c r="H5603" s="584"/>
      <c r="I5603" s="335" t="s">
        <v>3494</v>
      </c>
    </row>
    <row r="5604">
      <c r="G5604" s="584"/>
      <c r="H5604" s="584"/>
      <c r="I5604" s="335" t="s">
        <v>3494</v>
      </c>
    </row>
    <row r="5605">
      <c r="G5605" s="584"/>
      <c r="H5605" s="584"/>
      <c r="I5605" s="335" t="s">
        <v>3494</v>
      </c>
    </row>
    <row r="5606">
      <c r="G5606" s="584"/>
      <c r="H5606" s="584"/>
      <c r="I5606" s="335" t="s">
        <v>3494</v>
      </c>
    </row>
    <row r="5607">
      <c r="G5607" s="584"/>
      <c r="H5607" s="584"/>
      <c r="I5607" s="335" t="s">
        <v>3494</v>
      </c>
    </row>
    <row r="5608">
      <c r="G5608" s="584"/>
      <c r="H5608" s="584"/>
      <c r="I5608" s="335" t="s">
        <v>3494</v>
      </c>
    </row>
    <row r="5609">
      <c r="G5609" s="584"/>
      <c r="H5609" s="584"/>
      <c r="I5609" s="335" t="s">
        <v>3494</v>
      </c>
    </row>
    <row r="5610">
      <c r="G5610" s="584"/>
      <c r="H5610" s="584"/>
      <c r="I5610" s="335" t="s">
        <v>3494</v>
      </c>
    </row>
    <row r="5611">
      <c r="G5611" s="584"/>
      <c r="H5611" s="584"/>
      <c r="I5611" s="335" t="s">
        <v>3494</v>
      </c>
    </row>
    <row r="5612">
      <c r="G5612" s="584"/>
      <c r="H5612" s="584"/>
      <c r="I5612" s="335" t="s">
        <v>3494</v>
      </c>
    </row>
    <row r="5613">
      <c r="G5613" s="584"/>
      <c r="H5613" s="584"/>
      <c r="I5613" s="335" t="s">
        <v>3494</v>
      </c>
    </row>
    <row r="5614">
      <c r="G5614" s="584"/>
      <c r="H5614" s="584"/>
      <c r="I5614" s="335" t="s">
        <v>3494</v>
      </c>
    </row>
    <row r="5615">
      <c r="G5615" s="584"/>
      <c r="H5615" s="584"/>
      <c r="I5615" s="335" t="s">
        <v>3494</v>
      </c>
    </row>
    <row r="5616">
      <c r="G5616" s="584"/>
      <c r="H5616" s="584"/>
      <c r="I5616" s="335" t="s">
        <v>3494</v>
      </c>
    </row>
    <row r="5617">
      <c r="G5617" s="584"/>
      <c r="H5617" s="584"/>
      <c r="I5617" s="335" t="s">
        <v>3494</v>
      </c>
    </row>
    <row r="5618">
      <c r="G5618" s="584"/>
      <c r="H5618" s="584"/>
      <c r="I5618" s="335" t="s">
        <v>3494</v>
      </c>
    </row>
    <row r="5619">
      <c r="G5619" s="584"/>
      <c r="H5619" s="584"/>
      <c r="I5619" s="335" t="s">
        <v>3494</v>
      </c>
    </row>
    <row r="5620">
      <c r="G5620" s="584"/>
      <c r="H5620" s="584"/>
      <c r="I5620" s="335" t="s">
        <v>3494</v>
      </c>
    </row>
    <row r="5621">
      <c r="G5621" s="584"/>
      <c r="H5621" s="584"/>
      <c r="I5621" s="335" t="s">
        <v>3494</v>
      </c>
    </row>
    <row r="5622">
      <c r="G5622" s="584"/>
      <c r="H5622" s="584"/>
      <c r="I5622" s="335" t="s">
        <v>3494</v>
      </c>
    </row>
    <row r="5623">
      <c r="G5623" s="584"/>
      <c r="H5623" s="584"/>
      <c r="I5623" s="335" t="s">
        <v>3494</v>
      </c>
    </row>
    <row r="5624">
      <c r="G5624" s="584"/>
      <c r="H5624" s="584"/>
      <c r="I5624" s="335" t="s">
        <v>3494</v>
      </c>
    </row>
    <row r="5625">
      <c r="G5625" s="584"/>
      <c r="H5625" s="584"/>
      <c r="I5625" s="335" t="s">
        <v>3494</v>
      </c>
    </row>
    <row r="5626">
      <c r="G5626" s="584"/>
      <c r="H5626" s="584"/>
      <c r="I5626" s="335" t="s">
        <v>3494</v>
      </c>
    </row>
    <row r="5627">
      <c r="G5627" s="584"/>
      <c r="H5627" s="584"/>
      <c r="I5627" s="335" t="s">
        <v>3494</v>
      </c>
    </row>
    <row r="5628">
      <c r="G5628" s="584"/>
      <c r="H5628" s="584"/>
      <c r="I5628" s="335" t="s">
        <v>3494</v>
      </c>
    </row>
    <row r="5629">
      <c r="G5629" s="584"/>
      <c r="H5629" s="584"/>
      <c r="I5629" s="335" t="s">
        <v>3494</v>
      </c>
    </row>
    <row r="5630">
      <c r="G5630" s="584"/>
      <c r="H5630" s="584"/>
      <c r="I5630" s="335" t="s">
        <v>3494</v>
      </c>
    </row>
    <row r="5631">
      <c r="G5631" s="584"/>
      <c r="H5631" s="584"/>
      <c r="I5631" s="335" t="s">
        <v>3494</v>
      </c>
    </row>
    <row r="5632">
      <c r="G5632" s="584"/>
      <c r="H5632" s="584"/>
      <c r="I5632" s="335" t="s">
        <v>3494</v>
      </c>
    </row>
    <row r="5633">
      <c r="G5633" s="584"/>
      <c r="H5633" s="584"/>
      <c r="I5633" s="335" t="s">
        <v>3494</v>
      </c>
    </row>
    <row r="5634">
      <c r="G5634" s="584"/>
      <c r="H5634" s="584"/>
      <c r="I5634" s="335" t="s">
        <v>3494</v>
      </c>
    </row>
    <row r="5635">
      <c r="G5635" s="584"/>
      <c r="H5635" s="584"/>
      <c r="I5635" s="335" t="s">
        <v>3494</v>
      </c>
    </row>
    <row r="5636">
      <c r="G5636" s="584"/>
      <c r="H5636" s="584"/>
      <c r="I5636" s="335" t="s">
        <v>3494</v>
      </c>
    </row>
    <row r="5637">
      <c r="G5637" s="584"/>
      <c r="H5637" s="584"/>
      <c r="I5637" s="335" t="s">
        <v>3494</v>
      </c>
    </row>
    <row r="5638">
      <c r="G5638" s="584"/>
      <c r="H5638" s="584"/>
      <c r="I5638" s="335" t="s">
        <v>3494</v>
      </c>
    </row>
    <row r="5639">
      <c r="G5639" s="584"/>
      <c r="H5639" s="584"/>
      <c r="I5639" s="335" t="s">
        <v>3494</v>
      </c>
    </row>
    <row r="5640">
      <c r="G5640" s="584"/>
      <c r="H5640" s="584"/>
      <c r="I5640" s="335" t="s">
        <v>3494</v>
      </c>
    </row>
    <row r="5641">
      <c r="G5641" s="584"/>
      <c r="H5641" s="584"/>
      <c r="I5641" s="335" t="s">
        <v>3494</v>
      </c>
    </row>
    <row r="5642">
      <c r="G5642" s="584"/>
      <c r="H5642" s="584"/>
      <c r="I5642" s="335" t="s">
        <v>3494</v>
      </c>
    </row>
    <row r="5643">
      <c r="G5643" s="584"/>
      <c r="H5643" s="584"/>
      <c r="I5643" s="335" t="s">
        <v>3494</v>
      </c>
    </row>
    <row r="5644">
      <c r="G5644" s="584"/>
      <c r="H5644" s="584"/>
      <c r="I5644" s="335" t="s">
        <v>3494</v>
      </c>
    </row>
    <row r="5645">
      <c r="G5645" s="584"/>
      <c r="H5645" s="584"/>
      <c r="I5645" s="335" t="s">
        <v>3494</v>
      </c>
    </row>
    <row r="5646">
      <c r="G5646" s="584"/>
      <c r="H5646" s="584"/>
      <c r="I5646" s="335" t="s">
        <v>3494</v>
      </c>
    </row>
    <row r="5647">
      <c r="G5647" s="584"/>
      <c r="H5647" s="584"/>
      <c r="I5647" s="335" t="s">
        <v>3494</v>
      </c>
    </row>
    <row r="5648">
      <c r="G5648" s="584"/>
      <c r="H5648" s="584"/>
      <c r="I5648" s="335" t="s">
        <v>3494</v>
      </c>
    </row>
    <row r="5649">
      <c r="G5649" s="584"/>
      <c r="H5649" s="584"/>
      <c r="I5649" s="335" t="s">
        <v>3494</v>
      </c>
    </row>
    <row r="5650">
      <c r="G5650" s="584"/>
      <c r="H5650" s="584"/>
      <c r="I5650" s="335" t="s">
        <v>3494</v>
      </c>
    </row>
    <row r="5651">
      <c r="G5651" s="584"/>
      <c r="H5651" s="584"/>
      <c r="I5651" s="335" t="s">
        <v>3494</v>
      </c>
    </row>
    <row r="5652">
      <c r="G5652" s="584"/>
      <c r="H5652" s="584"/>
      <c r="I5652" s="335" t="s">
        <v>3494</v>
      </c>
    </row>
    <row r="5653">
      <c r="G5653" s="584"/>
      <c r="H5653" s="584"/>
      <c r="I5653" s="335" t="s">
        <v>3494</v>
      </c>
    </row>
    <row r="5654">
      <c r="G5654" s="584"/>
      <c r="H5654" s="584"/>
      <c r="I5654" s="335" t="s">
        <v>3494</v>
      </c>
    </row>
    <row r="5655">
      <c r="G5655" s="584"/>
      <c r="H5655" s="584"/>
      <c r="I5655" s="335" t="s">
        <v>3494</v>
      </c>
    </row>
    <row r="5656">
      <c r="G5656" s="584"/>
      <c r="H5656" s="584"/>
      <c r="I5656" s="335" t="s">
        <v>3494</v>
      </c>
    </row>
    <row r="5657">
      <c r="G5657" s="584"/>
      <c r="H5657" s="584"/>
      <c r="I5657" s="335" t="s">
        <v>3494</v>
      </c>
    </row>
    <row r="5658">
      <c r="G5658" s="584"/>
      <c r="H5658" s="584"/>
      <c r="I5658" s="335" t="s">
        <v>3494</v>
      </c>
    </row>
    <row r="5659">
      <c r="G5659" s="584"/>
      <c r="H5659" s="584"/>
      <c r="I5659" s="335" t="s">
        <v>3494</v>
      </c>
    </row>
    <row r="5660">
      <c r="G5660" s="584"/>
      <c r="H5660" s="584"/>
      <c r="I5660" s="335" t="s">
        <v>3494</v>
      </c>
    </row>
    <row r="5661">
      <c r="G5661" s="584"/>
      <c r="H5661" s="584"/>
      <c r="I5661" s="335" t="s">
        <v>3494</v>
      </c>
    </row>
    <row r="5662">
      <c r="G5662" s="584"/>
      <c r="H5662" s="584"/>
      <c r="I5662" s="335" t="s">
        <v>3494</v>
      </c>
    </row>
    <row r="5663">
      <c r="G5663" s="584"/>
      <c r="H5663" s="584"/>
      <c r="I5663" s="335" t="s">
        <v>3494</v>
      </c>
    </row>
    <row r="5664">
      <c r="G5664" s="584"/>
      <c r="H5664" s="584"/>
      <c r="I5664" s="335" t="s">
        <v>3494</v>
      </c>
    </row>
    <row r="5665">
      <c r="G5665" s="584"/>
      <c r="H5665" s="584"/>
      <c r="I5665" s="335" t="s">
        <v>3494</v>
      </c>
    </row>
    <row r="5666">
      <c r="G5666" s="584"/>
      <c r="H5666" s="584"/>
      <c r="I5666" s="335" t="s">
        <v>3494</v>
      </c>
    </row>
    <row r="5667">
      <c r="G5667" s="584"/>
      <c r="H5667" s="584"/>
      <c r="I5667" s="335" t="s">
        <v>3494</v>
      </c>
    </row>
    <row r="5668">
      <c r="G5668" s="584"/>
      <c r="H5668" s="584"/>
      <c r="I5668" s="335" t="s">
        <v>3494</v>
      </c>
    </row>
    <row r="5669">
      <c r="G5669" s="584"/>
      <c r="H5669" s="584"/>
      <c r="I5669" s="335" t="s">
        <v>3494</v>
      </c>
    </row>
    <row r="5670">
      <c r="G5670" s="584"/>
      <c r="H5670" s="584"/>
      <c r="I5670" s="335" t="s">
        <v>3494</v>
      </c>
    </row>
    <row r="5671">
      <c r="G5671" s="584"/>
      <c r="H5671" s="584"/>
      <c r="I5671" s="335" t="s">
        <v>3494</v>
      </c>
    </row>
    <row r="5672">
      <c r="G5672" s="584"/>
      <c r="H5672" s="584"/>
      <c r="I5672" s="335" t="s">
        <v>3494</v>
      </c>
    </row>
    <row r="5673">
      <c r="G5673" s="584"/>
      <c r="H5673" s="584"/>
      <c r="I5673" s="335" t="s">
        <v>3494</v>
      </c>
    </row>
    <row r="5674">
      <c r="G5674" s="584"/>
      <c r="H5674" s="584"/>
      <c r="I5674" s="335" t="s">
        <v>3494</v>
      </c>
    </row>
    <row r="5675">
      <c r="G5675" s="584"/>
      <c r="H5675" s="584"/>
      <c r="I5675" s="335" t="s">
        <v>3494</v>
      </c>
    </row>
    <row r="5676">
      <c r="G5676" s="584"/>
      <c r="H5676" s="584"/>
      <c r="I5676" s="335" t="s">
        <v>3494</v>
      </c>
    </row>
    <row r="5677">
      <c r="G5677" s="584"/>
      <c r="H5677" s="584"/>
      <c r="I5677" s="335" t="s">
        <v>3494</v>
      </c>
    </row>
    <row r="5678">
      <c r="G5678" s="584"/>
      <c r="H5678" s="584"/>
      <c r="I5678" s="335" t="s">
        <v>3494</v>
      </c>
    </row>
    <row r="5679">
      <c r="G5679" s="584"/>
      <c r="H5679" s="584"/>
      <c r="I5679" s="335" t="s">
        <v>3494</v>
      </c>
    </row>
    <row r="5680">
      <c r="G5680" s="584"/>
      <c r="H5680" s="584"/>
      <c r="I5680" s="335" t="s">
        <v>3494</v>
      </c>
    </row>
    <row r="5681">
      <c r="G5681" s="584"/>
      <c r="H5681" s="584"/>
      <c r="I5681" s="335" t="s">
        <v>3494</v>
      </c>
    </row>
    <row r="5682">
      <c r="G5682" s="584"/>
      <c r="H5682" s="584"/>
      <c r="I5682" s="335" t="s">
        <v>3494</v>
      </c>
    </row>
    <row r="5683">
      <c r="G5683" s="584"/>
      <c r="H5683" s="584"/>
      <c r="I5683" s="335" t="s">
        <v>3494</v>
      </c>
    </row>
    <row r="5684">
      <c r="G5684" s="584"/>
      <c r="H5684" s="584"/>
      <c r="I5684" s="335" t="s">
        <v>3494</v>
      </c>
    </row>
    <row r="5685">
      <c r="G5685" s="584"/>
      <c r="H5685" s="584"/>
      <c r="I5685" s="335" t="s">
        <v>3494</v>
      </c>
    </row>
    <row r="5686">
      <c r="G5686" s="584"/>
      <c r="H5686" s="584"/>
      <c r="I5686" s="335" t="s">
        <v>3494</v>
      </c>
    </row>
    <row r="5687">
      <c r="G5687" s="584"/>
      <c r="H5687" s="584"/>
      <c r="I5687" s="335" t="s">
        <v>3494</v>
      </c>
    </row>
    <row r="5688">
      <c r="G5688" s="584"/>
      <c r="H5688" s="584"/>
      <c r="I5688" s="335" t="s">
        <v>3494</v>
      </c>
    </row>
    <row r="5689">
      <c r="G5689" s="584"/>
      <c r="H5689" s="584"/>
      <c r="I5689" s="335" t="s">
        <v>3494</v>
      </c>
    </row>
    <row r="5690">
      <c r="G5690" s="584"/>
      <c r="H5690" s="584"/>
      <c r="I5690" s="335" t="s">
        <v>3494</v>
      </c>
    </row>
    <row r="5691">
      <c r="G5691" s="584"/>
      <c r="H5691" s="584"/>
      <c r="I5691" s="335" t="s">
        <v>3494</v>
      </c>
    </row>
    <row r="5692">
      <c r="G5692" s="584"/>
      <c r="H5692" s="584"/>
      <c r="I5692" s="335" t="s">
        <v>3494</v>
      </c>
    </row>
    <row r="5693">
      <c r="G5693" s="584"/>
      <c r="H5693" s="584"/>
      <c r="I5693" s="335" t="s">
        <v>3494</v>
      </c>
    </row>
    <row r="5694">
      <c r="G5694" s="584"/>
      <c r="H5694" s="584"/>
      <c r="I5694" s="335" t="s">
        <v>3494</v>
      </c>
    </row>
    <row r="5695">
      <c r="G5695" s="584"/>
      <c r="H5695" s="584"/>
      <c r="I5695" s="335" t="s">
        <v>3494</v>
      </c>
    </row>
    <row r="5696">
      <c r="G5696" s="584"/>
      <c r="H5696" s="584"/>
      <c r="I5696" s="335" t="s">
        <v>3494</v>
      </c>
    </row>
    <row r="5697">
      <c r="G5697" s="584"/>
      <c r="H5697" s="584"/>
      <c r="I5697" s="335" t="s">
        <v>3494</v>
      </c>
    </row>
    <row r="5698">
      <c r="G5698" s="584"/>
      <c r="H5698" s="584"/>
      <c r="I5698" s="335" t="s">
        <v>3494</v>
      </c>
    </row>
    <row r="5699">
      <c r="G5699" s="584"/>
      <c r="H5699" s="584"/>
      <c r="I5699" s="335" t="s">
        <v>3494</v>
      </c>
    </row>
    <row r="5700">
      <c r="G5700" s="584"/>
      <c r="H5700" s="584"/>
      <c r="I5700" s="335" t="s">
        <v>3494</v>
      </c>
    </row>
    <row r="5701">
      <c r="G5701" s="584"/>
      <c r="H5701" s="584"/>
      <c r="I5701" s="335" t="s">
        <v>3494</v>
      </c>
    </row>
    <row r="5702">
      <c r="G5702" s="584"/>
      <c r="H5702" s="584"/>
      <c r="I5702" s="335" t="s">
        <v>3494</v>
      </c>
    </row>
    <row r="5703">
      <c r="G5703" s="584"/>
      <c r="H5703" s="584"/>
      <c r="I5703" s="335" t="s">
        <v>3494</v>
      </c>
    </row>
    <row r="5704">
      <c r="G5704" s="584"/>
      <c r="H5704" s="584"/>
      <c r="I5704" s="335" t="s">
        <v>3494</v>
      </c>
    </row>
    <row r="5705">
      <c r="G5705" s="584"/>
      <c r="H5705" s="584"/>
      <c r="I5705" s="335" t="s">
        <v>3494</v>
      </c>
    </row>
    <row r="5706">
      <c r="G5706" s="584"/>
      <c r="H5706" s="584"/>
      <c r="I5706" s="335" t="s">
        <v>3494</v>
      </c>
    </row>
    <row r="5707">
      <c r="G5707" s="584"/>
      <c r="H5707" s="584"/>
      <c r="I5707" s="335" t="s">
        <v>3494</v>
      </c>
    </row>
    <row r="5708">
      <c r="G5708" s="584"/>
      <c r="H5708" s="584"/>
      <c r="I5708" s="335" t="s">
        <v>3494</v>
      </c>
    </row>
    <row r="5709">
      <c r="G5709" s="584"/>
      <c r="H5709" s="584"/>
      <c r="I5709" s="335" t="s">
        <v>3494</v>
      </c>
    </row>
    <row r="5710">
      <c r="G5710" s="584"/>
      <c r="H5710" s="584"/>
      <c r="I5710" s="335" t="s">
        <v>3494</v>
      </c>
    </row>
    <row r="5711">
      <c r="G5711" s="584"/>
      <c r="H5711" s="584"/>
      <c r="I5711" s="335" t="s">
        <v>3494</v>
      </c>
    </row>
    <row r="5712">
      <c r="G5712" s="584"/>
      <c r="H5712" s="584"/>
      <c r="I5712" s="335" t="s">
        <v>3494</v>
      </c>
    </row>
    <row r="5713">
      <c r="G5713" s="584"/>
      <c r="H5713" s="584"/>
      <c r="I5713" s="335" t="s">
        <v>3494</v>
      </c>
    </row>
    <row r="5714">
      <c r="G5714" s="584"/>
      <c r="H5714" s="584"/>
      <c r="I5714" s="335" t="s">
        <v>3494</v>
      </c>
    </row>
    <row r="5715">
      <c r="G5715" s="584"/>
      <c r="H5715" s="584"/>
      <c r="I5715" s="335" t="s">
        <v>3494</v>
      </c>
    </row>
    <row r="5716">
      <c r="G5716" s="584"/>
      <c r="H5716" s="584"/>
      <c r="I5716" s="335" t="s">
        <v>3494</v>
      </c>
    </row>
    <row r="5717">
      <c r="G5717" s="584"/>
      <c r="H5717" s="584"/>
      <c r="I5717" s="335" t="s">
        <v>3494</v>
      </c>
    </row>
    <row r="5718">
      <c r="G5718" s="584"/>
      <c r="H5718" s="584"/>
      <c r="I5718" s="335" t="s">
        <v>3494</v>
      </c>
    </row>
    <row r="5719">
      <c r="G5719" s="584"/>
      <c r="H5719" s="584"/>
      <c r="I5719" s="335" t="s">
        <v>3494</v>
      </c>
    </row>
    <row r="5720">
      <c r="G5720" s="584"/>
      <c r="H5720" s="584"/>
      <c r="I5720" s="335" t="s">
        <v>3494</v>
      </c>
    </row>
    <row r="5721">
      <c r="G5721" s="584"/>
      <c r="H5721" s="584"/>
      <c r="I5721" s="335" t="s">
        <v>3494</v>
      </c>
    </row>
    <row r="5722">
      <c r="G5722" s="584"/>
      <c r="H5722" s="584"/>
      <c r="I5722" s="335" t="s">
        <v>3494</v>
      </c>
    </row>
    <row r="5723">
      <c r="G5723" s="584"/>
      <c r="H5723" s="584"/>
      <c r="I5723" s="335" t="s">
        <v>3494</v>
      </c>
    </row>
    <row r="5724">
      <c r="G5724" s="584"/>
      <c r="H5724" s="584"/>
      <c r="I5724" s="335" t="s">
        <v>3494</v>
      </c>
    </row>
    <row r="5725">
      <c r="G5725" s="584"/>
      <c r="H5725" s="584"/>
      <c r="I5725" s="335" t="s">
        <v>3494</v>
      </c>
    </row>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X1" s="467">
        <f>COLUMN()</f>
        <v>24</v>
      </c>
      <c r="Y1" s="725" t="str">
        <f t="array" ref="Y1:Y362">{"Hardware Qty";
  IF(A2:A362="","",
    BYROW(G2:X362, LAMBDA(r, SUM(N(r))))
  )
}</f>
        <v>Hardware Qty</v>
      </c>
      <c r="Z1" s="725" t="str">
        <f t="array" ref="Z1:Z362">{"Order ID";
  B2:B362
}</f>
        <v>Order ID</v>
      </c>
    </row>
    <row r="2">
      <c r="Y2" s="725" t="s">
        <v>3494</v>
      </c>
      <c r="Z2" s="725"/>
    </row>
    <row r="3">
      <c r="Y3" s="725" t="s">
        <v>3494</v>
      </c>
      <c r="Z3" s="725" t="s">
        <v>1080</v>
      </c>
    </row>
    <row r="4">
      <c r="Y4" s="725" t="s">
        <v>3494</v>
      </c>
      <c r="Z4" s="725" t="s">
        <v>2176</v>
      </c>
    </row>
    <row r="5">
      <c r="Y5" s="725" t="s">
        <v>3494</v>
      </c>
      <c r="Z5" s="725" t="s">
        <v>2340</v>
      </c>
    </row>
    <row r="6">
      <c r="Y6" s="725">
        <v>0.0</v>
      </c>
      <c r="Z6" s="725" t="s">
        <v>128</v>
      </c>
    </row>
    <row r="7">
      <c r="Y7" s="725">
        <v>1.0</v>
      </c>
      <c r="Z7" s="725" t="s">
        <v>385</v>
      </c>
    </row>
    <row r="8">
      <c r="Y8" s="725">
        <v>2.0</v>
      </c>
      <c r="Z8" s="725" t="s">
        <v>188</v>
      </c>
    </row>
    <row r="9">
      <c r="Y9" s="725">
        <v>1.0</v>
      </c>
      <c r="Z9" s="725" t="s">
        <v>1588</v>
      </c>
    </row>
    <row r="10">
      <c r="Y10" s="725">
        <v>1.0</v>
      </c>
      <c r="Z10" s="725" t="s">
        <v>701</v>
      </c>
    </row>
    <row r="11">
      <c r="Y11" s="725">
        <v>1.0</v>
      </c>
      <c r="Z11" s="725" t="s">
        <v>815</v>
      </c>
    </row>
    <row r="12">
      <c r="Y12" s="725">
        <v>1.0</v>
      </c>
      <c r="Z12" s="725" t="s">
        <v>785</v>
      </c>
    </row>
    <row r="13">
      <c r="Y13" s="725">
        <v>2.0</v>
      </c>
      <c r="Z13" s="725" t="s">
        <v>514</v>
      </c>
    </row>
    <row r="14">
      <c r="Y14" s="725">
        <v>1.0</v>
      </c>
      <c r="Z14" s="725" t="s">
        <v>467</v>
      </c>
    </row>
    <row r="15">
      <c r="Y15" s="725">
        <v>1.0</v>
      </c>
      <c r="Z15" s="725" t="s">
        <v>792</v>
      </c>
    </row>
    <row r="16">
      <c r="Y16" s="725">
        <v>0.0</v>
      </c>
      <c r="Z16" s="725" t="s">
        <v>2273</v>
      </c>
    </row>
    <row r="17">
      <c r="Y17" s="725">
        <v>1.0</v>
      </c>
      <c r="Z17" s="725" t="s">
        <v>1254</v>
      </c>
    </row>
    <row r="18">
      <c r="Y18" s="725">
        <v>1.0</v>
      </c>
      <c r="Z18" s="725" t="s">
        <v>887</v>
      </c>
    </row>
    <row r="19">
      <c r="Y19" s="725">
        <v>1.0</v>
      </c>
      <c r="Z19" s="725" t="s">
        <v>1628</v>
      </c>
    </row>
    <row r="20">
      <c r="Y20" s="725">
        <v>1.0</v>
      </c>
      <c r="Z20" s="725" t="s">
        <v>855</v>
      </c>
    </row>
    <row r="21">
      <c r="Y21" s="725">
        <v>0.0</v>
      </c>
      <c r="Z21" s="725" t="s">
        <v>2148</v>
      </c>
    </row>
    <row r="22">
      <c r="Y22" s="725">
        <v>0.0</v>
      </c>
      <c r="Z22" s="725" t="s">
        <v>2141</v>
      </c>
    </row>
    <row r="23">
      <c r="Y23" s="725">
        <v>1.0</v>
      </c>
      <c r="Z23" s="725" t="s">
        <v>915</v>
      </c>
    </row>
    <row r="24">
      <c r="Y24" s="725">
        <v>0.0</v>
      </c>
      <c r="Z24" s="725" t="s">
        <v>107</v>
      </c>
    </row>
    <row r="25">
      <c r="Y25" s="725">
        <v>0.0</v>
      </c>
      <c r="Z25" s="725" t="s">
        <v>1768</v>
      </c>
    </row>
    <row r="26">
      <c r="Y26" s="725">
        <v>1.0</v>
      </c>
      <c r="Z26" s="725" t="s">
        <v>1378</v>
      </c>
    </row>
    <row r="27">
      <c r="Y27" s="725">
        <v>1.0</v>
      </c>
      <c r="Z27" s="725" t="s">
        <v>1684</v>
      </c>
    </row>
    <row r="28">
      <c r="Y28" s="725">
        <v>1.0</v>
      </c>
      <c r="Z28" s="725" t="s">
        <v>704</v>
      </c>
    </row>
    <row r="29">
      <c r="Y29" s="725">
        <v>0.0</v>
      </c>
      <c r="Z29" s="725" t="s">
        <v>272</v>
      </c>
    </row>
    <row r="30">
      <c r="Y30" s="725">
        <v>0.0</v>
      </c>
      <c r="Z30" s="725" t="s">
        <v>1753</v>
      </c>
    </row>
    <row r="31">
      <c r="Y31" s="725">
        <v>1.0</v>
      </c>
      <c r="Z31" s="725" t="s">
        <v>762</v>
      </c>
    </row>
    <row r="32">
      <c r="Y32" s="725">
        <v>1.0</v>
      </c>
      <c r="Z32" s="725" t="s">
        <v>668</v>
      </c>
    </row>
    <row r="33">
      <c r="Y33" s="725">
        <v>1.0</v>
      </c>
      <c r="Z33" s="725" t="s">
        <v>695</v>
      </c>
    </row>
    <row r="34">
      <c r="Y34" s="725">
        <v>0.0</v>
      </c>
      <c r="Z34" s="725" t="s">
        <v>1789</v>
      </c>
    </row>
    <row r="35">
      <c r="Y35" s="725">
        <v>1.0</v>
      </c>
      <c r="Z35" s="725" t="s">
        <v>653</v>
      </c>
    </row>
    <row r="36">
      <c r="Y36" s="725">
        <v>1.0</v>
      </c>
      <c r="Z36" s="725" t="s">
        <v>938</v>
      </c>
    </row>
    <row r="37">
      <c r="Y37" s="725">
        <v>1.0</v>
      </c>
      <c r="Z37" s="725" t="s">
        <v>646</v>
      </c>
    </row>
    <row r="38">
      <c r="Y38" s="725">
        <v>2.0</v>
      </c>
      <c r="Z38" s="725" t="s">
        <v>1364</v>
      </c>
    </row>
    <row r="39">
      <c r="Y39" s="725">
        <v>1.0</v>
      </c>
      <c r="Z39" s="725" t="s">
        <v>603</v>
      </c>
    </row>
    <row r="40">
      <c r="Y40" s="725">
        <v>1.0</v>
      </c>
      <c r="Z40" s="725" t="s">
        <v>197</v>
      </c>
    </row>
    <row r="41">
      <c r="Y41" s="725">
        <v>1.0</v>
      </c>
      <c r="Z41" s="725" t="s">
        <v>227</v>
      </c>
    </row>
    <row r="42">
      <c r="Y42" s="725">
        <v>1.0</v>
      </c>
      <c r="Z42" s="725" t="s">
        <v>211</v>
      </c>
    </row>
    <row r="43">
      <c r="Y43" s="725">
        <v>1.0</v>
      </c>
      <c r="Z43" s="725" t="s">
        <v>571</v>
      </c>
    </row>
    <row r="44">
      <c r="Y44" s="725">
        <v>1.0</v>
      </c>
      <c r="Z44" s="725" t="s">
        <v>163</v>
      </c>
    </row>
    <row r="45">
      <c r="Y45" s="725">
        <v>0.0</v>
      </c>
      <c r="Z45" s="725" t="s">
        <v>1822</v>
      </c>
    </row>
    <row r="46">
      <c r="Y46" s="725">
        <v>0.0</v>
      </c>
      <c r="Z46" s="725" t="s">
        <v>1026</v>
      </c>
    </row>
    <row r="47">
      <c r="Y47" s="725">
        <v>1.0</v>
      </c>
      <c r="Z47" s="725" t="s">
        <v>1013</v>
      </c>
    </row>
    <row r="48">
      <c r="Y48" s="725">
        <v>0.0</v>
      </c>
      <c r="Z48" s="725" t="s">
        <v>2119</v>
      </c>
    </row>
    <row r="49">
      <c r="Y49" s="725">
        <v>1.0</v>
      </c>
      <c r="Z49" s="725" t="s">
        <v>622</v>
      </c>
    </row>
    <row r="50">
      <c r="Y50" s="725">
        <v>1.0</v>
      </c>
      <c r="Z50" s="725" t="s">
        <v>1128</v>
      </c>
    </row>
    <row r="51">
      <c r="Y51" s="725">
        <v>0.0</v>
      </c>
      <c r="Z51" s="725" t="s">
        <v>1762</v>
      </c>
    </row>
    <row r="52">
      <c r="Y52" s="725">
        <v>0.0</v>
      </c>
      <c r="Z52" s="725" t="s">
        <v>1110</v>
      </c>
    </row>
    <row r="53">
      <c r="Y53" s="725">
        <v>0.0</v>
      </c>
      <c r="Z53" s="725" t="s">
        <v>1894</v>
      </c>
    </row>
    <row r="54">
      <c r="Y54" s="725">
        <v>1.0</v>
      </c>
      <c r="Z54" s="725" t="s">
        <v>1041</v>
      </c>
    </row>
    <row r="55">
      <c r="Y55" s="725">
        <v>0.0</v>
      </c>
      <c r="Z55" s="725" t="s">
        <v>122</v>
      </c>
    </row>
    <row r="56">
      <c r="Y56" s="725">
        <v>1.0</v>
      </c>
      <c r="Z56" s="725" t="s">
        <v>1957</v>
      </c>
    </row>
    <row r="57">
      <c r="Y57" s="725">
        <v>3.0</v>
      </c>
      <c r="Z57" s="725" t="s">
        <v>595</v>
      </c>
    </row>
    <row r="58">
      <c r="Y58" s="725">
        <v>0.0</v>
      </c>
      <c r="Z58" s="725" t="s">
        <v>1482</v>
      </c>
    </row>
    <row r="59">
      <c r="Y59" s="725">
        <v>1.0</v>
      </c>
      <c r="Z59" s="725" t="s">
        <v>608</v>
      </c>
    </row>
    <row r="60">
      <c r="Y60" s="725">
        <v>0.0</v>
      </c>
      <c r="Z60" s="725" t="s">
        <v>1828</v>
      </c>
    </row>
    <row r="61">
      <c r="Y61" s="725">
        <v>1.0</v>
      </c>
      <c r="Z61" s="725" t="s">
        <v>1950</v>
      </c>
    </row>
    <row r="62">
      <c r="Y62" s="725">
        <v>0.0</v>
      </c>
      <c r="Z62" s="725" t="s">
        <v>1020</v>
      </c>
    </row>
    <row r="63">
      <c r="Y63" s="725">
        <v>0.0</v>
      </c>
      <c r="Z63" s="725" t="s">
        <v>1615</v>
      </c>
    </row>
    <row r="64">
      <c r="Y64" s="725">
        <v>0.0</v>
      </c>
      <c r="Z64" s="725"/>
    </row>
    <row r="65">
      <c r="Y65" s="725">
        <v>0.0</v>
      </c>
      <c r="Z65" s="725" t="s">
        <v>2334</v>
      </c>
    </row>
    <row r="66">
      <c r="Y66" s="725">
        <v>2.0</v>
      </c>
      <c r="Z66" s="725" t="s">
        <v>1116</v>
      </c>
    </row>
    <row r="67">
      <c r="Y67" s="725">
        <v>1.0</v>
      </c>
      <c r="Z67" s="725" t="s">
        <v>1782</v>
      </c>
    </row>
    <row r="68">
      <c r="Y68" s="725">
        <v>0.0</v>
      </c>
      <c r="Z68" s="725" t="s">
        <v>1736</v>
      </c>
    </row>
    <row r="69">
      <c r="Y69" s="725">
        <v>1.0</v>
      </c>
      <c r="Z69" s="725" t="s">
        <v>823</v>
      </c>
    </row>
    <row r="70">
      <c r="Y70" s="725">
        <v>1.0</v>
      </c>
      <c r="Z70" s="725" t="s">
        <v>1242</v>
      </c>
    </row>
    <row r="71">
      <c r="Y71" s="725">
        <v>0.0</v>
      </c>
      <c r="Z71" s="725" t="s">
        <v>1999</v>
      </c>
    </row>
    <row r="72">
      <c r="Y72" s="725">
        <v>0.0</v>
      </c>
      <c r="Z72" s="725" t="s">
        <v>1346</v>
      </c>
    </row>
    <row r="73">
      <c r="Y73" s="725">
        <v>1.0</v>
      </c>
      <c r="Z73" s="725" t="s">
        <v>1427</v>
      </c>
    </row>
    <row r="74">
      <c r="Y74" s="725">
        <v>0.0</v>
      </c>
      <c r="Z74" s="725" t="s">
        <v>1556</v>
      </c>
    </row>
    <row r="75">
      <c r="Y75" s="725">
        <v>1.0</v>
      </c>
      <c r="Z75" s="725" t="s">
        <v>1371</v>
      </c>
    </row>
    <row r="76">
      <c r="Y76" s="725">
        <v>1.0</v>
      </c>
      <c r="Z76" s="725" t="s">
        <v>2014</v>
      </c>
    </row>
    <row r="77">
      <c r="Y77" s="725">
        <v>0.0</v>
      </c>
      <c r="Z77" s="725" t="s">
        <v>1469</v>
      </c>
    </row>
    <row r="78">
      <c r="Y78" s="725">
        <v>1.0</v>
      </c>
      <c r="Z78" s="725" t="s">
        <v>631</v>
      </c>
    </row>
    <row r="79">
      <c r="Y79" s="725">
        <v>1.0</v>
      </c>
      <c r="Z79" s="725" t="s">
        <v>931</v>
      </c>
    </row>
    <row r="80">
      <c r="Y80" s="725">
        <v>2.0</v>
      </c>
      <c r="Z80" s="725" t="s">
        <v>907</v>
      </c>
    </row>
    <row r="81">
      <c r="Y81" s="725">
        <v>0.0</v>
      </c>
      <c r="Z81" s="725" t="s">
        <v>1813</v>
      </c>
    </row>
    <row r="82">
      <c r="Y82" s="725">
        <v>1.0</v>
      </c>
      <c r="Z82" s="725" t="s">
        <v>132</v>
      </c>
    </row>
    <row r="83">
      <c r="Y83" s="725">
        <v>0.0</v>
      </c>
      <c r="Z83" s="725" t="s">
        <v>1280</v>
      </c>
    </row>
    <row r="84">
      <c r="Y84" s="725">
        <v>0.0</v>
      </c>
      <c r="Z84" s="725" t="s">
        <v>1510</v>
      </c>
    </row>
    <row r="85">
      <c r="Y85" s="725">
        <v>1.0</v>
      </c>
      <c r="Z85" s="725" t="s">
        <v>1274</v>
      </c>
    </row>
    <row r="86">
      <c r="Y86" s="725">
        <v>2.0</v>
      </c>
      <c r="Z86" s="725" t="s">
        <v>283</v>
      </c>
    </row>
    <row r="87">
      <c r="Y87" s="725">
        <v>0.0</v>
      </c>
      <c r="Z87" s="725" t="s">
        <v>2098</v>
      </c>
    </row>
    <row r="88">
      <c r="Y88" s="725">
        <v>1.0</v>
      </c>
      <c r="Z88" s="725" t="s">
        <v>969</v>
      </c>
    </row>
    <row r="89">
      <c r="Y89" s="725">
        <v>1.0</v>
      </c>
      <c r="Z89" s="725" t="s">
        <v>845</v>
      </c>
    </row>
    <row r="90">
      <c r="Y90" s="725">
        <v>0.0</v>
      </c>
      <c r="Z90" s="725" t="s">
        <v>1566</v>
      </c>
    </row>
    <row r="91">
      <c r="Y91" s="725">
        <v>0.0</v>
      </c>
      <c r="Z91" s="725" t="s">
        <v>1170</v>
      </c>
    </row>
    <row r="92">
      <c r="Y92" s="725">
        <v>1.0</v>
      </c>
      <c r="Z92" s="725" t="s">
        <v>371</v>
      </c>
    </row>
    <row r="93">
      <c r="Y93" s="725">
        <v>1.0</v>
      </c>
      <c r="Z93" s="725"/>
    </row>
    <row r="94">
      <c r="Y94" s="725">
        <v>1.0</v>
      </c>
      <c r="Z94" s="725" t="s">
        <v>849</v>
      </c>
    </row>
    <row r="95">
      <c r="Y95" s="725">
        <v>0.0</v>
      </c>
      <c r="Z95" s="725" t="s">
        <v>2103</v>
      </c>
    </row>
    <row r="96">
      <c r="Y96" s="725">
        <v>0.0</v>
      </c>
      <c r="Z96" s="725" t="s">
        <v>2211</v>
      </c>
    </row>
    <row r="97">
      <c r="Y97" s="725">
        <v>0.0</v>
      </c>
      <c r="Z97" s="725" t="s">
        <v>1742</v>
      </c>
    </row>
    <row r="98">
      <c r="Y98" s="725">
        <v>1.0</v>
      </c>
      <c r="Z98" s="725" t="s">
        <v>487</v>
      </c>
    </row>
    <row r="99">
      <c r="Y99" s="725">
        <v>0.0</v>
      </c>
      <c r="Z99" s="725" t="s">
        <v>233</v>
      </c>
    </row>
    <row r="100">
      <c r="Y100" s="725">
        <v>1.0</v>
      </c>
      <c r="Z100" s="725" t="s">
        <v>1349</v>
      </c>
    </row>
    <row r="101">
      <c r="Y101" s="725">
        <v>1.0</v>
      </c>
      <c r="Z101" s="725" t="s">
        <v>731</v>
      </c>
    </row>
    <row r="102">
      <c r="Y102" s="725">
        <v>1.0</v>
      </c>
      <c r="Z102" s="725" t="s">
        <v>1637</v>
      </c>
    </row>
    <row r="103">
      <c r="Y103" s="725">
        <v>1.0</v>
      </c>
      <c r="Z103" s="725" t="s">
        <v>680</v>
      </c>
    </row>
    <row r="104">
      <c r="Y104" s="725">
        <v>0.0</v>
      </c>
      <c r="Z104" s="725" t="s">
        <v>2053</v>
      </c>
    </row>
    <row r="105">
      <c r="Y105" s="725">
        <v>1.0</v>
      </c>
      <c r="Z105" s="725" t="s">
        <v>1898</v>
      </c>
    </row>
    <row r="106">
      <c r="Y106" s="725">
        <v>0.0</v>
      </c>
      <c r="Z106" s="725" t="s">
        <v>1047</v>
      </c>
    </row>
    <row r="107">
      <c r="Y107" s="725">
        <v>0.0</v>
      </c>
      <c r="Z107" s="725">
        <v>110348.0</v>
      </c>
    </row>
    <row r="108">
      <c r="Y108" s="725">
        <v>0.0</v>
      </c>
      <c r="Z108" s="725" t="s">
        <v>451</v>
      </c>
    </row>
    <row r="109">
      <c r="Y109" s="725">
        <v>0.0</v>
      </c>
      <c r="Z109" s="725" t="s">
        <v>1339</v>
      </c>
    </row>
    <row r="110">
      <c r="Y110" s="725">
        <v>1.0</v>
      </c>
      <c r="Z110" s="725" t="s">
        <v>799</v>
      </c>
    </row>
    <row r="111">
      <c r="Y111" s="725">
        <v>0.0</v>
      </c>
      <c r="Z111" s="725" t="s">
        <v>391</v>
      </c>
    </row>
    <row r="112">
      <c r="Y112" s="725">
        <v>1.0</v>
      </c>
      <c r="Z112" s="725" t="s">
        <v>1462</v>
      </c>
    </row>
    <row r="113">
      <c r="Y113" s="725">
        <v>0.0</v>
      </c>
      <c r="Z113" s="725" t="s">
        <v>475</v>
      </c>
    </row>
    <row r="114">
      <c r="Y114" s="725">
        <v>1.0</v>
      </c>
      <c r="Z114" s="725" t="s">
        <v>2281</v>
      </c>
    </row>
    <row r="115">
      <c r="Y115" s="725">
        <v>0.0</v>
      </c>
      <c r="Z115" s="725" t="s">
        <v>1549</v>
      </c>
    </row>
    <row r="116">
      <c r="Y116" s="725">
        <v>1.0</v>
      </c>
      <c r="Z116" s="725" t="s">
        <v>1326</v>
      </c>
    </row>
    <row r="117">
      <c r="Y117" s="725">
        <v>1.0</v>
      </c>
      <c r="Z117" s="725" t="s">
        <v>661</v>
      </c>
    </row>
    <row r="118">
      <c r="Y118" s="725">
        <v>1.0</v>
      </c>
      <c r="Z118" s="725" t="s">
        <v>1219</v>
      </c>
    </row>
    <row r="119">
      <c r="Y119" s="725">
        <v>1.0</v>
      </c>
      <c r="Z119" s="725" t="s">
        <v>318</v>
      </c>
    </row>
    <row r="120">
      <c r="Y120" s="725">
        <v>1.0</v>
      </c>
      <c r="Z120" s="725" t="s">
        <v>1456</v>
      </c>
    </row>
    <row r="121">
      <c r="Y121" s="725">
        <v>0.0</v>
      </c>
      <c r="Z121" s="725" t="s">
        <v>1691</v>
      </c>
    </row>
    <row r="122">
      <c r="Y122" s="725">
        <v>1.0</v>
      </c>
      <c r="Z122" s="725" t="s">
        <v>578</v>
      </c>
    </row>
    <row r="123">
      <c r="Y123" s="725">
        <v>1.0</v>
      </c>
      <c r="Z123" s="725" t="s">
        <v>640</v>
      </c>
    </row>
    <row r="124">
      <c r="Y124" s="725">
        <v>1.0</v>
      </c>
      <c r="Z124" s="725" t="s">
        <v>803</v>
      </c>
    </row>
    <row r="125">
      <c r="Y125" s="725">
        <v>1.0</v>
      </c>
      <c r="Z125" s="725" t="s">
        <v>868</v>
      </c>
    </row>
    <row r="126">
      <c r="Y126" s="725">
        <v>1.0</v>
      </c>
      <c r="Z126" s="725" t="s">
        <v>1421</v>
      </c>
    </row>
    <row r="127">
      <c r="Y127" s="725">
        <v>0.0</v>
      </c>
      <c r="Z127" s="725" t="s">
        <v>1488</v>
      </c>
    </row>
    <row r="128">
      <c r="Y128" s="725">
        <v>0.0</v>
      </c>
      <c r="Z128" s="725" t="s">
        <v>2321</v>
      </c>
    </row>
    <row r="129">
      <c r="Y129" s="725">
        <v>0.0</v>
      </c>
      <c r="Z129" s="725" t="s">
        <v>242</v>
      </c>
    </row>
    <row r="130">
      <c r="Y130" s="725">
        <v>1.0</v>
      </c>
      <c r="Z130" s="725" t="s">
        <v>307</v>
      </c>
    </row>
    <row r="131">
      <c r="Y131" s="725">
        <v>0.0</v>
      </c>
      <c r="Z131" s="725" t="s">
        <v>1622</v>
      </c>
    </row>
    <row r="132">
      <c r="Y132" s="725">
        <v>1.0</v>
      </c>
      <c r="Z132" s="725" t="s">
        <v>901</v>
      </c>
    </row>
    <row r="133">
      <c r="Y133" s="725">
        <v>0.0</v>
      </c>
      <c r="Z133" s="725" t="s">
        <v>715</v>
      </c>
    </row>
    <row r="134">
      <c r="Y134" s="725">
        <v>0.0</v>
      </c>
      <c r="Z134" s="725" t="s">
        <v>510</v>
      </c>
    </row>
    <row r="135">
      <c r="Y135" s="725">
        <v>0.0</v>
      </c>
      <c r="Z135" s="725" t="s">
        <v>1155</v>
      </c>
    </row>
    <row r="136">
      <c r="Y136" s="725">
        <v>0.0</v>
      </c>
      <c r="Z136" s="725" t="s">
        <v>2330</v>
      </c>
    </row>
    <row r="137">
      <c r="Y137" s="725">
        <v>0.0</v>
      </c>
      <c r="Z137" s="725" t="s">
        <v>1385</v>
      </c>
    </row>
    <row r="138">
      <c r="Y138" s="725">
        <v>0.0</v>
      </c>
      <c r="Z138" s="725" t="s">
        <v>2112</v>
      </c>
    </row>
    <row r="139">
      <c r="Y139" s="725">
        <v>0.0</v>
      </c>
      <c r="Z139" s="725" t="s">
        <v>1850</v>
      </c>
    </row>
    <row r="140">
      <c r="Y140" s="725">
        <v>0.0</v>
      </c>
      <c r="Z140" s="725" t="s">
        <v>1394</v>
      </c>
    </row>
    <row r="141">
      <c r="Y141" s="725">
        <v>0.0</v>
      </c>
      <c r="Z141" s="725" t="s">
        <v>499</v>
      </c>
    </row>
    <row r="142">
      <c r="Y142" s="725">
        <v>1.0</v>
      </c>
      <c r="Z142" s="725" t="s">
        <v>1163</v>
      </c>
    </row>
    <row r="143">
      <c r="Y143" s="725">
        <v>1.0</v>
      </c>
      <c r="Z143" s="725" t="s">
        <v>2288</v>
      </c>
    </row>
    <row r="144">
      <c r="Y144" s="725">
        <v>1.0</v>
      </c>
      <c r="Z144" s="725" t="s">
        <v>2005</v>
      </c>
    </row>
    <row r="145">
      <c r="Y145" s="725">
        <v>1.0</v>
      </c>
      <c r="Z145" s="725" t="s">
        <v>1476</v>
      </c>
    </row>
    <row r="146">
      <c r="Y146" s="725">
        <v>1.0</v>
      </c>
      <c r="Z146" s="725" t="s">
        <v>1453</v>
      </c>
    </row>
    <row r="147">
      <c r="Y147" s="725">
        <v>0.0</v>
      </c>
      <c r="Z147" s="725" t="s">
        <v>1531</v>
      </c>
    </row>
    <row r="148">
      <c r="Y148" s="725">
        <v>0.0</v>
      </c>
      <c r="Z148" s="725" t="s">
        <v>957</v>
      </c>
    </row>
    <row r="149">
      <c r="Y149" s="725">
        <v>0.0</v>
      </c>
      <c r="Z149" s="725" t="s">
        <v>142</v>
      </c>
    </row>
    <row r="150">
      <c r="Y150" s="725">
        <v>0.0</v>
      </c>
      <c r="Z150" s="725" t="s">
        <v>2035</v>
      </c>
    </row>
    <row r="151">
      <c r="Y151" s="725">
        <v>0.0</v>
      </c>
      <c r="Z151" s="725" t="s">
        <v>1748</v>
      </c>
    </row>
    <row r="152">
      <c r="Y152" s="725">
        <v>2.0</v>
      </c>
      <c r="Z152" s="725" t="s">
        <v>1186</v>
      </c>
    </row>
    <row r="153">
      <c r="Y153" s="725">
        <v>1.0</v>
      </c>
      <c r="Z153" s="725" t="s">
        <v>1498</v>
      </c>
    </row>
    <row r="154">
      <c r="Y154" s="725">
        <v>1.0</v>
      </c>
      <c r="Z154" s="725" t="s">
        <v>245</v>
      </c>
    </row>
    <row r="155">
      <c r="Y155" s="725">
        <v>1.0</v>
      </c>
      <c r="Z155" s="725" t="s">
        <v>625</v>
      </c>
    </row>
    <row r="156">
      <c r="Y156" s="725">
        <v>1.0</v>
      </c>
      <c r="Z156" s="725" t="s">
        <v>339</v>
      </c>
    </row>
    <row r="157">
      <c r="Y157" s="725">
        <v>1.0</v>
      </c>
      <c r="Z157" s="725" t="s">
        <v>2231</v>
      </c>
    </row>
    <row r="158">
      <c r="Y158" s="725">
        <v>1.0</v>
      </c>
      <c r="Z158" s="725" t="s">
        <v>1008</v>
      </c>
    </row>
    <row r="159">
      <c r="Y159" s="725">
        <v>1.0</v>
      </c>
      <c r="Z159" s="725" t="s">
        <v>1002</v>
      </c>
    </row>
    <row r="160">
      <c r="Y160" s="725">
        <v>1.0</v>
      </c>
      <c r="Z160" s="725" t="s">
        <v>1136</v>
      </c>
    </row>
    <row r="161">
      <c r="Y161" s="725">
        <v>1.0</v>
      </c>
      <c r="Z161" s="725" t="s">
        <v>1400</v>
      </c>
    </row>
    <row r="162">
      <c r="Y162" s="725">
        <v>1.0</v>
      </c>
      <c r="Z162" s="725" t="s">
        <v>997</v>
      </c>
    </row>
    <row r="163">
      <c r="Y163" s="725">
        <v>1.0</v>
      </c>
      <c r="Z163" s="725" t="s">
        <v>378</v>
      </c>
    </row>
    <row r="164">
      <c r="Y164" s="725">
        <v>1.0</v>
      </c>
      <c r="Z164" s="725" t="s">
        <v>830</v>
      </c>
    </row>
    <row r="165">
      <c r="Y165" s="725">
        <v>1.0</v>
      </c>
      <c r="Z165" s="725" t="s">
        <v>1888</v>
      </c>
    </row>
    <row r="166">
      <c r="Y166" s="725">
        <v>1.0</v>
      </c>
      <c r="Z166" s="725" t="s">
        <v>994</v>
      </c>
    </row>
    <row r="167">
      <c r="Y167" s="725">
        <v>1.0</v>
      </c>
      <c r="Z167" s="725" t="s">
        <v>1663</v>
      </c>
    </row>
    <row r="168">
      <c r="Y168" s="725">
        <v>1.0</v>
      </c>
      <c r="Z168" s="725" t="s">
        <v>1935</v>
      </c>
    </row>
    <row r="169">
      <c r="Y169" s="725">
        <v>1.0</v>
      </c>
      <c r="Z169" s="725" t="s">
        <v>463</v>
      </c>
    </row>
    <row r="170">
      <c r="Y170" s="725">
        <v>2.0</v>
      </c>
      <c r="Z170" s="725" t="s">
        <v>616</v>
      </c>
    </row>
    <row r="171">
      <c r="Y171" s="725">
        <v>1.0</v>
      </c>
      <c r="Z171" s="725" t="s">
        <v>2343</v>
      </c>
    </row>
    <row r="172">
      <c r="Y172" s="725">
        <v>1.0</v>
      </c>
      <c r="Z172" s="725" t="s">
        <v>564</v>
      </c>
    </row>
    <row r="173">
      <c r="Y173" s="725">
        <v>1.0</v>
      </c>
      <c r="Z173" s="725" t="s">
        <v>277</v>
      </c>
    </row>
    <row r="174">
      <c r="Y174" s="725">
        <v>1.0</v>
      </c>
      <c r="Z174" s="725" t="s">
        <v>2134</v>
      </c>
    </row>
    <row r="175">
      <c r="Y175" s="725">
        <v>1.0</v>
      </c>
      <c r="Z175" s="725" t="s">
        <v>712</v>
      </c>
    </row>
    <row r="176">
      <c r="Y176" s="725">
        <v>1.0</v>
      </c>
      <c r="Z176" s="725" t="s">
        <v>1990</v>
      </c>
    </row>
    <row r="177">
      <c r="Y177" s="725">
        <v>1.0</v>
      </c>
      <c r="Z177" s="725" t="s">
        <v>988</v>
      </c>
    </row>
    <row r="178">
      <c r="Y178" s="725">
        <v>1.0</v>
      </c>
      <c r="Z178" s="725" t="s">
        <v>1212</v>
      </c>
    </row>
    <row r="179">
      <c r="Y179" s="725">
        <v>0.0</v>
      </c>
      <c r="Z179" s="725" t="s">
        <v>1843</v>
      </c>
    </row>
    <row r="180">
      <c r="Y180" s="725">
        <v>1.0</v>
      </c>
      <c r="Z180" s="725" t="s">
        <v>252</v>
      </c>
    </row>
    <row r="181">
      <c r="Y181" s="725">
        <v>1.0</v>
      </c>
      <c r="Z181" s="725" t="s">
        <v>743</v>
      </c>
    </row>
    <row r="182">
      <c r="Y182" s="725">
        <v>1.0</v>
      </c>
      <c r="Z182" s="725" t="s">
        <v>1098</v>
      </c>
    </row>
    <row r="183">
      <c r="Y183" s="725">
        <v>1.0</v>
      </c>
      <c r="Z183" s="725" t="s">
        <v>921</v>
      </c>
    </row>
    <row r="184">
      <c r="Y184" s="725">
        <v>0.0</v>
      </c>
      <c r="Z184" s="725" t="s">
        <v>1301</v>
      </c>
    </row>
    <row r="185">
      <c r="Y185" s="725">
        <v>1.0</v>
      </c>
      <c r="Z185" s="725" t="s">
        <v>1983</v>
      </c>
    </row>
    <row r="186">
      <c r="Y186" s="725">
        <v>1.0</v>
      </c>
      <c r="Z186" s="725" t="s">
        <v>1600</v>
      </c>
    </row>
    <row r="187">
      <c r="Y187" s="725">
        <v>1.0</v>
      </c>
      <c r="Z187" s="725" t="s">
        <v>1142</v>
      </c>
    </row>
    <row r="188">
      <c r="Y188" s="725">
        <v>1.0</v>
      </c>
      <c r="Z188" s="725" t="s">
        <v>397</v>
      </c>
    </row>
    <row r="189">
      <c r="Y189" s="725">
        <v>1.0</v>
      </c>
      <c r="Z189" s="725" t="s">
        <v>182</v>
      </c>
    </row>
    <row r="190">
      <c r="Y190" s="725">
        <v>1.0</v>
      </c>
      <c r="Z190" s="725" t="s">
        <v>558</v>
      </c>
    </row>
    <row r="191">
      <c r="Y191" s="725">
        <v>1.0</v>
      </c>
      <c r="Z191" s="725" t="s">
        <v>1205</v>
      </c>
    </row>
    <row r="192">
      <c r="Y192" s="725">
        <v>1.0</v>
      </c>
      <c r="Z192" s="725" t="s">
        <v>1540</v>
      </c>
    </row>
    <row r="193">
      <c r="Y193" s="725">
        <v>1.0</v>
      </c>
      <c r="Z193" s="725" t="s">
        <v>155</v>
      </c>
    </row>
    <row r="194">
      <c r="Y194" s="725">
        <v>1.0</v>
      </c>
      <c r="Z194" s="725" t="s">
        <v>312</v>
      </c>
    </row>
    <row r="195">
      <c r="Y195" s="725">
        <v>1.0</v>
      </c>
      <c r="Z195" s="725" t="s">
        <v>1388</v>
      </c>
    </row>
    <row r="196">
      <c r="Y196" s="725">
        <v>1.0</v>
      </c>
      <c r="Z196" s="725" t="s">
        <v>1969</v>
      </c>
    </row>
    <row r="197">
      <c r="Y197" s="725">
        <v>1.0</v>
      </c>
      <c r="Z197" s="725" t="s">
        <v>2350</v>
      </c>
    </row>
    <row r="198">
      <c r="Y198" s="725">
        <v>1.0</v>
      </c>
      <c r="Z198" s="725" t="s">
        <v>552</v>
      </c>
    </row>
    <row r="199">
      <c r="Y199" s="725">
        <v>1.0</v>
      </c>
      <c r="Z199" s="725" t="s">
        <v>927</v>
      </c>
    </row>
    <row r="200">
      <c r="Y200" s="725">
        <v>1.0</v>
      </c>
      <c r="Z200" s="725" t="s">
        <v>982</v>
      </c>
    </row>
    <row r="201">
      <c r="Y201" s="725">
        <v>1.0</v>
      </c>
      <c r="Z201" s="725" t="s">
        <v>1446</v>
      </c>
    </row>
    <row r="202">
      <c r="Y202" s="725">
        <v>1.0</v>
      </c>
      <c r="Z202" s="725" t="s">
        <v>1032</v>
      </c>
    </row>
    <row r="203">
      <c r="Y203" s="725">
        <v>1.0</v>
      </c>
      <c r="Z203" s="725" t="s">
        <v>2154</v>
      </c>
    </row>
    <row r="204">
      <c r="Y204" s="725">
        <v>0.0</v>
      </c>
      <c r="Z204" s="725" t="s">
        <v>480</v>
      </c>
    </row>
    <row r="205">
      <c r="Y205" s="725">
        <v>0.0</v>
      </c>
      <c r="Z205" s="725" t="s">
        <v>534</v>
      </c>
    </row>
    <row r="206">
      <c r="Y206" s="725">
        <v>2.0</v>
      </c>
      <c r="Z206" s="725" t="s">
        <v>505</v>
      </c>
    </row>
    <row r="207">
      <c r="Y207" s="725">
        <v>1.0</v>
      </c>
      <c r="Z207" s="725" t="s">
        <v>1926</v>
      </c>
    </row>
    <row r="208">
      <c r="Y208" s="725">
        <v>1.0</v>
      </c>
      <c r="Z208" s="725" t="s">
        <v>2074</v>
      </c>
    </row>
    <row r="209">
      <c r="Y209" s="725">
        <v>0.0</v>
      </c>
      <c r="Z209" s="725" t="s">
        <v>1074</v>
      </c>
    </row>
    <row r="210">
      <c r="Y210" s="725">
        <v>1.0</v>
      </c>
      <c r="Z210" s="725" t="s">
        <v>619</v>
      </c>
    </row>
    <row r="211">
      <c r="Y211" s="725">
        <v>1.0</v>
      </c>
      <c r="Z211" s="725" t="s">
        <v>975</v>
      </c>
    </row>
    <row r="212">
      <c r="Y212" s="725">
        <v>0.0</v>
      </c>
      <c r="Z212" s="725" t="s">
        <v>1594</v>
      </c>
    </row>
    <row r="213">
      <c r="Y213" s="725">
        <v>1.0</v>
      </c>
      <c r="Z213" s="725" t="s">
        <v>2020</v>
      </c>
    </row>
    <row r="214">
      <c r="Y214" s="725">
        <v>1.0</v>
      </c>
      <c r="Z214" s="725" t="s">
        <v>718</v>
      </c>
    </row>
    <row r="215">
      <c r="Y215" s="725">
        <v>0.0</v>
      </c>
      <c r="Z215" s="725" t="s">
        <v>2245</v>
      </c>
    </row>
    <row r="216">
      <c r="Y216" s="725">
        <v>1.0</v>
      </c>
      <c r="Z216" s="725" t="s">
        <v>2125</v>
      </c>
    </row>
    <row r="217">
      <c r="Y217" s="725">
        <v>0.0</v>
      </c>
      <c r="Z217" s="725" t="s">
        <v>1440</v>
      </c>
    </row>
    <row r="218">
      <c r="Y218" s="725">
        <v>0.0</v>
      </c>
      <c r="Z218" s="725" t="s">
        <v>724</v>
      </c>
    </row>
    <row r="219">
      <c r="Y219" s="725">
        <v>1.0</v>
      </c>
      <c r="Z219" s="725" t="s">
        <v>2026</v>
      </c>
    </row>
    <row r="220">
      <c r="Y220" s="725">
        <v>1.0</v>
      </c>
      <c r="Z220" s="725" t="s">
        <v>256</v>
      </c>
    </row>
    <row r="221">
      <c r="Y221" s="725">
        <v>1.0</v>
      </c>
      <c r="Z221" s="725" t="s">
        <v>672</v>
      </c>
    </row>
    <row r="222">
      <c r="Y222" s="725">
        <v>0.0</v>
      </c>
      <c r="Z222" s="725" t="s">
        <v>2205</v>
      </c>
    </row>
    <row r="223">
      <c r="Y223" s="725">
        <v>1.0</v>
      </c>
      <c r="Z223" s="725" t="s">
        <v>523</v>
      </c>
    </row>
    <row r="224">
      <c r="Y224" s="725">
        <v>1.0</v>
      </c>
      <c r="Z224" s="725" t="s">
        <v>148</v>
      </c>
    </row>
    <row r="225">
      <c r="Y225" s="725">
        <v>1.0</v>
      </c>
      <c r="Z225" s="725" t="s">
        <v>1193</v>
      </c>
    </row>
    <row r="226">
      <c r="Y226" s="725">
        <v>1.0</v>
      </c>
      <c r="Z226" s="725" t="s">
        <v>1304</v>
      </c>
    </row>
    <row r="227">
      <c r="Y227" s="725">
        <v>1.0</v>
      </c>
      <c r="Z227" s="725" t="s">
        <v>1332</v>
      </c>
    </row>
    <row r="228">
      <c r="Y228" s="725">
        <v>1.0</v>
      </c>
      <c r="Z228" s="725" t="s">
        <v>404</v>
      </c>
    </row>
    <row r="229">
      <c r="Y229" s="725">
        <v>1.0</v>
      </c>
      <c r="Z229" s="725" t="s">
        <v>1104</v>
      </c>
    </row>
    <row r="230">
      <c r="Y230" s="725">
        <v>1.0</v>
      </c>
      <c r="Z230" s="725" t="s">
        <v>358</v>
      </c>
    </row>
    <row r="231">
      <c r="Y231" s="725">
        <v>0.0</v>
      </c>
      <c r="Z231" s="725" t="s">
        <v>2267</v>
      </c>
    </row>
    <row r="232">
      <c r="Y232" s="725">
        <v>0.0</v>
      </c>
      <c r="Z232" s="725" t="s">
        <v>588</v>
      </c>
    </row>
    <row r="233">
      <c r="Y233" s="725">
        <v>0.0</v>
      </c>
      <c r="Z233" s="725" t="s">
        <v>1643</v>
      </c>
    </row>
    <row r="234">
      <c r="Y234" s="725">
        <v>0.0</v>
      </c>
      <c r="Z234" s="725" t="s">
        <v>1355</v>
      </c>
    </row>
    <row r="235">
      <c r="Y235" s="725">
        <v>0.0</v>
      </c>
      <c r="Z235" s="725" t="s">
        <v>737</v>
      </c>
    </row>
    <row r="236">
      <c r="Y236" s="725">
        <v>0.0</v>
      </c>
      <c r="Z236" s="725" t="s">
        <v>1286</v>
      </c>
    </row>
    <row r="237">
      <c r="Y237" s="725">
        <v>1.0</v>
      </c>
      <c r="Z237" s="725" t="s">
        <v>1873</v>
      </c>
    </row>
    <row r="238">
      <c r="Y238" s="725">
        <v>0.0</v>
      </c>
      <c r="Z238" s="725" t="s">
        <v>1178</v>
      </c>
    </row>
    <row r="239">
      <c r="Y239" s="725">
        <v>0.0</v>
      </c>
      <c r="Z239" s="725" t="s">
        <v>1855</v>
      </c>
    </row>
    <row r="240">
      <c r="Y240" s="725">
        <v>0.0</v>
      </c>
      <c r="Z240" s="725" t="s">
        <v>963</v>
      </c>
    </row>
    <row r="241">
      <c r="Y241" s="725">
        <v>0.0</v>
      </c>
      <c r="Z241" s="725" t="s">
        <v>546</v>
      </c>
    </row>
    <row r="242">
      <c r="Y242" s="725">
        <v>0.0</v>
      </c>
      <c r="Z242" s="725" t="s">
        <v>1295</v>
      </c>
    </row>
    <row r="243">
      <c r="Y243" s="725">
        <v>1.0</v>
      </c>
      <c r="Z243" s="725" t="s">
        <v>1919</v>
      </c>
    </row>
    <row r="244">
      <c r="Y244" s="725">
        <v>0.0</v>
      </c>
      <c r="Z244" s="725" t="s">
        <v>89</v>
      </c>
    </row>
    <row r="245">
      <c r="Y245" s="725">
        <v>0.0</v>
      </c>
      <c r="Z245" s="725" t="s">
        <v>1311</v>
      </c>
    </row>
    <row r="246">
      <c r="Y246" s="725">
        <v>0.0</v>
      </c>
      <c r="Z246" s="725" t="s">
        <v>2308</v>
      </c>
    </row>
    <row r="247">
      <c r="Y247" s="725">
        <v>1.0</v>
      </c>
      <c r="Z247" s="725" t="s">
        <v>344</v>
      </c>
    </row>
    <row r="248">
      <c r="Y248" s="725">
        <v>0.0</v>
      </c>
      <c r="Z248" s="725" t="s">
        <v>1053</v>
      </c>
    </row>
    <row r="249">
      <c r="Y249" s="725">
        <v>0.0</v>
      </c>
      <c r="Z249" s="725" t="s">
        <v>116</v>
      </c>
    </row>
    <row r="250">
      <c r="Y250" s="725">
        <v>0.0</v>
      </c>
      <c r="Z250" s="725" t="s">
        <v>1676</v>
      </c>
    </row>
    <row r="251">
      <c r="Y251" s="725">
        <v>0.0</v>
      </c>
      <c r="Z251" s="725" t="s">
        <v>1361</v>
      </c>
    </row>
    <row r="252">
      <c r="Y252" s="725">
        <v>0.0</v>
      </c>
      <c r="Z252" s="725" t="s">
        <v>809</v>
      </c>
    </row>
    <row r="253">
      <c r="Y253" s="725">
        <v>0.0</v>
      </c>
      <c r="Z253" s="725" t="s">
        <v>332</v>
      </c>
    </row>
    <row r="254">
      <c r="Y254" s="725">
        <v>0.0</v>
      </c>
      <c r="Z254" s="725" t="s">
        <v>875</v>
      </c>
    </row>
    <row r="255">
      <c r="Y255" s="725">
        <v>0.0</v>
      </c>
      <c r="Z255" s="725" t="s">
        <v>1649</v>
      </c>
    </row>
    <row r="256">
      <c r="Y256" s="725">
        <v>1.0</v>
      </c>
      <c r="Z256" s="725" t="s">
        <v>261</v>
      </c>
    </row>
    <row r="257">
      <c r="Y257" s="725">
        <v>1.0</v>
      </c>
      <c r="Z257" s="725" t="s">
        <v>268</v>
      </c>
    </row>
    <row r="258">
      <c r="Y258" s="725">
        <v>0.0</v>
      </c>
      <c r="Z258" s="725" t="s">
        <v>138</v>
      </c>
    </row>
    <row r="259">
      <c r="Y259" s="725">
        <v>0.0</v>
      </c>
      <c r="Z259" s="725" t="s">
        <v>1092</v>
      </c>
    </row>
    <row r="260">
      <c r="Y260" s="725">
        <v>1.0</v>
      </c>
      <c r="Z260" s="725" t="s">
        <v>145</v>
      </c>
    </row>
    <row r="261">
      <c r="Y261" s="725">
        <v>0.0</v>
      </c>
      <c r="Z261" s="725" t="s">
        <v>365</v>
      </c>
    </row>
    <row r="262">
      <c r="Y262" s="725">
        <v>1.0</v>
      </c>
      <c r="Z262" s="725" t="s">
        <v>756</v>
      </c>
    </row>
    <row r="263">
      <c r="Y263" s="725">
        <v>0.0</v>
      </c>
      <c r="Z263" s="725" t="s">
        <v>1669</v>
      </c>
    </row>
    <row r="264">
      <c r="Y264" s="725">
        <v>1.0</v>
      </c>
      <c r="Z264" s="725" t="s">
        <v>2080</v>
      </c>
    </row>
    <row r="265">
      <c r="Y265" s="725">
        <v>0.0</v>
      </c>
      <c r="Z265" s="725" t="s">
        <v>1534</v>
      </c>
    </row>
    <row r="266">
      <c r="Y266" s="725">
        <v>1.0</v>
      </c>
      <c r="Z266" s="725" t="s">
        <v>2041</v>
      </c>
    </row>
    <row r="267">
      <c r="Y267" s="725">
        <v>1.0</v>
      </c>
      <c r="Z267" s="725" t="s">
        <v>1317</v>
      </c>
    </row>
    <row r="268">
      <c r="Y268" s="725">
        <v>0.0</v>
      </c>
      <c r="Z268" s="725" t="s">
        <v>2047</v>
      </c>
    </row>
    <row r="269">
      <c r="Y269" s="725">
        <v>1.0</v>
      </c>
      <c r="Z269" s="725" t="s">
        <v>2238</v>
      </c>
    </row>
    <row r="270">
      <c r="Y270" s="725">
        <v>0.0</v>
      </c>
      <c r="Z270" s="725" t="s">
        <v>1261</v>
      </c>
    </row>
    <row r="271">
      <c r="Y271" s="725">
        <v>1.0</v>
      </c>
      <c r="Z271" s="725" t="s">
        <v>749</v>
      </c>
    </row>
    <row r="272">
      <c r="Y272" s="725">
        <v>0.0</v>
      </c>
      <c r="Z272" s="725" t="s">
        <v>2170</v>
      </c>
    </row>
    <row r="273">
      <c r="Y273" s="725">
        <v>0.0</v>
      </c>
      <c r="Z273" s="725" t="s">
        <v>1035</v>
      </c>
    </row>
    <row r="274">
      <c r="Y274" s="725">
        <v>0.0</v>
      </c>
      <c r="Z274" s="725" t="s">
        <v>171</v>
      </c>
    </row>
    <row r="275">
      <c r="Y275" s="725">
        <v>1.0</v>
      </c>
      <c r="Z275" s="725" t="s">
        <v>1608</v>
      </c>
    </row>
    <row r="276">
      <c r="Y276" s="725">
        <v>0.0</v>
      </c>
      <c r="Z276" s="725" t="s">
        <v>2366</v>
      </c>
    </row>
    <row r="277">
      <c r="Y277" s="725">
        <v>0.0</v>
      </c>
      <c r="Z277" s="725" t="s">
        <v>235</v>
      </c>
    </row>
    <row r="278">
      <c r="Y278" s="725">
        <v>0.0</v>
      </c>
      <c r="Z278" s="725" t="s">
        <v>1433</v>
      </c>
    </row>
    <row r="279">
      <c r="Y279" s="725">
        <v>1.0</v>
      </c>
      <c r="Z279" s="725" t="s">
        <v>2189</v>
      </c>
    </row>
    <row r="280">
      <c r="Y280" s="725">
        <v>0.0</v>
      </c>
      <c r="Z280" s="725" t="s">
        <v>2217</v>
      </c>
    </row>
    <row r="281">
      <c r="Y281" s="725">
        <v>0.0</v>
      </c>
      <c r="Z281" s="725" t="s">
        <v>302</v>
      </c>
    </row>
    <row r="282">
      <c r="Y282" s="725">
        <v>0.0</v>
      </c>
      <c r="Z282" s="725" t="s">
        <v>296</v>
      </c>
    </row>
    <row r="283">
      <c r="Y283" s="725">
        <v>0.0</v>
      </c>
      <c r="Z283" s="725" t="s">
        <v>1837</v>
      </c>
    </row>
    <row r="284">
      <c r="Y284" s="725">
        <v>1.0</v>
      </c>
      <c r="Z284" s="725" t="s">
        <v>1235</v>
      </c>
    </row>
    <row r="285">
      <c r="Y285" s="725">
        <v>1.0</v>
      </c>
      <c r="Z285" s="725" t="s">
        <v>1504</v>
      </c>
    </row>
    <row r="286">
      <c r="Y286" s="725">
        <v>0.0</v>
      </c>
      <c r="Z286" s="725" t="s">
        <v>445</v>
      </c>
    </row>
    <row r="287">
      <c r="Y287" s="725">
        <v>0.0</v>
      </c>
      <c r="Z287" s="725" t="s">
        <v>770</v>
      </c>
    </row>
    <row r="288">
      <c r="Y288" s="725">
        <v>1.0</v>
      </c>
      <c r="Z288" s="725" t="s">
        <v>352</v>
      </c>
    </row>
    <row r="289">
      <c r="Y289" s="725">
        <v>1.0</v>
      </c>
      <c r="Z289" s="725" t="s">
        <v>289</v>
      </c>
    </row>
    <row r="290">
      <c r="Y290" s="725">
        <v>1.0</v>
      </c>
      <c r="Z290" s="725" t="s">
        <v>325</v>
      </c>
    </row>
    <row r="291">
      <c r="Y291" s="725">
        <v>0.0</v>
      </c>
      <c r="Z291" s="725" t="s">
        <v>2197</v>
      </c>
    </row>
    <row r="292">
      <c r="Y292" s="725">
        <v>1.0</v>
      </c>
      <c r="Z292" s="725" t="s">
        <v>418</v>
      </c>
    </row>
    <row r="293">
      <c r="Y293" s="725">
        <v>1.0</v>
      </c>
      <c r="Z293" s="725" t="s">
        <v>411</v>
      </c>
    </row>
    <row r="294">
      <c r="Y294" s="725">
        <v>1.0</v>
      </c>
      <c r="Z294" s="725" t="s">
        <v>1944</v>
      </c>
    </row>
    <row r="295">
      <c r="Y295" s="725">
        <v>1.0</v>
      </c>
      <c r="Z295" s="725" t="s">
        <v>1774</v>
      </c>
    </row>
    <row r="296">
      <c r="Y296" s="725">
        <v>1.0</v>
      </c>
      <c r="Z296" s="725" t="s">
        <v>425</v>
      </c>
    </row>
    <row r="297">
      <c r="Y297" s="725">
        <v>1.0</v>
      </c>
      <c r="Z297" s="735" t="s">
        <v>1732</v>
      </c>
    </row>
    <row r="298">
      <c r="Y298" s="725">
        <v>1.0</v>
      </c>
      <c r="Z298" s="725" t="s">
        <v>457</v>
      </c>
    </row>
    <row r="299">
      <c r="Y299" s="725">
        <v>1.0</v>
      </c>
      <c r="Z299" s="725" t="s">
        <v>493</v>
      </c>
    </row>
    <row r="300">
      <c r="Y300" s="725">
        <v>0.0</v>
      </c>
      <c r="Z300" s="725" t="s">
        <v>1436</v>
      </c>
    </row>
    <row r="301">
      <c r="Y301" s="725">
        <v>1.0</v>
      </c>
      <c r="Z301" s="725" t="s">
        <v>2163</v>
      </c>
    </row>
    <row r="302">
      <c r="Y302" s="725">
        <v>0.0</v>
      </c>
      <c r="Z302" s="725" t="s">
        <v>613</v>
      </c>
    </row>
    <row r="303">
      <c r="Y303" s="725">
        <v>0.0</v>
      </c>
      <c r="Z303" s="725" t="s">
        <v>2301</v>
      </c>
    </row>
    <row r="304">
      <c r="Y304" s="725">
        <v>1.0</v>
      </c>
      <c r="Z304" s="725" t="s">
        <v>540</v>
      </c>
    </row>
    <row r="305">
      <c r="Y305" s="725">
        <v>0.0</v>
      </c>
      <c r="Z305" s="735" t="s">
        <v>1269</v>
      </c>
    </row>
    <row r="306">
      <c r="Y306" s="725">
        <v>0.0</v>
      </c>
      <c r="Z306" s="725" t="s">
        <v>1525</v>
      </c>
    </row>
    <row r="307">
      <c r="Y307" s="725">
        <v>1.0</v>
      </c>
      <c r="Z307" s="725" t="s">
        <v>881</v>
      </c>
    </row>
    <row r="308">
      <c r="Y308" s="725">
        <v>1.0</v>
      </c>
      <c r="Z308" s="725" t="s">
        <v>1800</v>
      </c>
    </row>
    <row r="309">
      <c r="Y309" s="725">
        <v>0.0</v>
      </c>
      <c r="Z309" s="725" t="s">
        <v>1059</v>
      </c>
    </row>
    <row r="310">
      <c r="Y310" s="725">
        <v>1.0</v>
      </c>
      <c r="Z310" s="725" t="s">
        <v>2260</v>
      </c>
    </row>
    <row r="311">
      <c r="Y311" s="725">
        <v>1.0</v>
      </c>
      <c r="Z311" s="725" t="s">
        <v>1519</v>
      </c>
    </row>
    <row r="312">
      <c r="Y312" s="725">
        <v>1.0</v>
      </c>
      <c r="Z312" s="725" t="s">
        <v>1065</v>
      </c>
    </row>
    <row r="313">
      <c r="Y313" s="725">
        <v>0.0</v>
      </c>
      <c r="Z313" s="725" t="s">
        <v>895</v>
      </c>
    </row>
    <row r="314">
      <c r="Y314" s="725">
        <v>1.0</v>
      </c>
      <c r="Z314" s="725" t="s">
        <v>862</v>
      </c>
    </row>
    <row r="315">
      <c r="Y315" s="725">
        <v>1.0</v>
      </c>
      <c r="Z315" s="725" t="s">
        <v>1718</v>
      </c>
    </row>
    <row r="316">
      <c r="Y316" s="725">
        <v>0.0</v>
      </c>
      <c r="Z316" s="725" t="s">
        <v>1963</v>
      </c>
    </row>
    <row r="317">
      <c r="Y317" s="725">
        <v>1.0</v>
      </c>
      <c r="Z317" s="725" t="s">
        <v>1071</v>
      </c>
    </row>
    <row r="318">
      <c r="Y318" s="725">
        <v>1.0</v>
      </c>
      <c r="Z318" s="725" t="s">
        <v>1659</v>
      </c>
    </row>
    <row r="319">
      <c r="Y319" s="725">
        <v>2.0</v>
      </c>
      <c r="Z319" s="725" t="s">
        <v>1653</v>
      </c>
    </row>
    <row r="320">
      <c r="Y320" s="725">
        <v>1.0</v>
      </c>
      <c r="Z320" s="725" t="s">
        <v>1248</v>
      </c>
    </row>
    <row r="321">
      <c r="Y321" s="725">
        <v>1.0</v>
      </c>
      <c r="Z321" s="725" t="s">
        <v>1879</v>
      </c>
    </row>
    <row r="322">
      <c r="Y322" s="725">
        <v>1.0</v>
      </c>
      <c r="Z322" s="725" t="s">
        <v>2056</v>
      </c>
    </row>
    <row r="323">
      <c r="Y323" s="725">
        <v>0.0</v>
      </c>
      <c r="Z323" s="725" t="s">
        <v>1086</v>
      </c>
    </row>
    <row r="324">
      <c r="Y324" s="725">
        <v>1.0</v>
      </c>
      <c r="Z324" s="725" t="s">
        <v>1415</v>
      </c>
    </row>
    <row r="325">
      <c r="Y325" s="725">
        <v>1.0</v>
      </c>
      <c r="Z325" s="725" t="s">
        <v>1227</v>
      </c>
    </row>
    <row r="326">
      <c r="Y326" s="725">
        <v>1.0</v>
      </c>
      <c r="Z326" s="725" t="s">
        <v>1513</v>
      </c>
    </row>
    <row r="327">
      <c r="Y327" s="725">
        <v>0.0</v>
      </c>
      <c r="Z327" s="725" t="s">
        <v>1582</v>
      </c>
    </row>
    <row r="328">
      <c r="Y328" s="725">
        <v>0.0</v>
      </c>
      <c r="Z328" s="725" t="s">
        <v>1491</v>
      </c>
    </row>
    <row r="329">
      <c r="Y329" s="725">
        <v>0.0</v>
      </c>
      <c r="Z329" s="725" t="s">
        <v>1289</v>
      </c>
    </row>
    <row r="330">
      <c r="Y330" s="725">
        <v>1.0</v>
      </c>
      <c r="Z330" s="725" t="s">
        <v>2092</v>
      </c>
    </row>
    <row r="331">
      <c r="Y331" s="725">
        <v>0.0</v>
      </c>
      <c r="Z331" s="725" t="s">
        <v>2086</v>
      </c>
    </row>
    <row r="332">
      <c r="Y332" s="725">
        <v>1.0</v>
      </c>
      <c r="Z332" s="725" t="s">
        <v>2359</v>
      </c>
    </row>
    <row r="333">
      <c r="Y333" s="725">
        <v>1.0</v>
      </c>
      <c r="Z333" s="725" t="s">
        <v>1696</v>
      </c>
    </row>
    <row r="334">
      <c r="Y334" s="725">
        <v>0.0</v>
      </c>
      <c r="Z334" s="725" t="s">
        <v>1412</v>
      </c>
    </row>
    <row r="335">
      <c r="Y335" s="725">
        <v>1.0</v>
      </c>
      <c r="Z335" s="725" t="s">
        <v>1406</v>
      </c>
    </row>
    <row r="336">
      <c r="Y336" s="725">
        <v>0.0</v>
      </c>
      <c r="Z336" s="725" t="s">
        <v>1725</v>
      </c>
    </row>
    <row r="337">
      <c r="Y337" s="725">
        <v>0.0</v>
      </c>
      <c r="Z337" s="725" t="s">
        <v>1867</v>
      </c>
    </row>
    <row r="338">
      <c r="Y338" s="725">
        <v>1.0</v>
      </c>
      <c r="Z338" s="725" t="s">
        <v>2182</v>
      </c>
    </row>
    <row r="339">
      <c r="Y339" s="725">
        <v>1.0</v>
      </c>
      <c r="Z339" s="725" t="s">
        <v>1807</v>
      </c>
    </row>
    <row r="340">
      <c r="Y340" s="725">
        <v>1.0</v>
      </c>
      <c r="Z340" s="725" t="s">
        <v>1913</v>
      </c>
    </row>
    <row r="341">
      <c r="Y341" s="725">
        <v>0.0</v>
      </c>
      <c r="Z341" s="725" t="s">
        <v>1704</v>
      </c>
    </row>
    <row r="342">
      <c r="Y342" s="725">
        <v>1.0</v>
      </c>
      <c r="Z342" s="725" t="s">
        <v>1904</v>
      </c>
    </row>
    <row r="343">
      <c r="Y343" s="725">
        <v>1.0</v>
      </c>
      <c r="Z343" s="725" t="s">
        <v>2068</v>
      </c>
    </row>
    <row r="344">
      <c r="Y344" s="725">
        <v>1.0</v>
      </c>
      <c r="Z344" s="725" t="s">
        <v>1861</v>
      </c>
    </row>
    <row r="345">
      <c r="Y345" s="725">
        <v>1.0</v>
      </c>
      <c r="Z345" s="725" t="s">
        <v>1975</v>
      </c>
    </row>
    <row r="346">
      <c r="Y346" s="725">
        <v>1.0</v>
      </c>
      <c r="Z346" s="725" t="s">
        <v>2295</v>
      </c>
    </row>
    <row r="347">
      <c r="Y347" s="725">
        <v>1.0</v>
      </c>
      <c r="Z347" s="725" t="s">
        <v>2254</v>
      </c>
    </row>
    <row r="348">
      <c r="Y348" s="725">
        <v>0.0</v>
      </c>
      <c r="Z348" s="725" t="s">
        <v>2314</v>
      </c>
    </row>
    <row r="349">
      <c r="Y349" s="725">
        <v>1.0</v>
      </c>
      <c r="Z349" s="725" t="s">
        <v>438</v>
      </c>
    </row>
    <row r="350">
      <c r="Y350" s="725">
        <v>0.0</v>
      </c>
      <c r="Z350" s="725" t="s">
        <v>2062</v>
      </c>
    </row>
    <row r="351">
      <c r="Y351" s="725">
        <v>1.0</v>
      </c>
      <c r="Z351" s="725" t="s">
        <v>218</v>
      </c>
    </row>
    <row r="352">
      <c r="Y352" s="725">
        <v>0.0</v>
      </c>
      <c r="Z352" s="725" t="s">
        <v>1149</v>
      </c>
    </row>
    <row r="353">
      <c r="Y353" s="725">
        <v>1.0</v>
      </c>
      <c r="Z353" s="725" t="s">
        <v>1711</v>
      </c>
    </row>
    <row r="354">
      <c r="Y354" s="725">
        <v>1.0</v>
      </c>
      <c r="Z354" s="725" t="s">
        <v>1323</v>
      </c>
    </row>
    <row r="355">
      <c r="Y355" s="725">
        <v>0.0</v>
      </c>
      <c r="Z355" s="725" t="s">
        <v>430</v>
      </c>
    </row>
    <row r="356">
      <c r="Y356" s="725">
        <v>1.0</v>
      </c>
      <c r="Z356" s="725" t="s">
        <v>687</v>
      </c>
    </row>
    <row r="357">
      <c r="Y357" s="725">
        <v>0.0</v>
      </c>
      <c r="Z357" s="725" t="s">
        <v>1576</v>
      </c>
    </row>
    <row r="358">
      <c r="Y358" s="725">
        <v>1.0</v>
      </c>
      <c r="Z358" s="725" t="s">
        <v>946</v>
      </c>
    </row>
    <row r="359">
      <c r="Y359" s="725">
        <v>1.0</v>
      </c>
      <c r="Z359" s="725" t="s">
        <v>779</v>
      </c>
    </row>
    <row r="360">
      <c r="Y360" s="725">
        <v>1.0</v>
      </c>
      <c r="Z360" s="725" t="s">
        <v>839</v>
      </c>
    </row>
    <row r="361">
      <c r="G361" s="584"/>
      <c r="H361" s="584"/>
      <c r="Y361" s="725" t="s">
        <v>3494</v>
      </c>
      <c r="Z361" s="725"/>
    </row>
    <row r="362">
      <c r="G362" s="584"/>
      <c r="H362" s="584"/>
      <c r="Y362" s="725" t="s">
        <v>3494</v>
      </c>
      <c r="Z362" s="725"/>
    </row>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27" t="s">
        <v>3495</v>
      </c>
    </row>
    <row r="3">
      <c r="A3" s="728" t="s">
        <v>3496</v>
      </c>
    </row>
    <row r="4">
      <c r="H4" s="729">
        <v>1.6406162E7</v>
      </c>
    </row>
    <row r="5">
      <c r="A5" s="1" t="s">
        <v>3497</v>
      </c>
      <c r="H5" s="730"/>
    </row>
    <row r="6">
      <c r="A6" s="731" t="s">
        <v>3498</v>
      </c>
      <c r="H6" s="730"/>
    </row>
    <row r="8">
      <c r="A8" s="731" t="s">
        <v>3499</v>
      </c>
      <c r="H8" s="732" t="s">
        <v>3500</v>
      </c>
    </row>
    <row r="10">
      <c r="A10" s="731" t="s">
        <v>3501</v>
      </c>
    </row>
    <row r="13">
      <c r="A13" s="731" t="s">
        <v>3502</v>
      </c>
    </row>
    <row r="16">
      <c r="A16" s="731" t="s">
        <v>3503</v>
      </c>
    </row>
    <row r="19">
      <c r="A19" s="733" t="s">
        <v>3504</v>
      </c>
      <c r="B19" s="734"/>
      <c r="C19" s="734"/>
      <c r="D19" s="733" t="s">
        <v>3</v>
      </c>
      <c r="E19" s="733" t="s">
        <v>4</v>
      </c>
      <c r="F19" s="734"/>
      <c r="G19" s="733" t="s">
        <v>5</v>
      </c>
      <c r="H19" s="733" t="s">
        <v>6</v>
      </c>
      <c r="I19" s="733" t="s">
        <v>7</v>
      </c>
      <c r="J19" s="733" t="s">
        <v>8</v>
      </c>
      <c r="K19" s="733" t="s">
        <v>9</v>
      </c>
      <c r="L19" s="733" t="s">
        <v>10</v>
      </c>
      <c r="M19" s="733" t="s">
        <v>12</v>
      </c>
      <c r="N19" s="733" t="s">
        <v>13</v>
      </c>
      <c r="O19" s="733" t="s">
        <v>14</v>
      </c>
      <c r="P19" s="734"/>
      <c r="Q19" s="733" t="s">
        <v>15</v>
      </c>
      <c r="R19" s="733" t="s">
        <v>16</v>
      </c>
      <c r="S19" s="733" t="s">
        <v>17</v>
      </c>
      <c r="T19" s="733" t="s">
        <v>18</v>
      </c>
      <c r="U19" s="733" t="s">
        <v>19</v>
      </c>
      <c r="V19" s="734"/>
      <c r="W19" s="733" t="s">
        <v>21</v>
      </c>
      <c r="X19" s="733" t="s">
        <v>22</v>
      </c>
      <c r="Y19" s="733" t="s">
        <v>24</v>
      </c>
      <c r="Z19" s="733" t="s">
        <v>25</v>
      </c>
      <c r="AA19" s="733" t="s">
        <v>27</v>
      </c>
      <c r="AB19" s="733" t="s">
        <v>28</v>
      </c>
      <c r="AC19" s="733" t="s">
        <v>32</v>
      </c>
      <c r="AD19" s="733" t="s">
        <v>33</v>
      </c>
      <c r="AE19" s="733" t="s">
        <v>35</v>
      </c>
      <c r="AF19" s="733" t="s">
        <v>36</v>
      </c>
      <c r="AG19" s="733" t="s">
        <v>37</v>
      </c>
      <c r="AH19" s="734"/>
      <c r="AI19" s="734"/>
      <c r="AJ19" s="733" t="s">
        <v>39</v>
      </c>
      <c r="AK19" s="733" t="s">
        <v>40</v>
      </c>
      <c r="AL19" s="733" t="s">
        <v>42</v>
      </c>
      <c r="AM19" s="734"/>
      <c r="AN19" s="733" t="s">
        <v>44</v>
      </c>
      <c r="AO19" s="733" t="s">
        <v>45</v>
      </c>
      <c r="AP19" s="733" t="s">
        <v>46</v>
      </c>
      <c r="AQ19" s="733" t="s">
        <v>48</v>
      </c>
      <c r="AR19" s="734"/>
      <c r="AS19" s="734"/>
      <c r="AT19" s="733" t="s">
        <v>49</v>
      </c>
      <c r="AU19" s="733" t="s">
        <v>51</v>
      </c>
      <c r="AV19" s="733" t="s">
        <v>52</v>
      </c>
      <c r="AW19" s="734"/>
      <c r="AX19" s="734"/>
      <c r="AY19" s="734"/>
      <c r="AZ19" s="734"/>
      <c r="BA19" s="734"/>
      <c r="BB19" s="734"/>
      <c r="BC19" s="734"/>
      <c r="BD19" s="734"/>
      <c r="BE19" s="734"/>
      <c r="BF19" s="734"/>
      <c r="BG19" s="734"/>
      <c r="BH19" s="734"/>
      <c r="BI19" s="734"/>
      <c r="BJ19" s="734"/>
      <c r="BK19" s="734"/>
      <c r="BL19" s="734"/>
      <c r="BM19" s="734"/>
    </row>
    <row r="20" hidden="1">
      <c r="A20" s="1" t="s">
        <v>3505</v>
      </c>
      <c r="C20" s="1" t="s">
        <v>3506</v>
      </c>
      <c r="D20" s="1" t="s">
        <v>3507</v>
      </c>
      <c r="E20" s="1" t="s">
        <v>3508</v>
      </c>
      <c r="G20" s="1" t="s">
        <v>3509</v>
      </c>
      <c r="H20" s="1" t="s">
        <v>3510</v>
      </c>
      <c r="I20" s="1" t="s">
        <v>3511</v>
      </c>
      <c r="J20" s="1" t="s">
        <v>3512</v>
      </c>
      <c r="K20" s="1" t="s">
        <v>3513</v>
      </c>
      <c r="L20" s="1" t="s">
        <v>3514</v>
      </c>
      <c r="M20" s="1" t="s">
        <v>3515</v>
      </c>
      <c r="N20" s="1" t="s">
        <v>3516</v>
      </c>
      <c r="O20" s="1" t="s">
        <v>3517</v>
      </c>
      <c r="Q20" s="1" t="s">
        <v>3518</v>
      </c>
      <c r="R20" s="1" t="s">
        <v>3519</v>
      </c>
      <c r="S20" s="1" t="s">
        <v>3520</v>
      </c>
      <c r="T20" s="1" t="s">
        <v>3521</v>
      </c>
      <c r="U20" s="1" t="s">
        <v>3522</v>
      </c>
      <c r="W20" s="1" t="s">
        <v>3523</v>
      </c>
      <c r="X20" s="1" t="s">
        <v>3524</v>
      </c>
      <c r="Y20" s="1" t="s">
        <v>3525</v>
      </c>
      <c r="Z20" s="1" t="s">
        <v>3526</v>
      </c>
      <c r="AA20" s="1" t="s">
        <v>3527</v>
      </c>
      <c r="AB20" s="1" t="s">
        <v>3528</v>
      </c>
      <c r="AC20" s="1" t="s">
        <v>3529</v>
      </c>
      <c r="AD20" s="1" t="s">
        <v>3530</v>
      </c>
      <c r="AE20" s="1" t="s">
        <v>3531</v>
      </c>
      <c r="AF20" s="1" t="s">
        <v>3532</v>
      </c>
      <c r="AG20" s="1" t="s">
        <v>3533</v>
      </c>
      <c r="AJ20" s="1" t="s">
        <v>3534</v>
      </c>
      <c r="AK20" s="1" t="s">
        <v>3535</v>
      </c>
      <c r="AL20" s="1" t="s">
        <v>3536</v>
      </c>
      <c r="AN20" s="1" t="s">
        <v>3537</v>
      </c>
      <c r="AO20" s="1" t="s">
        <v>3538</v>
      </c>
      <c r="AP20" s="1" t="s">
        <v>3539</v>
      </c>
      <c r="AQ20" s="1" t="s">
        <v>3540</v>
      </c>
      <c r="AR20" s="1" t="s">
        <v>3541</v>
      </c>
      <c r="AS20" s="1" t="s">
        <v>3542</v>
      </c>
      <c r="AT20" s="1" t="s">
        <v>3543</v>
      </c>
      <c r="AU20" s="1" t="s">
        <v>3544</v>
      </c>
      <c r="AV20" s="1" t="s">
        <v>3545</v>
      </c>
    </row>
    <row r="21">
      <c r="A21" s="736" t="s">
        <v>3546</v>
      </c>
      <c r="B21" s="737"/>
      <c r="C21" s="737"/>
      <c r="D21" s="736" t="str">
        <f>IFERROR(__xludf.DUMMYFUNCTION("ARRAY_CONSTRAIN(split(CELL(""ADDRESS"",zsupermetrics_pxuhRTEmIU93xSgKclyxajD0fCZ6rF),""!""),1,1)"),"#REF!")</f>
        <v>#REF!</v>
      </c>
      <c r="E21" s="736"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737"/>
      <c r="G21" s="738">
        <v>44557.69715277778</v>
      </c>
      <c r="H21" s="738">
        <v>44557.839155092595</v>
      </c>
      <c r="I21" s="736" t="s">
        <v>3547</v>
      </c>
      <c r="J21" s="739"/>
      <c r="K21" s="736" t="b">
        <v>0</v>
      </c>
      <c r="L21" s="739">
        <v>4.0</v>
      </c>
      <c r="M21" s="736" t="s">
        <v>74</v>
      </c>
      <c r="N21" s="737"/>
      <c r="O21" s="736" t="s">
        <v>3548</v>
      </c>
      <c r="P21" s="737"/>
      <c r="Q21" s="736" t="s">
        <v>3549</v>
      </c>
      <c r="R21" s="737"/>
      <c r="S21" s="737"/>
      <c r="T21" s="737"/>
      <c r="U21" s="737"/>
      <c r="V21" s="737"/>
      <c r="W21" s="736" t="s">
        <v>3550</v>
      </c>
      <c r="X21" s="736" t="s">
        <v>3551</v>
      </c>
      <c r="Y21" s="736" t="s">
        <v>80</v>
      </c>
      <c r="Z21" s="736" t="s">
        <v>3552</v>
      </c>
      <c r="AA21" s="736" t="s">
        <v>80</v>
      </c>
      <c r="AB21" s="736" t="s">
        <v>80</v>
      </c>
      <c r="AC21" s="737"/>
      <c r="AD21" s="736">
        <v>10000.0</v>
      </c>
      <c r="AE21" s="736">
        <v>50.0</v>
      </c>
      <c r="AF21" s="736" t="s">
        <v>3553</v>
      </c>
      <c r="AG21" s="736" t="s">
        <v>81</v>
      </c>
      <c r="AH21" s="737"/>
      <c r="AI21" s="737"/>
      <c r="AJ21" s="737"/>
      <c r="AK21" s="737"/>
      <c r="AL21" s="737"/>
      <c r="AM21" s="737"/>
      <c r="AN21" s="737"/>
      <c r="AO21" s="737"/>
      <c r="AP21" s="740" t="s">
        <v>3554</v>
      </c>
      <c r="AQ21" s="737"/>
      <c r="AR21" s="737"/>
      <c r="AS21" s="737"/>
      <c r="AT21" s="737"/>
      <c r="AU21" s="736" t="s">
        <v>3555</v>
      </c>
      <c r="AV21" s="737"/>
      <c r="AW21" s="737"/>
      <c r="AX21" s="737"/>
    </row>
  </sheetData>
  <mergeCells count="5">
    <mergeCell ref="A6:G7"/>
    <mergeCell ref="A8:G9"/>
    <mergeCell ref="A10:G11"/>
    <mergeCell ref="A13:H15"/>
    <mergeCell ref="A16:H17"/>
  </mergeCells>
  <drawing r:id="rId2"/>
  <legacyDrawing r:id="rId3"/>
</worksheet>
</file>